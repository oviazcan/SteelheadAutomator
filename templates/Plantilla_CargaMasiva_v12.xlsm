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C95F0924-C13C-1644-B22C-1ADAD2CD17CA}" xr6:coauthVersionLast="47" xr6:coauthVersionMax="47" xr10:uidLastSave="{00000000-0000-0000-0000-000000000000}"/>
  <bookViews>
    <workbookView xWindow="0" yWindow="680" windowWidth="34200" windowHeight="19800" tabRatio="500" activeTab="5"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9"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596" i="6"/>
  <c r="A597" i="6"/>
  <c r="A598" i="6"/>
  <c r="A599" i="6"/>
  <c r="A600" i="6"/>
  <c r="A601" i="6"/>
  <c r="A602" i="6"/>
  <c r="A603"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T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E2" i="6" a="1"/>
  <c r="U508" i="1" a="1"/>
  <c r="L2" i="5" a="1"/>
  <c r="K2" i="5" a="1"/>
  <c r="J2" i="5" a="1"/>
  <c r="T508" i="1" a="1"/>
  <c r="AD508" i="1"/>
  <c r="AB508" i="1"/>
  <c r="A9" i="6"/>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AW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AU80" i="1" s="1"/>
  <c r="P20" i="3"/>
  <c r="AX10" i="1" s="1"/>
  <c r="P21" i="3"/>
  <c r="AX11" i="1" s="1"/>
  <c r="P19" i="3"/>
  <c r="AX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A11" i="1" s="1"/>
  <c r="F21" i="3"/>
  <c r="R21" i="3" s="1"/>
  <c r="AZ11" i="1" s="1"/>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S155" i="3" l="1"/>
  <c r="BA145" i="1" s="1"/>
  <c r="S150" i="3"/>
  <c r="BA140" i="1" s="1"/>
  <c r="R145" i="3"/>
  <c r="AZ135" i="1" s="1"/>
  <c r="R141" i="3"/>
  <c r="AZ131" i="1" s="1"/>
  <c r="R137" i="3"/>
  <c r="AZ127" i="1" s="1"/>
  <c r="R133" i="3"/>
  <c r="AZ123" i="1" s="1"/>
  <c r="S128" i="3"/>
  <c r="BA118" i="1" s="1"/>
  <c r="S123" i="3"/>
  <c r="BA113" i="1" s="1"/>
  <c r="S118" i="3"/>
  <c r="BA108" i="1" s="1"/>
  <c r="R115" i="3"/>
  <c r="AZ105" i="1" s="1"/>
  <c r="S111" i="3"/>
  <c r="BA101" i="1" s="1"/>
  <c r="S107" i="3"/>
  <c r="BA97" i="1" s="1"/>
  <c r="S103" i="3"/>
  <c r="BA93" i="1" s="1"/>
  <c r="S98" i="3"/>
  <c r="BA88" i="1" s="1"/>
  <c r="S93" i="3"/>
  <c r="BA83" i="1" s="1"/>
  <c r="R90" i="3"/>
  <c r="AZ80" i="1" s="1"/>
  <c r="S86" i="3"/>
  <c r="BA76" i="1" s="1"/>
  <c r="S80" i="3"/>
  <c r="BA70" i="1" s="1"/>
  <c r="R149" i="3"/>
  <c r="AZ139" i="1" s="1"/>
  <c r="S145" i="3"/>
  <c r="BA135" i="1" s="1"/>
  <c r="S142" i="3"/>
  <c r="BA132" i="1" s="1"/>
  <c r="R140" i="3"/>
  <c r="AZ130" i="1" s="1"/>
  <c r="R138" i="3"/>
  <c r="AZ128" i="1" s="1"/>
  <c r="R136" i="3"/>
  <c r="AZ126" i="1" s="1"/>
  <c r="R134" i="3"/>
  <c r="AZ124" i="1" s="1"/>
  <c r="S131" i="3"/>
  <c r="BA121" i="1" s="1"/>
  <c r="S129" i="3"/>
  <c r="BA119" i="1" s="1"/>
  <c r="S127" i="3"/>
  <c r="BA117" i="1" s="1"/>
  <c r="R126" i="3"/>
  <c r="AZ116" i="1" s="1"/>
  <c r="R124" i="3"/>
  <c r="AZ114" i="1" s="1"/>
  <c r="R122" i="3"/>
  <c r="AZ112" i="1" s="1"/>
  <c r="R120" i="3"/>
  <c r="AZ110" i="1" s="1"/>
  <c r="R117" i="3"/>
  <c r="AZ107" i="1" s="1"/>
  <c r="R116" i="3"/>
  <c r="AZ106" i="1" s="1"/>
  <c r="R114" i="3"/>
  <c r="AZ104" i="1" s="1"/>
  <c r="R112" i="3"/>
  <c r="AZ102" i="1" s="1"/>
  <c r="R110" i="3"/>
  <c r="AZ100" i="1" s="1"/>
  <c r="S108" i="3"/>
  <c r="BA98" i="1" s="1"/>
  <c r="R107" i="3"/>
  <c r="AZ97" i="1" s="1"/>
  <c r="R105" i="3"/>
  <c r="AZ95" i="1" s="1"/>
  <c r="R103" i="3"/>
  <c r="AZ93" i="1" s="1"/>
  <c r="R101" i="3"/>
  <c r="AZ91" i="1" s="1"/>
  <c r="S99" i="3"/>
  <c r="BA89" i="1" s="1"/>
  <c r="R97" i="3"/>
  <c r="AZ87" i="1" s="1"/>
  <c r="S95" i="3"/>
  <c r="BA85" i="1" s="1"/>
  <c r="R93" i="3"/>
  <c r="AZ83" i="1" s="1"/>
  <c r="S91" i="3"/>
  <c r="BA81" i="1" s="1"/>
  <c r="S89" i="3"/>
  <c r="BA79" i="1" s="1"/>
  <c r="R88" i="3"/>
  <c r="AZ78" i="1" s="1"/>
  <c r="R86" i="3"/>
  <c r="AZ76" i="1" s="1"/>
  <c r="S84" i="3"/>
  <c r="BA74" i="1" s="1"/>
  <c r="S82" i="3"/>
  <c r="BA72" i="1" s="1"/>
  <c r="S81" i="3"/>
  <c r="BA71" i="1" s="1"/>
  <c r="S79" i="3"/>
  <c r="BA69" i="1" s="1"/>
  <c r="R166" i="3"/>
  <c r="AZ156" i="1" s="1"/>
  <c r="S165" i="3"/>
  <c r="BA155" i="1" s="1"/>
  <c r="S164" i="3"/>
  <c r="BA154" i="1" s="1"/>
  <c r="R164" i="3"/>
  <c r="AZ154" i="1" s="1"/>
  <c r="R163" i="3"/>
  <c r="AZ153" i="1" s="1"/>
  <c r="S162" i="3"/>
  <c r="BA152" i="1" s="1"/>
  <c r="R162" i="3"/>
  <c r="AZ152" i="1" s="1"/>
  <c r="R161" i="3"/>
  <c r="AZ151" i="1" s="1"/>
  <c r="S160" i="3"/>
  <c r="BA150" i="1" s="1"/>
  <c r="R156" i="3"/>
  <c r="AZ146" i="1" s="1"/>
  <c r="R155" i="3"/>
  <c r="AZ145" i="1" s="1"/>
  <c r="S153" i="3"/>
  <c r="BA143" i="1" s="1"/>
  <c r="S152" i="3"/>
  <c r="BA142" i="1" s="1"/>
  <c r="S151" i="3"/>
  <c r="BA141" i="1" s="1"/>
  <c r="S149" i="3"/>
  <c r="BA139" i="1" s="1"/>
  <c r="R148" i="3"/>
  <c r="AZ138" i="1" s="1"/>
  <c r="R147" i="3"/>
  <c r="AZ137" i="1" s="1"/>
  <c r="R144" i="3"/>
  <c r="AZ134" i="1" s="1"/>
  <c r="S143" i="3"/>
  <c r="BA133" i="1" s="1"/>
  <c r="S140" i="3"/>
  <c r="BA130" i="1" s="1"/>
  <c r="S139" i="3"/>
  <c r="BA129" i="1" s="1"/>
  <c r="S137" i="3"/>
  <c r="BA127" i="1" s="1"/>
  <c r="S135" i="3"/>
  <c r="BA125" i="1" s="1"/>
  <c r="S132" i="3"/>
  <c r="BA122" i="1" s="1"/>
  <c r="R131" i="3"/>
  <c r="AZ121" i="1" s="1"/>
  <c r="R129" i="3"/>
  <c r="AZ119" i="1" s="1"/>
  <c r="R127" i="3"/>
  <c r="AZ117" i="1" s="1"/>
  <c r="R125" i="3"/>
  <c r="AZ115" i="1" s="1"/>
  <c r="R123" i="3"/>
  <c r="AZ113" i="1" s="1"/>
  <c r="S121" i="3"/>
  <c r="BA111" i="1" s="1"/>
  <c r="S119" i="3"/>
  <c r="BA109" i="1" s="1"/>
  <c r="R118" i="3"/>
  <c r="AZ108" i="1" s="1"/>
  <c r="S114" i="3"/>
  <c r="BA104" i="1" s="1"/>
  <c r="S112" i="3"/>
  <c r="BA102" i="1" s="1"/>
  <c r="S110" i="3"/>
  <c r="BA100" i="1" s="1"/>
  <c r="R109" i="3"/>
  <c r="AZ99" i="1" s="1"/>
  <c r="S105" i="3"/>
  <c r="BA95" i="1" s="1"/>
  <c r="R104" i="3"/>
  <c r="AZ94" i="1" s="1"/>
  <c r="R102" i="3"/>
  <c r="AZ92" i="1" s="1"/>
  <c r="R100" i="3"/>
  <c r="AZ90" i="1" s="1"/>
  <c r="S97" i="3"/>
  <c r="BA87" i="1" s="1"/>
  <c r="R96" i="3"/>
  <c r="AZ86" i="1" s="1"/>
  <c r="S94" i="3"/>
  <c r="BA84" i="1" s="1"/>
  <c r="S92" i="3"/>
  <c r="BA82" i="1" s="1"/>
  <c r="S90" i="3"/>
  <c r="BA80" i="1" s="1"/>
  <c r="R89" i="3"/>
  <c r="AZ79" i="1" s="1"/>
  <c r="R87" i="3"/>
  <c r="AZ77" i="1" s="1"/>
  <c r="R85" i="3"/>
  <c r="AZ75" i="1" s="1"/>
  <c r="R83" i="3"/>
  <c r="AZ73" i="1" s="1"/>
  <c r="R81" i="3"/>
  <c r="AZ71" i="1" s="1"/>
  <c r="S156" i="3"/>
  <c r="BA146" i="1" s="1"/>
  <c r="R154" i="3"/>
  <c r="AZ144" i="1" s="1"/>
  <c r="R153" i="3"/>
  <c r="AZ143" i="1" s="1"/>
  <c r="R152" i="3"/>
  <c r="AZ142" i="1" s="1"/>
  <c r="R150" i="3"/>
  <c r="AZ140" i="1" s="1"/>
  <c r="S148" i="3"/>
  <c r="BA138" i="1" s="1"/>
  <c r="S147" i="3"/>
  <c r="BA137" i="1" s="1"/>
  <c r="R146" i="3"/>
  <c r="AZ136" i="1" s="1"/>
  <c r="S144" i="3"/>
  <c r="BA134" i="1" s="1"/>
  <c r="R143" i="3"/>
  <c r="AZ133" i="1" s="1"/>
  <c r="S141" i="3"/>
  <c r="BA131" i="1" s="1"/>
  <c r="R139" i="3"/>
  <c r="AZ129" i="1" s="1"/>
  <c r="S136" i="3"/>
  <c r="BA126" i="1" s="1"/>
  <c r="R135" i="3"/>
  <c r="AZ125" i="1" s="1"/>
  <c r="S133" i="3"/>
  <c r="BA123" i="1" s="1"/>
  <c r="R132" i="3"/>
  <c r="AZ122" i="1" s="1"/>
  <c r="S130" i="3"/>
  <c r="BA120" i="1" s="1"/>
  <c r="R128" i="3"/>
  <c r="AZ118" i="1" s="1"/>
  <c r="S126" i="3"/>
  <c r="BA116" i="1" s="1"/>
  <c r="S124" i="3"/>
  <c r="BA114" i="1" s="1"/>
  <c r="S122" i="3"/>
  <c r="BA112" i="1" s="1"/>
  <c r="R121" i="3"/>
  <c r="AZ111" i="1" s="1"/>
  <c r="R119" i="3"/>
  <c r="AZ109" i="1" s="1"/>
  <c r="S117" i="3"/>
  <c r="BA107" i="1" s="1"/>
  <c r="S115" i="3"/>
  <c r="BA105" i="1" s="1"/>
  <c r="R113" i="3"/>
  <c r="AZ103" i="1" s="1"/>
  <c r="R111" i="3"/>
  <c r="AZ101" i="1" s="1"/>
  <c r="R108" i="3"/>
  <c r="AZ98" i="1" s="1"/>
  <c r="R106" i="3"/>
  <c r="AZ96" i="1" s="1"/>
  <c r="S104" i="3"/>
  <c r="BA94" i="1" s="1"/>
  <c r="S101" i="3"/>
  <c r="BA91" i="1" s="1"/>
  <c r="S100" i="3"/>
  <c r="BA90" i="1" s="1"/>
  <c r="R98" i="3"/>
  <c r="AZ88" i="1" s="1"/>
  <c r="S96" i="3"/>
  <c r="BA86" i="1" s="1"/>
  <c r="R94" i="3"/>
  <c r="AZ84" i="1" s="1"/>
  <c r="R91" i="3"/>
  <c r="AZ81" i="1" s="1"/>
  <c r="S88" i="3"/>
  <c r="BA78" i="1" s="1"/>
  <c r="S85" i="3"/>
  <c r="BA75" i="1" s="1"/>
  <c r="R84" i="3"/>
  <c r="AZ74" i="1" s="1"/>
  <c r="R82" i="3"/>
  <c r="AZ72" i="1" s="1"/>
  <c r="R80" i="3"/>
  <c r="AZ70" i="1" s="1"/>
  <c r="S166" i="3"/>
  <c r="BA156" i="1" s="1"/>
  <c r="R165" i="3"/>
  <c r="AZ155" i="1" s="1"/>
  <c r="S163" i="3"/>
  <c r="BA153" i="1" s="1"/>
  <c r="S161" i="3"/>
  <c r="BA151" i="1" s="1"/>
  <c r="R160" i="3"/>
  <c r="AZ150" i="1" s="1"/>
  <c r="S159" i="3"/>
  <c r="BA149" i="1" s="1"/>
  <c r="R159" i="3"/>
  <c r="AZ149" i="1" s="1"/>
  <c r="S158" i="3"/>
  <c r="BA148" i="1" s="1"/>
  <c r="R158" i="3"/>
  <c r="AZ148" i="1" s="1"/>
  <c r="S157" i="3"/>
  <c r="BA147" i="1" s="1"/>
  <c r="R157" i="3"/>
  <c r="AZ147" i="1" s="1"/>
  <c r="S154" i="3"/>
  <c r="BA144" i="1" s="1"/>
  <c r="R151" i="3"/>
  <c r="AZ141" i="1" s="1"/>
  <c r="S146" i="3"/>
  <c r="BA136" i="1" s="1"/>
  <c r="R142" i="3"/>
  <c r="AZ132" i="1" s="1"/>
  <c r="S138" i="3"/>
  <c r="BA128" i="1" s="1"/>
  <c r="S134" i="3"/>
  <c r="BA124" i="1" s="1"/>
  <c r="R130" i="3"/>
  <c r="AZ120" i="1" s="1"/>
  <c r="S125" i="3"/>
  <c r="BA115" i="1" s="1"/>
  <c r="S120" i="3"/>
  <c r="BA110" i="1" s="1"/>
  <c r="S116" i="3"/>
  <c r="BA106" i="1" s="1"/>
  <c r="S113" i="3"/>
  <c r="BA103" i="1" s="1"/>
  <c r="S109" i="3"/>
  <c r="BA99" i="1" s="1"/>
  <c r="S106" i="3"/>
  <c r="BA96" i="1" s="1"/>
  <c r="S102" i="3"/>
  <c r="BA92" i="1" s="1"/>
  <c r="R99" i="3"/>
  <c r="AZ89" i="1" s="1"/>
  <c r="R95" i="3"/>
  <c r="AZ85" i="1" s="1"/>
  <c r="R92" i="3"/>
  <c r="AZ82" i="1" s="1"/>
  <c r="S87" i="3"/>
  <c r="BA77" i="1" s="1"/>
  <c r="S83" i="3"/>
  <c r="BA73"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2" i="3"/>
  <c r="BA12" i="1" s="1"/>
  <c r="R22" i="3"/>
  <c r="AZ12"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BA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rgb="FF000000"/>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rgb="FF000000"/>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<sst xmlns="http://schemas.openxmlformats.org/spreadsheetml/2006/main" count="19461" uniqueCount="2577">
  <si>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</si>
  <si>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</si>
  <si>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</si>
  <si>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</si>
  <si>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</si>
  <si>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</si>
  <si>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</si>
  <si>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</si>
  <si>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</si>
  <si>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</si>
  <si>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</si>
  <si>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</si>
  <si>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</si>
  <si>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</si>
  <si>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</si>
  <si>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</si>
  <si>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</si>
  <si>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</si>
  <si>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</si>
  <si>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</si>
  <si>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</si>
  <si>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</si>
  <si>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</si>
  <si>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</si>
  <si>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</si>
  <si>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</si>
  <si>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</si>
  <si>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</si>
  <si>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</si>
  <si>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</si>
  <si>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</si>
  <si>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</si>
  <si>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</si>
  <si>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</si>
  <si>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</si>
  <si>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</si>
  <si>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</si>
  <si>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</si>
  <si>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</si>
  <si>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</si>
  <si>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</si>
  <si>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</si>
  <si>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</si>
  <si>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</si>
  <si>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</si>
  <si>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</si>
  <si>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</si>
  <si>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</si>
  <si>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</si>
  <si>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</si>
  <si>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</si>
  <si>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</si>
  <si>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</si>
  <si>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</si>
  <si>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</si>
  <si>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</si>
  <si>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</si>
  <si>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</si>
  <si>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</si>
  <si>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</si>
  <si>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</si>
  <si>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</si>
  <si>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</si>
  <si>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</si>
  <si>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</si>
  <si>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</si>
  <si>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</si>
  <si>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</si>
  <si>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</si>
  <si>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</si>
  <si>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</si>
  <si>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</si>
  <si>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</si>
  <si>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</si>
  <si>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</si>
  <si>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</si>
  <si>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</si>
  <si>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</si>
  <si>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</si>
  <si>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</si>
  <si>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</si>
  <si>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</si>
  <si>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</si>
  <si>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</si>
  <si>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</si>
  <si>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</si>
  <si>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</si>
  <si>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</si>
  <si>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</si>
  <si>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</si>
  <si>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</si>
  <si>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</si>
  <si>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</si>
  <si>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</si>
  <si>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</si>
  <si>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</si>
  <si>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</si>
  <si>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</si>
  <si>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</si>
  <si>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</si>
  <si>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</si>
  <si>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</si>
  <si>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</si>
  <si>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</si>
  <si>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</si>
  <si>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</si>
  <si>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</si>
  <si>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</si>
  <si>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</si>
  <si>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</si>
  <si>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</si>
  <si>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</si>
  <si>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</si>
  <si>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</si>
  <si>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</si>
  <si>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</si>
  <si>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</si>
  <si>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</si>
  <si>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</si>
  <si>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</si>
  <si>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</si>
  <si>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</si>
  <si>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</si>
  <si>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</si>
  <si>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</si>
  <si>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</si>
  <si>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</si>
  <si>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</si>
  <si>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</si>
  <si>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</si>
  <si>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</si>
  <si>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</si>
  <si>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</si>
  <si>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</si>
  <si>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</si>
  <si>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</si>
  <si>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</si>
  <si>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</si>
  <si>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</si>
  <si>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</si>
  <si>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</si>
  <si>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</si>
  <si>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</si>
  <si>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</si>
  <si>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</si>
  <si>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</si>
  <si>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</si>
  <si>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</si>
  <si>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</si>
  <si>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</si>
  <si>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</si>
  <si>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</si>
  <si>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</si>
  <si>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</si>
  <si>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</si>
  <si>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</si>
  <si>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</si>
  <si>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</si>
  <si>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</si>
  <si>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</si>
  <si>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</si>
  <si>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</si>
  <si>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</si>
  <si>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</si>
  <si>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</si>
  <si>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</si>
  <si>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</si>
  <si>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</si>
  <si>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</si>
  <si>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</si>
  <si>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</si>
  <si>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</si>
  <si>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</si>
  <si>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</si>
  <si>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</si>
  <si>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</si>
  <si>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</si>
  <si>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</si>
  <si>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</si>
  <si>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</si>
  <si>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</si>
  <si>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</si>
  <si>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</si>
  <si>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</si>
  <si>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</si>
  <si>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</si>
  <si>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</si>
  <si>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</si>
  <si>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</si>
  <si>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</si>
  <si>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</si>
  <si>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</si>
  <si>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</si>
  <si>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</si>
  <si>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</si>
  <si>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</si>
  <si>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</si>
  <si>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</si>
  <si>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</si>
  <si>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</si>
  <si>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</si>
  <si>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</si>
  <si>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</si>
  <si>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</si>
  <si>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</si>
  <si>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</si>
  <si>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</si>
  <si>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</si>
  <si>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</si>
  <si>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</si>
  <si>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</si>
  <si>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</si>
  <si>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</si>
  <si>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</si>
  <si>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</si>
  <si>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</si>
  <si>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</si>
  <si>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</si>
  <si>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</si>
  <si>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</si>
  <si>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</si>
  <si>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</si>
  <si>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</si>
  <si>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</si>
  <si>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</si>
  <si>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</si>
  <si>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</si>
  <si>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</si>
  <si>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</si>
  <si>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</si>
  <si>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</si>
  <si>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</si>
  <si>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</si>
  <si>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</si>
  <si>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</si>
  <si>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</si>
  <si>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</si>
  <si>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</si>
  <si>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</si>
  <si>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</si>
  <si>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</si>
  <si>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</si>
  <si>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</si>
  <si>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</si>
  <si>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</si>
  <si>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</si>
  <si>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</si>
  <si>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</si>
  <si>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</si>
  <si>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</si>
  <si>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</si>
  <si>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</si>
  <si>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</si>
  <si>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</si>
  <si>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</si>
  <si>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</si>
  <si>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</si>
  <si>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</si>
  <si>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</si>
  <si>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</si>
  <si>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</si>
  <si>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</si>
  <si>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</si>
  <si>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</si>
  <si>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</si>
  <si>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</si>
  <si>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</si>
  <si>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</si>
  <si>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</si>
  <si>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</si>
  <si>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</si>
  <si>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</si>
  <si>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</si>
  <si>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</si>
  <si>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</si>
  <si>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</si>
  <si>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</si>
  <si>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</si>
  <si>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</si>
  <si>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</si>
  <si>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</si>
  <si>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</si>
  <si>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</si>
  <si>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</si>
  <si>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</si>
  <si>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</si>
  <si>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</si>
  <si>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</si>
  <si>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</si>
  <si>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</si>
  <si>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</si>
  <si>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</si>
  <si>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</si>
  <si>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</si>
  <si>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</si>
  <si>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</si>
  <si>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</si>
  <si>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</si>
  <si>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</si>
  <si>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</si>
  <si>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</si>
  <si>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</si>
  <si>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</si>
  <si>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</si>
  <si>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</si>
  <si>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</si>
  <si>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</si>
  <si>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</si>
  <si>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</si>
  <si>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</si>
  <si>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</si>
  <si>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</si>
  <si>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</si>
  <si>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</si>
  <si>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</si>
  <si>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</si>
  <si>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</si>
  <si>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</si>
  <si>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</si>
  <si>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</si>
  <si>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</si>
  <si>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</si>
  <si>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</si>
  <si>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</si>
  <si>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</si>
  <si>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</si>
  <si>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</si>
  <si>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</si>
  <si>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</si>
  <si>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</si>
  <si>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</si>
  <si>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</si>
  <si>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</si>
  <si>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</si>
  <si>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</si>
  <si>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</si>
  <si>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</si>
  <si>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</si>
  <si>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</si>
  <si>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</si>
  <si>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</si>
  <si>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</si>
  <si>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</si>
  <si>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</si>
  <si>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</si>
  <si>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</si>
  <si>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</si>
  <si>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</si>
  <si>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</si>
  <si>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</si>
  <si>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</si>
  <si>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</si>
  <si>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</si>
  <si>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</si>
  <si>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</si>
  <si>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</si>
  <si>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</si>
  <si>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</si>
  <si>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</si>
  <si>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</si>
  <si>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</si>
  <si>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</si>
  <si>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</si>
  <si>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</si>
  <si>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</si>
  <si>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</si>
  <si>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</si>
  <si>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</si>
  <si>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</si>
  <si>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</si>
  <si>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</si>
  <si>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</si>
  <si>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</si>
  <si>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</si>
  <si>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</si>
  <si>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</si>
  <si>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</si>
  <si>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</si>
  <si>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</si>
  <si>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</si>
  <si>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</si>
  <si>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</si>
  <si>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</si>
  <si>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</si>
  <si>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</si>
  <si>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</si>
  <si>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</si>
  <si>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</si>
  <si>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</si>
  <si>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</si>
  <si>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</si>
  <si>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</si>
  <si>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</si>
  <si>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</si>
  <si>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</si>
  <si>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</si>
  <si>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</si>
  <si>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</si>
  <si>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</si>
  <si>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</si>
  <si>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</si>
  <si>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</si>
  <si>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</si>
  <si>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</si>
  <si>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</si>
  <si>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</si>
  <si>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</si>
  <si>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</si>
  <si>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</si>
  <si>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</si>
  <si>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</si>
  <si>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</si>
  <si>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</si>
  <si>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</si>
  <si>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</si>
  <si>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</si>
  <si>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</si>
  <si>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</si>
  <si>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</si>
  <si>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</si>
  <si>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</si>
  <si>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</si>
  <si>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</si>
  <si>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</si>
  <si>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</si>
  <si>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</si>
  <si>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</si>
  <si>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</si>
  <si>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</si>
  <si>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</si>
  <si>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</si>
  <si>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</si>
  <si>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</si>
  <si>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</si>
  <si>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</si>
  <si>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</si>
  <si>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</si>
  <si>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</si>
  <si>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</si>
  <si>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</si>
  <si>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</si>
  <si>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</si>
  <si>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</si>
  <si>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</si>
  <si>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</si>
  <si>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</si>
  <si>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</si>
  <si>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</si>
  <si>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</si>
  <si>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</si>
  <si>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</si>
  <si>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</si>
  <si>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</si>
  <si>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</si>
  <si>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</si>
  <si>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</si>
  <si>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</si>
  <si>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</si>
  <si>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</si>
  <si>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</si>
  <si>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</si>
  <si>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</si>
  <si>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</si>
  <si>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</si>
  <si>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</si>
  <si>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</si>
  <si>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</si>
  <si>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</si>
  <si>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</si>
  <si>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</si>
  <si>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</si>
  <si>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</si>
  <si>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</si>
  <si>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</si>
  <si>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</si>
  <si>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</si>
  <si>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</si>
  <si>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</si>
  <si>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</si>
  <si>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</si>
  <si>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</si>
  <si>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</si>
  <si>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</si>
  <si>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</si>
  <si>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</si>
  <si>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</si>
  <si>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</si>
  <si>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</si>
  <si>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</si>
  <si>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</si>
  <si>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</si>
  <si>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</si>
  <si>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</si>
  <si>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</si>
  <si>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</si>
  <si>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</si>
  <si>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</si>
  <si>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</si>
  <si>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</si>
  <si>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</si>
  <si>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</si>
  <si>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</si>
  <si>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</si>
  <si>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</si>
  <si>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</si>
  <si>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</si>
  <si>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</si>
  <si>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</si>
  <si>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</si>
  <si>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</si>
  <si>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</si>
  <si>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</si>
  <si>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</si>
  <si>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</si>
  <si>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</si>
  <si>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</si>
  <si>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</si>
  <si>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</si>
  <si>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</si>
  <si>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</si>
  <si>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</si>
  <si>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</si>
  <si>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</si>
  <si>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</si>
  <si>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</si>
  <si>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</si>
  <si>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</si>
  <si>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</si>
  <si>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</si>
  <si>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</si>
  <si>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</si>
  <si>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</si>
  <si>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</si>
  <si>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</si>
  <si>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</si>
  <si>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</si>
  <si>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</si>
  <si>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</si>
  <si>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</si>
  <si>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</si>
  <si>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</si>
  <si>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</si>
  <si>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</si>
  <si>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</si>
  <si>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</si>
  <si>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</si>
  <si>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</si>
  <si>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</si>
  <si>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</si>
  <si>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</si>
  <si>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</si>
  <si>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</si>
  <si>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</si>
  <si>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</si>
  <si>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</si>
  <si>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</si>
  <si>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</si>
  <si>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</si>
  <si>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</si>
  <si>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</si>
  <si>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</si>
  <si>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</si>
  <si>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</si>
  <si>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</si>
  <si>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</si>
  <si>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</si>
  <si>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</si>
  <si>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</si>
  <si>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</si>
  <si>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</si>
  <si>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</si>
  <si>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</si>
  <si>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</si>
  <si>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</si>
  <si>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</si>
  <si>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</si>
  <si>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</si>
  <si>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</si>
  <si>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</si>
  <si>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</si>
  <si>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</si>
  <si>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</si>
  <si>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</si>
  <si>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</si>
  <si>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</si>
  <si>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</si>
  <si>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</si>
  <si>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</si>
  <si>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</si>
  <si>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</si>
  <si>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</si>
  <si>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</si>
  <si>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</si>
  <si>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</si>
  <si>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</si>
  <si>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</si>
  <si>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</si>
  <si>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</si>
  <si>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</si>
  <si>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</si>
  <si>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</si>
  <si>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</si>
  <si>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</si>
  <si>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</si>
  <si>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</si>
  <si>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</si>
  <si>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</si>
  <si>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</si>
  <si>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</si>
  <si>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</si>
  <si>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</si>
  <si>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</si>
  <si>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</si>
  <si>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</si>
  <si>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</si>
  <si>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</si>
  <si>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</si>
  <si>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</si>
  <si>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</si>
  <si>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</si>
  <si>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</si>
  <si>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</si>
  <si>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</si>
  <si>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</si>
  <si>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</si>
  <si>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</si>
  <si>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</si>
  <si>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</si>
  <si>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</si>
  <si>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</si>
  <si>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</si>
  <si>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</si>
  <si>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</si>
  <si>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</si>
  <si>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</si>
  <si>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</si>
  <si>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</si>
  <si>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</si>
  <si>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</si>
  <si>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</si>
  <si>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</si>
  <si>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</si>
  <si>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</si>
  <si>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</si>
  <si>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</si>
  <si>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</si>
  <si>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</si>
  <si>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</si>
  <si>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</si>
  <si>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</si>
  <si>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</si>
  <si>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</si>
  <si>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</si>
  <si>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</si>
  <si>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</si>
  <si>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</si>
  <si>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</si>
  <si>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</si>
  <si>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</si>
  <si>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</si>
  <si>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</si>
  <si>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</si>
  <si>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</si>
  <si>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</si>
  <si>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</si>
  <si>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</si>
  <si>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</si>
  <si>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</si>
  <si>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</si>
  <si>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</si>
  <si>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</si>
  <si>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</si>
  <si>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</si>
  <si>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</si>
  <si>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</si>
  <si>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</si>
  <si>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</si>
  <si>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</si>
  <si>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</si>
  <si>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</si>
  <si>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</si>
  <si>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</si>
  <si>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</si>
  <si>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</si>
  <si>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</si>
  <si>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</si>
  <si>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</si>
  <si>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</si>
  <si>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</si>
  <si>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</si>
  <si>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</si>
  <si>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</si>
  <si>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</si>
  <si>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</si>
  <si>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</si>
  <si>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</si>
  <si>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</si>
  <si>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</si>
  <si>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</si>
  <si>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</si>
  <si>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</si>
  <si>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</si>
  <si>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</si>
  <si>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</si>
  <si>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</si>
  <si>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</si>
  <si>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</si>
  <si>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</si>
  <si>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</si>
  <si>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</si>
  <si>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</si>
  <si>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</si>
  <si>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</si>
  <si>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</si>
  <si>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</si>
  <si>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</si>
  <si>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</si>
  <si>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</si>
  <si>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</si>
  <si>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</si>
  <si>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</si>
  <si>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</si>
  <si>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</si>
  <si>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</si>
  <si>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</si>
  <si>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</si>
  <si>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</si>
  <si>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</si>
  <si>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</si>
  <si>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</si>
  <si>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</si>
  <si>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</si>
  <si>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</si>
  <si>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</si>
  <si>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</si>
  <si>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</si>
  <si>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</si>
  <si>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</si>
  <si>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</si>
  <si>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</si>
  <si>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</si>
  <si>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</si>
  <si>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</si>
  <si>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</si>
  <si>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</si>
  <si>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</si>
  <si>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</si>
  <si>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</si>
  <si>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</si>
  <si>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</si>
  <si>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</si>
  <si>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</si>
  <si>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</si>
  <si>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</si>
  <si>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</si>
  <si>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</si>
  <si>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</si>
  <si>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</si>
  <si>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</si>
  <si>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</si>
  <si>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</si>
  <si>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</si>
  <si>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</si>
  <si>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</si>
  <si>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</si>
  <si>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</si>
  <si>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</si>
  <si>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</si>
  <si>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</si>
  <si>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</si>
  <si>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</si>
  <si>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</si>
  <si>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</si>
  <si>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</si>
  <si>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</si>
  <si>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</si>
  <si>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</si>
  <si>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</si>
  <si>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</si>
  <si>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</si>
  <si>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</si>
  <si>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</si>
  <si>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</si>
  <si>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</si>
  <si>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</si>
  <si>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</si>
  <si>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</si>
  <si>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</si>
  <si>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</si>
  <si>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</si>
  <si>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</si>
  <si>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</si>
  <si>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</si>
  <si>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</si>
  <si>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</si>
  <si>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</si>
  <si>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</si>
  <si>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</si>
  <si>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</si>
  <si>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</si>
  <si>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</si>
  <si>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</si>
  <si>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</si>
  <si>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</si>
  <si>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</si>
  <si>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</si>
  <si>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</si>
  <si>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</si>
  <si>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</si>
  <si>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</si>
  <si>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</si>
  <si>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</si>
  <si>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</si>
  <si>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</si>
  <si>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</si>
  <si>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</si>
  <si>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</si>
  <si>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</si>
  <si>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</si>
  <si>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</si>
  <si>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</si>
  <si>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</si>
  <si>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</si>
  <si>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</si>
  <si>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</si>
  <si>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</si>
  <si>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</si>
  <si>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</si>
  <si>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</si>
  <si>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</si>
  <si>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</si>
  <si>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</si>
  <si>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</si>
  <si>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</si>
  <si>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</si>
  <si>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</si>
  <si>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</si>
  <si>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</si>
  <si>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</si>
  <si>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</si>
  <si>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</si>
  <si>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</si>
  <si>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</si>
  <si>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</si>
  <si>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</si>
  <si>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</si>
  <si>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</si>
  <si>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</si>
  <si>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</si>
  <si>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</si>
  <si>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</si>
  <si>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</si>
  <si>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</si>
  <si>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</si>
  <si>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</si>
  <si>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</si>
  <si>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</si>
  <si>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</si>
  <si>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</si>
  <si>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</si>
  <si>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</si>
  <si>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</si>
  <si>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</si>
  <si>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</si>
  <si>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</si>
  <si>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</si>
  <si>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</si>
  <si>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</si>
  <si>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</si>
  <si>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</si>
  <si>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</si>
  <si>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</si>
  <si>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</si>
  <si>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</si>
  <si>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</si>
  <si>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</si>
  <si>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</si>
  <si>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</si>
  <si>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</si>
  <si>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</si>
  <si>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</si>
  <si>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</si>
  <si>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</si>
  <si>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</si>
  <si>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</si>
  <si>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</si>
  <si>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</si>
  <si>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</si>
  <si>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</si>
  <si>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</si>
  <si>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</si>
  <si>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</si>
  <si>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</si>
  <si>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</si>
  <si>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</si>
  <si>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</si>
  <si>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</si>
  <si>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</si>
  <si>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</si>
  <si>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</si>
  <si>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</si>
  <si>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</si>
  <si>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</si>
  <si>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</si>
  <si>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</si>
  <si>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</si>
  <si>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</si>
  <si>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</si>
  <si>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</si>
  <si>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</si>
  <si>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</si>
  <si>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</si>
  <si>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</si>
  <si>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</si>
  <si>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</si>
  <si>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</si>
  <si>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</si>
  <si>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</si>
  <si>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</si>
  <si>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</si>
  <si>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</si>
  <si>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</si>
  <si>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</si>
  <si>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</si>
  <si>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</si>
  <si>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</si>
  <si>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</si>
  <si>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</si>
  <si>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</si>
  <si>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</si>
  <si>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</si>
  <si>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</si>
  <si>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</si>
  <si>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</si>
  <si>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</si>
  <si>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</si>
  <si>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</si>
  <si>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</si>
  <si>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</si>
  <si>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</si>
  <si>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</si>
  <si>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</si>
  <si>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</si>
  <si>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</si>
  <si>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</si>
  <si>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</si>
  <si>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</si>
  <si>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</si>
  <si>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</si>
  <si>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</si>
  <si>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</si>
  <si>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</si>
  <si>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</si>
  <si>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</si>
  <si>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</si>
  <si>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</si>
  <si>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</si>
  <si>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</si>
  <si>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</si>
  <si>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</si>
  <si>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</si>
  <si>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</si>
  <si>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</si>
  <si>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</si>
  <si>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</si>
  <si>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</si>
  <si>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</si>
  <si>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</si>
  <si>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</si>
  <si>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</si>
  <si>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</si>
  <si>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</si>
  <si>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</si>
  <si>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</si>
  <si>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</si>
  <si>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</si>
  <si>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</si>
  <si>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</si>
  <si>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</si>
  <si>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</si>
  <si>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</si>
  <si>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</si>
  <si>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</si>
  <si>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</si>
  <si>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</si>
  <si>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</si>
  <si>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</si>
  <si>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</si>
  <si>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</si>
  <si>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</si>
  <si>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</si>
  <si>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</si>
  <si>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</si>
  <si>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</si>
  <si>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</si>
  <si>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</si>
  <si>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</si>
  <si>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</si>
  <si>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</si>
  <si>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</si>
  <si>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</si>
  <si>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</si>
  <si>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</si>
  <si>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</si>
  <si>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</si>
  <si>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</si>
  <si>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</si>
  <si>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</si>
  <si>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</si>
  <si>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</si>
  <si>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</si>
  <si>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</si>
  <si>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</si>
  <si>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</si>
  <si>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</si>
  <si>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</si>
  <si>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</si>
  <si>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</si>
  <si>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</si>
  <si>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</si>
  <si>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</si>
  <si>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</si>
  <si>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</si>
  <si>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</si>
  <si>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</si>
  <si>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</si>
  <si>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</si>
  <si>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</si>
  <si>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</si>
  <si>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</si>
  <si>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</si>
  <si>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</si>
  <si>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</si>
  <si>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</si>
  <si>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</si>
  <si>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</si>
  <si>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</si>
  <si>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</si>
  <si>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</si>
  <si>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</si>
  <si>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</si>
  <si>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</si>
  <si>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</si>
  <si>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</si>
  <si>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</si>
  <si>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</si>
  <si>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</si>
  <si>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</si>
  <si>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</si>
  <si>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</si>
  <si>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</si>
  <si>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</si>
  <si>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</si>
  <si>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</si>
  <si>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</si>
  <si>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</si>
  <si>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</si>
  <si>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</si>
  <si>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</si>
  <si>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</si>
  <si>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</si>
  <si>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</si>
  <si>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</si>
  <si>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</si>
  <si>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</si>
  <si>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</si>
  <si>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</si>
  <si>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</si>
  <si>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</si>
  <si>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</si>
  <si>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</si>
  <si>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</si>
  <si>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</si>
  <si>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</si>
  <si>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</si>
  <si>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</si>
  <si>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</si>
  <si>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</si>
  <si>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</si>
  <si>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</si>
  <si>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</si>
  <si>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</si>
  <si>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</si>
  <si>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</si>
  <si>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</si>
  <si>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</si>
  <si>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</si>
  <si>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</si>
  <si>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</si>
  <si>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</si>
  <si>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</si>
  <si>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</si>
  <si>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</si>
  <si>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</si>
  <si>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</si>
  <si>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</si>
  <si>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</si>
  <si>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</si>
  <si>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</si>
  <si>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</si>
  <si>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</si>
  <si>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</si>
  <si>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</si>
  <si>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</si>
  <si>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</si>
  <si>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</si>
  <si>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</si>
  <si>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</si>
  <si>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</si>
  <si>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</si>
  <si>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</si>
  <si>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</si>
  <si>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</si>
  <si>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</si>
  <si>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</si>
  <si>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</si>
  <si>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</si>
  <si>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</si>
  <si>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</si>
  <si>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</si>
  <si>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</si>
  <si>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</si>
  <si>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</si>
  <si>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</si>
  <si>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</si>
  <si>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</si>
  <si>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</si>
  <si>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</si>
  <si>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</si>
  <si>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</si>
  <si>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</si>
  <si>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</si>
  <si>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</si>
  <si>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</si>
  <si>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</si>
  <si>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</si>
  <si>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</si>
  <si>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</si>
  <si>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</si>
  <si>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</si>
  <si>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</si>
  <si>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</si>
  <si>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</si>
  <si>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</si>
  <si>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</si>
  <si>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</si>
  <si>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</si>
  <si>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</si>
  <si>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</si>
  <si>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</si>
  <si>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</si>
  <si>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</si>
  <si>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</si>
  <si>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</si>
  <si>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</si>
  <si>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</si>
  <si>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</si>
  <si>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</si>
  <si>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</si>
  <si>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</si>
  <si>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</si>
  <si>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</si>
  <si>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</si>
  <si>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</si>
  <si>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</si>
  <si>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</si>
  <si>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</si>
  <si>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</si>
  <si>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</si>
  <si>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</si>
  <si>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</si>
  <si>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</si>
  <si>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</si>
  <si>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</si>
  <si>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</si>
  <si>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</si>
  <si>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</si>
  <si>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</si>
  <si>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</si>
  <si>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</si>
  <si>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</si>
  <si>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</si>
  <si>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</si>
  <si>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</si>
  <si>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</si>
  <si>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</si>
  <si>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</si>
  <si>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</si>
  <si>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</si>
  <si>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</si>
  <si>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</si>
  <si>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</si>
  <si>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</si>
  <si>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</si>
  <si>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</si>
  <si>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</si>
  <si>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</si>
  <si>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</si>
  <si>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</si>
  <si>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</si>
  <si>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</si>
  <si>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</si>
  <si>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</si>
  <si>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</si>
  <si>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</si>
  <si>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</si>
  <si>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</si>
  <si>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</si>
  <si>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</si>
  <si>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</si>
  <si>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</si>
  <si>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</si>
  <si>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</si>
  <si>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</si>
  <si>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</si>
  <si>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</si>
  <si>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</si>
  <si>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</si>
  <si>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</si>
  <si>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</si>
  <si>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</si>
  <si>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</si>
  <si>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</si>
  <si>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</si>
  <si>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</si>
  <si>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</si>
  <si>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</si>
  <si>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</si>
  <si>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</si>
  <si>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</si>
  <si>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</si>
  <si>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</si>
  <si>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</si>
  <si>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</si>
  <si>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</si>
  <si>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</si>
  <si>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</si>
  <si>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</si>
  <si>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</si>
  <si>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</si>
  <si>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</si>
  <si>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</si>
  <si>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</si>
  <si>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</si>
  <si>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</si>
  <si>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</si>
  <si>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40004-017-01 (Zinc) | 12 - 15 µm</t>
  </si>
  <si>
    <t>40004-017-01 (Zinc) | 15 - 20 µm</t>
  </si>
  <si>
    <t>40004-017-01 (Zinc) | 2.5 - 5 µm</t>
  </si>
  <si>
    <t>40004-017-01 (Zinc) | 5 - 8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</si>
  <si>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</si>
  <si>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</si>
  <si>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</si>
  <si>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</si>
  <si>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</si>
  <si>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</si>
  <si>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</si>
  <si>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</si>
  <si>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</si>
  <si>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</si>
  <si>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80065-DS-004 (Plata) | 7.26 - 9.26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</si>
  <si>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</si>
  <si>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</si>
  <si>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</si>
  <si>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</si>
  <si>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</si>
  <si>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</si>
  <si>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</si>
  <si>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</si>
  <si>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</si>
  <si>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</si>
  <si>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</si>
  <si>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</si>
  <si>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</si>
  <si>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</si>
  <si>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</si>
  <si>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</si>
  <si>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</si>
  <si>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</si>
  <si>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</si>
  <si>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</si>
  <si>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</si>
  <si>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</si>
  <si>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</si>
  <si>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</si>
  <si>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</si>
  <si>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</si>
  <si>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DS258-103-00 (Estaño) | 5.08 - 10.0 µm</t>
  </si>
  <si>
    <t>E27551 (Plata) | 5.08 - 12 µm</t>
  </si>
  <si>
    <t>E27780 (Epóxico MT) | 50 - 100 mils</t>
  </si>
  <si>
    <t>ES-000101 (Epóxico MT Rojo) | 20 - 60 mils</t>
  </si>
  <si>
    <t>ES-000101 (Epóxico MT Rojo) | 30 - 40 mils</t>
  </si>
  <si>
    <t>F4383 (Estaño) | 7.62 - 25.4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</si>
  <si>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</si>
  <si>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</si>
  <si>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</si>
  <si>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</si>
  <si>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</si>
  <si>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</si>
  <si>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</si>
  <si>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</si>
  <si>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</si>
  <si>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</si>
  <si>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</si>
  <si>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</si>
  <si>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</si>
  <si>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</si>
  <si>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</si>
  <si>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</si>
  <si>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</si>
  <si>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</si>
  <si>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</si>
  <si>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</si>
  <si>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</si>
  <si>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</si>
  <si>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5 - 8 µm</t>
  </si>
  <si>
    <t>GG QTLV 5115 (Níquel Sulfamato) | 5 - 15 µm</t>
  </si>
  <si>
    <t>KDS-258-107 (Estaño) | 2.5 - 5 µm</t>
  </si>
  <si>
    <t>MS-S1053 (Fosfato de Manganeso - Medición de Grano) | 5 - 11 µm</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</si>
  <si>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</si>
  <si>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</si>
  <si>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</si>
  <si>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</si>
  <si>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</si>
  <si>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</si>
  <si>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</si>
  <si>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</si>
  <si>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</si>
  <si>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</si>
  <si>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</si>
  <si>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</si>
  <si>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</si>
  <si>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</si>
  <si>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</si>
  <si>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</si>
  <si>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</si>
  <si>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</si>
  <si>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</si>
  <si>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</si>
  <si>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</si>
  <si>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</si>
  <si>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</si>
  <si>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</si>
  <si>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</si>
  <si>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</si>
  <si>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</si>
  <si>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</si>
  <si>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</si>
  <si>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</si>
  <si>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</si>
  <si>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</si>
  <si>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</si>
  <si>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</si>
  <si>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</si>
  <si>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</si>
  <si>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</si>
  <si>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</si>
  <si>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</si>
  <si>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</si>
  <si>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</si>
  <si>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</si>
  <si>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</si>
  <si>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</si>
  <si>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</si>
  <si>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</si>
  <si>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</si>
  <si>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</si>
  <si>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</si>
  <si>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</si>
  <si>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</si>
  <si>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</si>
  <si>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</si>
  <si>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</si>
  <si>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</si>
  <si>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</si>
  <si>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</si>
  <si>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</si>
  <si>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</si>
  <si>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</si>
  <si>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</si>
  <si>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</si>
  <si>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</si>
  <si>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</si>
  <si>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</si>
  <si>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</si>
  <si>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</si>
  <si>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</si>
  <si>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</si>
  <si>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</si>
  <si>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</si>
  <si>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</si>
  <si>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</si>
  <si>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</si>
  <si>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</si>
  <si>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</si>
  <si>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</si>
  <si>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</si>
  <si>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</si>
  <si>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</si>
  <si>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</si>
  <si>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</si>
  <si>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</si>
  <si>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</si>
  <si>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</si>
  <si>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</si>
  <si>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</si>
  <si>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</si>
  <si>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</si>
  <si>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</si>
  <si>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</si>
  <si>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</si>
  <si>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</si>
  <si>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</si>
  <si>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</si>
  <si>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</si>
  <si>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</si>
  <si>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</si>
  <si>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</si>
  <si>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</si>
  <si>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</si>
  <si>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</si>
  <si>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</si>
  <si>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</si>
  <si>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</si>
  <si>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</si>
  <si>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</si>
  <si>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</si>
  <si>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</si>
  <si>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</si>
  <si>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</si>
  <si>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</si>
  <si>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</si>
  <si>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</si>
  <si>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</si>
  <si>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</si>
  <si>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</si>
  <si>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</si>
  <si>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</si>
  <si>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</si>
  <si>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</si>
  <si>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</si>
  <si>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</si>
  <si>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</si>
  <si>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</si>
  <si>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</si>
  <si>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</si>
  <si>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</si>
  <si>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</si>
  <si>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</si>
  <si>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</si>
  <si>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</si>
  <si>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</si>
  <si>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</si>
  <si>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</si>
  <si>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</si>
  <si>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</si>
  <si>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</si>
  <si>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</si>
  <si>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</si>
  <si>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</si>
  <si>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</si>
  <si>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</si>
  <si>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</si>
  <si>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</si>
  <si>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</si>
  <si>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</si>
  <si>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</si>
  <si>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</si>
  <si>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</si>
  <si>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</si>
  <si>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</si>
  <si>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</si>
  <si>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</si>
  <si>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</si>
  <si>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</si>
  <si>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</si>
  <si>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</si>
  <si>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</si>
  <si>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</si>
  <si>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</si>
  <si>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</si>
  <si>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</si>
  <si>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</si>
  <si>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</si>
  <si>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</si>
  <si>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</si>
  <si>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</si>
  <si>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</si>
  <si>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</si>
  <si>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</si>
  <si>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</si>
  <si>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</si>
  <si>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</si>
  <si>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</si>
  <si>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</si>
  <si>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</si>
  <si>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</si>
  <si>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</si>
  <si>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</si>
  <si>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</si>
  <si>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</si>
  <si>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</si>
  <si>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</si>
  <si>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</si>
  <si>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</si>
  <si>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</si>
  <si>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</si>
  <si>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</si>
  <si>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</si>
  <si>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</si>
  <si>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</si>
  <si>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</si>
  <si>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</si>
  <si>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</si>
  <si>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</si>
  <si>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</si>
  <si>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</si>
  <si>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</si>
  <si>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</si>
  <si>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</si>
  <si>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</si>
  <si>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</si>
  <si>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</si>
  <si>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</si>
  <si>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</si>
  <si>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</si>
  <si>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</si>
  <si>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</si>
  <si>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</si>
  <si>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</si>
  <si>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</si>
  <si>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</si>
  <si>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</si>
  <si>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</si>
  <si>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</si>
  <si>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</si>
  <si>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</si>
  <si>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</si>
  <si>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</si>
  <si>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</si>
  <si>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</si>
  <si>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</si>
  <si>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</si>
  <si>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</si>
  <si>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</si>
  <si>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</si>
  <si>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</si>
  <si>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</si>
  <si>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</si>
  <si>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</si>
  <si>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</si>
  <si>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</si>
  <si>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</si>
  <si>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</si>
  <si>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</si>
  <si>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</si>
  <si>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</si>
  <si>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</si>
  <si>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</si>
  <si>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</si>
  <si>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</si>
  <si>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</si>
  <si>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</si>
  <si>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</si>
  <si>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</si>
  <si>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</si>
  <si>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</si>
  <si>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</si>
  <si>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</si>
  <si>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</si>
  <si>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</si>
  <si>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</si>
  <si>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</si>
  <si>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</si>
  <si>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</si>
  <si>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</si>
  <si>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</si>
  <si>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</si>
  <si>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</si>
  <si>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</si>
  <si>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</si>
  <si>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</si>
  <si>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</si>
  <si>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</si>
  <si>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</si>
  <si>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</si>
  <si>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</si>
  <si>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</si>
  <si>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</si>
  <si>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</si>
  <si>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</si>
  <si>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</si>
  <si>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</si>
  <si>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</si>
  <si>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</si>
  <si>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</si>
  <si>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</si>
  <si>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</si>
  <si>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</si>
  <si>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</si>
  <si>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</si>
  <si>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</si>
  <si>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</si>
  <si>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</si>
  <si>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</si>
  <si>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</si>
  <si>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</si>
  <si>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</si>
  <si>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</si>
  <si>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</si>
  <si>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</si>
  <si>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</si>
  <si>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</si>
  <si>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</si>
  <si>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</si>
  <si>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</si>
  <si>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</si>
  <si>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</si>
  <si>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</si>
  <si>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</si>
  <si>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</si>
  <si>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</si>
  <si>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</si>
  <si>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</si>
  <si>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</si>
  <si>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</si>
  <si>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</si>
  <si>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</si>
  <si>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</si>
  <si>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</si>
  <si>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</si>
  <si>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</si>
  <si>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</si>
  <si>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</si>
  <si>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</si>
  <si>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</si>
  <si>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</si>
  <si>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</si>
  <si>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</si>
  <si>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</si>
  <si>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</si>
  <si>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</si>
  <si>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</si>
  <si>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</si>
  <si>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</si>
  <si>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</si>
  <si>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</si>
  <si>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</si>
  <si>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</si>
  <si>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</si>
  <si>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</si>
  <si>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</si>
  <si>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</si>
  <si>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</si>
  <si>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</si>
  <si>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</si>
  <si>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</si>
  <si>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</si>
  <si>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</si>
  <si>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</si>
  <si>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</si>
  <si>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</si>
  <si>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</si>
  <si>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</si>
  <si>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</si>
  <si>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</si>
  <si>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</si>
  <si>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</si>
  <si>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</si>
  <si>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</si>
  <si>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</si>
  <si>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</si>
  <si>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</si>
  <si>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</si>
  <si>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</si>
  <si>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</si>
  <si>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</si>
  <si>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</si>
  <si>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</si>
  <si>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</si>
  <si>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</si>
  <si>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</si>
  <si>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</si>
  <si>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</si>
  <si>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</si>
  <si>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</si>
  <si>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</si>
  <si>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</si>
  <si>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</si>
  <si>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</si>
  <si>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</si>
  <si>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</si>
  <si>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</si>
  <si>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</si>
  <si>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</si>
  <si>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</si>
  <si>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</si>
  <si>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</si>
  <si>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</si>
  <si>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</si>
  <si>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</si>
  <si>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</si>
  <si>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</si>
  <si>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</si>
  <si>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</si>
  <si>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</si>
  <si>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</si>
  <si>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</si>
  <si>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</si>
  <si>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</si>
  <si>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</si>
  <si>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</si>
  <si>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</si>
  <si>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</si>
  <si>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</si>
  <si>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</si>
  <si>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</si>
  <si>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</si>
  <si>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</si>
  <si>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</si>
  <si>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</si>
  <si>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</si>
  <si>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</si>
  <si>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</si>
  <si>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</si>
  <si>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</si>
  <si>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</si>
  <si>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</si>
  <si>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</si>
  <si>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</si>
  <si>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</si>
  <si>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</si>
  <si>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</si>
  <si>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</si>
  <si>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</si>
  <si>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</si>
  <si>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</si>
  <si>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</si>
  <si>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</si>
  <si>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</si>
  <si>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</si>
  <si>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</si>
  <si>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</si>
  <si>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</si>
  <si>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</si>
  <si>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</si>
  <si>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</si>
  <si>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</si>
  <si>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</si>
  <si>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</si>
  <si>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</si>
  <si>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</si>
  <si>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</si>
  <si>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</si>
  <si>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</si>
  <si>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</si>
  <si>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</si>
  <si>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</si>
  <si>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</si>
  <si>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</si>
  <si>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</si>
  <si>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</si>
  <si>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</si>
  <si>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</si>
  <si>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</si>
  <si>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</si>
  <si>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</si>
  <si>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</si>
  <si>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</si>
  <si>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</si>
  <si>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</si>
  <si>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</si>
  <si>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</si>
  <si>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</si>
  <si>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</si>
  <si>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</si>
  <si>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</si>
  <si>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</si>
  <si>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</si>
  <si>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</si>
  <si>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</si>
  <si>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</si>
  <si>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</si>
  <si>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</si>
  <si>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</si>
  <si>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</si>
  <si>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</si>
  <si>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</si>
  <si>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</si>
  <si>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</si>
  <si>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</si>
  <si>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</si>
  <si>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</si>
  <si>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</si>
  <si>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</si>
  <si>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</si>
  <si>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</si>
  <si>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</si>
  <si>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</si>
  <si>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</si>
  <si>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</si>
  <si>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</si>
  <si>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</si>
  <si>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</si>
  <si>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</si>
  <si>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</si>
  <si>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</si>
  <si>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</si>
  <si>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</si>
  <si>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</si>
  <si>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</si>
  <si>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</si>
  <si>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</si>
  <si>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</si>
  <si>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</si>
  <si>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</si>
  <si>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</si>
  <si>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</si>
  <si>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</si>
  <si>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</si>
  <si>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</si>
  <si>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</si>
  <si>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</si>
  <si>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</si>
  <si>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</si>
  <si>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</si>
  <si>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</si>
  <si>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</si>
  <si>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</si>
  <si>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</si>
  <si>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</si>
  <si>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</si>
  <si>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</si>
  <si>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</si>
  <si>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</si>
  <si>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</si>
  <si>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</si>
  <si>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</si>
  <si>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</si>
  <si>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</si>
  <si>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</si>
  <si>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</si>
  <si>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</si>
  <si>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</si>
  <si>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</si>
  <si>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</si>
  <si>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</si>
  <si>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</si>
  <si>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</si>
  <si>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</si>
  <si>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</si>
  <si>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</si>
  <si>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</si>
  <si>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</si>
  <si>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</si>
  <si>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</si>
  <si>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</si>
  <si>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</si>
  <si>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</si>
  <si>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</si>
  <si>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</si>
  <si>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</si>
  <si>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</si>
  <si>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</si>
  <si>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</si>
  <si>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</si>
  <si>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</si>
  <si>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</si>
  <si>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</si>
  <si>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</si>
  <si>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</si>
  <si>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</si>
  <si>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Carga Masiva Steelhead v12</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</si>
  <si>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</si>
  <si>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</si>
  <si>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</si>
  <si>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</si>
  <si>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</si>
  <si>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</si>
  <si>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</si>
  <si>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</si>
  <si>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</si>
  <si>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</si>
  <si>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</si>
  <si>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</si>
  <si>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</si>
  <si>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</si>
  <si>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</si>
  <si>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</si>
  <si>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</si>
  <si>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</si>
  <si>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</si>
  <si>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</si>
  <si>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</si>
  <si>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</si>
  <si>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</si>
  <si>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</si>
  <si>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</si>
  <si>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</si>
  <si>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</si>
  <si>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</si>
  <si>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</si>
  <si>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</si>
  <si>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</si>
  <si>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</si>
  <si>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</si>
  <si>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</si>
  <si>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</si>
  <si>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</si>
  <si>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</si>
  <si>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</si>
  <si>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</si>
  <si>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</si>
  <si>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</si>
  <si>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</si>
  <si>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</si>
  <si>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</si>
  <si>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</si>
  <si>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</si>
  <si>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</si>
  <si>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</si>
  <si>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</si>
  <si>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</si>
  <si>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</si>
  <si>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</si>
  <si>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</si>
  <si>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</si>
  <si>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</si>
  <si>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</si>
  <si>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</si>
  <si>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</si>
  <si>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</si>
  <si>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</si>
  <si>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</si>
  <si>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</si>
  <si>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</si>
  <si>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</si>
  <si>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</si>
  <si>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</si>
  <si>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</si>
  <si>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</si>
  <si>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</si>
  <si>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</si>
  <si>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</si>
  <si>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</si>
  <si>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</si>
  <si>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</si>
  <si>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</si>
  <si>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</si>
  <si>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</si>
  <si>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</si>
  <si>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</si>
  <si>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</si>
  <si>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</si>
  <si>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80065-DS-008 (Plata) | 7.62 - 9.5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</si>
  <si>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</si>
  <si>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</si>
  <si>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</si>
  <si>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</si>
  <si>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</si>
  <si>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</si>
  <si>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</si>
  <si>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</si>
  <si>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</si>
  <si>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</si>
  <si>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</si>
  <si>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</si>
  <si>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</si>
  <si>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</si>
  <si>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</si>
  <si>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</si>
  <si>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</si>
  <si>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</si>
  <si>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</si>
  <si>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</si>
  <si>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</si>
  <si>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</si>
  <si>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</si>
  <si>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</si>
  <si>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</si>
  <si>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</si>
  <si>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</si>
  <si>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</si>
  <si>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</si>
  <si>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</si>
  <si>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</si>
  <si>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</si>
  <si>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</si>
  <si>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</si>
  <si>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</si>
  <si>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</si>
  <si>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</si>
  <si>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</si>
  <si>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</si>
  <si>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</si>
  <si>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</si>
  <si>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</si>
  <si>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</si>
  <si>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</si>
  <si>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</si>
  <si>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</si>
  <si>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</si>
  <si>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</si>
  <si>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</si>
  <si>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</si>
  <si>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</si>
  <si>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</si>
  <si>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</si>
  <si>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</si>
  <si>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</si>
  <si>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</si>
  <si>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</si>
  <si>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</si>
  <si>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</si>
  <si>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</si>
  <si>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</si>
  <si>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</si>
  <si>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</si>
  <si>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</si>
  <si>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</si>
  <si>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</si>
  <si>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</si>
  <si>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</si>
  <si>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</si>
  <si>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</si>
  <si>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</si>
  <si>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</si>
  <si>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</si>
  <si>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</si>
  <si>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</si>
  <si>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</si>
  <si>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</si>
  <si>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</si>
  <si>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</si>
  <si>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</si>
  <si>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</si>
  <si>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</si>
  <si>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</si>
  <si>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</si>
  <si>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</si>
  <si>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</si>
  <si>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</si>
  <si>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</si>
  <si>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</si>
  <si>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</si>
  <si>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</si>
  <si>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</si>
  <si>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</si>
  <si>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</si>
  <si>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</si>
  <si>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</si>
  <si>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</si>
  <si>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</si>
  <si>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</si>
  <si>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</si>
  <si>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</si>
  <si>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</si>
  <si>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</si>
  <si>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</si>
  <si>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</si>
  <si>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</si>
  <si>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</si>
  <si>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</si>
  <si>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</si>
  <si>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</si>
  <si>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</si>
  <si>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</si>
  <si>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</si>
  <si>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</si>
  <si>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</si>
  <si>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</si>
  <si>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</si>
  <si>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</si>
  <si>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</si>
  <si>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</si>
  <si>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</si>
  <si>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</si>
  <si>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</si>
  <si>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</si>
  <si>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</si>
  <si>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</si>
  <si>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</si>
  <si>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</si>
  <si>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</si>
  <si>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</si>
  <si>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</si>
  <si>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</si>
  <si>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</si>
  <si>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</si>
  <si>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</si>
  <si>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</si>
  <si>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</si>
  <si>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</si>
  <si>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</si>
  <si>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Epoxico Mt 80 -100 µm</t>
  </si>
  <si>
    <t>Estaño Brillante</t>
  </si>
  <si>
    <t>Plata Alto Espesor</t>
  </si>
  <si>
    <t>Proyecto declinado</t>
  </si>
  <si>
    <t>40004-017-01 (Zinc) | 4.5 - 5.5 µm</t>
  </si>
  <si>
    <t>40004-017-01 (Zinc) | 8 - 15 µm</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</si>
  <si>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</si>
  <si>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</si>
  <si>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</si>
  <si>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</si>
  <si>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</si>
  <si>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</si>
  <si>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F70H2 (Plata Mate) | 0.3-0.8 µm</t>
  </si>
  <si>
    <t>FTR00047 (Plata) | 2 - 4.5 µm</t>
  </si>
  <si>
    <t>NNZ3703201 (Epóxico MT 80 -100 µm) | 80 - 100 mils</t>
  </si>
  <si>
    <t>RC Ag (Plata) | 2.0-3.0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</si>
  <si>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</si>
  <si>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</si>
  <si>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</si>
  <si>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</si>
  <si>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</si>
  <si>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</si>
  <si>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</si>
  <si>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</si>
  <si>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</si>
  <si>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</si>
  <si>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</si>
  <si>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</si>
  <si>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</si>
  <si>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</si>
  <si>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</si>
  <si>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</si>
  <si>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</si>
  <si>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</si>
  <si>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</si>
  <si>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</si>
  <si>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</si>
  <si>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</si>
  <si>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</si>
  <si>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</si>
  <si>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</si>
  <si>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</si>
  <si>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</si>
  <si>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</si>
  <si>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</si>
  <si>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</si>
  <si>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</si>
  <si>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</si>
  <si>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</si>
  <si>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</si>
  <si>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</si>
  <si>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</si>
  <si>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</si>
  <si>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</si>
  <si>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</si>
  <si>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</si>
  <si>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</si>
  <si>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</si>
  <si>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SOLO_PN</t>
  </si>
  <si>
    <t>T103 (CRD)-T103 (LMA)-AC-VEEBALL (11.0)</t>
  </si>
  <si>
    <t>T401 (ENM)-T103 (CRD)-T401 (DNM)-T100 (FIB)-FE/AC/INOX-CAGES (11.0)</t>
  </si>
  <si>
    <t>281m,</t>
  </si>
  <si>
    <t>40004-017-01 (Zinc) | 8 - 12 µm</t>
  </si>
  <si>
    <t>48957-014-01 (Níquel Electroless) | 2.5 - 7.6 µm</t>
  </si>
  <si>
    <t>80065-DS-005 (Plata Flash) | 0.076 - 0.203 µm</t>
  </si>
  <si>
    <t>BURNDY DI-EI-01/81 (Estaño) | 8 - 12 µm</t>
  </si>
  <si>
    <t>F70F2 (Estaño Mate) | 10 - 13 µm | 2.54 - 5.08 µm</t>
  </si>
  <si>
    <t>RC Sn (Estaño) | 2.5 - 6.4 µm</t>
  </si>
  <si>
    <t>RC Zn (Zinc) | 3 - 6 µm</t>
  </si>
  <si>
    <t>RC Zn (Zinc) | 8 - 10 µm</t>
  </si>
  <si>
    <t>Nestor Lopéz Iglesias</t>
  </si>
  <si>
    <t>OLD_BRAYAN NOE PICHARDO FRIAS</t>
  </si>
  <si>
    <t>TEST BLANKET</t>
  </si>
  <si>
    <t>281m</t>
  </si>
  <si>
    <t>40004-014-01 (Cobre - Estaño) | 5 - 10 µm | Pendiente</t>
  </si>
  <si>
    <t>40004-015-01 (Cobre - Estaño) | 5.08 - 10.0 µm | Pendiente</t>
  </si>
  <si>
    <t>40004-015-01 (Cobre - Estaño) | 5.08 - 8.0 µm | Pendiente</t>
  </si>
  <si>
    <t>40004-022-01 (Cobre - Estaño) | 5.08 - 7.54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</si>
  <si>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</si>
  <si>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</si>
  <si>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</si>
  <si>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</si>
  <si>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</si>
  <si>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</si>
  <si>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</si>
  <si>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</si>
  <si>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</si>
  <si>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</si>
  <si>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</si>
  <si>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80065-DS-002 (Cobre - Estaño) | 5.08 - 8.89 µm</t>
  </si>
  <si>
    <t>DYM Pendiente (Deshidrogenado) | 130 - 150 °C | &gt;= 5 hrs.</t>
  </si>
  <si>
    <t>F50HD3S (Deshidrogenado) | 115 - 121 °C | &gt;= 6 hrs.</t>
  </si>
  <si>
    <t>F50KD12 | 0.254 - 2.5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</si>
  <si>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</si>
  <si>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</si>
  <si>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</si>
  <si>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</si>
  <si>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</si>
  <si>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</si>
  <si>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</si>
  <si>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</si>
  <si>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</si>
  <si>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</si>
  <si>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</si>
  <si>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</si>
  <si>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GG QTLV 5120.06 (Níquel Sulfamato - Estaño) | 1 - 5 µm</t>
  </si>
  <si>
    <t>GG QTLV 5120.06 (Níquel Sulfamato - Estaño) | 2.5 - 7.6 µm</t>
  </si>
  <si>
    <t>GG QTLV 5120.06 (Níquel Sulfamato - Estaño) | 8 - 15 µm</t>
  </si>
  <si>
    <t>MIL-DTL-16232G (Deshidrogenado) | 98 - 107 °C | &gt;= 8 hrs.</t>
  </si>
  <si>
    <t>RC Ag (Plata) | 1.27 - 2.5 µm</t>
  </si>
  <si>
    <t>RC Cámara Salina | 12 horas | 12 horas</t>
  </si>
  <si>
    <t>RC Cámara Salina | 12 horas | 120 horas</t>
  </si>
  <si>
    <t>RC Cámara Salina | 12 horas | 144 horas</t>
  </si>
  <si>
    <t>RC Cámara Salina | 12 horas | 16 horas</t>
  </si>
  <si>
    <t>RC Cámara Salina | 12 horas | 172 horas</t>
  </si>
  <si>
    <t>RC Cámara Salina | 12 horas | 200 horas</t>
  </si>
  <si>
    <t>RC Cámara Salina | 12 horas | 24 horas</t>
  </si>
  <si>
    <t>RC Cámara Salina | 12 horas | 240 horas</t>
  </si>
  <si>
    <t>RC Cámara Salina | 12 horas | 36 horas</t>
  </si>
  <si>
    <t>RC Cámara Salina | 12 horas | 360 horas</t>
  </si>
  <si>
    <t>RC Cámara Salina | 12 horas | 48 horas</t>
  </si>
  <si>
    <t>RC Cámara Salina | 12 horas | 480 horas</t>
  </si>
  <si>
    <t>RC Cámara Salina | 12 horas | 500 horas</t>
  </si>
  <si>
    <t>RC Cámara Salina | 12 horas | 72 horas</t>
  </si>
  <si>
    <t>RC Cámara Salina | 12 horas | 720 horas</t>
  </si>
  <si>
    <t>RC Cámara Salina | 12 horas | 96 horas</t>
  </si>
  <si>
    <t>RC Cámara Salina | 12 horas | 960 horas</t>
  </si>
  <si>
    <t>RC Cámara Salina | 120 horas | 12 horas</t>
  </si>
  <si>
    <t>RC Cámara Salina | 120 horas | 120 horas</t>
  </si>
  <si>
    <t>RC Cámara Salina | 120 horas | 144 horas</t>
  </si>
  <si>
    <t>RC Cámara Salina | 120 horas | 16 horas</t>
  </si>
  <si>
    <t>RC Cámara Salina | 120 horas | 172 horas</t>
  </si>
  <si>
    <t>RC Cámara Salina | 120 horas | 200 horas</t>
  </si>
  <si>
    <t>RC Cámara Salina | 120 horas | 24 horas</t>
  </si>
  <si>
    <t>RC Cámara Salina | 120 horas | 240 horas</t>
  </si>
  <si>
    <t>RC Cámara Salina | 120 horas | 36 horas</t>
  </si>
  <si>
    <t>RC Cámara Salina | 120 horas | 360 horas</t>
  </si>
  <si>
    <t>RC Cámara Salina | 120 horas | 48 horas</t>
  </si>
  <si>
    <t>RC Cámara Salina | 120 horas | 480 horas</t>
  </si>
  <si>
    <t>RC Cámara Salina | 120 horas | 500 horas</t>
  </si>
  <si>
    <t>RC Cámara Salina | 120 horas | 72 horas</t>
  </si>
  <si>
    <t>RC Cámara Salina | 120 horas | 720 horas</t>
  </si>
  <si>
    <t>RC Cámara Salina | 120 horas | 96 horas</t>
  </si>
  <si>
    <t>RC Cámara Salina | 120 horas | 960 horas</t>
  </si>
  <si>
    <t>RC Cámara Salina | 144 horas | 12 horas</t>
  </si>
  <si>
    <t>RC Cámara Salina | 144 horas | 120 horas</t>
  </si>
  <si>
    <t>RC Cámara Salina | 144 horas | 144 horas</t>
  </si>
  <si>
    <t>RC Cámara Salina | 144 horas | 16 horas</t>
  </si>
  <si>
    <t>RC Cámara Salina | 144 horas | 172 horas</t>
  </si>
  <si>
    <t>RC Cámara Salina | 144 horas | 200 horas</t>
  </si>
  <si>
    <t>RC Cámara Salina | 144 horas | 24 horas</t>
  </si>
  <si>
    <t>RC Cámara Salina | 144 horas | 240 horas</t>
  </si>
  <si>
    <t>RC Cámara Salina | 144 horas | 36 horas</t>
  </si>
  <si>
    <t>RC Cámara Salina | 144 horas | 360 horas</t>
  </si>
  <si>
    <t>RC Cámara Salina | 144 horas | 48 horas</t>
  </si>
  <si>
    <t>RC Cámara Salina | 144 horas | 480 horas</t>
  </si>
  <si>
    <t>RC Cámara Salina | 144 horas | 500 horas</t>
  </si>
  <si>
    <t>RC Cámara Salina | 144 horas | 72 horas</t>
  </si>
  <si>
    <t>RC Cámara Salina | 144 horas | 720 horas</t>
  </si>
  <si>
    <t>RC Cámara Salina | 144 horas | 96 horas</t>
  </si>
  <si>
    <t>RC Cámara Salina | 144 horas | 960 horas</t>
  </si>
  <si>
    <t>RC Cámara Salina | 200 horas | 12 horas</t>
  </si>
  <si>
    <t>RC Cámara Salina | 200 horas | 120 horas</t>
  </si>
  <si>
    <t>RC Cámara Salina | 200 horas | 144 horas</t>
  </si>
  <si>
    <t>RC Cámara Salina | 200 horas | 16 horas</t>
  </si>
  <si>
    <t>RC Cámara Salina | 200 horas | 172 horas</t>
  </si>
  <si>
    <t>RC Cámara Salina | 200 horas | 200 horas</t>
  </si>
  <si>
    <t>RC Cámara Salina | 200 horas | 24 horas</t>
  </si>
  <si>
    <t>RC Cámara Salina | 200 horas | 240 horas</t>
  </si>
  <si>
    <t>RC Cámara Salina | 200 horas | 36 horas</t>
  </si>
  <si>
    <t>RC Cámara Salina | 200 horas | 360 horas</t>
  </si>
  <si>
    <t>RC Cámara Salina | 200 horas | 48 horas</t>
  </si>
  <si>
    <t>RC Cámara Salina | 200 horas | 480 horas</t>
  </si>
  <si>
    <t>RC Cámara Salina | 200 horas | 500 horas</t>
  </si>
  <si>
    <t>RC Cámara Salina | 200 horas | 72 horas</t>
  </si>
  <si>
    <t>RC Cámara Salina | 200 horas | 720 horas</t>
  </si>
  <si>
    <t>RC Cámara Salina | 200 horas | 96 horas</t>
  </si>
  <si>
    <t>RC Cámara Salina | 200 horas | 960 horas</t>
  </si>
  <si>
    <t>RC Cámara Salina | 24 horas | 12 horas</t>
  </si>
  <si>
    <t>RC Cámara Salina | 24 horas | 120 horas</t>
  </si>
  <si>
    <t>RC Cámara Salina | 24 horas | 144 horas</t>
  </si>
  <si>
    <t>RC Cámara Salina | 24 horas | 16 horas</t>
  </si>
  <si>
    <t>RC Cámara Salina | 24 horas | 172 horas</t>
  </si>
  <si>
    <t>RC Cámara Salina | 24 horas | 200 horas</t>
  </si>
  <si>
    <t>RC Cámara Salina | 24 horas | 24 horas</t>
  </si>
  <si>
    <t>RC Cámara Salina | 24 horas | 240 horas</t>
  </si>
  <si>
    <t>RC Cámara Salina | 24 horas | 36 horas</t>
  </si>
  <si>
    <t>RC Cámara Salina | 24 horas | 360 horas</t>
  </si>
  <si>
    <t>RC Cámara Salina | 24 horas | 48 horas</t>
  </si>
  <si>
    <t>RC Cámara Salina | 24 horas | 480 horas</t>
  </si>
  <si>
    <t>RC Cámara Salina | 24 horas | 500 horas</t>
  </si>
  <si>
    <t>RC Cámara Salina | 24 horas | 72 horas</t>
  </si>
  <si>
    <t>RC Cámara Salina | 24 horas | 720 horas</t>
  </si>
  <si>
    <t>RC Cámara Salina | 24 horas | 96 horas</t>
  </si>
  <si>
    <t>RC Cámara Salina | 24 horas | 960 horas</t>
  </si>
  <si>
    <t>RC Cámara Salina | 240 horas | 12 horas</t>
  </si>
  <si>
    <t>RC Cámara Salina | 240 horas | 120 horas</t>
  </si>
  <si>
    <t>RC Cámara Salina | 240 horas | 144 horas</t>
  </si>
  <si>
    <t>RC Cámara Salina | 240 horas | 16 horas</t>
  </si>
  <si>
    <t>RC Cámara Salina | 240 horas | 172 horas</t>
  </si>
  <si>
    <t>RC Cámara Salina | 240 horas | 200 horas</t>
  </si>
  <si>
    <t>RC Cámara Salina | 240 horas | 24 horas</t>
  </si>
  <si>
    <t>RC Cámara Salina | 240 horas | 240 horas</t>
  </si>
  <si>
    <t>RC Cámara Salina | 240 horas | 36 horas</t>
  </si>
  <si>
    <t>RC Cámara Salina | 240 horas | 360 horas</t>
  </si>
  <si>
    <t>RC Cámara Salina | 240 horas | 48 horas</t>
  </si>
  <si>
    <t>RC Cámara Salina | 240 horas | 480 horas</t>
  </si>
  <si>
    <t>RC Cámara Salina | 240 horas | 500 horas</t>
  </si>
  <si>
    <t>RC Cámara Salina | 240 horas | 72 horas</t>
  </si>
  <si>
    <t>RC Cámara Salina | 240 horas | 720 horas</t>
  </si>
  <si>
    <t>RC Cámara Salina | 240 horas | 96 horas</t>
  </si>
  <si>
    <t>RC Cámara Salina | 240 horas | 960 horas</t>
  </si>
  <si>
    <t>RC Cámara Salina | 3 horas | 12 horas</t>
  </si>
  <si>
    <t>RC Cámara Salina | 3 horas | 120 horas</t>
  </si>
  <si>
    <t>RC Cámara Salina | 3 horas | 144 horas</t>
  </si>
  <si>
    <t>RC Cámara Salina | 3 horas | 16 horas</t>
  </si>
  <si>
    <t>RC Cámara Salina | 3 horas | 172 horas</t>
  </si>
  <si>
    <t>RC Cámara Salina | 3 horas | 200 horas</t>
  </si>
  <si>
    <t>RC Cámara Salina | 3 horas | 24 horas</t>
  </si>
  <si>
    <t>RC Cámara Salina | 3 horas | 240 horas</t>
  </si>
  <si>
    <t>RC Cámara Salina | 3 horas | 36 horas</t>
  </si>
  <si>
    <t>RC Cámara Salina | 3 horas | 360 horas</t>
  </si>
  <si>
    <t>RC Cámara Salina | 3 horas | 48 horas</t>
  </si>
  <si>
    <t>RC Cámara Salina | 3 horas | 480 horas</t>
  </si>
  <si>
    <t>RC Cámara Salina | 3 horas | 500 horas</t>
  </si>
  <si>
    <t>RC Cámara Salina | 3 horas | 72 horas</t>
  </si>
  <si>
    <t>RC Cámara Salina | 3 horas | 720 horas</t>
  </si>
  <si>
    <t>RC Cámara Salina | 3 horas | 96 horas</t>
  </si>
  <si>
    <t>RC Cámara Salina | 3 horas | 960 horas</t>
  </si>
  <si>
    <t>RC Cámara Salina | 48 horas | 12 horas</t>
  </si>
  <si>
    <t>RC Cámara Salina | 48 horas | 120 horas</t>
  </si>
  <si>
    <t>RC Cámara Salina | 48 horas | 144 horas</t>
  </si>
  <si>
    <t>RC Cámara Salina | 48 horas | 16 horas</t>
  </si>
  <si>
    <t>RC Cámara Salina | 48 horas | 172 horas</t>
  </si>
  <si>
    <t>RC Cámara Salina | 48 horas | 200 horas</t>
  </si>
  <si>
    <t>RC Cámara Salina | 48 horas | 24 horas</t>
  </si>
  <si>
    <t>RC Cámara Salina | 48 horas | 240 horas</t>
  </si>
  <si>
    <t>RC Cámara Salina | 48 horas | 36 horas</t>
  </si>
  <si>
    <t>RC Cámara Salina | 48 horas | 360 horas</t>
  </si>
  <si>
    <t>RC Cámara Salina | 48 horas | 48 horas</t>
  </si>
  <si>
    <t>RC Cámara Salina | 48 horas | 480 horas</t>
  </si>
  <si>
    <t>RC Cámara Salina | 48 horas | 500 horas</t>
  </si>
  <si>
    <t>RC Cámara Salina | 48 horas | 72 horas</t>
  </si>
  <si>
    <t>RC Cámara Salina | 48 horas | 720 horas</t>
  </si>
  <si>
    <t>RC Cámara Salina | 48 horas | 96 horas</t>
  </si>
  <si>
    <t>RC Cámara Salina | 48 horas | 960 horas</t>
  </si>
  <si>
    <t>RC Cámara Salina | 72 horas | 12 horas</t>
  </si>
  <si>
    <t>RC Cámara Salina | 72 horas | 120 horas</t>
  </si>
  <si>
    <t>RC Cámara Salina | 72 horas | 144 horas</t>
  </si>
  <si>
    <t>RC Cámara Salina | 72 horas | 16 horas</t>
  </si>
  <si>
    <t>RC Cámara Salina | 72 horas | 172 horas</t>
  </si>
  <si>
    <t>RC Cámara Salina | 72 horas | 200 horas</t>
  </si>
  <si>
    <t>RC Cámara Salina | 72 horas | 24 horas</t>
  </si>
  <si>
    <t>RC Cámara Salina | 72 horas | 240 horas</t>
  </si>
  <si>
    <t>RC Cámara Salina | 72 horas | 36 horas</t>
  </si>
  <si>
    <t>RC Cámara Salina | 72 horas | 360 horas</t>
  </si>
  <si>
    <t>RC Cámara Salina | 72 horas | 48 horas</t>
  </si>
  <si>
    <t>RC Cámara Salina | 72 horas | 480 horas</t>
  </si>
  <si>
    <t>RC Cámara Salina | 72 horas | 500 horas</t>
  </si>
  <si>
    <t>RC Cámara Salina | 72 horas | 72 horas</t>
  </si>
  <si>
    <t>RC Cámara Salina | 72 horas | 720 horas</t>
  </si>
  <si>
    <t>RC Cámara Salina | 72 horas | 96 horas</t>
  </si>
  <si>
    <t>RC Cámara Salina | 72 horas | 960 horas</t>
  </si>
  <si>
    <t>RC Cámara Salina | 8 horas | 12 horas</t>
  </si>
  <si>
    <t>RC Cámara Salina | 8 horas | 120 horas</t>
  </si>
  <si>
    <t>RC Cámara Salina | 8 horas | 144 horas</t>
  </si>
  <si>
    <t>RC Cámara Salina | 8 horas | 16 horas</t>
  </si>
  <si>
    <t>RC Cámara Salina | 8 horas | 172 horas</t>
  </si>
  <si>
    <t>RC Cámara Salina | 8 horas | 200 horas</t>
  </si>
  <si>
    <t>RC Cámara Salina | 8 horas | 24 horas</t>
  </si>
  <si>
    <t>RC Cámara Salina | 8 horas | 240 horas</t>
  </si>
  <si>
    <t>RC Cámara Salina | 8 horas | 36 horas</t>
  </si>
  <si>
    <t>RC Cámara Salina | 8 horas | 360 horas</t>
  </si>
  <si>
    <t>RC Cámara Salina | 8 horas | 48 horas</t>
  </si>
  <si>
    <t>RC Cámara Salina | 8 horas | 480 horas</t>
  </si>
  <si>
    <t>RC Cámara Salina | 8 horas | 500 horas</t>
  </si>
  <si>
    <t>RC Cámara Salina | 8 horas | 72 horas</t>
  </si>
  <si>
    <t>RC Cámara Salina | 8 horas | 720 horas</t>
  </si>
  <si>
    <t>RC Cámara Salina | 8 horas | 96 horas</t>
  </si>
  <si>
    <t>RC Cámara Salina | 8 horas | 960 horas</t>
  </si>
  <si>
    <t>RC Cámara Salina | 80 horas | 12 horas</t>
  </si>
  <si>
    <t>RC Cámara Salina | 80 horas | 120 horas</t>
  </si>
  <si>
    <t>RC Cámara Salina | 80 horas | 144 horas</t>
  </si>
  <si>
    <t>RC Cámara Salina | 80 horas | 16 horas</t>
  </si>
  <si>
    <t>RC Cámara Salina | 80 horas | 172 horas</t>
  </si>
  <si>
    <t>RC Cámara Salina | 80 horas | 200 horas</t>
  </si>
  <si>
    <t>RC Cámara Salina | 80 horas | 24 horas</t>
  </si>
  <si>
    <t>RC Cámara Salina | 80 horas | 240 horas</t>
  </si>
  <si>
    <t>RC Cámara Salina | 80 horas | 36 horas</t>
  </si>
  <si>
    <t>RC Cámara Salina | 80 horas | 360 horas</t>
  </si>
  <si>
    <t>RC Cámara Salina | 80 horas | 48 horas</t>
  </si>
  <si>
    <t>RC Cámara Salina | 80 horas | 480 horas</t>
  </si>
  <si>
    <t>RC Cámara Salina | 80 horas | 500 horas</t>
  </si>
  <si>
    <t>RC Cámara Salina | 80 horas | 72 horas</t>
  </si>
  <si>
    <t>RC Cámara Salina | 80 horas | 720 horas</t>
  </si>
  <si>
    <t>RC Cámara Salina | 80 horas | 96 horas</t>
  </si>
  <si>
    <t>RC Cámara Salina | 80 horas | 960 horas</t>
  </si>
  <si>
    <t>RC Cámara Salina | 96 horas | 12 horas</t>
  </si>
  <si>
    <t>RC Cámara Salina | 96 horas | 120 horas</t>
  </si>
  <si>
    <t>RC Cámara Salina | 96 horas | 144 horas</t>
  </si>
  <si>
    <t>RC Cámara Salina | 96 horas | 16 horas</t>
  </si>
  <si>
    <t>RC Cámara Salina | 96 horas | 172 horas</t>
  </si>
  <si>
    <t>RC Cámara Salina | 96 horas | 200 horas</t>
  </si>
  <si>
    <t>RC Cámara Salina | 96 horas | 24 horas</t>
  </si>
  <si>
    <t>RC Cámara Salina | 96 horas | 240 horas</t>
  </si>
  <si>
    <t>RC Cámara Salina | 96 horas | 36 horas</t>
  </si>
  <si>
    <t>RC Cámara Salina | 96 horas | 360 horas</t>
  </si>
  <si>
    <t>RC Cámara Salina | 96 horas | 48 horas</t>
  </si>
  <si>
    <t>RC Cámara Salina | 96 horas | 480 horas</t>
  </si>
  <si>
    <t>RC Cámara Salina | 96 horas | 500 horas</t>
  </si>
  <si>
    <t>RC Cámara Salina | 96 horas | 72 horas</t>
  </si>
  <si>
    <t>RC Cámara Salina | 96 horas | 720 horas</t>
  </si>
  <si>
    <t>RC Cámara Salina | 96 horas | 96 horas</t>
  </si>
  <si>
    <t>RC Cámara Salina | 96 horas | 960 horas</t>
  </si>
  <si>
    <t>RC Cámara Salina | N/A | 12 horas</t>
  </si>
  <si>
    <t>RC Cámara Salina | N/A | 120 horas</t>
  </si>
  <si>
    <t>RC Cámara Salina | N/A | 144 horas</t>
  </si>
  <si>
    <t>RC Cámara Salina | N/A | 16 horas</t>
  </si>
  <si>
    <t>RC Cámara Salina | N/A | 172 horas</t>
  </si>
  <si>
    <t>RC Cámara Salina | N/A | 200 horas</t>
  </si>
  <si>
    <t>RC Cámara Salina | N/A | 24 horas</t>
  </si>
  <si>
    <t>RC Cámara Salina | N/A | 240 horas</t>
  </si>
  <si>
    <t>RC Cámara Salina | N/A | 36 horas</t>
  </si>
  <si>
    <t>RC Cámara Salina | N/A | 360 horas</t>
  </si>
  <si>
    <t>RC Cámara Salina | N/A | 48 horas</t>
  </si>
  <si>
    <t>RC Cámara Salina | N/A | 480 horas</t>
  </si>
  <si>
    <t>RC Cámara Salina | N/A | 500 horas</t>
  </si>
  <si>
    <t>RC Cámara Salina | N/A | 72 horas</t>
  </si>
  <si>
    <t>RC Cámara Salina | N/A | 720 horas</t>
  </si>
  <si>
    <t>RC Cámara Salina | N/A | 96 horas</t>
  </si>
  <si>
    <t>RC Cámara Salina | N/A | 960 horas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</si>
  <si>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</si>
  <si>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</si>
  <si>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</si>
  <si>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</si>
  <si>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</si>
  <si>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</si>
  <si>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</si>
  <si>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</si>
  <si>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</si>
  <si>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</si>
  <si>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</si>
  <si>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</si>
  <si>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</si>
  <si>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</si>
  <si>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</si>
  <si>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</si>
  <si>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</si>
  <si>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</si>
  <si>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</si>
  <si>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</si>
  <si>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</si>
  <si>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</si>
  <si>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</si>
  <si>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</si>
  <si>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</si>
  <si>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48057-007-01 (Estaño Bimetales) | 0.6 - 2.0 µm</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</si>
  <si>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</si>
  <si>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</si>
  <si>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</si>
  <si>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</si>
  <si>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</si>
  <si>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</si>
  <si>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</si>
  <si>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</si>
  <si>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</si>
  <si>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</si>
  <si>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</si>
  <si>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</si>
  <si>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</si>
  <si>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</si>
  <si>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</si>
  <si>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</si>
  <si>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</si>
  <si>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</si>
  <si>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</si>
  <si>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</si>
  <si>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</si>
  <si>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</si>
  <si>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</si>
  <si>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</si>
  <si>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</si>
  <si>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</si>
  <si>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</si>
  <si>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</si>
  <si>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</si>
  <si>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</si>
  <si>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</si>
  <si>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</si>
  <si>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</si>
  <si>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</si>
  <si>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</si>
  <si>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</si>
  <si>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</si>
  <si>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</si>
  <si>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</si>
  <si>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</si>
  <si>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</si>
  <si>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</si>
  <si>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</si>
  <si>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</si>
  <si>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</si>
  <si>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</si>
  <si>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</si>
  <si>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</si>
  <si>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</si>
  <si>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</si>
  <si>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</si>
  <si>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</si>
  <si>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</si>
  <si>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</si>
  <si>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</si>
  <si>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</si>
  <si>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</si>
  <si>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</si>
  <si>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</si>
  <si>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</si>
  <si>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</si>
  <si>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</si>
  <si>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</si>
  <si>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</si>
  <si>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</si>
  <si>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</si>
  <si>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</si>
  <si>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</si>
  <si>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</si>
  <si>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</si>
  <si>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</si>
  <si>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</si>
  <si>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</si>
  <si>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</si>
  <si>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</si>
  <si>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</si>
  <si>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</si>
  <si>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</si>
  <si>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</si>
  <si>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</si>
  <si>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</si>
  <si>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</si>
  <si>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</si>
  <si>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</si>
  <si>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</si>
  <si>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</si>
  <si>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</si>
  <si>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</si>
  <si>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</si>
  <si>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</si>
  <si>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</si>
  <si>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</si>
  <si>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</si>
  <si>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</si>
  <si>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</si>
  <si>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 xml:space="preserve">ZION &amp; EBENEZER TECHNOLOGIES — PRIMERO DE MAYO ZONA INDUSTRIAL TOLUCA, </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</si>
  <si>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</si>
  <si>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</si>
  <si>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</si>
  <si>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</si>
  <si>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</si>
  <si>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</si>
  <si>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</si>
  <si>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</si>
  <si>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</si>
  <si>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</si>
  <si>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</si>
  <si>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</si>
  <si>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</si>
  <si>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</si>
  <si>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</si>
  <si>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</si>
  <si>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</si>
  <si>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</si>
  <si>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</si>
  <si>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</si>
  <si>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</si>
  <si>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</si>
  <si>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</si>
  <si>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</si>
  <si>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</si>
  <si>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</si>
  <si>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</si>
  <si>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</si>
  <si>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</si>
  <si>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RC MnPO4 (Fosfato de Manganeso - Medición de Grano) | 3 - 12 µm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</si>
</sst>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7D7D7D"/>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9">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19" fillId="18" borderId="0" xfId="0" applyFont="1" applyFill="1"/>
    <xf numFmtId="3"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23" fillId="37" borderId="0" xfId="0" applyFont="1" applyFill="1" applyAlignment="1">
      <alignment horizontal="left" vertical="center"/>
    </xf>
    <xf numFmtId="0" fontId="24" fillId="37" borderId="8" xfId="0" applyFont="1" applyFill="1" applyBorder="1" applyAlignment="1">
      <alignment horizontal="center" vertical="center"/>
    </xf>
    <xf numFmtId="0" fontId="19" fillId="37" borderId="0" xfId="0" applyFont="1" applyFill="1"/>
    <xf numFmtId="49" fontId="19" fillId="37" borderId="0" xfId="0" applyNumberFormat="1" applyFont="1" applyFill="1"/>
    <xf numFmtId="0" fontId="26" fillId="37" borderId="0" xfId="0" applyFont="1" applyFill="1" applyAlignment="1">
      <alignment horizontal="left" vertical="center"/>
    </xf>
    <xf numFmtId="3" fontId="26" fillId="37" borderId="0" xfId="0" applyNumberFormat="1" applyFont="1" applyFill="1" applyAlignment="1">
      <alignment horizontal="left" vertical="center"/>
    </xf>
    <xf numFmtId="4" fontId="27" fillId="37" borderId="19" xfId="0" applyNumberFormat="1" applyFont="1" applyFill="1" applyBorder="1" applyAlignment="1">
      <alignment horizontal="center" vertical="center"/>
    </xf>
    <xf numFmtId="49" fontId="26" fillId="37" borderId="0" xfId="0" applyNumberFormat="1" applyFont="1" applyFill="1" applyAlignment="1">
      <alignment horizontal="left" vertical="center"/>
    </xf>
    <xf numFmtId="49" fontId="27" fillId="37" borderId="8" xfId="0" applyNumberFormat="1" applyFont="1" applyFill="1" applyBorder="1" applyAlignment="1">
      <alignment vertical="center"/>
    </xf>
    <xf numFmtId="166" fontId="28" fillId="37" borderId="1" xfId="4" applyNumberFormat="1" applyFont="1" applyFill="1" applyBorder="1" applyAlignment="1">
      <alignment horizontal="center" vertical="center"/>
    </xf>
    <xf numFmtId="0" fontId="28" fillId="37" borderId="1" xfId="0" applyFont="1" applyFill="1" applyBorder="1" applyAlignment="1">
      <alignment horizontal="center" vertical="center"/>
    </xf>
    <xf numFmtId="3" fontId="28" fillId="37" borderId="1" xfId="0" applyNumberFormat="1" applyFont="1" applyFill="1" applyBorder="1" applyAlignment="1">
      <alignment vertical="center"/>
    </xf>
    <xf numFmtId="0" fontId="50" fillId="0" borderId="0" xfId="0" applyFont="1" applyAlignment="1">
      <alignment horizontal="left"/>
    </xf>
    <xf numFmtId="0" fontId="1" fillId="0" borderId="0" xfId="1" applyAlignment="1">
      <alignment horizontal="center"/>
    </xf>
    <xf numFmtId="49" fontId="24" fillId="18" borderId="8" xfId="0" applyNumberFormat="1" applyFont="1" applyFill="1" applyBorder="1" applyAlignment="1">
      <alignment vertical="center"/>
    </xf>
    <xf numFmtId="49" fontId="25" fillId="37" borderId="0" xfId="0" applyNumberFormat="1" applyFont="1" applyFill="1"/>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7" fillId="37" borderId="9" xfId="0" applyFont="1" applyFill="1" applyBorder="1" applyAlignment="1">
      <alignment horizontal="left" vertical="top"/>
    </xf>
    <xf numFmtId="0" fontId="19" fillId="37" borderId="10" xfId="0" applyFont="1" applyFill="1" applyBorder="1"/>
    <xf numFmtId="0" fontId="19" fillId="37" borderId="11" xfId="0" applyFont="1" applyFill="1" applyBorder="1"/>
    <xf numFmtId="0" fontId="19" fillId="37" borderId="12" xfId="0" applyFont="1" applyFill="1" applyBorder="1"/>
    <xf numFmtId="0" fontId="19" fillId="37" borderId="13" xfId="0" applyFont="1" applyFill="1" applyBorder="1"/>
    <xf numFmtId="0" fontId="19" fillId="37"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0" fillId="0" borderId="0" xfId="0" applyFont="1"/>
    <xf numFmtId="0" fontId="0" fillId="0" borderId="0" xfId="0"/>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color rgb="FF9C5700"/>
      </font>
      <fill>
        <patternFill>
          <bgColor rgb="FFFFEB9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zoomScaleNormal="100" workbookViewId="0">
      <pane xSplit="5" ySplit="8" topLeftCell="F9" activePane="bottomRight" state="frozen"/>
      <selection pane="topRight" activeCell="F1" sqref="F1"/>
      <selection pane="bottomLeft" activeCell="A9" sqref="A9"/>
      <selection pane="bottomRight" activeCell="K1" sqref="K1"/>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85.83203125" style="19"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2152</v>
      </c>
      <c r="I1" s="17"/>
      <c r="J1" s="16"/>
      <c r="K1" s="16"/>
      <c r="L1" s="16"/>
      <c r="M1" s="16"/>
      <c r="N1" s="16"/>
      <c r="O1" s="16"/>
      <c r="Q1" s="16"/>
      <c r="R1" s="16"/>
      <c r="S1" s="16"/>
      <c r="T1" s="106" t="s">
        <v>1845</v>
      </c>
      <c r="U1" s="107">
        <f>COUNTA($U$9:$U$508)-SUM(U2:U3)</f>
        <v>0</v>
      </c>
    </row>
    <row r="2" spans="1:60" ht="25" customHeight="1" x14ac:dyDescent="0.15">
      <c r="A2" s="139" t="s">
        <v>1872</v>
      </c>
      <c r="B2" s="140"/>
      <c r="C2" s="140"/>
      <c r="D2" s="140"/>
      <c r="E2" s="140"/>
      <c r="F2" s="140"/>
      <c r="G2" s="141"/>
      <c r="H2" s="141"/>
      <c r="I2" s="21" t="s">
        <v>972</v>
      </c>
      <c r="J2" s="16"/>
      <c r="K2" s="16"/>
      <c r="L2" s="16"/>
      <c r="M2" s="16"/>
      <c r="N2" s="16"/>
      <c r="O2" s="16"/>
      <c r="Q2" s="16"/>
      <c r="R2" s="16"/>
      <c r="S2" s="16"/>
      <c r="T2" s="106" t="s">
        <v>76</v>
      </c>
      <c r="U2" s="107">
        <f>COUNTIF($U$9:$U$508,$T2)</f>
        <v>0</v>
      </c>
    </row>
    <row r="3" spans="1:60" ht="22" customHeight="1" x14ac:dyDescent="0.2">
      <c r="A3" s="123" t="s">
        <v>0</v>
      </c>
      <c r="B3" s="124" t="s">
        <v>1</v>
      </c>
      <c r="C3" s="125"/>
      <c r="D3" s="125"/>
      <c r="E3" s="123" t="s">
        <v>2</v>
      </c>
      <c r="F3" s="138"/>
      <c r="G3" s="137"/>
      <c r="H3" s="126"/>
      <c r="I3" s="127" t="s">
        <v>3</v>
      </c>
      <c r="J3" s="165"/>
      <c r="K3" s="166"/>
      <c r="L3" s="166"/>
      <c r="M3" s="167"/>
      <c r="N3" s="110"/>
      <c r="O3" s="110"/>
      <c r="P3" s="111" t="s">
        <v>4</v>
      </c>
      <c r="Q3" s="142"/>
      <c r="R3" s="143"/>
      <c r="S3" s="144"/>
      <c r="T3" s="106" t="s">
        <v>1846</v>
      </c>
      <c r="U3" s="107">
        <f>COUNTIF($U$9:$U$508,$T3)</f>
        <v>500</v>
      </c>
    </row>
    <row r="4" spans="1:60" ht="22" customHeight="1" x14ac:dyDescent="0.15">
      <c r="A4" s="128" t="s">
        <v>5</v>
      </c>
      <c r="B4" s="129" t="s">
        <v>6</v>
      </c>
      <c r="C4" s="125"/>
      <c r="D4" s="125"/>
      <c r="E4" s="128" t="s">
        <v>7</v>
      </c>
      <c r="F4" s="130"/>
      <c r="G4" s="131" t="s">
        <v>491</v>
      </c>
      <c r="H4" s="126"/>
      <c r="I4" s="125"/>
      <c r="J4" s="168"/>
      <c r="K4" s="169"/>
      <c r="L4" s="169"/>
      <c r="M4" s="170"/>
      <c r="N4" s="110"/>
      <c r="O4" s="110"/>
      <c r="P4" s="110"/>
      <c r="Q4" s="145"/>
      <c r="R4" s="146"/>
      <c r="S4" s="147"/>
      <c r="T4" s="105"/>
      <c r="U4" s="107">
        <f>SUM(U2:U3)</f>
        <v>500</v>
      </c>
      <c r="W4" s="31" t="s">
        <v>1869</v>
      </c>
      <c r="Z4" s="120"/>
    </row>
    <row r="5" spans="1:60" ht="24" customHeight="1" x14ac:dyDescent="0.15">
      <c r="A5" s="16"/>
      <c r="B5" s="16"/>
      <c r="C5" s="16"/>
      <c r="D5" s="16"/>
      <c r="E5" s="16"/>
      <c r="F5" s="16"/>
      <c r="G5" s="17"/>
      <c r="H5" s="22"/>
      <c r="I5" s="23" t="s">
        <v>924</v>
      </c>
      <c r="J5" s="16"/>
      <c r="K5" s="24"/>
      <c r="L5" s="25"/>
      <c r="M5" s="25"/>
      <c r="N5" s="25"/>
      <c r="O5" s="26"/>
      <c r="Q5" s="27"/>
      <c r="R5" s="27"/>
      <c r="S5" s="28"/>
      <c r="T5" s="29"/>
      <c r="U5" s="27"/>
      <c r="V5" s="30"/>
      <c r="W5" s="116"/>
      <c r="X5" s="117" t="s">
        <v>922</v>
      </c>
      <c r="AA5" s="117"/>
      <c r="AC5" s="117"/>
      <c r="AE5" s="121"/>
      <c r="AJ5" s="31" t="s">
        <v>923</v>
      </c>
    </row>
    <row r="6" spans="1:60" s="33" customFormat="1" ht="22" customHeight="1" x14ac:dyDescent="0.2">
      <c r="A6" s="159" t="s">
        <v>9</v>
      </c>
      <c r="B6" s="160"/>
      <c r="C6" s="154" t="s">
        <v>10</v>
      </c>
      <c r="D6" s="155"/>
      <c r="E6" s="155"/>
      <c r="F6" s="155"/>
      <c r="G6" s="155"/>
      <c r="H6" s="155"/>
      <c r="I6" s="151" t="s">
        <v>11</v>
      </c>
      <c r="J6" s="152"/>
      <c r="K6" s="152"/>
      <c r="L6" s="152"/>
      <c r="M6" s="153"/>
      <c r="N6" s="156" t="s">
        <v>1419</v>
      </c>
      <c r="O6" s="157"/>
      <c r="P6" s="157"/>
      <c r="Q6" s="157"/>
      <c r="R6" s="157"/>
      <c r="S6" s="157"/>
      <c r="T6" s="158"/>
      <c r="U6" s="32" t="s">
        <v>12</v>
      </c>
      <c r="V6" s="113" t="s">
        <v>1883</v>
      </c>
      <c r="W6" s="174" t="s">
        <v>13</v>
      </c>
      <c r="X6" s="175"/>
      <c r="Y6" s="175"/>
      <c r="Z6" s="175"/>
      <c r="AA6" s="175"/>
      <c r="AB6" s="175"/>
      <c r="AC6" s="175"/>
      <c r="AD6" s="176"/>
      <c r="AE6" s="148" t="s">
        <v>14</v>
      </c>
      <c r="AF6" s="149"/>
      <c r="AG6" s="149"/>
      <c r="AH6" s="150"/>
      <c r="AI6" s="163" t="s">
        <v>15</v>
      </c>
      <c r="AJ6" s="149"/>
      <c r="AK6" s="149"/>
      <c r="AL6" s="150"/>
      <c r="AM6" s="171" t="s">
        <v>16</v>
      </c>
      <c r="AN6" s="172"/>
      <c r="AO6" s="172"/>
      <c r="AP6" s="172"/>
      <c r="AQ6" s="172"/>
      <c r="AR6" s="173"/>
      <c r="AS6" s="164" t="s">
        <v>17</v>
      </c>
      <c r="AT6" s="149"/>
      <c r="AU6" s="149"/>
      <c r="AV6" s="149"/>
      <c r="AW6" s="149"/>
      <c r="AX6" s="149"/>
      <c r="AY6" s="149"/>
      <c r="AZ6" s="149"/>
      <c r="BA6" s="150"/>
      <c r="BB6" s="161" t="s">
        <v>1436</v>
      </c>
      <c r="BC6" s="162"/>
      <c r="BD6" s="162"/>
      <c r="BE6" s="162"/>
      <c r="BF6" s="162"/>
      <c r="BG6" s="162"/>
      <c r="BH6" s="162"/>
    </row>
    <row r="7" spans="1:60" ht="36" customHeight="1" x14ac:dyDescent="0.15">
      <c r="A7" s="34" t="s">
        <v>1874</v>
      </c>
      <c r="B7" s="36" t="s">
        <v>1876</v>
      </c>
      <c r="C7" s="35" t="s">
        <v>1418</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1881</v>
      </c>
      <c r="U7" s="37" t="s">
        <v>33</v>
      </c>
      <c r="V7" s="41" t="s">
        <v>81</v>
      </c>
      <c r="W7" s="118" t="s">
        <v>37</v>
      </c>
      <c r="X7" s="119" t="s">
        <v>38</v>
      </c>
      <c r="Y7" s="119" t="s">
        <v>39</v>
      </c>
      <c r="Z7" s="119" t="s">
        <v>40</v>
      </c>
      <c r="AA7" s="119" t="s">
        <v>1877</v>
      </c>
      <c r="AB7" s="119" t="s">
        <v>1878</v>
      </c>
      <c r="AC7" s="119" t="s">
        <v>1879</v>
      </c>
      <c r="AD7" s="119" t="s">
        <v>1880</v>
      </c>
      <c r="AE7" s="37" t="s">
        <v>41</v>
      </c>
      <c r="AF7" s="37" t="s">
        <v>42</v>
      </c>
      <c r="AG7" s="37" t="s">
        <v>43</v>
      </c>
      <c r="AH7" s="37" t="s">
        <v>44</v>
      </c>
      <c r="AI7" s="37" t="s">
        <v>45</v>
      </c>
      <c r="AJ7" s="37" t="s">
        <v>46</v>
      </c>
      <c r="AK7" s="37" t="s">
        <v>45</v>
      </c>
      <c r="AL7" s="37" t="s">
        <v>46</v>
      </c>
      <c r="AM7" s="37" t="s">
        <v>1435</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1836</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2">
      <c r="A9" s="115" t="s">
        <v>1875</v>
      </c>
      <c r="B9" s="114" t="s">
        <v>1873</v>
      </c>
      <c r="C9" s="136"/>
      <c r="D9" s="49" t="s">
        <v>76</v>
      </c>
      <c r="E9" s="50"/>
      <c r="F9" s="51"/>
      <c r="G9" s="52"/>
      <c r="H9" s="49" t="s">
        <v>75</v>
      </c>
      <c r="I9" s="132">
        <v>1</v>
      </c>
      <c r="J9" s="53"/>
      <c r="K9" s="53" t="s">
        <v>76</v>
      </c>
      <c r="L9" s="53" t="s">
        <v>77</v>
      </c>
      <c r="M9" s="54" t="s">
        <v>920</v>
      </c>
      <c r="N9" s="59" t="s">
        <v>76</v>
      </c>
      <c r="O9" s="49" t="s">
        <v>75</v>
      </c>
      <c r="P9" s="49" t="s">
        <v>76</v>
      </c>
      <c r="Q9" s="55" t="s">
        <v>76</v>
      </c>
      <c r="R9" s="49" t="s">
        <v>76</v>
      </c>
      <c r="S9" s="49" t="s">
        <v>76</v>
      </c>
      <c r="T9" s="122"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134"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2">
      <c r="A10" s="115" t="s">
        <v>1875</v>
      </c>
      <c r="B10" s="114" t="s">
        <v>1873</v>
      </c>
      <c r="C10" s="136"/>
      <c r="D10" s="49" t="s">
        <v>76</v>
      </c>
      <c r="E10" s="50"/>
      <c r="F10" s="51"/>
      <c r="G10" s="63"/>
      <c r="H10" s="49" t="s">
        <v>75</v>
      </c>
      <c r="I10" s="132">
        <v>1</v>
      </c>
      <c r="J10" s="53"/>
      <c r="K10" s="53" t="s">
        <v>76</v>
      </c>
      <c r="L10" s="53" t="s">
        <v>77</v>
      </c>
      <c r="M10" s="54" t="s">
        <v>920</v>
      </c>
      <c r="N10" s="59" t="s">
        <v>76</v>
      </c>
      <c r="O10" s="49" t="s">
        <v>75</v>
      </c>
      <c r="P10" s="49" t="s">
        <v>76</v>
      </c>
      <c r="Q10" s="55" t="s">
        <v>76</v>
      </c>
      <c r="R10" s="49" t="s">
        <v>76</v>
      </c>
      <c r="S10" s="49" t="s">
        <v>76</v>
      </c>
      <c r="T10" s="122"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134"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2">
      <c r="A11" s="115" t="s">
        <v>1875</v>
      </c>
      <c r="B11" s="114" t="s">
        <v>1873</v>
      </c>
      <c r="C11" s="136"/>
      <c r="D11" s="49" t="s">
        <v>76</v>
      </c>
      <c r="E11" s="50"/>
      <c r="F11" s="51"/>
      <c r="G11" s="63"/>
      <c r="H11" s="49" t="s">
        <v>75</v>
      </c>
      <c r="I11" s="132">
        <v>1</v>
      </c>
      <c r="J11" s="53"/>
      <c r="K11" s="53" t="s">
        <v>76</v>
      </c>
      <c r="L11" s="53" t="s">
        <v>77</v>
      </c>
      <c r="M11" s="54" t="s">
        <v>920</v>
      </c>
      <c r="N11" s="59" t="s">
        <v>76</v>
      </c>
      <c r="O11" s="49" t="s">
        <v>75</v>
      </c>
      <c r="P11" s="49" t="s">
        <v>76</v>
      </c>
      <c r="Q11" s="55" t="s">
        <v>76</v>
      </c>
      <c r="R11" s="56" t="s">
        <v>76</v>
      </c>
      <c r="S11" s="49" t="s">
        <v>76</v>
      </c>
      <c r="T11" s="122"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134"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2">
      <c r="A12" s="115" t="s">
        <v>1875</v>
      </c>
      <c r="B12" s="114" t="s">
        <v>1873</v>
      </c>
      <c r="C12" s="136"/>
      <c r="D12" s="49" t="s">
        <v>76</v>
      </c>
      <c r="E12" s="50"/>
      <c r="F12" s="51"/>
      <c r="G12" s="63"/>
      <c r="H12" s="49" t="s">
        <v>75</v>
      </c>
      <c r="I12" s="132">
        <v>1</v>
      </c>
      <c r="J12" s="53"/>
      <c r="K12" s="53" t="s">
        <v>76</v>
      </c>
      <c r="L12" s="53" t="s">
        <v>77</v>
      </c>
      <c r="M12" s="54" t="s">
        <v>920</v>
      </c>
      <c r="N12" s="59" t="s">
        <v>76</v>
      </c>
      <c r="O12" s="49" t="s">
        <v>75</v>
      </c>
      <c r="P12" s="49" t="s">
        <v>76</v>
      </c>
      <c r="Q12" s="55" t="s">
        <v>76</v>
      </c>
      <c r="R12" s="56" t="s">
        <v>76</v>
      </c>
      <c r="S12" s="49" t="s">
        <v>76</v>
      </c>
      <c r="T12" s="122"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134"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2">
      <c r="A13" s="115" t="s">
        <v>1875</v>
      </c>
      <c r="B13" s="114" t="s">
        <v>1873</v>
      </c>
      <c r="C13" s="136"/>
      <c r="D13" s="49" t="s">
        <v>76</v>
      </c>
      <c r="E13" s="50"/>
      <c r="F13" s="51"/>
      <c r="G13" s="63"/>
      <c r="H13" s="49" t="s">
        <v>75</v>
      </c>
      <c r="I13" s="132">
        <v>1</v>
      </c>
      <c r="J13" s="53"/>
      <c r="K13" s="53" t="s">
        <v>76</v>
      </c>
      <c r="L13" s="53" t="s">
        <v>77</v>
      </c>
      <c r="M13" s="54" t="s">
        <v>920</v>
      </c>
      <c r="N13" s="59" t="s">
        <v>76</v>
      </c>
      <c r="O13" s="49" t="s">
        <v>75</v>
      </c>
      <c r="P13" s="49" t="s">
        <v>76</v>
      </c>
      <c r="Q13" s="55" t="s">
        <v>76</v>
      </c>
      <c r="R13" s="56" t="s">
        <v>76</v>
      </c>
      <c r="S13" s="49" t="s">
        <v>76</v>
      </c>
      <c r="T13" s="122"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134"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2">
      <c r="A14" s="115" t="s">
        <v>1875</v>
      </c>
      <c r="B14" s="114" t="s">
        <v>1873</v>
      </c>
      <c r="C14" s="136"/>
      <c r="D14" s="49" t="s">
        <v>76</v>
      </c>
      <c r="E14" s="50"/>
      <c r="F14" s="51"/>
      <c r="G14" s="63"/>
      <c r="H14" s="49" t="s">
        <v>75</v>
      </c>
      <c r="I14" s="132">
        <v>1</v>
      </c>
      <c r="J14" s="53"/>
      <c r="K14" s="53" t="s">
        <v>76</v>
      </c>
      <c r="L14" s="53" t="s">
        <v>77</v>
      </c>
      <c r="M14" s="54" t="s">
        <v>920</v>
      </c>
      <c r="N14" s="59" t="s">
        <v>76</v>
      </c>
      <c r="O14" s="49" t="s">
        <v>75</v>
      </c>
      <c r="P14" s="49" t="s">
        <v>76</v>
      </c>
      <c r="Q14" s="55" t="s">
        <v>76</v>
      </c>
      <c r="R14" s="56" t="s">
        <v>76</v>
      </c>
      <c r="S14" s="49" t="s">
        <v>76</v>
      </c>
      <c r="T14" s="122"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134"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2">
      <c r="A15" s="115" t="s">
        <v>1875</v>
      </c>
      <c r="B15" s="114" t="s">
        <v>1873</v>
      </c>
      <c r="C15" s="136"/>
      <c r="D15" s="49" t="s">
        <v>76</v>
      </c>
      <c r="E15" s="50"/>
      <c r="F15" s="51"/>
      <c r="G15" s="63"/>
      <c r="H15" s="49" t="s">
        <v>75</v>
      </c>
      <c r="I15" s="132">
        <v>1</v>
      </c>
      <c r="J15" s="53"/>
      <c r="K15" s="53" t="s">
        <v>76</v>
      </c>
      <c r="L15" s="53" t="s">
        <v>77</v>
      </c>
      <c r="M15" s="54" t="s">
        <v>920</v>
      </c>
      <c r="N15" s="59" t="s">
        <v>76</v>
      </c>
      <c r="O15" s="49" t="s">
        <v>75</v>
      </c>
      <c r="P15" s="49" t="s">
        <v>76</v>
      </c>
      <c r="Q15" s="55" t="s">
        <v>76</v>
      </c>
      <c r="R15" s="56" t="s">
        <v>76</v>
      </c>
      <c r="S15" s="49" t="s">
        <v>76</v>
      </c>
      <c r="T15" s="122"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134"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2">
      <c r="A16" s="115" t="s">
        <v>1875</v>
      </c>
      <c r="B16" s="114" t="s">
        <v>1873</v>
      </c>
      <c r="C16" s="136"/>
      <c r="D16" s="49" t="s">
        <v>76</v>
      </c>
      <c r="E16" s="50"/>
      <c r="F16" s="51"/>
      <c r="G16" s="63"/>
      <c r="H16" s="49" t="s">
        <v>75</v>
      </c>
      <c r="I16" s="132">
        <v>1</v>
      </c>
      <c r="J16" s="53"/>
      <c r="K16" s="53" t="s">
        <v>76</v>
      </c>
      <c r="L16" s="53" t="s">
        <v>77</v>
      </c>
      <c r="M16" s="54" t="s">
        <v>920</v>
      </c>
      <c r="N16" s="59" t="s">
        <v>76</v>
      </c>
      <c r="O16" s="49" t="s">
        <v>75</v>
      </c>
      <c r="P16" s="49" t="s">
        <v>76</v>
      </c>
      <c r="Q16" s="55" t="s">
        <v>76</v>
      </c>
      <c r="R16" s="56" t="s">
        <v>76</v>
      </c>
      <c r="S16" s="49" t="s">
        <v>76</v>
      </c>
      <c r="T16" s="122"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134"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2">
      <c r="A17" s="115" t="s">
        <v>1875</v>
      </c>
      <c r="B17" s="114" t="s">
        <v>1873</v>
      </c>
      <c r="C17" s="136"/>
      <c r="D17" s="49" t="s">
        <v>76</v>
      </c>
      <c r="E17" s="50"/>
      <c r="F17" s="51"/>
      <c r="G17" s="63"/>
      <c r="H17" s="49" t="s">
        <v>75</v>
      </c>
      <c r="I17" s="132">
        <v>1</v>
      </c>
      <c r="J17" s="53"/>
      <c r="K17" s="53" t="s">
        <v>76</v>
      </c>
      <c r="L17" s="53" t="s">
        <v>77</v>
      </c>
      <c r="M17" s="54" t="s">
        <v>920</v>
      </c>
      <c r="N17" s="59" t="s">
        <v>76</v>
      </c>
      <c r="O17" s="49" t="s">
        <v>75</v>
      </c>
      <c r="P17" s="49" t="s">
        <v>76</v>
      </c>
      <c r="Q17" s="55" t="s">
        <v>76</v>
      </c>
      <c r="R17" s="56" t="s">
        <v>76</v>
      </c>
      <c r="S17" s="49" t="s">
        <v>76</v>
      </c>
      <c r="T17" s="122"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134"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2">
      <c r="A18" s="115" t="s">
        <v>1875</v>
      </c>
      <c r="B18" s="114" t="s">
        <v>1873</v>
      </c>
      <c r="C18" s="136"/>
      <c r="D18" s="49" t="s">
        <v>76</v>
      </c>
      <c r="E18" s="50"/>
      <c r="F18" s="51"/>
      <c r="G18" s="63"/>
      <c r="H18" s="49" t="s">
        <v>75</v>
      </c>
      <c r="I18" s="132">
        <v>1</v>
      </c>
      <c r="J18" s="53"/>
      <c r="K18" s="53" t="s">
        <v>76</v>
      </c>
      <c r="L18" s="53" t="s">
        <v>77</v>
      </c>
      <c r="M18" s="54" t="s">
        <v>920</v>
      </c>
      <c r="N18" s="59" t="s">
        <v>76</v>
      </c>
      <c r="O18" s="49" t="s">
        <v>75</v>
      </c>
      <c r="P18" s="49" t="s">
        <v>76</v>
      </c>
      <c r="Q18" s="55" t="s">
        <v>76</v>
      </c>
      <c r="R18" s="56" t="s">
        <v>76</v>
      </c>
      <c r="S18" s="49" t="s">
        <v>76</v>
      </c>
      <c r="T18" s="122"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134"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2">
      <c r="A19" s="115" t="s">
        <v>1875</v>
      </c>
      <c r="B19" s="114" t="s">
        <v>1873</v>
      </c>
      <c r="C19" s="136"/>
      <c r="D19" s="49" t="s">
        <v>76</v>
      </c>
      <c r="E19" s="50"/>
      <c r="F19" s="51"/>
      <c r="G19" s="63"/>
      <c r="H19" s="49" t="s">
        <v>75</v>
      </c>
      <c r="I19" s="132">
        <v>1</v>
      </c>
      <c r="J19" s="53"/>
      <c r="K19" s="53" t="s">
        <v>76</v>
      </c>
      <c r="L19" s="53" t="s">
        <v>77</v>
      </c>
      <c r="M19" s="54" t="s">
        <v>920</v>
      </c>
      <c r="N19" s="59" t="s">
        <v>76</v>
      </c>
      <c r="O19" s="49" t="s">
        <v>75</v>
      </c>
      <c r="P19" s="49" t="s">
        <v>76</v>
      </c>
      <c r="Q19" s="55" t="s">
        <v>76</v>
      </c>
      <c r="R19" s="56" t="s">
        <v>76</v>
      </c>
      <c r="S19" s="49" t="s">
        <v>76</v>
      </c>
      <c r="T19" s="122"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134"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2">
      <c r="A20" s="115" t="s">
        <v>1875</v>
      </c>
      <c r="B20" s="114" t="s">
        <v>1873</v>
      </c>
      <c r="C20" s="136"/>
      <c r="D20" s="49" t="s">
        <v>76</v>
      </c>
      <c r="E20" s="50"/>
      <c r="F20" s="51"/>
      <c r="G20" s="63"/>
      <c r="H20" s="49" t="s">
        <v>75</v>
      </c>
      <c r="I20" s="132">
        <v>1</v>
      </c>
      <c r="J20" s="53"/>
      <c r="K20" s="53" t="s">
        <v>76</v>
      </c>
      <c r="L20" s="53" t="s">
        <v>77</v>
      </c>
      <c r="M20" s="54" t="s">
        <v>920</v>
      </c>
      <c r="N20" s="59" t="s">
        <v>76</v>
      </c>
      <c r="O20" s="49" t="s">
        <v>75</v>
      </c>
      <c r="P20" s="49" t="s">
        <v>76</v>
      </c>
      <c r="Q20" s="55" t="s">
        <v>76</v>
      </c>
      <c r="R20" s="56" t="s">
        <v>76</v>
      </c>
      <c r="S20" s="49" t="s">
        <v>76</v>
      </c>
      <c r="T20" s="122"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134"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2">
      <c r="A21" s="115" t="s">
        <v>1875</v>
      </c>
      <c r="B21" s="114" t="s">
        <v>1873</v>
      </c>
      <c r="C21" s="136"/>
      <c r="D21" s="49" t="s">
        <v>76</v>
      </c>
      <c r="E21" s="50"/>
      <c r="F21" s="51"/>
      <c r="G21" s="63"/>
      <c r="H21" s="49" t="s">
        <v>75</v>
      </c>
      <c r="I21" s="132">
        <v>1</v>
      </c>
      <c r="J21" s="53"/>
      <c r="K21" s="53" t="s">
        <v>76</v>
      </c>
      <c r="L21" s="53" t="s">
        <v>77</v>
      </c>
      <c r="M21" s="54" t="s">
        <v>920</v>
      </c>
      <c r="N21" s="59" t="s">
        <v>76</v>
      </c>
      <c r="O21" s="49" t="s">
        <v>75</v>
      </c>
      <c r="P21" s="49" t="s">
        <v>76</v>
      </c>
      <c r="Q21" s="55" t="s">
        <v>76</v>
      </c>
      <c r="R21" s="56" t="s">
        <v>76</v>
      </c>
      <c r="S21" s="49" t="s">
        <v>76</v>
      </c>
      <c r="T21" s="122"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134"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2">
      <c r="A22" s="115" t="s">
        <v>1875</v>
      </c>
      <c r="B22" s="114" t="s">
        <v>1873</v>
      </c>
      <c r="C22" s="136"/>
      <c r="D22" s="49" t="s">
        <v>76</v>
      </c>
      <c r="E22" s="50"/>
      <c r="F22" s="51"/>
      <c r="G22" s="63"/>
      <c r="H22" s="49" t="s">
        <v>75</v>
      </c>
      <c r="I22" s="132">
        <v>1</v>
      </c>
      <c r="J22" s="53"/>
      <c r="K22" s="53" t="s">
        <v>76</v>
      </c>
      <c r="L22" s="53" t="s">
        <v>77</v>
      </c>
      <c r="M22" s="54" t="s">
        <v>920</v>
      </c>
      <c r="N22" s="59" t="s">
        <v>76</v>
      </c>
      <c r="O22" s="49" t="s">
        <v>75</v>
      </c>
      <c r="P22" s="49" t="s">
        <v>76</v>
      </c>
      <c r="Q22" s="55" t="s">
        <v>76</v>
      </c>
      <c r="R22" s="56" t="s">
        <v>76</v>
      </c>
      <c r="S22" s="49" t="s">
        <v>76</v>
      </c>
      <c r="T22" s="122"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134"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2">
      <c r="A23" s="115" t="s">
        <v>1875</v>
      </c>
      <c r="B23" s="114" t="s">
        <v>1873</v>
      </c>
      <c r="C23" s="136"/>
      <c r="D23" s="49" t="s">
        <v>76</v>
      </c>
      <c r="E23" s="50"/>
      <c r="F23" s="51"/>
      <c r="G23" s="63"/>
      <c r="H23" s="49" t="s">
        <v>75</v>
      </c>
      <c r="I23" s="132">
        <v>1</v>
      </c>
      <c r="J23" s="53"/>
      <c r="K23" s="53" t="s">
        <v>76</v>
      </c>
      <c r="L23" s="53" t="s">
        <v>77</v>
      </c>
      <c r="M23" s="54" t="s">
        <v>920</v>
      </c>
      <c r="N23" s="59" t="s">
        <v>76</v>
      </c>
      <c r="O23" s="49" t="s">
        <v>75</v>
      </c>
      <c r="P23" s="49" t="s">
        <v>76</v>
      </c>
      <c r="Q23" s="55" t="s">
        <v>76</v>
      </c>
      <c r="R23" s="56" t="s">
        <v>76</v>
      </c>
      <c r="S23" s="49" t="s">
        <v>76</v>
      </c>
      <c r="T23" s="122"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134"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2">
      <c r="A24" s="115" t="s">
        <v>1875</v>
      </c>
      <c r="B24" s="114" t="s">
        <v>1873</v>
      </c>
      <c r="C24" s="136"/>
      <c r="D24" s="49" t="s">
        <v>76</v>
      </c>
      <c r="E24" s="50"/>
      <c r="F24" s="51"/>
      <c r="G24" s="63"/>
      <c r="H24" s="49" t="s">
        <v>75</v>
      </c>
      <c r="I24" s="132">
        <v>1</v>
      </c>
      <c r="J24" s="53"/>
      <c r="K24" s="53" t="s">
        <v>76</v>
      </c>
      <c r="L24" s="53" t="s">
        <v>77</v>
      </c>
      <c r="M24" s="54" t="s">
        <v>920</v>
      </c>
      <c r="N24" s="59" t="s">
        <v>76</v>
      </c>
      <c r="O24" s="49" t="s">
        <v>75</v>
      </c>
      <c r="P24" s="49" t="s">
        <v>76</v>
      </c>
      <c r="Q24" s="55" t="s">
        <v>76</v>
      </c>
      <c r="R24" s="56" t="s">
        <v>76</v>
      </c>
      <c r="S24" s="49" t="s">
        <v>76</v>
      </c>
      <c r="T24" s="122"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134"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2">
      <c r="A25" s="115" t="s">
        <v>1875</v>
      </c>
      <c r="B25" s="114" t="s">
        <v>1873</v>
      </c>
      <c r="C25" s="136"/>
      <c r="D25" s="49" t="s">
        <v>76</v>
      </c>
      <c r="E25" s="50"/>
      <c r="F25" s="51"/>
      <c r="G25" s="63"/>
      <c r="H25" s="49" t="s">
        <v>75</v>
      </c>
      <c r="I25" s="132">
        <v>1</v>
      </c>
      <c r="J25" s="53"/>
      <c r="K25" s="53" t="s">
        <v>76</v>
      </c>
      <c r="L25" s="53" t="s">
        <v>77</v>
      </c>
      <c r="M25" s="54" t="s">
        <v>920</v>
      </c>
      <c r="N25" s="59" t="s">
        <v>76</v>
      </c>
      <c r="O25" s="49" t="s">
        <v>75</v>
      </c>
      <c r="P25" s="49" t="s">
        <v>76</v>
      </c>
      <c r="Q25" s="55" t="s">
        <v>76</v>
      </c>
      <c r="R25" s="56" t="s">
        <v>76</v>
      </c>
      <c r="S25" s="49" t="s">
        <v>76</v>
      </c>
      <c r="T25" s="122"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134"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2">
      <c r="A26" s="115" t="s">
        <v>1875</v>
      </c>
      <c r="B26" s="114" t="s">
        <v>1873</v>
      </c>
      <c r="C26" s="136"/>
      <c r="D26" s="49" t="s">
        <v>76</v>
      </c>
      <c r="E26" s="50"/>
      <c r="F26" s="51"/>
      <c r="G26" s="63"/>
      <c r="H26" s="49" t="s">
        <v>75</v>
      </c>
      <c r="I26" s="132">
        <v>1</v>
      </c>
      <c r="J26" s="53"/>
      <c r="K26" s="53" t="s">
        <v>76</v>
      </c>
      <c r="L26" s="53" t="s">
        <v>77</v>
      </c>
      <c r="M26" s="54" t="s">
        <v>920</v>
      </c>
      <c r="N26" s="59" t="s">
        <v>76</v>
      </c>
      <c r="O26" s="49" t="s">
        <v>75</v>
      </c>
      <c r="P26" s="49" t="s">
        <v>76</v>
      </c>
      <c r="Q26" s="55" t="s">
        <v>76</v>
      </c>
      <c r="R26" s="56" t="s">
        <v>76</v>
      </c>
      <c r="S26" s="49" t="s">
        <v>76</v>
      </c>
      <c r="T26" s="122"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134"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2">
      <c r="A27" s="115" t="s">
        <v>1875</v>
      </c>
      <c r="B27" s="114" t="s">
        <v>1873</v>
      </c>
      <c r="C27" s="136"/>
      <c r="D27" s="49" t="s">
        <v>76</v>
      </c>
      <c r="E27" s="50"/>
      <c r="F27" s="51"/>
      <c r="G27" s="63"/>
      <c r="H27" s="49" t="s">
        <v>75</v>
      </c>
      <c r="I27" s="132">
        <v>1</v>
      </c>
      <c r="J27" s="53"/>
      <c r="K27" s="53" t="s">
        <v>76</v>
      </c>
      <c r="L27" s="53" t="s">
        <v>77</v>
      </c>
      <c r="M27" s="54" t="s">
        <v>920</v>
      </c>
      <c r="N27" s="59" t="s">
        <v>76</v>
      </c>
      <c r="O27" s="49" t="s">
        <v>75</v>
      </c>
      <c r="P27" s="49" t="s">
        <v>76</v>
      </c>
      <c r="Q27" s="55" t="s">
        <v>76</v>
      </c>
      <c r="R27" s="56" t="s">
        <v>76</v>
      </c>
      <c r="S27" s="49" t="s">
        <v>76</v>
      </c>
      <c r="T27" s="122"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134"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2">
      <c r="A28" s="115" t="s">
        <v>1875</v>
      </c>
      <c r="B28" s="114" t="s">
        <v>1873</v>
      </c>
      <c r="C28" s="136"/>
      <c r="D28" s="49" t="s">
        <v>76</v>
      </c>
      <c r="E28" s="50"/>
      <c r="F28" s="51"/>
      <c r="G28" s="63"/>
      <c r="H28" s="49" t="s">
        <v>75</v>
      </c>
      <c r="I28" s="132">
        <v>1</v>
      </c>
      <c r="J28" s="53"/>
      <c r="K28" s="53" t="s">
        <v>76</v>
      </c>
      <c r="L28" s="53" t="s">
        <v>77</v>
      </c>
      <c r="M28" s="54" t="s">
        <v>920</v>
      </c>
      <c r="N28" s="59" t="s">
        <v>76</v>
      </c>
      <c r="O28" s="49" t="s">
        <v>75</v>
      </c>
      <c r="P28" s="49" t="s">
        <v>76</v>
      </c>
      <c r="Q28" s="55" t="s">
        <v>76</v>
      </c>
      <c r="R28" s="56" t="s">
        <v>76</v>
      </c>
      <c r="S28" s="49" t="s">
        <v>76</v>
      </c>
      <c r="T28" s="122"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134"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2">
      <c r="A29" s="115" t="s">
        <v>1875</v>
      </c>
      <c r="B29" s="114" t="s">
        <v>1873</v>
      </c>
      <c r="C29" s="136"/>
      <c r="D29" s="49" t="s">
        <v>76</v>
      </c>
      <c r="E29" s="50"/>
      <c r="F29" s="51"/>
      <c r="G29" s="63"/>
      <c r="H29" s="49" t="s">
        <v>75</v>
      </c>
      <c r="I29" s="132">
        <v>1</v>
      </c>
      <c r="J29" s="53"/>
      <c r="K29" s="53" t="s">
        <v>76</v>
      </c>
      <c r="L29" s="53" t="s">
        <v>77</v>
      </c>
      <c r="M29" s="54" t="s">
        <v>920</v>
      </c>
      <c r="N29" s="59" t="s">
        <v>76</v>
      </c>
      <c r="O29" s="49" t="s">
        <v>75</v>
      </c>
      <c r="P29" s="49" t="s">
        <v>76</v>
      </c>
      <c r="Q29" s="55" t="s">
        <v>76</v>
      </c>
      <c r="R29" s="56" t="s">
        <v>76</v>
      </c>
      <c r="S29" s="49" t="s">
        <v>76</v>
      </c>
      <c r="T29" s="122"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134"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2">
      <c r="A30" s="115" t="s">
        <v>1875</v>
      </c>
      <c r="B30" s="114" t="s">
        <v>1873</v>
      </c>
      <c r="C30" s="136"/>
      <c r="D30" s="49" t="s">
        <v>76</v>
      </c>
      <c r="E30" s="50"/>
      <c r="F30" s="51"/>
      <c r="G30" s="63"/>
      <c r="H30" s="49" t="s">
        <v>75</v>
      </c>
      <c r="I30" s="132">
        <v>1</v>
      </c>
      <c r="J30" s="53"/>
      <c r="K30" s="53" t="s">
        <v>76</v>
      </c>
      <c r="L30" s="53" t="s">
        <v>77</v>
      </c>
      <c r="M30" s="54" t="s">
        <v>920</v>
      </c>
      <c r="N30" s="59" t="s">
        <v>76</v>
      </c>
      <c r="O30" s="49" t="s">
        <v>75</v>
      </c>
      <c r="P30" s="49" t="s">
        <v>76</v>
      </c>
      <c r="Q30" s="55" t="s">
        <v>76</v>
      </c>
      <c r="R30" s="56" t="s">
        <v>76</v>
      </c>
      <c r="S30" s="49" t="s">
        <v>76</v>
      </c>
      <c r="T30" s="122"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134"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2">
      <c r="A31" s="115" t="s">
        <v>1875</v>
      </c>
      <c r="B31" s="114" t="s">
        <v>1873</v>
      </c>
      <c r="C31" s="136"/>
      <c r="D31" s="49" t="s">
        <v>76</v>
      </c>
      <c r="E31" s="50"/>
      <c r="F31" s="51"/>
      <c r="G31" s="63"/>
      <c r="H31" s="49" t="s">
        <v>75</v>
      </c>
      <c r="I31" s="132">
        <v>1</v>
      </c>
      <c r="J31" s="53"/>
      <c r="K31" s="53" t="s">
        <v>76</v>
      </c>
      <c r="L31" s="53" t="s">
        <v>77</v>
      </c>
      <c r="M31" s="54" t="s">
        <v>920</v>
      </c>
      <c r="N31" s="59" t="s">
        <v>76</v>
      </c>
      <c r="O31" s="49" t="s">
        <v>75</v>
      </c>
      <c r="P31" s="49" t="s">
        <v>76</v>
      </c>
      <c r="Q31" s="55" t="s">
        <v>76</v>
      </c>
      <c r="R31" s="56" t="s">
        <v>76</v>
      </c>
      <c r="S31" s="49" t="s">
        <v>76</v>
      </c>
      <c r="T31" s="122"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134"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2">
      <c r="A32" s="115" t="s">
        <v>1875</v>
      </c>
      <c r="B32" s="114" t="s">
        <v>1873</v>
      </c>
      <c r="C32" s="136"/>
      <c r="D32" s="49" t="s">
        <v>76</v>
      </c>
      <c r="E32" s="50"/>
      <c r="F32" s="51"/>
      <c r="G32" s="63"/>
      <c r="H32" s="49" t="s">
        <v>75</v>
      </c>
      <c r="I32" s="132">
        <v>1</v>
      </c>
      <c r="J32" s="53"/>
      <c r="K32" s="53" t="s">
        <v>76</v>
      </c>
      <c r="L32" s="53" t="s">
        <v>77</v>
      </c>
      <c r="M32" s="54" t="s">
        <v>920</v>
      </c>
      <c r="N32" s="59" t="s">
        <v>76</v>
      </c>
      <c r="O32" s="49" t="s">
        <v>75</v>
      </c>
      <c r="P32" s="49" t="s">
        <v>76</v>
      </c>
      <c r="Q32" s="55" t="s">
        <v>76</v>
      </c>
      <c r="R32" s="56" t="s">
        <v>76</v>
      </c>
      <c r="S32" s="49" t="s">
        <v>76</v>
      </c>
      <c r="T32" s="122"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134"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2">
      <c r="A33" s="115" t="s">
        <v>1875</v>
      </c>
      <c r="B33" s="114" t="s">
        <v>1873</v>
      </c>
      <c r="C33" s="136"/>
      <c r="D33" s="49" t="s">
        <v>76</v>
      </c>
      <c r="E33" s="50"/>
      <c r="F33" s="51"/>
      <c r="G33" s="63"/>
      <c r="H33" s="49" t="s">
        <v>75</v>
      </c>
      <c r="I33" s="132">
        <v>1</v>
      </c>
      <c r="J33" s="53"/>
      <c r="K33" s="53" t="s">
        <v>76</v>
      </c>
      <c r="L33" s="53" t="s">
        <v>77</v>
      </c>
      <c r="M33" s="54" t="s">
        <v>920</v>
      </c>
      <c r="N33" s="59" t="s">
        <v>76</v>
      </c>
      <c r="O33" s="49" t="s">
        <v>75</v>
      </c>
      <c r="P33" s="49" t="s">
        <v>76</v>
      </c>
      <c r="Q33" s="55" t="s">
        <v>76</v>
      </c>
      <c r="R33" s="56" t="s">
        <v>76</v>
      </c>
      <c r="S33" s="49" t="s">
        <v>76</v>
      </c>
      <c r="T33" s="122"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134"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2">
      <c r="A34" s="115" t="s">
        <v>1875</v>
      </c>
      <c r="B34" s="114" t="s">
        <v>1873</v>
      </c>
      <c r="C34" s="136"/>
      <c r="D34" s="49" t="s">
        <v>76</v>
      </c>
      <c r="E34" s="50"/>
      <c r="F34" s="51"/>
      <c r="G34" s="63"/>
      <c r="H34" s="49" t="s">
        <v>75</v>
      </c>
      <c r="I34" s="132">
        <v>1</v>
      </c>
      <c r="J34" s="53"/>
      <c r="K34" s="53" t="s">
        <v>76</v>
      </c>
      <c r="L34" s="53" t="s">
        <v>77</v>
      </c>
      <c r="M34" s="54" t="s">
        <v>920</v>
      </c>
      <c r="N34" s="59" t="s">
        <v>76</v>
      </c>
      <c r="O34" s="49" t="s">
        <v>75</v>
      </c>
      <c r="P34" s="49" t="s">
        <v>76</v>
      </c>
      <c r="Q34" s="55" t="s">
        <v>76</v>
      </c>
      <c r="R34" s="56" t="s">
        <v>76</v>
      </c>
      <c r="S34" s="49" t="s">
        <v>76</v>
      </c>
      <c r="T34" s="122"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134"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2">
      <c r="A35" s="115" t="s">
        <v>1875</v>
      </c>
      <c r="B35" s="114" t="s">
        <v>1873</v>
      </c>
      <c r="C35" s="136"/>
      <c r="D35" s="49" t="s">
        <v>76</v>
      </c>
      <c r="E35" s="50"/>
      <c r="F35" s="51"/>
      <c r="G35" s="63"/>
      <c r="H35" s="49" t="s">
        <v>75</v>
      </c>
      <c r="I35" s="132">
        <v>1</v>
      </c>
      <c r="J35" s="53"/>
      <c r="K35" s="53" t="s">
        <v>76</v>
      </c>
      <c r="L35" s="53" t="s">
        <v>77</v>
      </c>
      <c r="M35" s="54" t="s">
        <v>920</v>
      </c>
      <c r="N35" s="59" t="s">
        <v>76</v>
      </c>
      <c r="O35" s="49" t="s">
        <v>75</v>
      </c>
      <c r="P35" s="49" t="s">
        <v>76</v>
      </c>
      <c r="Q35" s="55" t="s">
        <v>76</v>
      </c>
      <c r="R35" s="56" t="s">
        <v>76</v>
      </c>
      <c r="S35" s="49" t="s">
        <v>76</v>
      </c>
      <c r="T35" s="122"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134"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2">
      <c r="A36" s="115" t="s">
        <v>1875</v>
      </c>
      <c r="B36" s="114" t="s">
        <v>1873</v>
      </c>
      <c r="C36" s="136"/>
      <c r="D36" s="49" t="s">
        <v>76</v>
      </c>
      <c r="E36" s="50"/>
      <c r="F36" s="51"/>
      <c r="G36" s="63"/>
      <c r="H36" s="49" t="s">
        <v>75</v>
      </c>
      <c r="I36" s="132">
        <v>1</v>
      </c>
      <c r="J36" s="53"/>
      <c r="K36" s="53" t="s">
        <v>76</v>
      </c>
      <c r="L36" s="53" t="s">
        <v>77</v>
      </c>
      <c r="M36" s="54" t="s">
        <v>920</v>
      </c>
      <c r="N36" s="59" t="s">
        <v>76</v>
      </c>
      <c r="O36" s="49" t="s">
        <v>75</v>
      </c>
      <c r="P36" s="49" t="s">
        <v>76</v>
      </c>
      <c r="Q36" s="55" t="s">
        <v>76</v>
      </c>
      <c r="R36" s="56" t="s">
        <v>76</v>
      </c>
      <c r="S36" s="49" t="s">
        <v>76</v>
      </c>
      <c r="T36" s="122"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134"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2">
      <c r="A37" s="115" t="s">
        <v>1875</v>
      </c>
      <c r="B37" s="114" t="s">
        <v>1873</v>
      </c>
      <c r="C37" s="136"/>
      <c r="D37" s="49" t="s">
        <v>76</v>
      </c>
      <c r="E37" s="50"/>
      <c r="F37" s="51"/>
      <c r="G37" s="63"/>
      <c r="H37" s="49" t="s">
        <v>75</v>
      </c>
      <c r="I37" s="132">
        <v>1</v>
      </c>
      <c r="J37" s="53"/>
      <c r="K37" s="53" t="s">
        <v>76</v>
      </c>
      <c r="L37" s="53" t="s">
        <v>77</v>
      </c>
      <c r="M37" s="54" t="s">
        <v>920</v>
      </c>
      <c r="N37" s="59" t="s">
        <v>76</v>
      </c>
      <c r="O37" s="49" t="s">
        <v>75</v>
      </c>
      <c r="P37" s="49" t="s">
        <v>76</v>
      </c>
      <c r="Q37" s="55" t="s">
        <v>76</v>
      </c>
      <c r="R37" s="56" t="s">
        <v>76</v>
      </c>
      <c r="S37" s="49" t="s">
        <v>76</v>
      </c>
      <c r="T37" s="122"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134"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2">
      <c r="A38" s="115" t="s">
        <v>1875</v>
      </c>
      <c r="B38" s="114" t="s">
        <v>1873</v>
      </c>
      <c r="C38" s="136"/>
      <c r="D38" s="49" t="s">
        <v>76</v>
      </c>
      <c r="E38" s="50"/>
      <c r="F38" s="51"/>
      <c r="G38" s="63"/>
      <c r="H38" s="49" t="s">
        <v>75</v>
      </c>
      <c r="I38" s="132">
        <v>1</v>
      </c>
      <c r="J38" s="53"/>
      <c r="K38" s="53" t="s">
        <v>76</v>
      </c>
      <c r="L38" s="53" t="s">
        <v>77</v>
      </c>
      <c r="M38" s="54" t="s">
        <v>920</v>
      </c>
      <c r="N38" s="59" t="s">
        <v>76</v>
      </c>
      <c r="O38" s="49" t="s">
        <v>75</v>
      </c>
      <c r="P38" s="49" t="s">
        <v>76</v>
      </c>
      <c r="Q38" s="55" t="s">
        <v>76</v>
      </c>
      <c r="R38" s="56" t="s">
        <v>76</v>
      </c>
      <c r="S38" s="49" t="s">
        <v>76</v>
      </c>
      <c r="T38" s="122"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134"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2">
      <c r="A39" s="115" t="s">
        <v>1875</v>
      </c>
      <c r="B39" s="114" t="s">
        <v>1873</v>
      </c>
      <c r="C39" s="136"/>
      <c r="D39" s="49" t="s">
        <v>76</v>
      </c>
      <c r="E39" s="50"/>
      <c r="F39" s="51"/>
      <c r="G39" s="63"/>
      <c r="H39" s="49" t="s">
        <v>75</v>
      </c>
      <c r="I39" s="132">
        <v>1</v>
      </c>
      <c r="J39" s="53"/>
      <c r="K39" s="53" t="s">
        <v>76</v>
      </c>
      <c r="L39" s="53" t="s">
        <v>77</v>
      </c>
      <c r="M39" s="54" t="s">
        <v>920</v>
      </c>
      <c r="N39" s="59" t="s">
        <v>76</v>
      </c>
      <c r="O39" s="49" t="s">
        <v>75</v>
      </c>
      <c r="P39" s="49" t="s">
        <v>76</v>
      </c>
      <c r="Q39" s="55" t="s">
        <v>76</v>
      </c>
      <c r="R39" s="56" t="s">
        <v>76</v>
      </c>
      <c r="S39" s="49" t="s">
        <v>76</v>
      </c>
      <c r="T39" s="122"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134"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2">
      <c r="A40" s="115" t="s">
        <v>1875</v>
      </c>
      <c r="B40" s="114" t="s">
        <v>1873</v>
      </c>
      <c r="C40" s="136"/>
      <c r="D40" s="49" t="s">
        <v>76</v>
      </c>
      <c r="E40" s="50"/>
      <c r="F40" s="51"/>
      <c r="G40" s="63"/>
      <c r="H40" s="49" t="s">
        <v>75</v>
      </c>
      <c r="I40" s="132">
        <v>1</v>
      </c>
      <c r="J40" s="53"/>
      <c r="K40" s="53" t="s">
        <v>76</v>
      </c>
      <c r="L40" s="53" t="s">
        <v>77</v>
      </c>
      <c r="M40" s="54" t="s">
        <v>920</v>
      </c>
      <c r="N40" s="59" t="s">
        <v>76</v>
      </c>
      <c r="O40" s="49" t="s">
        <v>75</v>
      </c>
      <c r="P40" s="49" t="s">
        <v>76</v>
      </c>
      <c r="Q40" s="55" t="s">
        <v>76</v>
      </c>
      <c r="R40" s="56" t="s">
        <v>76</v>
      </c>
      <c r="S40" s="49" t="s">
        <v>76</v>
      </c>
      <c r="T40" s="122"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134"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2">
      <c r="A41" s="115" t="s">
        <v>1875</v>
      </c>
      <c r="B41" s="114" t="s">
        <v>1873</v>
      </c>
      <c r="C41" s="136"/>
      <c r="D41" s="49" t="s">
        <v>76</v>
      </c>
      <c r="E41" s="50"/>
      <c r="F41" s="51"/>
      <c r="G41" s="63"/>
      <c r="H41" s="49" t="s">
        <v>75</v>
      </c>
      <c r="I41" s="132">
        <v>1</v>
      </c>
      <c r="J41" s="53"/>
      <c r="K41" s="53" t="s">
        <v>76</v>
      </c>
      <c r="L41" s="53" t="s">
        <v>77</v>
      </c>
      <c r="M41" s="54" t="s">
        <v>920</v>
      </c>
      <c r="N41" s="59" t="s">
        <v>76</v>
      </c>
      <c r="O41" s="49" t="s">
        <v>75</v>
      </c>
      <c r="P41" s="49" t="s">
        <v>76</v>
      </c>
      <c r="Q41" s="55" t="s">
        <v>76</v>
      </c>
      <c r="R41" s="56" t="s">
        <v>76</v>
      </c>
      <c r="S41" s="49" t="s">
        <v>76</v>
      </c>
      <c r="T41" s="122"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134"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2">
      <c r="A42" s="115" t="s">
        <v>1875</v>
      </c>
      <c r="B42" s="114" t="s">
        <v>1873</v>
      </c>
      <c r="C42" s="136"/>
      <c r="D42" s="49" t="s">
        <v>76</v>
      </c>
      <c r="E42" s="50"/>
      <c r="F42" s="51"/>
      <c r="G42" s="63"/>
      <c r="H42" s="49" t="s">
        <v>75</v>
      </c>
      <c r="I42" s="132">
        <v>1</v>
      </c>
      <c r="J42" s="53"/>
      <c r="K42" s="53" t="s">
        <v>76</v>
      </c>
      <c r="L42" s="53" t="s">
        <v>77</v>
      </c>
      <c r="M42" s="54" t="s">
        <v>920</v>
      </c>
      <c r="N42" s="59" t="s">
        <v>76</v>
      </c>
      <c r="O42" s="49" t="s">
        <v>75</v>
      </c>
      <c r="P42" s="49" t="s">
        <v>76</v>
      </c>
      <c r="Q42" s="55" t="s">
        <v>76</v>
      </c>
      <c r="R42" s="56" t="s">
        <v>76</v>
      </c>
      <c r="S42" s="49" t="s">
        <v>76</v>
      </c>
      <c r="T42" s="122"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134"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2">
      <c r="A43" s="115" t="s">
        <v>1875</v>
      </c>
      <c r="B43" s="114" t="s">
        <v>1873</v>
      </c>
      <c r="C43" s="136"/>
      <c r="D43" s="49" t="s">
        <v>76</v>
      </c>
      <c r="E43" s="50"/>
      <c r="F43" s="51"/>
      <c r="G43" s="63"/>
      <c r="H43" s="49" t="s">
        <v>75</v>
      </c>
      <c r="I43" s="132">
        <v>1</v>
      </c>
      <c r="J43" s="53"/>
      <c r="K43" s="53" t="s">
        <v>76</v>
      </c>
      <c r="L43" s="53" t="s">
        <v>77</v>
      </c>
      <c r="M43" s="54" t="s">
        <v>920</v>
      </c>
      <c r="N43" s="59" t="s">
        <v>76</v>
      </c>
      <c r="O43" s="49" t="s">
        <v>75</v>
      </c>
      <c r="P43" s="49" t="s">
        <v>76</v>
      </c>
      <c r="Q43" s="55" t="s">
        <v>76</v>
      </c>
      <c r="R43" s="56" t="s">
        <v>76</v>
      </c>
      <c r="S43" s="49" t="s">
        <v>76</v>
      </c>
      <c r="T43" s="122"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134"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2">
      <c r="A44" s="115" t="s">
        <v>1875</v>
      </c>
      <c r="B44" s="114" t="s">
        <v>1873</v>
      </c>
      <c r="C44" s="136"/>
      <c r="D44" s="49" t="s">
        <v>76</v>
      </c>
      <c r="E44" s="50"/>
      <c r="F44" s="51"/>
      <c r="G44" s="63"/>
      <c r="H44" s="49" t="s">
        <v>75</v>
      </c>
      <c r="I44" s="132">
        <v>1</v>
      </c>
      <c r="J44" s="53"/>
      <c r="K44" s="53" t="s">
        <v>76</v>
      </c>
      <c r="L44" s="53" t="s">
        <v>77</v>
      </c>
      <c r="M44" s="54" t="s">
        <v>920</v>
      </c>
      <c r="N44" s="59" t="s">
        <v>76</v>
      </c>
      <c r="O44" s="49" t="s">
        <v>75</v>
      </c>
      <c r="P44" s="49" t="s">
        <v>76</v>
      </c>
      <c r="Q44" s="55" t="s">
        <v>76</v>
      </c>
      <c r="R44" s="56" t="s">
        <v>76</v>
      </c>
      <c r="S44" s="49" t="s">
        <v>76</v>
      </c>
      <c r="T44" s="122"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134"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2">
      <c r="A45" s="115" t="s">
        <v>1875</v>
      </c>
      <c r="B45" s="114" t="s">
        <v>1873</v>
      </c>
      <c r="C45" s="136"/>
      <c r="D45" s="49" t="s">
        <v>76</v>
      </c>
      <c r="E45" s="50"/>
      <c r="F45" s="51"/>
      <c r="G45" s="63"/>
      <c r="H45" s="49" t="s">
        <v>75</v>
      </c>
      <c r="I45" s="132">
        <v>1</v>
      </c>
      <c r="J45" s="53"/>
      <c r="K45" s="53" t="s">
        <v>76</v>
      </c>
      <c r="L45" s="53" t="s">
        <v>77</v>
      </c>
      <c r="M45" s="54" t="s">
        <v>920</v>
      </c>
      <c r="N45" s="59" t="s">
        <v>76</v>
      </c>
      <c r="O45" s="49" t="s">
        <v>75</v>
      </c>
      <c r="P45" s="49" t="s">
        <v>76</v>
      </c>
      <c r="Q45" s="55" t="s">
        <v>76</v>
      </c>
      <c r="R45" s="56" t="s">
        <v>76</v>
      </c>
      <c r="S45" s="49" t="s">
        <v>76</v>
      </c>
      <c r="T45" s="122"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134"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2">
      <c r="A46" s="115" t="s">
        <v>1875</v>
      </c>
      <c r="B46" s="114" t="s">
        <v>1873</v>
      </c>
      <c r="C46" s="136"/>
      <c r="D46" s="49" t="s">
        <v>76</v>
      </c>
      <c r="E46" s="50"/>
      <c r="F46" s="51"/>
      <c r="G46" s="63"/>
      <c r="H46" s="49" t="s">
        <v>75</v>
      </c>
      <c r="I46" s="132">
        <v>1</v>
      </c>
      <c r="J46" s="53"/>
      <c r="K46" s="53" t="s">
        <v>76</v>
      </c>
      <c r="L46" s="53" t="s">
        <v>77</v>
      </c>
      <c r="M46" s="54" t="s">
        <v>920</v>
      </c>
      <c r="N46" s="59" t="s">
        <v>76</v>
      </c>
      <c r="O46" s="49" t="s">
        <v>75</v>
      </c>
      <c r="P46" s="49" t="s">
        <v>76</v>
      </c>
      <c r="Q46" s="55" t="s">
        <v>76</v>
      </c>
      <c r="R46" s="56" t="s">
        <v>76</v>
      </c>
      <c r="S46" s="49" t="s">
        <v>76</v>
      </c>
      <c r="T46" s="122"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134"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2">
      <c r="A47" s="115" t="s">
        <v>1875</v>
      </c>
      <c r="B47" s="114" t="s">
        <v>1873</v>
      </c>
      <c r="C47" s="136"/>
      <c r="D47" s="49" t="s">
        <v>76</v>
      </c>
      <c r="E47" s="50"/>
      <c r="F47" s="51"/>
      <c r="G47" s="63"/>
      <c r="H47" s="49" t="s">
        <v>75</v>
      </c>
      <c r="I47" s="132">
        <v>1</v>
      </c>
      <c r="J47" s="53"/>
      <c r="K47" s="53" t="s">
        <v>76</v>
      </c>
      <c r="L47" s="53" t="s">
        <v>77</v>
      </c>
      <c r="M47" s="54" t="s">
        <v>920</v>
      </c>
      <c r="N47" s="59" t="s">
        <v>76</v>
      </c>
      <c r="O47" s="49" t="s">
        <v>75</v>
      </c>
      <c r="P47" s="49" t="s">
        <v>76</v>
      </c>
      <c r="Q47" s="55" t="s">
        <v>76</v>
      </c>
      <c r="R47" s="56" t="s">
        <v>76</v>
      </c>
      <c r="S47" s="49" t="s">
        <v>76</v>
      </c>
      <c r="T47" s="122"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134"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2">
      <c r="A48" s="115" t="s">
        <v>1875</v>
      </c>
      <c r="B48" s="114" t="s">
        <v>1873</v>
      </c>
      <c r="C48" s="136"/>
      <c r="D48" s="49" t="s">
        <v>76</v>
      </c>
      <c r="E48" s="50"/>
      <c r="F48" s="51"/>
      <c r="G48" s="63"/>
      <c r="H48" s="49" t="s">
        <v>75</v>
      </c>
      <c r="I48" s="132">
        <v>1</v>
      </c>
      <c r="J48" s="53"/>
      <c r="K48" s="53" t="s">
        <v>76</v>
      </c>
      <c r="L48" s="53" t="s">
        <v>77</v>
      </c>
      <c r="M48" s="54" t="s">
        <v>920</v>
      </c>
      <c r="N48" s="59" t="s">
        <v>76</v>
      </c>
      <c r="O48" s="49" t="s">
        <v>75</v>
      </c>
      <c r="P48" s="49" t="s">
        <v>76</v>
      </c>
      <c r="Q48" s="55" t="s">
        <v>76</v>
      </c>
      <c r="R48" s="56" t="s">
        <v>76</v>
      </c>
      <c r="S48" s="49" t="s">
        <v>76</v>
      </c>
      <c r="T48" s="122"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134"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2">
      <c r="A49" s="115" t="s">
        <v>1875</v>
      </c>
      <c r="B49" s="114" t="s">
        <v>1873</v>
      </c>
      <c r="C49" s="136"/>
      <c r="D49" s="49" t="s">
        <v>76</v>
      </c>
      <c r="E49" s="50"/>
      <c r="F49" s="51"/>
      <c r="G49" s="63"/>
      <c r="H49" s="49" t="s">
        <v>75</v>
      </c>
      <c r="I49" s="132">
        <v>1</v>
      </c>
      <c r="J49" s="53"/>
      <c r="K49" s="53" t="s">
        <v>76</v>
      </c>
      <c r="L49" s="53" t="s">
        <v>77</v>
      </c>
      <c r="M49" s="54" t="s">
        <v>920</v>
      </c>
      <c r="N49" s="59" t="s">
        <v>76</v>
      </c>
      <c r="O49" s="49" t="s">
        <v>75</v>
      </c>
      <c r="P49" s="49" t="s">
        <v>76</v>
      </c>
      <c r="Q49" s="55" t="s">
        <v>76</v>
      </c>
      <c r="R49" s="56" t="s">
        <v>76</v>
      </c>
      <c r="S49" s="49" t="s">
        <v>76</v>
      </c>
      <c r="T49" s="122"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134"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2">
      <c r="A50" s="115" t="s">
        <v>1875</v>
      </c>
      <c r="B50" s="114" t="s">
        <v>1873</v>
      </c>
      <c r="C50" s="136"/>
      <c r="D50" s="49" t="s">
        <v>76</v>
      </c>
      <c r="E50" s="50"/>
      <c r="F50" s="51"/>
      <c r="G50" s="63"/>
      <c r="H50" s="49" t="s">
        <v>75</v>
      </c>
      <c r="I50" s="132">
        <v>1</v>
      </c>
      <c r="J50" s="53"/>
      <c r="K50" s="53" t="s">
        <v>76</v>
      </c>
      <c r="L50" s="53" t="s">
        <v>77</v>
      </c>
      <c r="M50" s="54" t="s">
        <v>920</v>
      </c>
      <c r="N50" s="59" t="s">
        <v>76</v>
      </c>
      <c r="O50" s="49" t="s">
        <v>75</v>
      </c>
      <c r="P50" s="49" t="s">
        <v>76</v>
      </c>
      <c r="Q50" s="55" t="s">
        <v>76</v>
      </c>
      <c r="R50" s="56" t="s">
        <v>76</v>
      </c>
      <c r="S50" s="49" t="s">
        <v>76</v>
      </c>
      <c r="T50" s="122"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134"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2">
      <c r="A51" s="115" t="s">
        <v>1875</v>
      </c>
      <c r="B51" s="114" t="s">
        <v>1873</v>
      </c>
      <c r="C51" s="136"/>
      <c r="D51" s="49" t="s">
        <v>76</v>
      </c>
      <c r="E51" s="50"/>
      <c r="F51" s="51"/>
      <c r="G51" s="63"/>
      <c r="H51" s="49" t="s">
        <v>75</v>
      </c>
      <c r="I51" s="132">
        <v>1</v>
      </c>
      <c r="J51" s="53"/>
      <c r="K51" s="53" t="s">
        <v>76</v>
      </c>
      <c r="L51" s="53" t="s">
        <v>77</v>
      </c>
      <c r="M51" s="54" t="s">
        <v>920</v>
      </c>
      <c r="N51" s="59" t="s">
        <v>76</v>
      </c>
      <c r="O51" s="49" t="s">
        <v>75</v>
      </c>
      <c r="P51" s="49" t="s">
        <v>76</v>
      </c>
      <c r="Q51" s="55" t="s">
        <v>76</v>
      </c>
      <c r="R51" s="56" t="s">
        <v>76</v>
      </c>
      <c r="S51" s="49" t="s">
        <v>76</v>
      </c>
      <c r="T51" s="122"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134"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2">
      <c r="A52" s="115" t="s">
        <v>1875</v>
      </c>
      <c r="B52" s="114" t="s">
        <v>1873</v>
      </c>
      <c r="C52" s="136"/>
      <c r="D52" s="49" t="s">
        <v>76</v>
      </c>
      <c r="E52" s="50"/>
      <c r="F52" s="51"/>
      <c r="G52" s="63"/>
      <c r="H52" s="49" t="s">
        <v>75</v>
      </c>
      <c r="I52" s="132">
        <v>1</v>
      </c>
      <c r="J52" s="53"/>
      <c r="K52" s="53" t="s">
        <v>76</v>
      </c>
      <c r="L52" s="53" t="s">
        <v>77</v>
      </c>
      <c r="M52" s="54" t="s">
        <v>920</v>
      </c>
      <c r="N52" s="59" t="s">
        <v>76</v>
      </c>
      <c r="O52" s="49" t="s">
        <v>75</v>
      </c>
      <c r="P52" s="49" t="s">
        <v>76</v>
      </c>
      <c r="Q52" s="55" t="s">
        <v>76</v>
      </c>
      <c r="R52" s="56" t="s">
        <v>76</v>
      </c>
      <c r="S52" s="49" t="s">
        <v>76</v>
      </c>
      <c r="T52" s="122"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134"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2">
      <c r="A53" s="115" t="s">
        <v>1875</v>
      </c>
      <c r="B53" s="114" t="s">
        <v>1873</v>
      </c>
      <c r="C53" s="136"/>
      <c r="D53" s="49" t="s">
        <v>76</v>
      </c>
      <c r="E53" s="50"/>
      <c r="F53" s="51"/>
      <c r="G53" s="63"/>
      <c r="H53" s="49" t="s">
        <v>75</v>
      </c>
      <c r="I53" s="132">
        <v>1</v>
      </c>
      <c r="J53" s="53"/>
      <c r="K53" s="53" t="s">
        <v>76</v>
      </c>
      <c r="L53" s="53" t="s">
        <v>77</v>
      </c>
      <c r="M53" s="54" t="s">
        <v>920</v>
      </c>
      <c r="N53" s="59" t="s">
        <v>76</v>
      </c>
      <c r="O53" s="49" t="s">
        <v>75</v>
      </c>
      <c r="P53" s="49" t="s">
        <v>76</v>
      </c>
      <c r="Q53" s="55" t="s">
        <v>76</v>
      </c>
      <c r="R53" s="56" t="s">
        <v>76</v>
      </c>
      <c r="S53" s="49" t="s">
        <v>76</v>
      </c>
      <c r="T53" s="122"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134"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2">
      <c r="A54" s="115" t="s">
        <v>1875</v>
      </c>
      <c r="B54" s="114" t="s">
        <v>1873</v>
      </c>
      <c r="C54" s="136"/>
      <c r="D54" s="49" t="s">
        <v>76</v>
      </c>
      <c r="E54" s="50"/>
      <c r="F54" s="51"/>
      <c r="G54" s="63"/>
      <c r="H54" s="49" t="s">
        <v>75</v>
      </c>
      <c r="I54" s="132">
        <v>1</v>
      </c>
      <c r="J54" s="53"/>
      <c r="K54" s="53" t="s">
        <v>76</v>
      </c>
      <c r="L54" s="53" t="s">
        <v>77</v>
      </c>
      <c r="M54" s="54" t="s">
        <v>920</v>
      </c>
      <c r="N54" s="59" t="s">
        <v>76</v>
      </c>
      <c r="O54" s="49" t="s">
        <v>75</v>
      </c>
      <c r="P54" s="49" t="s">
        <v>76</v>
      </c>
      <c r="Q54" s="55" t="s">
        <v>76</v>
      </c>
      <c r="R54" s="56" t="s">
        <v>76</v>
      </c>
      <c r="S54" s="49" t="s">
        <v>76</v>
      </c>
      <c r="T54" s="122"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134"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2">
      <c r="A55" s="115" t="s">
        <v>1875</v>
      </c>
      <c r="B55" s="114" t="s">
        <v>1873</v>
      </c>
      <c r="C55" s="136"/>
      <c r="D55" s="49" t="s">
        <v>76</v>
      </c>
      <c r="E55" s="50"/>
      <c r="F55" s="51"/>
      <c r="G55" s="63"/>
      <c r="H55" s="49" t="s">
        <v>75</v>
      </c>
      <c r="I55" s="132">
        <v>1</v>
      </c>
      <c r="J55" s="53"/>
      <c r="K55" s="53" t="s">
        <v>76</v>
      </c>
      <c r="L55" s="53" t="s">
        <v>77</v>
      </c>
      <c r="M55" s="54" t="s">
        <v>920</v>
      </c>
      <c r="N55" s="59" t="s">
        <v>76</v>
      </c>
      <c r="O55" s="49" t="s">
        <v>75</v>
      </c>
      <c r="P55" s="49" t="s">
        <v>76</v>
      </c>
      <c r="Q55" s="55" t="s">
        <v>76</v>
      </c>
      <c r="R55" s="56" t="s">
        <v>76</v>
      </c>
      <c r="S55" s="49" t="s">
        <v>76</v>
      </c>
      <c r="T55" s="122"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134"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2">
      <c r="A56" s="115" t="s">
        <v>1875</v>
      </c>
      <c r="B56" s="114" t="s">
        <v>1873</v>
      </c>
      <c r="C56" s="136"/>
      <c r="D56" s="49" t="s">
        <v>76</v>
      </c>
      <c r="E56" s="50"/>
      <c r="F56" s="51"/>
      <c r="G56" s="63"/>
      <c r="H56" s="49" t="s">
        <v>75</v>
      </c>
      <c r="I56" s="132">
        <v>1</v>
      </c>
      <c r="J56" s="53"/>
      <c r="K56" s="53" t="s">
        <v>76</v>
      </c>
      <c r="L56" s="53" t="s">
        <v>77</v>
      </c>
      <c r="M56" s="54" t="s">
        <v>920</v>
      </c>
      <c r="N56" s="59" t="s">
        <v>76</v>
      </c>
      <c r="O56" s="49" t="s">
        <v>75</v>
      </c>
      <c r="P56" s="49" t="s">
        <v>76</v>
      </c>
      <c r="Q56" s="55" t="s">
        <v>76</v>
      </c>
      <c r="R56" s="56" t="s">
        <v>76</v>
      </c>
      <c r="S56" s="49" t="s">
        <v>76</v>
      </c>
      <c r="T56" s="122"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134"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2">
      <c r="A57" s="115" t="s">
        <v>1875</v>
      </c>
      <c r="B57" s="114" t="s">
        <v>1873</v>
      </c>
      <c r="C57" s="136"/>
      <c r="D57" s="49" t="s">
        <v>76</v>
      </c>
      <c r="E57" s="50"/>
      <c r="F57" s="51"/>
      <c r="G57" s="63"/>
      <c r="H57" s="49" t="s">
        <v>75</v>
      </c>
      <c r="I57" s="132">
        <v>1</v>
      </c>
      <c r="J57" s="53"/>
      <c r="K57" s="53" t="s">
        <v>76</v>
      </c>
      <c r="L57" s="53" t="s">
        <v>77</v>
      </c>
      <c r="M57" s="54" t="s">
        <v>920</v>
      </c>
      <c r="N57" s="59" t="s">
        <v>76</v>
      </c>
      <c r="O57" s="49" t="s">
        <v>75</v>
      </c>
      <c r="P57" s="49" t="s">
        <v>76</v>
      </c>
      <c r="Q57" s="55" t="s">
        <v>76</v>
      </c>
      <c r="R57" s="56" t="s">
        <v>76</v>
      </c>
      <c r="S57" s="49" t="s">
        <v>76</v>
      </c>
      <c r="T57" s="122"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134"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2">
      <c r="A58" s="115" t="s">
        <v>1875</v>
      </c>
      <c r="B58" s="114" t="s">
        <v>1873</v>
      </c>
      <c r="C58" s="136"/>
      <c r="D58" s="49" t="s">
        <v>76</v>
      </c>
      <c r="E58" s="50"/>
      <c r="F58" s="51"/>
      <c r="G58" s="63"/>
      <c r="H58" s="49" t="s">
        <v>75</v>
      </c>
      <c r="I58" s="132">
        <v>1</v>
      </c>
      <c r="J58" s="53"/>
      <c r="K58" s="53" t="s">
        <v>76</v>
      </c>
      <c r="L58" s="53" t="s">
        <v>77</v>
      </c>
      <c r="M58" s="54" t="s">
        <v>920</v>
      </c>
      <c r="N58" s="59" t="s">
        <v>76</v>
      </c>
      <c r="O58" s="49" t="s">
        <v>75</v>
      </c>
      <c r="P58" s="49" t="s">
        <v>76</v>
      </c>
      <c r="Q58" s="55" t="s">
        <v>76</v>
      </c>
      <c r="R58" s="56" t="s">
        <v>76</v>
      </c>
      <c r="S58" s="49" t="s">
        <v>76</v>
      </c>
      <c r="T58" s="122"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134"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2">
      <c r="A59" s="115" t="s">
        <v>1875</v>
      </c>
      <c r="B59" s="114" t="s">
        <v>1873</v>
      </c>
      <c r="C59" s="136"/>
      <c r="D59" s="49" t="s">
        <v>76</v>
      </c>
      <c r="E59" s="50"/>
      <c r="F59" s="51"/>
      <c r="G59" s="63"/>
      <c r="H59" s="49" t="s">
        <v>75</v>
      </c>
      <c r="I59" s="132">
        <v>1</v>
      </c>
      <c r="J59" s="53"/>
      <c r="K59" s="53" t="s">
        <v>76</v>
      </c>
      <c r="L59" s="53" t="s">
        <v>77</v>
      </c>
      <c r="M59" s="54" t="s">
        <v>920</v>
      </c>
      <c r="N59" s="59" t="s">
        <v>76</v>
      </c>
      <c r="O59" s="49" t="s">
        <v>75</v>
      </c>
      <c r="P59" s="49" t="s">
        <v>76</v>
      </c>
      <c r="Q59" s="55" t="s">
        <v>76</v>
      </c>
      <c r="R59" s="56" t="s">
        <v>76</v>
      </c>
      <c r="S59" s="49" t="s">
        <v>76</v>
      </c>
      <c r="T59" s="122"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134"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2">
      <c r="A60" s="115" t="s">
        <v>1875</v>
      </c>
      <c r="B60" s="114" t="s">
        <v>1873</v>
      </c>
      <c r="C60" s="136"/>
      <c r="D60" s="49" t="s">
        <v>76</v>
      </c>
      <c r="E60" s="50"/>
      <c r="F60" s="51"/>
      <c r="G60" s="63"/>
      <c r="H60" s="49" t="s">
        <v>75</v>
      </c>
      <c r="I60" s="132">
        <v>1</v>
      </c>
      <c r="J60" s="53"/>
      <c r="K60" s="53" t="s">
        <v>76</v>
      </c>
      <c r="L60" s="53" t="s">
        <v>77</v>
      </c>
      <c r="M60" s="54" t="s">
        <v>920</v>
      </c>
      <c r="N60" s="59" t="s">
        <v>76</v>
      </c>
      <c r="O60" s="49" t="s">
        <v>75</v>
      </c>
      <c r="P60" s="49" t="s">
        <v>76</v>
      </c>
      <c r="Q60" s="55" t="s">
        <v>76</v>
      </c>
      <c r="R60" s="56" t="s">
        <v>76</v>
      </c>
      <c r="S60" s="49" t="s">
        <v>76</v>
      </c>
      <c r="T60" s="122"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134"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2">
      <c r="A61" s="115" t="s">
        <v>1875</v>
      </c>
      <c r="B61" s="114" t="s">
        <v>1873</v>
      </c>
      <c r="C61" s="136"/>
      <c r="D61" s="49" t="s">
        <v>76</v>
      </c>
      <c r="E61" s="50"/>
      <c r="F61" s="51"/>
      <c r="G61" s="63"/>
      <c r="H61" s="49" t="s">
        <v>75</v>
      </c>
      <c r="I61" s="132">
        <v>1</v>
      </c>
      <c r="J61" s="53"/>
      <c r="K61" s="53" t="s">
        <v>76</v>
      </c>
      <c r="L61" s="53" t="s">
        <v>77</v>
      </c>
      <c r="M61" s="54" t="s">
        <v>920</v>
      </c>
      <c r="N61" s="59" t="s">
        <v>76</v>
      </c>
      <c r="O61" s="49" t="s">
        <v>75</v>
      </c>
      <c r="P61" s="49" t="s">
        <v>76</v>
      </c>
      <c r="Q61" s="55" t="s">
        <v>76</v>
      </c>
      <c r="R61" s="56" t="s">
        <v>76</v>
      </c>
      <c r="S61" s="49" t="s">
        <v>76</v>
      </c>
      <c r="T61" s="122"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134"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2">
      <c r="A62" s="115" t="s">
        <v>1875</v>
      </c>
      <c r="B62" s="114" t="s">
        <v>1873</v>
      </c>
      <c r="C62" s="136"/>
      <c r="D62" s="49" t="s">
        <v>76</v>
      </c>
      <c r="E62" s="50"/>
      <c r="F62" s="51"/>
      <c r="G62" s="63"/>
      <c r="H62" s="49" t="s">
        <v>75</v>
      </c>
      <c r="I62" s="132">
        <v>1</v>
      </c>
      <c r="J62" s="53"/>
      <c r="K62" s="53" t="s">
        <v>76</v>
      </c>
      <c r="L62" s="53" t="s">
        <v>77</v>
      </c>
      <c r="M62" s="54" t="s">
        <v>920</v>
      </c>
      <c r="N62" s="59" t="s">
        <v>76</v>
      </c>
      <c r="O62" s="49" t="s">
        <v>75</v>
      </c>
      <c r="P62" s="49" t="s">
        <v>76</v>
      </c>
      <c r="Q62" s="55" t="s">
        <v>76</v>
      </c>
      <c r="R62" s="56" t="s">
        <v>76</v>
      </c>
      <c r="S62" s="49" t="s">
        <v>76</v>
      </c>
      <c r="T62" s="122"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134"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2">
      <c r="A63" s="115" t="s">
        <v>1875</v>
      </c>
      <c r="B63" s="114" t="s">
        <v>1873</v>
      </c>
      <c r="C63" s="136"/>
      <c r="D63" s="49" t="s">
        <v>76</v>
      </c>
      <c r="E63" s="50"/>
      <c r="F63" s="51"/>
      <c r="G63" s="63"/>
      <c r="H63" s="49" t="s">
        <v>75</v>
      </c>
      <c r="I63" s="132">
        <v>1</v>
      </c>
      <c r="J63" s="53"/>
      <c r="K63" s="53" t="s">
        <v>76</v>
      </c>
      <c r="L63" s="53" t="s">
        <v>77</v>
      </c>
      <c r="M63" s="54" t="s">
        <v>920</v>
      </c>
      <c r="N63" s="59" t="s">
        <v>76</v>
      </c>
      <c r="O63" s="49" t="s">
        <v>75</v>
      </c>
      <c r="P63" s="49" t="s">
        <v>76</v>
      </c>
      <c r="Q63" s="55" t="s">
        <v>76</v>
      </c>
      <c r="R63" s="56" t="s">
        <v>76</v>
      </c>
      <c r="S63" s="49" t="s">
        <v>76</v>
      </c>
      <c r="T63" s="122"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134"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2">
      <c r="A64" s="115" t="s">
        <v>1875</v>
      </c>
      <c r="B64" s="114" t="s">
        <v>1873</v>
      </c>
      <c r="C64" s="136"/>
      <c r="D64" s="49" t="s">
        <v>76</v>
      </c>
      <c r="E64" s="50"/>
      <c r="F64" s="51"/>
      <c r="G64" s="63"/>
      <c r="H64" s="49" t="s">
        <v>75</v>
      </c>
      <c r="I64" s="132">
        <v>1</v>
      </c>
      <c r="J64" s="53"/>
      <c r="K64" s="53" t="s">
        <v>76</v>
      </c>
      <c r="L64" s="53" t="s">
        <v>77</v>
      </c>
      <c r="M64" s="54" t="s">
        <v>920</v>
      </c>
      <c r="N64" s="59" t="s">
        <v>76</v>
      </c>
      <c r="O64" s="49" t="s">
        <v>75</v>
      </c>
      <c r="P64" s="49" t="s">
        <v>76</v>
      </c>
      <c r="Q64" s="55" t="s">
        <v>76</v>
      </c>
      <c r="R64" s="56" t="s">
        <v>76</v>
      </c>
      <c r="S64" s="49" t="s">
        <v>76</v>
      </c>
      <c r="T64" s="122"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134"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2">
      <c r="A65" s="115" t="s">
        <v>1875</v>
      </c>
      <c r="B65" s="114" t="s">
        <v>1873</v>
      </c>
      <c r="C65" s="136"/>
      <c r="D65" s="49" t="s">
        <v>76</v>
      </c>
      <c r="E65" s="50"/>
      <c r="F65" s="51"/>
      <c r="G65" s="63"/>
      <c r="H65" s="49" t="s">
        <v>75</v>
      </c>
      <c r="I65" s="132">
        <v>1</v>
      </c>
      <c r="J65" s="53"/>
      <c r="K65" s="53" t="s">
        <v>76</v>
      </c>
      <c r="L65" s="53" t="s">
        <v>77</v>
      </c>
      <c r="M65" s="54" t="s">
        <v>920</v>
      </c>
      <c r="N65" s="59" t="s">
        <v>76</v>
      </c>
      <c r="O65" s="49" t="s">
        <v>75</v>
      </c>
      <c r="P65" s="49" t="s">
        <v>76</v>
      </c>
      <c r="Q65" s="55" t="s">
        <v>76</v>
      </c>
      <c r="R65" s="56" t="s">
        <v>76</v>
      </c>
      <c r="S65" s="49" t="s">
        <v>76</v>
      </c>
      <c r="T65" s="122"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134"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2">
      <c r="A66" s="115" t="s">
        <v>1875</v>
      </c>
      <c r="B66" s="114" t="s">
        <v>1873</v>
      </c>
      <c r="C66" s="136"/>
      <c r="D66" s="49" t="s">
        <v>76</v>
      </c>
      <c r="E66" s="50"/>
      <c r="F66" s="51"/>
      <c r="G66" s="63"/>
      <c r="H66" s="49" t="s">
        <v>75</v>
      </c>
      <c r="I66" s="132">
        <v>1</v>
      </c>
      <c r="J66" s="53"/>
      <c r="K66" s="53" t="s">
        <v>76</v>
      </c>
      <c r="L66" s="53" t="s">
        <v>77</v>
      </c>
      <c r="M66" s="54" t="s">
        <v>920</v>
      </c>
      <c r="N66" s="59" t="s">
        <v>76</v>
      </c>
      <c r="O66" s="49" t="s">
        <v>75</v>
      </c>
      <c r="P66" s="49" t="s">
        <v>76</v>
      </c>
      <c r="Q66" s="55" t="s">
        <v>76</v>
      </c>
      <c r="R66" s="56" t="s">
        <v>76</v>
      </c>
      <c r="S66" s="49" t="s">
        <v>76</v>
      </c>
      <c r="T66" s="122"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134"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2">
      <c r="A67" s="115" t="s">
        <v>1875</v>
      </c>
      <c r="B67" s="114" t="s">
        <v>1873</v>
      </c>
      <c r="C67" s="136"/>
      <c r="D67" s="49" t="s">
        <v>76</v>
      </c>
      <c r="E67" s="50"/>
      <c r="F67" s="51"/>
      <c r="G67" s="63"/>
      <c r="H67" s="49" t="s">
        <v>75</v>
      </c>
      <c r="I67" s="132">
        <v>1</v>
      </c>
      <c r="J67" s="53"/>
      <c r="K67" s="53" t="s">
        <v>76</v>
      </c>
      <c r="L67" s="53" t="s">
        <v>77</v>
      </c>
      <c r="M67" s="54" t="s">
        <v>920</v>
      </c>
      <c r="N67" s="59" t="s">
        <v>76</v>
      </c>
      <c r="O67" s="49" t="s">
        <v>75</v>
      </c>
      <c r="P67" s="49" t="s">
        <v>76</v>
      </c>
      <c r="Q67" s="55" t="s">
        <v>76</v>
      </c>
      <c r="R67" s="56" t="s">
        <v>76</v>
      </c>
      <c r="S67" s="49" t="s">
        <v>76</v>
      </c>
      <c r="T67" s="122"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134"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2">
      <c r="A68" s="115" t="s">
        <v>1875</v>
      </c>
      <c r="B68" s="114" t="s">
        <v>1873</v>
      </c>
      <c r="C68" s="136"/>
      <c r="D68" s="49" t="s">
        <v>76</v>
      </c>
      <c r="E68" s="50"/>
      <c r="F68" s="51"/>
      <c r="G68" s="63"/>
      <c r="H68" s="49" t="s">
        <v>75</v>
      </c>
      <c r="I68" s="132">
        <v>1</v>
      </c>
      <c r="J68" s="53"/>
      <c r="K68" s="53" t="s">
        <v>76</v>
      </c>
      <c r="L68" s="53" t="s">
        <v>77</v>
      </c>
      <c r="M68" s="54" t="s">
        <v>920</v>
      </c>
      <c r="N68" s="59" t="s">
        <v>76</v>
      </c>
      <c r="O68" s="49" t="s">
        <v>75</v>
      </c>
      <c r="P68" s="49" t="s">
        <v>76</v>
      </c>
      <c r="Q68" s="55" t="s">
        <v>76</v>
      </c>
      <c r="R68" s="56" t="s">
        <v>76</v>
      </c>
      <c r="S68" s="49" t="s">
        <v>76</v>
      </c>
      <c r="T68" s="122"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134"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2">
      <c r="A69" s="115" t="s">
        <v>1875</v>
      </c>
      <c r="B69" s="114" t="s">
        <v>1873</v>
      </c>
      <c r="C69" s="136"/>
      <c r="D69" s="49" t="s">
        <v>76</v>
      </c>
      <c r="E69" s="50"/>
      <c r="F69" s="51"/>
      <c r="G69" s="63"/>
      <c r="H69" s="49" t="s">
        <v>75</v>
      </c>
      <c r="I69" s="132">
        <v>1</v>
      </c>
      <c r="J69" s="53"/>
      <c r="K69" s="53" t="s">
        <v>76</v>
      </c>
      <c r="L69" s="53" t="s">
        <v>77</v>
      </c>
      <c r="M69" s="54" t="s">
        <v>920</v>
      </c>
      <c r="N69" s="59" t="s">
        <v>76</v>
      </c>
      <c r="O69" s="49" t="s">
        <v>75</v>
      </c>
      <c r="P69" s="49" t="s">
        <v>76</v>
      </c>
      <c r="Q69" s="55" t="s">
        <v>76</v>
      </c>
      <c r="R69" s="56" t="s">
        <v>76</v>
      </c>
      <c r="S69" s="49" t="s">
        <v>76</v>
      </c>
      <c r="T69" s="122"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134"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2">
      <c r="A70" s="115" t="s">
        <v>1875</v>
      </c>
      <c r="B70" s="114" t="s">
        <v>1873</v>
      </c>
      <c r="C70" s="136"/>
      <c r="D70" s="49" t="s">
        <v>76</v>
      </c>
      <c r="E70" s="50"/>
      <c r="F70" s="51"/>
      <c r="G70" s="63"/>
      <c r="H70" s="49" t="s">
        <v>75</v>
      </c>
      <c r="I70" s="132">
        <v>1</v>
      </c>
      <c r="J70" s="53"/>
      <c r="K70" s="53" t="s">
        <v>76</v>
      </c>
      <c r="L70" s="53" t="s">
        <v>77</v>
      </c>
      <c r="M70" s="54" t="s">
        <v>920</v>
      </c>
      <c r="N70" s="59" t="s">
        <v>76</v>
      </c>
      <c r="O70" s="49" t="s">
        <v>75</v>
      </c>
      <c r="P70" s="49" t="s">
        <v>76</v>
      </c>
      <c r="Q70" s="55" t="s">
        <v>76</v>
      </c>
      <c r="R70" s="56" t="s">
        <v>76</v>
      </c>
      <c r="S70" s="49" t="s">
        <v>76</v>
      </c>
      <c r="T70" s="122"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134"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2">
      <c r="A71" s="115" t="s">
        <v>1875</v>
      </c>
      <c r="B71" s="114" t="s">
        <v>1873</v>
      </c>
      <c r="C71" s="136"/>
      <c r="D71" s="49" t="s">
        <v>76</v>
      </c>
      <c r="E71" s="50"/>
      <c r="F71" s="51"/>
      <c r="G71" s="63"/>
      <c r="H71" s="49" t="s">
        <v>75</v>
      </c>
      <c r="I71" s="132">
        <v>1</v>
      </c>
      <c r="J71" s="53"/>
      <c r="K71" s="53" t="s">
        <v>76</v>
      </c>
      <c r="L71" s="53" t="s">
        <v>77</v>
      </c>
      <c r="M71" s="54" t="s">
        <v>920</v>
      </c>
      <c r="N71" s="59" t="s">
        <v>76</v>
      </c>
      <c r="O71" s="49" t="s">
        <v>75</v>
      </c>
      <c r="P71" s="49" t="s">
        <v>76</v>
      </c>
      <c r="Q71" s="55" t="s">
        <v>76</v>
      </c>
      <c r="R71" s="56" t="s">
        <v>76</v>
      </c>
      <c r="S71" s="49" t="s">
        <v>76</v>
      </c>
      <c r="T71" s="122"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134"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2">
      <c r="A72" s="115" t="s">
        <v>1875</v>
      </c>
      <c r="B72" s="114" t="s">
        <v>1873</v>
      </c>
      <c r="C72" s="136"/>
      <c r="D72" s="49" t="s">
        <v>76</v>
      </c>
      <c r="E72" s="50"/>
      <c r="F72" s="51"/>
      <c r="G72" s="63"/>
      <c r="H72" s="49" t="s">
        <v>75</v>
      </c>
      <c r="I72" s="132">
        <v>1</v>
      </c>
      <c r="J72" s="53"/>
      <c r="K72" s="53" t="s">
        <v>76</v>
      </c>
      <c r="L72" s="53" t="s">
        <v>77</v>
      </c>
      <c r="M72" s="54" t="s">
        <v>920</v>
      </c>
      <c r="N72" s="59" t="s">
        <v>76</v>
      </c>
      <c r="O72" s="49" t="s">
        <v>75</v>
      </c>
      <c r="P72" s="49" t="s">
        <v>76</v>
      </c>
      <c r="Q72" s="55" t="s">
        <v>76</v>
      </c>
      <c r="R72" s="56" t="s">
        <v>76</v>
      </c>
      <c r="S72" s="49" t="s">
        <v>76</v>
      </c>
      <c r="T72" s="122"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134"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2">
      <c r="A73" s="115" t="s">
        <v>1875</v>
      </c>
      <c r="B73" s="114" t="s">
        <v>1873</v>
      </c>
      <c r="C73" s="136"/>
      <c r="D73" s="49" t="s">
        <v>76</v>
      </c>
      <c r="E73" s="50"/>
      <c r="F73" s="51"/>
      <c r="G73" s="63"/>
      <c r="H73" s="49" t="s">
        <v>75</v>
      </c>
      <c r="I73" s="132">
        <v>1</v>
      </c>
      <c r="J73" s="53"/>
      <c r="K73" s="53" t="s">
        <v>76</v>
      </c>
      <c r="L73" s="53" t="s">
        <v>77</v>
      </c>
      <c r="M73" s="54" t="s">
        <v>920</v>
      </c>
      <c r="N73" s="59" t="s">
        <v>76</v>
      </c>
      <c r="O73" s="49" t="s">
        <v>75</v>
      </c>
      <c r="P73" s="49" t="s">
        <v>76</v>
      </c>
      <c r="Q73" s="55" t="s">
        <v>76</v>
      </c>
      <c r="R73" s="56" t="s">
        <v>76</v>
      </c>
      <c r="S73" s="49" t="s">
        <v>76</v>
      </c>
      <c r="T73" s="122"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134"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2">
      <c r="A74" s="115" t="s">
        <v>1875</v>
      </c>
      <c r="B74" s="114" t="s">
        <v>1873</v>
      </c>
      <c r="C74" s="136"/>
      <c r="D74" s="49" t="s">
        <v>76</v>
      </c>
      <c r="E74" s="50"/>
      <c r="F74" s="51"/>
      <c r="G74" s="63"/>
      <c r="H74" s="49" t="s">
        <v>75</v>
      </c>
      <c r="I74" s="132">
        <v>1</v>
      </c>
      <c r="J74" s="53"/>
      <c r="K74" s="53" t="s">
        <v>76</v>
      </c>
      <c r="L74" s="53" t="s">
        <v>77</v>
      </c>
      <c r="M74" s="54" t="s">
        <v>920</v>
      </c>
      <c r="N74" s="59" t="s">
        <v>76</v>
      </c>
      <c r="O74" s="49" t="s">
        <v>75</v>
      </c>
      <c r="P74" s="49" t="s">
        <v>76</v>
      </c>
      <c r="Q74" s="55" t="s">
        <v>76</v>
      </c>
      <c r="R74" s="56" t="s">
        <v>76</v>
      </c>
      <c r="S74" s="49" t="s">
        <v>76</v>
      </c>
      <c r="T74" s="122"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134"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2">
      <c r="A75" s="115" t="s">
        <v>1875</v>
      </c>
      <c r="B75" s="114" t="s">
        <v>1873</v>
      </c>
      <c r="C75" s="136"/>
      <c r="D75" s="49" t="s">
        <v>76</v>
      </c>
      <c r="E75" s="50"/>
      <c r="F75" s="51"/>
      <c r="G75" s="63"/>
      <c r="H75" s="49" t="s">
        <v>75</v>
      </c>
      <c r="I75" s="132">
        <v>1</v>
      </c>
      <c r="J75" s="53"/>
      <c r="K75" s="53" t="s">
        <v>76</v>
      </c>
      <c r="L75" s="53" t="s">
        <v>77</v>
      </c>
      <c r="M75" s="54" t="s">
        <v>920</v>
      </c>
      <c r="N75" s="59" t="s">
        <v>76</v>
      </c>
      <c r="O75" s="49" t="s">
        <v>75</v>
      </c>
      <c r="P75" s="49" t="s">
        <v>76</v>
      </c>
      <c r="Q75" s="55" t="s">
        <v>76</v>
      </c>
      <c r="R75" s="56" t="s">
        <v>76</v>
      </c>
      <c r="S75" s="49" t="s">
        <v>76</v>
      </c>
      <c r="T75" s="122"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134"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2">
      <c r="A76" s="115" t="s">
        <v>1875</v>
      </c>
      <c r="B76" s="114" t="s">
        <v>1873</v>
      </c>
      <c r="C76" s="136"/>
      <c r="D76" s="49" t="s">
        <v>76</v>
      </c>
      <c r="E76" s="50"/>
      <c r="F76" s="51"/>
      <c r="G76" s="63"/>
      <c r="H76" s="49" t="s">
        <v>75</v>
      </c>
      <c r="I76" s="132">
        <v>1</v>
      </c>
      <c r="J76" s="53"/>
      <c r="K76" s="53" t="s">
        <v>76</v>
      </c>
      <c r="L76" s="53" t="s">
        <v>77</v>
      </c>
      <c r="M76" s="54" t="s">
        <v>920</v>
      </c>
      <c r="N76" s="59" t="s">
        <v>76</v>
      </c>
      <c r="O76" s="49" t="s">
        <v>75</v>
      </c>
      <c r="P76" s="49" t="s">
        <v>76</v>
      </c>
      <c r="Q76" s="55" t="s">
        <v>76</v>
      </c>
      <c r="R76" s="56" t="s">
        <v>76</v>
      </c>
      <c r="S76" s="49" t="s">
        <v>76</v>
      </c>
      <c r="T76" s="122"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134"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2">
      <c r="A77" s="115" t="s">
        <v>1875</v>
      </c>
      <c r="B77" s="114" t="s">
        <v>1873</v>
      </c>
      <c r="C77" s="136"/>
      <c r="D77" s="49" t="s">
        <v>76</v>
      </c>
      <c r="E77" s="50"/>
      <c r="F77" s="51"/>
      <c r="G77" s="63"/>
      <c r="H77" s="49" t="s">
        <v>75</v>
      </c>
      <c r="I77" s="132">
        <v>1</v>
      </c>
      <c r="J77" s="53"/>
      <c r="K77" s="53" t="s">
        <v>76</v>
      </c>
      <c r="L77" s="53" t="s">
        <v>77</v>
      </c>
      <c r="M77" s="54" t="s">
        <v>920</v>
      </c>
      <c r="N77" s="59" t="s">
        <v>76</v>
      </c>
      <c r="O77" s="49" t="s">
        <v>75</v>
      </c>
      <c r="P77" s="49" t="s">
        <v>76</v>
      </c>
      <c r="Q77" s="55" t="s">
        <v>76</v>
      </c>
      <c r="R77" s="56" t="s">
        <v>76</v>
      </c>
      <c r="S77" s="49" t="s">
        <v>76</v>
      </c>
      <c r="T77" s="122"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134"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2">
      <c r="A78" s="115" t="s">
        <v>1875</v>
      </c>
      <c r="B78" s="114" t="s">
        <v>1873</v>
      </c>
      <c r="C78" s="136"/>
      <c r="D78" s="49" t="s">
        <v>76</v>
      </c>
      <c r="E78" s="50"/>
      <c r="F78" s="51"/>
      <c r="G78" s="63"/>
      <c r="H78" s="49" t="s">
        <v>75</v>
      </c>
      <c r="I78" s="132">
        <v>1</v>
      </c>
      <c r="J78" s="53"/>
      <c r="K78" s="53" t="s">
        <v>76</v>
      </c>
      <c r="L78" s="53" t="s">
        <v>77</v>
      </c>
      <c r="M78" s="54" t="s">
        <v>920</v>
      </c>
      <c r="N78" s="59" t="s">
        <v>76</v>
      </c>
      <c r="O78" s="49" t="s">
        <v>75</v>
      </c>
      <c r="P78" s="49" t="s">
        <v>76</v>
      </c>
      <c r="Q78" s="55" t="s">
        <v>76</v>
      </c>
      <c r="R78" s="56" t="s">
        <v>76</v>
      </c>
      <c r="S78" s="49" t="s">
        <v>76</v>
      </c>
      <c r="T78" s="122"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134"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2">
      <c r="A79" s="115" t="s">
        <v>1875</v>
      </c>
      <c r="B79" s="114" t="s">
        <v>1873</v>
      </c>
      <c r="C79" s="136"/>
      <c r="D79" s="49" t="s">
        <v>76</v>
      </c>
      <c r="E79" s="50"/>
      <c r="F79" s="51"/>
      <c r="G79" s="63"/>
      <c r="H79" s="49" t="s">
        <v>75</v>
      </c>
      <c r="I79" s="132">
        <v>1</v>
      </c>
      <c r="J79" s="53"/>
      <c r="K79" s="53" t="s">
        <v>76</v>
      </c>
      <c r="L79" s="53" t="s">
        <v>77</v>
      </c>
      <c r="M79" s="54" t="s">
        <v>920</v>
      </c>
      <c r="N79" s="59" t="s">
        <v>76</v>
      </c>
      <c r="O79" s="49" t="s">
        <v>75</v>
      </c>
      <c r="P79" s="49" t="s">
        <v>76</v>
      </c>
      <c r="Q79" s="55" t="s">
        <v>76</v>
      </c>
      <c r="R79" s="56" t="s">
        <v>76</v>
      </c>
      <c r="S79" s="49" t="s">
        <v>76</v>
      </c>
      <c r="T79" s="122"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134"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2">
      <c r="A80" s="115" t="s">
        <v>1875</v>
      </c>
      <c r="B80" s="114" t="s">
        <v>1873</v>
      </c>
      <c r="C80" s="136"/>
      <c r="D80" s="49" t="s">
        <v>76</v>
      </c>
      <c r="E80" s="50"/>
      <c r="F80" s="51"/>
      <c r="G80" s="63"/>
      <c r="H80" s="49" t="s">
        <v>75</v>
      </c>
      <c r="I80" s="132">
        <v>1</v>
      </c>
      <c r="J80" s="53"/>
      <c r="K80" s="53" t="s">
        <v>76</v>
      </c>
      <c r="L80" s="53" t="s">
        <v>77</v>
      </c>
      <c r="M80" s="54" t="s">
        <v>920</v>
      </c>
      <c r="N80" s="59" t="s">
        <v>76</v>
      </c>
      <c r="O80" s="49" t="s">
        <v>75</v>
      </c>
      <c r="P80" s="49" t="s">
        <v>76</v>
      </c>
      <c r="Q80" s="55" t="s">
        <v>76</v>
      </c>
      <c r="R80" s="56" t="s">
        <v>76</v>
      </c>
      <c r="S80" s="49" t="s">
        <v>76</v>
      </c>
      <c r="T80" s="122"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134"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2">
      <c r="A81" s="115" t="s">
        <v>1875</v>
      </c>
      <c r="B81" s="114" t="s">
        <v>1873</v>
      </c>
      <c r="C81" s="136"/>
      <c r="D81" s="49" t="s">
        <v>76</v>
      </c>
      <c r="E81" s="50"/>
      <c r="F81" s="51"/>
      <c r="G81" s="63"/>
      <c r="H81" s="49" t="s">
        <v>75</v>
      </c>
      <c r="I81" s="132">
        <v>1</v>
      </c>
      <c r="J81" s="53"/>
      <c r="K81" s="53" t="s">
        <v>76</v>
      </c>
      <c r="L81" s="53" t="s">
        <v>77</v>
      </c>
      <c r="M81" s="54" t="s">
        <v>920</v>
      </c>
      <c r="N81" s="59" t="s">
        <v>76</v>
      </c>
      <c r="O81" s="49" t="s">
        <v>75</v>
      </c>
      <c r="P81" s="49" t="s">
        <v>76</v>
      </c>
      <c r="Q81" s="55" t="s">
        <v>76</v>
      </c>
      <c r="R81" s="56" t="s">
        <v>76</v>
      </c>
      <c r="S81" s="49" t="s">
        <v>76</v>
      </c>
      <c r="T81" s="122"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134"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2">
      <c r="A82" s="115" t="s">
        <v>1875</v>
      </c>
      <c r="B82" s="114" t="s">
        <v>1873</v>
      </c>
      <c r="C82" s="136"/>
      <c r="D82" s="49" t="s">
        <v>76</v>
      </c>
      <c r="E82" s="50"/>
      <c r="F82" s="51"/>
      <c r="G82" s="63"/>
      <c r="H82" s="49" t="s">
        <v>75</v>
      </c>
      <c r="I82" s="132">
        <v>1</v>
      </c>
      <c r="J82" s="53"/>
      <c r="K82" s="53" t="s">
        <v>76</v>
      </c>
      <c r="L82" s="53" t="s">
        <v>77</v>
      </c>
      <c r="M82" s="54" t="s">
        <v>920</v>
      </c>
      <c r="N82" s="59" t="s">
        <v>76</v>
      </c>
      <c r="O82" s="49" t="s">
        <v>75</v>
      </c>
      <c r="P82" s="49" t="s">
        <v>76</v>
      </c>
      <c r="Q82" s="55" t="s">
        <v>76</v>
      </c>
      <c r="R82" s="56" t="s">
        <v>76</v>
      </c>
      <c r="S82" s="49" t="s">
        <v>76</v>
      </c>
      <c r="T82" s="122"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134"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2">
      <c r="A83" s="115" t="s">
        <v>1875</v>
      </c>
      <c r="B83" s="114" t="s">
        <v>1873</v>
      </c>
      <c r="C83" s="136"/>
      <c r="D83" s="49" t="s">
        <v>76</v>
      </c>
      <c r="E83" s="50"/>
      <c r="F83" s="51"/>
      <c r="G83" s="63"/>
      <c r="H83" s="49" t="s">
        <v>75</v>
      </c>
      <c r="I83" s="132">
        <v>1</v>
      </c>
      <c r="J83" s="53"/>
      <c r="K83" s="53" t="s">
        <v>76</v>
      </c>
      <c r="L83" s="53" t="s">
        <v>77</v>
      </c>
      <c r="M83" s="54" t="s">
        <v>920</v>
      </c>
      <c r="N83" s="59" t="s">
        <v>76</v>
      </c>
      <c r="O83" s="49" t="s">
        <v>75</v>
      </c>
      <c r="P83" s="49" t="s">
        <v>76</v>
      </c>
      <c r="Q83" s="55" t="s">
        <v>76</v>
      </c>
      <c r="R83" s="56" t="s">
        <v>76</v>
      </c>
      <c r="S83" s="49" t="s">
        <v>76</v>
      </c>
      <c r="T83" s="122"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134"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2">
      <c r="A84" s="115" t="s">
        <v>1875</v>
      </c>
      <c r="B84" s="114" t="s">
        <v>1873</v>
      </c>
      <c r="C84" s="136"/>
      <c r="D84" s="49" t="s">
        <v>76</v>
      </c>
      <c r="E84" s="50"/>
      <c r="F84" s="51"/>
      <c r="G84" s="63"/>
      <c r="H84" s="49" t="s">
        <v>75</v>
      </c>
      <c r="I84" s="132">
        <v>1</v>
      </c>
      <c r="J84" s="53"/>
      <c r="K84" s="53" t="s">
        <v>76</v>
      </c>
      <c r="L84" s="53" t="s">
        <v>77</v>
      </c>
      <c r="M84" s="54" t="s">
        <v>920</v>
      </c>
      <c r="N84" s="59" t="s">
        <v>76</v>
      </c>
      <c r="O84" s="49" t="s">
        <v>75</v>
      </c>
      <c r="P84" s="49" t="s">
        <v>76</v>
      </c>
      <c r="Q84" s="55" t="s">
        <v>76</v>
      </c>
      <c r="R84" s="56" t="s">
        <v>76</v>
      </c>
      <c r="S84" s="49" t="s">
        <v>76</v>
      </c>
      <c r="T84" s="122"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134"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2">
      <c r="A85" s="115" t="s">
        <v>1875</v>
      </c>
      <c r="B85" s="114" t="s">
        <v>1873</v>
      </c>
      <c r="C85" s="136"/>
      <c r="D85" s="49" t="s">
        <v>76</v>
      </c>
      <c r="E85" s="50"/>
      <c r="F85" s="51"/>
      <c r="G85" s="63"/>
      <c r="H85" s="49" t="s">
        <v>75</v>
      </c>
      <c r="I85" s="132">
        <v>1</v>
      </c>
      <c r="J85" s="53"/>
      <c r="K85" s="53" t="s">
        <v>76</v>
      </c>
      <c r="L85" s="53" t="s">
        <v>77</v>
      </c>
      <c r="M85" s="54" t="s">
        <v>920</v>
      </c>
      <c r="N85" s="59" t="s">
        <v>76</v>
      </c>
      <c r="O85" s="49" t="s">
        <v>75</v>
      </c>
      <c r="P85" s="49" t="s">
        <v>76</v>
      </c>
      <c r="Q85" s="55" t="s">
        <v>76</v>
      </c>
      <c r="R85" s="56" t="s">
        <v>76</v>
      </c>
      <c r="S85" s="49" t="s">
        <v>76</v>
      </c>
      <c r="T85" s="122"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134"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2">
      <c r="A86" s="115" t="s">
        <v>1875</v>
      </c>
      <c r="B86" s="114" t="s">
        <v>1873</v>
      </c>
      <c r="C86" s="136"/>
      <c r="D86" s="49" t="s">
        <v>76</v>
      </c>
      <c r="E86" s="50"/>
      <c r="F86" s="51"/>
      <c r="G86" s="63"/>
      <c r="H86" s="49" t="s">
        <v>75</v>
      </c>
      <c r="I86" s="132">
        <v>1</v>
      </c>
      <c r="J86" s="53"/>
      <c r="K86" s="53" t="s">
        <v>76</v>
      </c>
      <c r="L86" s="53" t="s">
        <v>77</v>
      </c>
      <c r="M86" s="54" t="s">
        <v>920</v>
      </c>
      <c r="N86" s="59" t="s">
        <v>76</v>
      </c>
      <c r="O86" s="49" t="s">
        <v>75</v>
      </c>
      <c r="P86" s="49" t="s">
        <v>76</v>
      </c>
      <c r="Q86" s="55" t="s">
        <v>76</v>
      </c>
      <c r="R86" s="56" t="s">
        <v>76</v>
      </c>
      <c r="S86" s="49" t="s">
        <v>76</v>
      </c>
      <c r="T86" s="122"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134"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2">
      <c r="A87" s="115" t="s">
        <v>1875</v>
      </c>
      <c r="B87" s="114" t="s">
        <v>1873</v>
      </c>
      <c r="C87" s="136"/>
      <c r="D87" s="49" t="s">
        <v>76</v>
      </c>
      <c r="E87" s="50"/>
      <c r="F87" s="51"/>
      <c r="G87" s="63"/>
      <c r="H87" s="49" t="s">
        <v>75</v>
      </c>
      <c r="I87" s="132">
        <v>1</v>
      </c>
      <c r="J87" s="53"/>
      <c r="K87" s="53" t="s">
        <v>76</v>
      </c>
      <c r="L87" s="53" t="s">
        <v>77</v>
      </c>
      <c r="M87" s="54" t="s">
        <v>920</v>
      </c>
      <c r="N87" s="59" t="s">
        <v>76</v>
      </c>
      <c r="O87" s="49" t="s">
        <v>75</v>
      </c>
      <c r="P87" s="49" t="s">
        <v>76</v>
      </c>
      <c r="Q87" s="55" t="s">
        <v>76</v>
      </c>
      <c r="R87" s="56" t="s">
        <v>76</v>
      </c>
      <c r="S87" s="49" t="s">
        <v>76</v>
      </c>
      <c r="T87" s="122"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134"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2">
      <c r="A88" s="115" t="s">
        <v>1875</v>
      </c>
      <c r="B88" s="114" t="s">
        <v>1873</v>
      </c>
      <c r="C88" s="136"/>
      <c r="D88" s="49" t="s">
        <v>76</v>
      </c>
      <c r="E88" s="50"/>
      <c r="F88" s="51"/>
      <c r="G88" s="63"/>
      <c r="H88" s="49" t="s">
        <v>75</v>
      </c>
      <c r="I88" s="132">
        <v>1</v>
      </c>
      <c r="J88" s="53"/>
      <c r="K88" s="53" t="s">
        <v>76</v>
      </c>
      <c r="L88" s="53" t="s">
        <v>77</v>
      </c>
      <c r="M88" s="54" t="s">
        <v>920</v>
      </c>
      <c r="N88" s="59" t="s">
        <v>76</v>
      </c>
      <c r="O88" s="49" t="s">
        <v>75</v>
      </c>
      <c r="P88" s="49" t="s">
        <v>76</v>
      </c>
      <c r="Q88" s="55" t="s">
        <v>76</v>
      </c>
      <c r="R88" s="56" t="s">
        <v>76</v>
      </c>
      <c r="S88" s="49" t="s">
        <v>76</v>
      </c>
      <c r="T88" s="122"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134"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2">
      <c r="A89" s="115" t="s">
        <v>1875</v>
      </c>
      <c r="B89" s="114" t="s">
        <v>1873</v>
      </c>
      <c r="C89" s="136"/>
      <c r="D89" s="49" t="s">
        <v>76</v>
      </c>
      <c r="E89" s="50"/>
      <c r="F89" s="51"/>
      <c r="G89" s="63"/>
      <c r="H89" s="49" t="s">
        <v>75</v>
      </c>
      <c r="I89" s="132">
        <v>1</v>
      </c>
      <c r="J89" s="53"/>
      <c r="K89" s="53" t="s">
        <v>76</v>
      </c>
      <c r="L89" s="53" t="s">
        <v>77</v>
      </c>
      <c r="M89" s="54" t="s">
        <v>920</v>
      </c>
      <c r="N89" s="59" t="s">
        <v>76</v>
      </c>
      <c r="O89" s="49" t="s">
        <v>75</v>
      </c>
      <c r="P89" s="49" t="s">
        <v>76</v>
      </c>
      <c r="Q89" s="55" t="s">
        <v>76</v>
      </c>
      <c r="R89" s="56" t="s">
        <v>76</v>
      </c>
      <c r="S89" s="49" t="s">
        <v>76</v>
      </c>
      <c r="T89" s="122"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134"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2">
      <c r="A90" s="115" t="s">
        <v>1875</v>
      </c>
      <c r="B90" s="114" t="s">
        <v>1873</v>
      </c>
      <c r="C90" s="136"/>
      <c r="D90" s="49" t="s">
        <v>76</v>
      </c>
      <c r="E90" s="50"/>
      <c r="F90" s="51"/>
      <c r="G90" s="63"/>
      <c r="H90" s="49" t="s">
        <v>75</v>
      </c>
      <c r="I90" s="132">
        <v>1</v>
      </c>
      <c r="J90" s="53"/>
      <c r="K90" s="53" t="s">
        <v>76</v>
      </c>
      <c r="L90" s="53" t="s">
        <v>77</v>
      </c>
      <c r="M90" s="54" t="s">
        <v>920</v>
      </c>
      <c r="N90" s="59" t="s">
        <v>76</v>
      </c>
      <c r="O90" s="49" t="s">
        <v>75</v>
      </c>
      <c r="P90" s="49" t="s">
        <v>76</v>
      </c>
      <c r="Q90" s="55" t="s">
        <v>76</v>
      </c>
      <c r="R90" s="56" t="s">
        <v>76</v>
      </c>
      <c r="S90" s="49" t="s">
        <v>76</v>
      </c>
      <c r="T90" s="122"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134"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2">
      <c r="A91" s="115" t="s">
        <v>1875</v>
      </c>
      <c r="B91" s="114" t="s">
        <v>1873</v>
      </c>
      <c r="C91" s="136"/>
      <c r="D91" s="49" t="s">
        <v>76</v>
      </c>
      <c r="E91" s="50"/>
      <c r="F91" s="51"/>
      <c r="G91" s="63"/>
      <c r="H91" s="49" t="s">
        <v>75</v>
      </c>
      <c r="I91" s="132">
        <v>1</v>
      </c>
      <c r="J91" s="53"/>
      <c r="K91" s="53" t="s">
        <v>76</v>
      </c>
      <c r="L91" s="53" t="s">
        <v>77</v>
      </c>
      <c r="M91" s="54" t="s">
        <v>920</v>
      </c>
      <c r="N91" s="59" t="s">
        <v>76</v>
      </c>
      <c r="O91" s="49" t="s">
        <v>75</v>
      </c>
      <c r="P91" s="49" t="s">
        <v>76</v>
      </c>
      <c r="Q91" s="55" t="s">
        <v>76</v>
      </c>
      <c r="R91" s="56" t="s">
        <v>76</v>
      </c>
      <c r="S91" s="49" t="s">
        <v>76</v>
      </c>
      <c r="T91" s="122"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134"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2">
      <c r="A92" s="115" t="s">
        <v>1875</v>
      </c>
      <c r="B92" s="114" t="s">
        <v>1873</v>
      </c>
      <c r="C92" s="136"/>
      <c r="D92" s="49" t="s">
        <v>76</v>
      </c>
      <c r="E92" s="50"/>
      <c r="F92" s="51"/>
      <c r="G92" s="63"/>
      <c r="H92" s="49" t="s">
        <v>75</v>
      </c>
      <c r="I92" s="133">
        <v>1</v>
      </c>
      <c r="J92" s="53"/>
      <c r="K92" s="53" t="s">
        <v>76</v>
      </c>
      <c r="L92" s="53" t="s">
        <v>77</v>
      </c>
      <c r="M92" s="54" t="s">
        <v>920</v>
      </c>
      <c r="N92" s="59" t="s">
        <v>76</v>
      </c>
      <c r="O92" s="49" t="s">
        <v>75</v>
      </c>
      <c r="P92" s="49" t="s">
        <v>76</v>
      </c>
      <c r="Q92" s="55" t="s">
        <v>76</v>
      </c>
      <c r="R92" s="56" t="s">
        <v>76</v>
      </c>
      <c r="S92" s="49" t="s">
        <v>76</v>
      </c>
      <c r="T92" s="122"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134"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2">
      <c r="A93" s="115" t="s">
        <v>1875</v>
      </c>
      <c r="B93" s="114" t="s">
        <v>1873</v>
      </c>
      <c r="C93" s="136"/>
      <c r="D93" s="49" t="s">
        <v>76</v>
      </c>
      <c r="E93" s="50"/>
      <c r="F93" s="51"/>
      <c r="G93" s="63"/>
      <c r="H93" s="49" t="s">
        <v>75</v>
      </c>
      <c r="I93" s="133">
        <v>1</v>
      </c>
      <c r="J93" s="53"/>
      <c r="K93" s="53" t="s">
        <v>76</v>
      </c>
      <c r="L93" s="53" t="s">
        <v>77</v>
      </c>
      <c r="M93" s="54" t="s">
        <v>920</v>
      </c>
      <c r="N93" s="59" t="s">
        <v>76</v>
      </c>
      <c r="O93" s="49" t="s">
        <v>75</v>
      </c>
      <c r="P93" s="49" t="s">
        <v>76</v>
      </c>
      <c r="Q93" s="55" t="s">
        <v>76</v>
      </c>
      <c r="R93" s="56" t="s">
        <v>76</v>
      </c>
      <c r="S93" s="49" t="s">
        <v>76</v>
      </c>
      <c r="T93" s="122"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134"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2">
      <c r="A94" s="115" t="s">
        <v>1875</v>
      </c>
      <c r="B94" s="114" t="s">
        <v>1873</v>
      </c>
      <c r="C94" s="136"/>
      <c r="D94" s="49" t="s">
        <v>76</v>
      </c>
      <c r="E94" s="50"/>
      <c r="F94" s="51"/>
      <c r="G94" s="63"/>
      <c r="H94" s="49" t="s">
        <v>75</v>
      </c>
      <c r="I94" s="133">
        <v>1</v>
      </c>
      <c r="J94" s="53"/>
      <c r="K94" s="53" t="s">
        <v>76</v>
      </c>
      <c r="L94" s="53" t="s">
        <v>77</v>
      </c>
      <c r="M94" s="54" t="s">
        <v>920</v>
      </c>
      <c r="N94" s="59" t="s">
        <v>76</v>
      </c>
      <c r="O94" s="49" t="s">
        <v>75</v>
      </c>
      <c r="P94" s="49" t="s">
        <v>76</v>
      </c>
      <c r="Q94" s="55" t="s">
        <v>76</v>
      </c>
      <c r="R94" s="56" t="s">
        <v>76</v>
      </c>
      <c r="S94" s="49" t="s">
        <v>76</v>
      </c>
      <c r="T94" s="122"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134"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2">
      <c r="A95" s="115" t="s">
        <v>1875</v>
      </c>
      <c r="B95" s="114" t="s">
        <v>1873</v>
      </c>
      <c r="C95" s="136"/>
      <c r="D95" s="49" t="s">
        <v>76</v>
      </c>
      <c r="E95" s="50"/>
      <c r="F95" s="51"/>
      <c r="G95" s="63"/>
      <c r="H95" s="49" t="s">
        <v>75</v>
      </c>
      <c r="I95" s="133">
        <v>1</v>
      </c>
      <c r="J95" s="53"/>
      <c r="K95" s="53" t="s">
        <v>76</v>
      </c>
      <c r="L95" s="53" t="s">
        <v>77</v>
      </c>
      <c r="M95" s="54" t="s">
        <v>920</v>
      </c>
      <c r="N95" s="59" t="s">
        <v>76</v>
      </c>
      <c r="O95" s="49" t="s">
        <v>75</v>
      </c>
      <c r="P95" s="49" t="s">
        <v>76</v>
      </c>
      <c r="Q95" s="55" t="s">
        <v>76</v>
      </c>
      <c r="R95" s="56" t="s">
        <v>76</v>
      </c>
      <c r="S95" s="49" t="s">
        <v>76</v>
      </c>
      <c r="T95" s="122"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134"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2">
      <c r="A96" s="115" t="s">
        <v>1875</v>
      </c>
      <c r="B96" s="114" t="s">
        <v>1873</v>
      </c>
      <c r="C96" s="136"/>
      <c r="D96" s="49" t="s">
        <v>76</v>
      </c>
      <c r="E96" s="50"/>
      <c r="F96" s="51"/>
      <c r="G96" s="63"/>
      <c r="H96" s="49" t="s">
        <v>75</v>
      </c>
      <c r="I96" s="133">
        <v>1</v>
      </c>
      <c r="J96" s="53"/>
      <c r="K96" s="53" t="s">
        <v>76</v>
      </c>
      <c r="L96" s="53" t="s">
        <v>77</v>
      </c>
      <c r="M96" s="54" t="s">
        <v>920</v>
      </c>
      <c r="N96" s="59" t="s">
        <v>76</v>
      </c>
      <c r="O96" s="49" t="s">
        <v>75</v>
      </c>
      <c r="P96" s="49" t="s">
        <v>76</v>
      </c>
      <c r="Q96" s="55" t="s">
        <v>76</v>
      </c>
      <c r="R96" s="56" t="s">
        <v>76</v>
      </c>
      <c r="S96" s="49" t="s">
        <v>76</v>
      </c>
      <c r="T96" s="122"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134"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2">
      <c r="A97" s="115" t="s">
        <v>1875</v>
      </c>
      <c r="B97" s="114" t="s">
        <v>1873</v>
      </c>
      <c r="C97" s="136"/>
      <c r="D97" s="49" t="s">
        <v>76</v>
      </c>
      <c r="E97" s="50"/>
      <c r="F97" s="51"/>
      <c r="G97" s="63"/>
      <c r="H97" s="49" t="s">
        <v>75</v>
      </c>
      <c r="I97" s="133">
        <v>1</v>
      </c>
      <c r="J97" s="53"/>
      <c r="K97" s="53" t="s">
        <v>76</v>
      </c>
      <c r="L97" s="53" t="s">
        <v>77</v>
      </c>
      <c r="M97" s="54" t="s">
        <v>920</v>
      </c>
      <c r="N97" s="59" t="s">
        <v>76</v>
      </c>
      <c r="O97" s="49" t="s">
        <v>75</v>
      </c>
      <c r="P97" s="49" t="s">
        <v>76</v>
      </c>
      <c r="Q97" s="55" t="s">
        <v>76</v>
      </c>
      <c r="R97" s="56" t="s">
        <v>76</v>
      </c>
      <c r="S97" s="49" t="s">
        <v>76</v>
      </c>
      <c r="T97" s="122"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134"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2">
      <c r="A98" s="115" t="s">
        <v>1875</v>
      </c>
      <c r="B98" s="114" t="s">
        <v>1873</v>
      </c>
      <c r="C98" s="136"/>
      <c r="D98" s="49" t="s">
        <v>76</v>
      </c>
      <c r="E98" s="50"/>
      <c r="F98" s="51"/>
      <c r="G98" s="63"/>
      <c r="H98" s="49" t="s">
        <v>75</v>
      </c>
      <c r="I98" s="133">
        <v>1</v>
      </c>
      <c r="J98" s="53"/>
      <c r="K98" s="53" t="s">
        <v>76</v>
      </c>
      <c r="L98" s="53" t="s">
        <v>77</v>
      </c>
      <c r="M98" s="54" t="s">
        <v>920</v>
      </c>
      <c r="N98" s="59" t="s">
        <v>76</v>
      </c>
      <c r="O98" s="49" t="s">
        <v>75</v>
      </c>
      <c r="P98" s="49" t="s">
        <v>76</v>
      </c>
      <c r="Q98" s="55" t="s">
        <v>76</v>
      </c>
      <c r="R98" s="56" t="s">
        <v>76</v>
      </c>
      <c r="S98" s="49" t="s">
        <v>76</v>
      </c>
      <c r="T98" s="122"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134"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2">
      <c r="A99" s="115" t="s">
        <v>1875</v>
      </c>
      <c r="B99" s="114" t="s">
        <v>1873</v>
      </c>
      <c r="C99" s="136"/>
      <c r="D99" s="49" t="s">
        <v>76</v>
      </c>
      <c r="E99" s="50"/>
      <c r="F99" s="51"/>
      <c r="G99" s="63"/>
      <c r="H99" s="49" t="s">
        <v>75</v>
      </c>
      <c r="I99" s="133">
        <v>1</v>
      </c>
      <c r="J99" s="53"/>
      <c r="K99" s="53" t="s">
        <v>76</v>
      </c>
      <c r="L99" s="53" t="s">
        <v>77</v>
      </c>
      <c r="M99" s="54" t="s">
        <v>920</v>
      </c>
      <c r="N99" s="59" t="s">
        <v>76</v>
      </c>
      <c r="O99" s="49" t="s">
        <v>75</v>
      </c>
      <c r="P99" s="49" t="s">
        <v>76</v>
      </c>
      <c r="Q99" s="55" t="s">
        <v>76</v>
      </c>
      <c r="R99" s="56" t="s">
        <v>76</v>
      </c>
      <c r="S99" s="49" t="s">
        <v>76</v>
      </c>
      <c r="T99" s="122"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134"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2">
      <c r="A100" s="115" t="s">
        <v>1875</v>
      </c>
      <c r="B100" s="114" t="s">
        <v>1873</v>
      </c>
      <c r="C100" s="136"/>
      <c r="D100" s="49" t="s">
        <v>76</v>
      </c>
      <c r="E100" s="50"/>
      <c r="F100" s="51"/>
      <c r="G100" s="63"/>
      <c r="H100" s="49" t="s">
        <v>75</v>
      </c>
      <c r="I100" s="133">
        <v>1</v>
      </c>
      <c r="J100" s="53"/>
      <c r="K100" s="53" t="s">
        <v>76</v>
      </c>
      <c r="L100" s="53" t="s">
        <v>77</v>
      </c>
      <c r="M100" s="54" t="s">
        <v>920</v>
      </c>
      <c r="N100" s="59" t="s">
        <v>76</v>
      </c>
      <c r="O100" s="49" t="s">
        <v>75</v>
      </c>
      <c r="P100" s="49" t="s">
        <v>76</v>
      </c>
      <c r="Q100" s="55" t="s">
        <v>76</v>
      </c>
      <c r="R100" s="56" t="s">
        <v>76</v>
      </c>
      <c r="S100" s="49" t="s">
        <v>76</v>
      </c>
      <c r="T100" s="122"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134"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2">
      <c r="A101" s="115" t="s">
        <v>1875</v>
      </c>
      <c r="B101" s="114" t="s">
        <v>1873</v>
      </c>
      <c r="C101" s="136"/>
      <c r="D101" s="49" t="s">
        <v>76</v>
      </c>
      <c r="E101" s="50"/>
      <c r="F101" s="51"/>
      <c r="G101" s="63"/>
      <c r="H101" s="49" t="s">
        <v>75</v>
      </c>
      <c r="I101" s="133">
        <v>1</v>
      </c>
      <c r="J101" s="53"/>
      <c r="K101" s="53" t="s">
        <v>76</v>
      </c>
      <c r="L101" s="53" t="s">
        <v>77</v>
      </c>
      <c r="M101" s="54" t="s">
        <v>920</v>
      </c>
      <c r="N101" s="59" t="s">
        <v>76</v>
      </c>
      <c r="O101" s="49" t="s">
        <v>75</v>
      </c>
      <c r="P101" s="49" t="s">
        <v>76</v>
      </c>
      <c r="Q101" s="55" t="s">
        <v>76</v>
      </c>
      <c r="R101" s="56" t="s">
        <v>76</v>
      </c>
      <c r="S101" s="49" t="s">
        <v>76</v>
      </c>
      <c r="T101" s="122"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134"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2">
      <c r="A102" s="115" t="s">
        <v>1875</v>
      </c>
      <c r="B102" s="114" t="s">
        <v>1873</v>
      </c>
      <c r="C102" s="136"/>
      <c r="D102" s="49" t="s">
        <v>76</v>
      </c>
      <c r="E102" s="50"/>
      <c r="F102" s="51"/>
      <c r="G102" s="63"/>
      <c r="H102" s="49" t="s">
        <v>75</v>
      </c>
      <c r="I102" s="133">
        <v>1</v>
      </c>
      <c r="J102" s="53"/>
      <c r="K102" s="53" t="s">
        <v>76</v>
      </c>
      <c r="L102" s="53" t="s">
        <v>77</v>
      </c>
      <c r="M102" s="54" t="s">
        <v>920</v>
      </c>
      <c r="N102" s="59" t="s">
        <v>76</v>
      </c>
      <c r="O102" s="49" t="s">
        <v>75</v>
      </c>
      <c r="P102" s="49" t="s">
        <v>76</v>
      </c>
      <c r="Q102" s="55" t="s">
        <v>76</v>
      </c>
      <c r="R102" s="56" t="s">
        <v>76</v>
      </c>
      <c r="S102" s="49" t="s">
        <v>76</v>
      </c>
      <c r="T102" s="122"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134"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2">
      <c r="A103" s="115" t="s">
        <v>1875</v>
      </c>
      <c r="B103" s="114" t="s">
        <v>1873</v>
      </c>
      <c r="C103" s="136"/>
      <c r="D103" s="49" t="s">
        <v>76</v>
      </c>
      <c r="E103" s="50"/>
      <c r="F103" s="51"/>
      <c r="G103" s="63"/>
      <c r="H103" s="49" t="s">
        <v>75</v>
      </c>
      <c r="I103" s="133">
        <v>1</v>
      </c>
      <c r="J103" s="53"/>
      <c r="K103" s="53" t="s">
        <v>76</v>
      </c>
      <c r="L103" s="53" t="s">
        <v>77</v>
      </c>
      <c r="M103" s="54" t="s">
        <v>920</v>
      </c>
      <c r="N103" s="59" t="s">
        <v>76</v>
      </c>
      <c r="O103" s="49" t="s">
        <v>75</v>
      </c>
      <c r="P103" s="49" t="s">
        <v>76</v>
      </c>
      <c r="Q103" s="55" t="s">
        <v>76</v>
      </c>
      <c r="R103" s="56" t="s">
        <v>76</v>
      </c>
      <c r="S103" s="49" t="s">
        <v>76</v>
      </c>
      <c r="T103" s="122"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134"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2">
      <c r="A104" s="115" t="s">
        <v>1875</v>
      </c>
      <c r="B104" s="114" t="s">
        <v>1873</v>
      </c>
      <c r="C104" s="136"/>
      <c r="D104" s="49" t="s">
        <v>76</v>
      </c>
      <c r="E104" s="50"/>
      <c r="F104" s="51"/>
      <c r="G104" s="63"/>
      <c r="H104" s="49" t="s">
        <v>75</v>
      </c>
      <c r="I104" s="133">
        <v>1</v>
      </c>
      <c r="J104" s="53"/>
      <c r="K104" s="53" t="s">
        <v>76</v>
      </c>
      <c r="L104" s="53" t="s">
        <v>77</v>
      </c>
      <c r="M104" s="54" t="s">
        <v>920</v>
      </c>
      <c r="N104" s="59" t="s">
        <v>76</v>
      </c>
      <c r="O104" s="49" t="s">
        <v>75</v>
      </c>
      <c r="P104" s="49" t="s">
        <v>76</v>
      </c>
      <c r="Q104" s="55" t="s">
        <v>76</v>
      </c>
      <c r="R104" s="56" t="s">
        <v>76</v>
      </c>
      <c r="S104" s="49" t="s">
        <v>76</v>
      </c>
      <c r="T104" s="122"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134"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2">
      <c r="A105" s="115" t="s">
        <v>1875</v>
      </c>
      <c r="B105" s="114" t="s">
        <v>1873</v>
      </c>
      <c r="C105" s="136"/>
      <c r="D105" s="49" t="s">
        <v>76</v>
      </c>
      <c r="E105" s="50"/>
      <c r="F105" s="51"/>
      <c r="G105" s="63"/>
      <c r="H105" s="49" t="s">
        <v>75</v>
      </c>
      <c r="I105" s="133">
        <v>1</v>
      </c>
      <c r="J105" s="53"/>
      <c r="K105" s="53" t="s">
        <v>76</v>
      </c>
      <c r="L105" s="53" t="s">
        <v>77</v>
      </c>
      <c r="M105" s="54" t="s">
        <v>920</v>
      </c>
      <c r="N105" s="59" t="s">
        <v>76</v>
      </c>
      <c r="O105" s="49" t="s">
        <v>75</v>
      </c>
      <c r="P105" s="49" t="s">
        <v>76</v>
      </c>
      <c r="Q105" s="55" t="s">
        <v>76</v>
      </c>
      <c r="R105" s="56" t="s">
        <v>76</v>
      </c>
      <c r="S105" s="49" t="s">
        <v>76</v>
      </c>
      <c r="T105" s="122"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134"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2">
      <c r="A106" s="115" t="s">
        <v>1875</v>
      </c>
      <c r="B106" s="114" t="s">
        <v>1873</v>
      </c>
      <c r="C106" s="136"/>
      <c r="D106" s="49" t="s">
        <v>76</v>
      </c>
      <c r="E106" s="50"/>
      <c r="F106" s="51"/>
      <c r="G106" s="63"/>
      <c r="H106" s="49" t="s">
        <v>75</v>
      </c>
      <c r="I106" s="133">
        <v>1</v>
      </c>
      <c r="J106" s="53"/>
      <c r="K106" s="53" t="s">
        <v>76</v>
      </c>
      <c r="L106" s="53" t="s">
        <v>77</v>
      </c>
      <c r="M106" s="54" t="s">
        <v>920</v>
      </c>
      <c r="N106" s="59" t="s">
        <v>76</v>
      </c>
      <c r="O106" s="49" t="s">
        <v>75</v>
      </c>
      <c r="P106" s="49" t="s">
        <v>76</v>
      </c>
      <c r="Q106" s="55" t="s">
        <v>76</v>
      </c>
      <c r="R106" s="56" t="s">
        <v>76</v>
      </c>
      <c r="S106" s="49" t="s">
        <v>76</v>
      </c>
      <c r="T106" s="122"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134"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2">
      <c r="A107" s="115" t="s">
        <v>1875</v>
      </c>
      <c r="B107" s="114" t="s">
        <v>1873</v>
      </c>
      <c r="C107" s="136"/>
      <c r="D107" s="49" t="s">
        <v>76</v>
      </c>
      <c r="E107" s="50"/>
      <c r="F107" s="51"/>
      <c r="G107" s="63"/>
      <c r="H107" s="49" t="s">
        <v>75</v>
      </c>
      <c r="I107" s="133">
        <v>1</v>
      </c>
      <c r="J107" s="53"/>
      <c r="K107" s="53" t="s">
        <v>76</v>
      </c>
      <c r="L107" s="53" t="s">
        <v>77</v>
      </c>
      <c r="M107" s="54" t="s">
        <v>920</v>
      </c>
      <c r="N107" s="59" t="s">
        <v>76</v>
      </c>
      <c r="O107" s="49" t="s">
        <v>75</v>
      </c>
      <c r="P107" s="49" t="s">
        <v>76</v>
      </c>
      <c r="Q107" s="55" t="s">
        <v>76</v>
      </c>
      <c r="R107" s="56" t="s">
        <v>76</v>
      </c>
      <c r="S107" s="49" t="s">
        <v>76</v>
      </c>
      <c r="T107" s="122"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134"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2">
      <c r="A108" s="115" t="s">
        <v>1875</v>
      </c>
      <c r="B108" s="114" t="s">
        <v>1873</v>
      </c>
      <c r="C108" s="136"/>
      <c r="D108" s="49" t="s">
        <v>76</v>
      </c>
      <c r="E108" s="50"/>
      <c r="F108" s="51"/>
      <c r="G108" s="63"/>
      <c r="H108" s="49" t="s">
        <v>75</v>
      </c>
      <c r="I108" s="133">
        <v>1</v>
      </c>
      <c r="J108" s="53"/>
      <c r="K108" s="53" t="s">
        <v>76</v>
      </c>
      <c r="L108" s="53" t="s">
        <v>77</v>
      </c>
      <c r="M108" s="54" t="s">
        <v>920</v>
      </c>
      <c r="N108" s="59" t="s">
        <v>76</v>
      </c>
      <c r="O108" s="49" t="s">
        <v>75</v>
      </c>
      <c r="P108" s="49" t="s">
        <v>76</v>
      </c>
      <c r="Q108" s="55" t="s">
        <v>76</v>
      </c>
      <c r="R108" s="56" t="s">
        <v>76</v>
      </c>
      <c r="S108" s="49" t="s">
        <v>76</v>
      </c>
      <c r="T108" s="122"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134"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2">
      <c r="A109" s="115" t="s">
        <v>1875</v>
      </c>
      <c r="B109" s="114" t="s">
        <v>1873</v>
      </c>
      <c r="C109" s="136"/>
      <c r="D109" s="49" t="s">
        <v>76</v>
      </c>
      <c r="E109" s="50"/>
      <c r="F109" s="51"/>
      <c r="G109" s="63"/>
      <c r="H109" s="49" t="s">
        <v>75</v>
      </c>
      <c r="I109" s="133">
        <v>1</v>
      </c>
      <c r="J109" s="53"/>
      <c r="K109" s="53" t="s">
        <v>76</v>
      </c>
      <c r="L109" s="53" t="s">
        <v>77</v>
      </c>
      <c r="M109" s="54" t="s">
        <v>920</v>
      </c>
      <c r="N109" s="59" t="s">
        <v>76</v>
      </c>
      <c r="O109" s="49" t="s">
        <v>75</v>
      </c>
      <c r="P109" s="49" t="s">
        <v>76</v>
      </c>
      <c r="Q109" s="55" t="s">
        <v>76</v>
      </c>
      <c r="R109" s="56" t="s">
        <v>76</v>
      </c>
      <c r="S109" s="49" t="s">
        <v>76</v>
      </c>
      <c r="T109" s="122"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134"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2">
      <c r="A110" s="115" t="s">
        <v>1875</v>
      </c>
      <c r="B110" s="114" t="s">
        <v>1873</v>
      </c>
      <c r="C110" s="136"/>
      <c r="D110" s="49" t="s">
        <v>76</v>
      </c>
      <c r="E110" s="50"/>
      <c r="F110" s="51"/>
      <c r="G110" s="63"/>
      <c r="H110" s="49" t="s">
        <v>75</v>
      </c>
      <c r="I110" s="133">
        <v>1</v>
      </c>
      <c r="J110" s="53"/>
      <c r="K110" s="53" t="s">
        <v>76</v>
      </c>
      <c r="L110" s="53" t="s">
        <v>77</v>
      </c>
      <c r="M110" s="54" t="s">
        <v>920</v>
      </c>
      <c r="N110" s="59" t="s">
        <v>76</v>
      </c>
      <c r="O110" s="49" t="s">
        <v>75</v>
      </c>
      <c r="P110" s="49" t="s">
        <v>76</v>
      </c>
      <c r="Q110" s="55" t="s">
        <v>76</v>
      </c>
      <c r="R110" s="56" t="s">
        <v>76</v>
      </c>
      <c r="S110" s="49" t="s">
        <v>76</v>
      </c>
      <c r="T110" s="122"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134"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2">
      <c r="A111" s="115" t="s">
        <v>1875</v>
      </c>
      <c r="B111" s="114" t="s">
        <v>1873</v>
      </c>
      <c r="C111" s="136"/>
      <c r="D111" s="49" t="s">
        <v>76</v>
      </c>
      <c r="E111" s="50"/>
      <c r="F111" s="51"/>
      <c r="G111" s="63"/>
      <c r="H111" s="49" t="s">
        <v>75</v>
      </c>
      <c r="I111" s="133">
        <v>1</v>
      </c>
      <c r="J111" s="53"/>
      <c r="K111" s="53" t="s">
        <v>76</v>
      </c>
      <c r="L111" s="53" t="s">
        <v>77</v>
      </c>
      <c r="M111" s="54" t="s">
        <v>920</v>
      </c>
      <c r="N111" s="59" t="s">
        <v>76</v>
      </c>
      <c r="O111" s="49" t="s">
        <v>75</v>
      </c>
      <c r="P111" s="49" t="s">
        <v>76</v>
      </c>
      <c r="Q111" s="55" t="s">
        <v>76</v>
      </c>
      <c r="R111" s="56" t="s">
        <v>76</v>
      </c>
      <c r="S111" s="49" t="s">
        <v>76</v>
      </c>
      <c r="T111" s="122"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134"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2">
      <c r="A112" s="115" t="s">
        <v>1875</v>
      </c>
      <c r="B112" s="114" t="s">
        <v>1873</v>
      </c>
      <c r="C112" s="136"/>
      <c r="D112" s="49" t="s">
        <v>76</v>
      </c>
      <c r="E112" s="50"/>
      <c r="F112" s="51"/>
      <c r="G112" s="63"/>
      <c r="H112" s="49" t="s">
        <v>75</v>
      </c>
      <c r="I112" s="133">
        <v>1</v>
      </c>
      <c r="J112" s="53"/>
      <c r="K112" s="53" t="s">
        <v>76</v>
      </c>
      <c r="L112" s="53" t="s">
        <v>77</v>
      </c>
      <c r="M112" s="54" t="s">
        <v>920</v>
      </c>
      <c r="N112" s="59" t="s">
        <v>76</v>
      </c>
      <c r="O112" s="49" t="s">
        <v>75</v>
      </c>
      <c r="P112" s="49" t="s">
        <v>76</v>
      </c>
      <c r="Q112" s="55" t="s">
        <v>76</v>
      </c>
      <c r="R112" s="56" t="s">
        <v>76</v>
      </c>
      <c r="S112" s="49" t="s">
        <v>76</v>
      </c>
      <c r="T112" s="122"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134"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2">
      <c r="A113" s="115" t="s">
        <v>1875</v>
      </c>
      <c r="B113" s="114" t="s">
        <v>1873</v>
      </c>
      <c r="C113" s="136"/>
      <c r="D113" s="49" t="s">
        <v>76</v>
      </c>
      <c r="E113" s="50"/>
      <c r="F113" s="51"/>
      <c r="G113" s="63"/>
      <c r="H113" s="49" t="s">
        <v>75</v>
      </c>
      <c r="I113" s="133">
        <v>1</v>
      </c>
      <c r="J113" s="53"/>
      <c r="K113" s="53" t="s">
        <v>76</v>
      </c>
      <c r="L113" s="53" t="s">
        <v>77</v>
      </c>
      <c r="M113" s="54" t="s">
        <v>920</v>
      </c>
      <c r="N113" s="59" t="s">
        <v>76</v>
      </c>
      <c r="O113" s="49" t="s">
        <v>75</v>
      </c>
      <c r="P113" s="49" t="s">
        <v>76</v>
      </c>
      <c r="Q113" s="55" t="s">
        <v>76</v>
      </c>
      <c r="R113" s="56" t="s">
        <v>76</v>
      </c>
      <c r="S113" s="49" t="s">
        <v>76</v>
      </c>
      <c r="T113" s="122"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134"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2">
      <c r="A114" s="115" t="s">
        <v>1875</v>
      </c>
      <c r="B114" s="114" t="s">
        <v>1873</v>
      </c>
      <c r="C114" s="136"/>
      <c r="D114" s="49" t="s">
        <v>76</v>
      </c>
      <c r="E114" s="50"/>
      <c r="F114" s="51"/>
      <c r="G114" s="63"/>
      <c r="H114" s="49" t="s">
        <v>75</v>
      </c>
      <c r="I114" s="133">
        <v>1</v>
      </c>
      <c r="J114" s="53"/>
      <c r="K114" s="53" t="s">
        <v>76</v>
      </c>
      <c r="L114" s="53" t="s">
        <v>77</v>
      </c>
      <c r="M114" s="54" t="s">
        <v>920</v>
      </c>
      <c r="N114" s="59" t="s">
        <v>76</v>
      </c>
      <c r="O114" s="49" t="s">
        <v>75</v>
      </c>
      <c r="P114" s="49" t="s">
        <v>76</v>
      </c>
      <c r="Q114" s="55" t="s">
        <v>76</v>
      </c>
      <c r="R114" s="56" t="s">
        <v>76</v>
      </c>
      <c r="S114" s="49" t="s">
        <v>76</v>
      </c>
      <c r="T114" s="122"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134"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2">
      <c r="A115" s="115" t="s">
        <v>1875</v>
      </c>
      <c r="B115" s="114" t="s">
        <v>1873</v>
      </c>
      <c r="C115" s="136"/>
      <c r="D115" s="49" t="s">
        <v>76</v>
      </c>
      <c r="E115" s="50"/>
      <c r="F115" s="51"/>
      <c r="G115" s="63"/>
      <c r="H115" s="49" t="s">
        <v>75</v>
      </c>
      <c r="I115" s="133">
        <v>1</v>
      </c>
      <c r="J115" s="53"/>
      <c r="K115" s="53" t="s">
        <v>76</v>
      </c>
      <c r="L115" s="53" t="s">
        <v>77</v>
      </c>
      <c r="M115" s="54" t="s">
        <v>920</v>
      </c>
      <c r="N115" s="59" t="s">
        <v>76</v>
      </c>
      <c r="O115" s="49" t="s">
        <v>75</v>
      </c>
      <c r="P115" s="49" t="s">
        <v>76</v>
      </c>
      <c r="Q115" s="55" t="s">
        <v>76</v>
      </c>
      <c r="R115" s="56" t="s">
        <v>76</v>
      </c>
      <c r="S115" s="49" t="s">
        <v>76</v>
      </c>
      <c r="T115" s="122"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134"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2">
      <c r="A116" s="115" t="s">
        <v>1875</v>
      </c>
      <c r="B116" s="114" t="s">
        <v>1873</v>
      </c>
      <c r="C116" s="136"/>
      <c r="D116" s="49" t="s">
        <v>76</v>
      </c>
      <c r="E116" s="50"/>
      <c r="F116" s="51"/>
      <c r="G116" s="63"/>
      <c r="H116" s="49" t="s">
        <v>75</v>
      </c>
      <c r="I116" s="133">
        <v>1</v>
      </c>
      <c r="J116" s="53"/>
      <c r="K116" s="53" t="s">
        <v>76</v>
      </c>
      <c r="L116" s="53" t="s">
        <v>77</v>
      </c>
      <c r="M116" s="54" t="s">
        <v>920</v>
      </c>
      <c r="N116" s="59" t="s">
        <v>76</v>
      </c>
      <c r="O116" s="49" t="s">
        <v>75</v>
      </c>
      <c r="P116" s="49" t="s">
        <v>76</v>
      </c>
      <c r="Q116" s="55" t="s">
        <v>76</v>
      </c>
      <c r="R116" s="56" t="s">
        <v>76</v>
      </c>
      <c r="S116" s="49" t="s">
        <v>76</v>
      </c>
      <c r="T116" s="122"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134"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2">
      <c r="A117" s="115" t="s">
        <v>1875</v>
      </c>
      <c r="B117" s="114" t="s">
        <v>1873</v>
      </c>
      <c r="C117" s="136"/>
      <c r="D117" s="49" t="s">
        <v>76</v>
      </c>
      <c r="E117" s="50"/>
      <c r="F117" s="51"/>
      <c r="G117" s="63"/>
      <c r="H117" s="49" t="s">
        <v>75</v>
      </c>
      <c r="I117" s="133">
        <v>1</v>
      </c>
      <c r="J117" s="53"/>
      <c r="K117" s="53" t="s">
        <v>76</v>
      </c>
      <c r="L117" s="53" t="s">
        <v>77</v>
      </c>
      <c r="M117" s="54" t="s">
        <v>920</v>
      </c>
      <c r="N117" s="59" t="s">
        <v>76</v>
      </c>
      <c r="O117" s="49" t="s">
        <v>75</v>
      </c>
      <c r="P117" s="49" t="s">
        <v>76</v>
      </c>
      <c r="Q117" s="55" t="s">
        <v>76</v>
      </c>
      <c r="R117" s="56" t="s">
        <v>76</v>
      </c>
      <c r="S117" s="49" t="s">
        <v>76</v>
      </c>
      <c r="T117" s="122"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134"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2">
      <c r="A118" s="115" t="s">
        <v>1875</v>
      </c>
      <c r="B118" s="114" t="s">
        <v>1873</v>
      </c>
      <c r="C118" s="136"/>
      <c r="D118" s="49" t="s">
        <v>76</v>
      </c>
      <c r="E118" s="50"/>
      <c r="F118" s="51"/>
      <c r="G118" s="63"/>
      <c r="H118" s="49" t="s">
        <v>75</v>
      </c>
      <c r="I118" s="133">
        <v>1</v>
      </c>
      <c r="J118" s="53"/>
      <c r="K118" s="53" t="s">
        <v>76</v>
      </c>
      <c r="L118" s="53" t="s">
        <v>77</v>
      </c>
      <c r="M118" s="54" t="s">
        <v>920</v>
      </c>
      <c r="N118" s="59" t="s">
        <v>76</v>
      </c>
      <c r="O118" s="49" t="s">
        <v>75</v>
      </c>
      <c r="P118" s="49" t="s">
        <v>76</v>
      </c>
      <c r="Q118" s="55" t="s">
        <v>76</v>
      </c>
      <c r="R118" s="56" t="s">
        <v>76</v>
      </c>
      <c r="S118" s="49" t="s">
        <v>76</v>
      </c>
      <c r="T118" s="122"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134"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2">
      <c r="A119" s="115" t="s">
        <v>1875</v>
      </c>
      <c r="B119" s="114" t="s">
        <v>1873</v>
      </c>
      <c r="C119" s="136"/>
      <c r="D119" s="49" t="s">
        <v>76</v>
      </c>
      <c r="E119" s="50"/>
      <c r="F119" s="51"/>
      <c r="G119" s="63"/>
      <c r="H119" s="49" t="s">
        <v>75</v>
      </c>
      <c r="I119" s="133">
        <v>1</v>
      </c>
      <c r="J119" s="53"/>
      <c r="K119" s="53" t="s">
        <v>76</v>
      </c>
      <c r="L119" s="53" t="s">
        <v>77</v>
      </c>
      <c r="M119" s="54" t="s">
        <v>920</v>
      </c>
      <c r="N119" s="59" t="s">
        <v>76</v>
      </c>
      <c r="O119" s="49" t="s">
        <v>75</v>
      </c>
      <c r="P119" s="49" t="s">
        <v>76</v>
      </c>
      <c r="Q119" s="55" t="s">
        <v>76</v>
      </c>
      <c r="R119" s="56" t="s">
        <v>76</v>
      </c>
      <c r="S119" s="49" t="s">
        <v>76</v>
      </c>
      <c r="T119" s="122"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134"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2">
      <c r="A120" s="115" t="s">
        <v>1875</v>
      </c>
      <c r="B120" s="114" t="s">
        <v>1873</v>
      </c>
      <c r="C120" s="136"/>
      <c r="D120" s="49" t="s">
        <v>76</v>
      </c>
      <c r="E120" s="50"/>
      <c r="F120" s="51"/>
      <c r="G120" s="63"/>
      <c r="H120" s="49" t="s">
        <v>75</v>
      </c>
      <c r="I120" s="133">
        <v>1</v>
      </c>
      <c r="J120" s="53"/>
      <c r="K120" s="53" t="s">
        <v>76</v>
      </c>
      <c r="L120" s="53" t="s">
        <v>77</v>
      </c>
      <c r="M120" s="54" t="s">
        <v>920</v>
      </c>
      <c r="N120" s="59" t="s">
        <v>76</v>
      </c>
      <c r="O120" s="49" t="s">
        <v>75</v>
      </c>
      <c r="P120" s="49" t="s">
        <v>76</v>
      </c>
      <c r="Q120" s="55" t="s">
        <v>76</v>
      </c>
      <c r="R120" s="56" t="s">
        <v>76</v>
      </c>
      <c r="S120" s="49" t="s">
        <v>76</v>
      </c>
      <c r="T120" s="122"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134"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2">
      <c r="A121" s="115" t="s">
        <v>1875</v>
      </c>
      <c r="B121" s="114" t="s">
        <v>1873</v>
      </c>
      <c r="C121" s="136"/>
      <c r="D121" s="49" t="s">
        <v>76</v>
      </c>
      <c r="E121" s="50"/>
      <c r="F121" s="51"/>
      <c r="G121" s="63"/>
      <c r="H121" s="49" t="s">
        <v>75</v>
      </c>
      <c r="I121" s="133">
        <v>1</v>
      </c>
      <c r="J121" s="53"/>
      <c r="K121" s="53" t="s">
        <v>76</v>
      </c>
      <c r="L121" s="53" t="s">
        <v>77</v>
      </c>
      <c r="M121" s="54" t="s">
        <v>920</v>
      </c>
      <c r="N121" s="59" t="s">
        <v>76</v>
      </c>
      <c r="O121" s="49" t="s">
        <v>75</v>
      </c>
      <c r="P121" s="49" t="s">
        <v>76</v>
      </c>
      <c r="Q121" s="55" t="s">
        <v>76</v>
      </c>
      <c r="R121" s="56" t="s">
        <v>76</v>
      </c>
      <c r="S121" s="49" t="s">
        <v>76</v>
      </c>
      <c r="T121" s="122"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134"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2">
      <c r="A122" s="115" t="s">
        <v>1875</v>
      </c>
      <c r="B122" s="114" t="s">
        <v>1873</v>
      </c>
      <c r="C122" s="136"/>
      <c r="D122" s="49" t="s">
        <v>76</v>
      </c>
      <c r="E122" s="50"/>
      <c r="F122" s="51"/>
      <c r="G122" s="63"/>
      <c r="H122" s="49" t="s">
        <v>75</v>
      </c>
      <c r="I122" s="133">
        <v>1</v>
      </c>
      <c r="J122" s="53"/>
      <c r="K122" s="53" t="s">
        <v>76</v>
      </c>
      <c r="L122" s="53" t="s">
        <v>77</v>
      </c>
      <c r="M122" s="54" t="s">
        <v>920</v>
      </c>
      <c r="N122" s="59" t="s">
        <v>76</v>
      </c>
      <c r="O122" s="49" t="s">
        <v>75</v>
      </c>
      <c r="P122" s="49" t="s">
        <v>76</v>
      </c>
      <c r="Q122" s="55" t="s">
        <v>76</v>
      </c>
      <c r="R122" s="56" t="s">
        <v>76</v>
      </c>
      <c r="S122" s="49" t="s">
        <v>76</v>
      </c>
      <c r="T122" s="122"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134"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2">
      <c r="A123" s="115" t="s">
        <v>1875</v>
      </c>
      <c r="B123" s="114" t="s">
        <v>1873</v>
      </c>
      <c r="C123" s="136"/>
      <c r="D123" s="49" t="s">
        <v>76</v>
      </c>
      <c r="E123" s="50"/>
      <c r="F123" s="51"/>
      <c r="G123" s="63"/>
      <c r="H123" s="49" t="s">
        <v>75</v>
      </c>
      <c r="I123" s="133">
        <v>1</v>
      </c>
      <c r="J123" s="53"/>
      <c r="K123" s="53" t="s">
        <v>76</v>
      </c>
      <c r="L123" s="53" t="s">
        <v>77</v>
      </c>
      <c r="M123" s="54" t="s">
        <v>920</v>
      </c>
      <c r="N123" s="59" t="s">
        <v>76</v>
      </c>
      <c r="O123" s="49" t="s">
        <v>75</v>
      </c>
      <c r="P123" s="49" t="s">
        <v>76</v>
      </c>
      <c r="Q123" s="55" t="s">
        <v>76</v>
      </c>
      <c r="R123" s="56" t="s">
        <v>76</v>
      </c>
      <c r="S123" s="49" t="s">
        <v>76</v>
      </c>
      <c r="T123" s="122"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134"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2">
      <c r="A124" s="115" t="s">
        <v>1875</v>
      </c>
      <c r="B124" s="114" t="s">
        <v>1873</v>
      </c>
      <c r="C124" s="136"/>
      <c r="D124" s="49" t="s">
        <v>76</v>
      </c>
      <c r="E124" s="50"/>
      <c r="F124" s="51"/>
      <c r="G124" s="63"/>
      <c r="H124" s="49" t="s">
        <v>75</v>
      </c>
      <c r="I124" s="133">
        <v>1</v>
      </c>
      <c r="J124" s="53"/>
      <c r="K124" s="53" t="s">
        <v>76</v>
      </c>
      <c r="L124" s="53" t="s">
        <v>77</v>
      </c>
      <c r="M124" s="54" t="s">
        <v>920</v>
      </c>
      <c r="N124" s="59" t="s">
        <v>76</v>
      </c>
      <c r="O124" s="49" t="s">
        <v>75</v>
      </c>
      <c r="P124" s="49" t="s">
        <v>76</v>
      </c>
      <c r="Q124" s="55" t="s">
        <v>76</v>
      </c>
      <c r="R124" s="56" t="s">
        <v>76</v>
      </c>
      <c r="S124" s="49" t="s">
        <v>76</v>
      </c>
      <c r="T124" s="122"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134"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2">
      <c r="A125" s="115" t="s">
        <v>1875</v>
      </c>
      <c r="B125" s="114" t="s">
        <v>1873</v>
      </c>
      <c r="C125" s="136"/>
      <c r="D125" s="49" t="s">
        <v>76</v>
      </c>
      <c r="E125" s="50"/>
      <c r="F125" s="51"/>
      <c r="G125" s="63"/>
      <c r="H125" s="49" t="s">
        <v>75</v>
      </c>
      <c r="I125" s="133">
        <v>1</v>
      </c>
      <c r="J125" s="53"/>
      <c r="K125" s="53" t="s">
        <v>76</v>
      </c>
      <c r="L125" s="53" t="s">
        <v>77</v>
      </c>
      <c r="M125" s="54" t="s">
        <v>920</v>
      </c>
      <c r="N125" s="59" t="s">
        <v>76</v>
      </c>
      <c r="O125" s="49" t="s">
        <v>75</v>
      </c>
      <c r="P125" s="49" t="s">
        <v>76</v>
      </c>
      <c r="Q125" s="55" t="s">
        <v>76</v>
      </c>
      <c r="R125" s="56" t="s">
        <v>76</v>
      </c>
      <c r="S125" s="49" t="s">
        <v>76</v>
      </c>
      <c r="T125" s="122"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134"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2">
      <c r="A126" s="115" t="s">
        <v>1875</v>
      </c>
      <c r="B126" s="114" t="s">
        <v>1873</v>
      </c>
      <c r="C126" s="136"/>
      <c r="D126" s="49" t="s">
        <v>76</v>
      </c>
      <c r="E126" s="50"/>
      <c r="F126" s="51"/>
      <c r="G126" s="63"/>
      <c r="H126" s="49" t="s">
        <v>75</v>
      </c>
      <c r="I126" s="133">
        <v>1</v>
      </c>
      <c r="J126" s="53"/>
      <c r="K126" s="53" t="s">
        <v>76</v>
      </c>
      <c r="L126" s="53" t="s">
        <v>77</v>
      </c>
      <c r="M126" s="54" t="s">
        <v>920</v>
      </c>
      <c r="N126" s="59" t="s">
        <v>76</v>
      </c>
      <c r="O126" s="49" t="s">
        <v>75</v>
      </c>
      <c r="P126" s="49" t="s">
        <v>76</v>
      </c>
      <c r="Q126" s="55" t="s">
        <v>76</v>
      </c>
      <c r="R126" s="56" t="s">
        <v>76</v>
      </c>
      <c r="S126" s="49" t="s">
        <v>76</v>
      </c>
      <c r="T126" s="122"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134"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2">
      <c r="A127" s="115" t="s">
        <v>1875</v>
      </c>
      <c r="B127" s="114" t="s">
        <v>1873</v>
      </c>
      <c r="C127" s="136"/>
      <c r="D127" s="49" t="s">
        <v>76</v>
      </c>
      <c r="E127" s="50"/>
      <c r="F127" s="51"/>
      <c r="G127" s="63"/>
      <c r="H127" s="49" t="s">
        <v>75</v>
      </c>
      <c r="I127" s="133">
        <v>1</v>
      </c>
      <c r="J127" s="53"/>
      <c r="K127" s="53" t="s">
        <v>76</v>
      </c>
      <c r="L127" s="53" t="s">
        <v>77</v>
      </c>
      <c r="M127" s="54" t="s">
        <v>920</v>
      </c>
      <c r="N127" s="59" t="s">
        <v>76</v>
      </c>
      <c r="O127" s="49" t="s">
        <v>75</v>
      </c>
      <c r="P127" s="49" t="s">
        <v>76</v>
      </c>
      <c r="Q127" s="55" t="s">
        <v>76</v>
      </c>
      <c r="R127" s="56" t="s">
        <v>76</v>
      </c>
      <c r="S127" s="49" t="s">
        <v>76</v>
      </c>
      <c r="T127" s="122"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134"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2">
      <c r="A128" s="115" t="s">
        <v>1875</v>
      </c>
      <c r="B128" s="114" t="s">
        <v>1873</v>
      </c>
      <c r="C128" s="136"/>
      <c r="D128" s="49" t="s">
        <v>76</v>
      </c>
      <c r="E128" s="50"/>
      <c r="F128" s="51"/>
      <c r="G128" s="63"/>
      <c r="H128" s="49" t="s">
        <v>75</v>
      </c>
      <c r="I128" s="133">
        <v>1</v>
      </c>
      <c r="J128" s="53"/>
      <c r="K128" s="53" t="s">
        <v>76</v>
      </c>
      <c r="L128" s="53" t="s">
        <v>77</v>
      </c>
      <c r="M128" s="54" t="s">
        <v>920</v>
      </c>
      <c r="N128" s="59" t="s">
        <v>76</v>
      </c>
      <c r="O128" s="49" t="s">
        <v>75</v>
      </c>
      <c r="P128" s="49" t="s">
        <v>76</v>
      </c>
      <c r="Q128" s="55" t="s">
        <v>76</v>
      </c>
      <c r="R128" s="56" t="s">
        <v>76</v>
      </c>
      <c r="S128" s="49" t="s">
        <v>76</v>
      </c>
      <c r="T128" s="122"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134"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2">
      <c r="A129" s="115" t="s">
        <v>1875</v>
      </c>
      <c r="B129" s="114" t="s">
        <v>1873</v>
      </c>
      <c r="C129" s="136"/>
      <c r="D129" s="49" t="s">
        <v>76</v>
      </c>
      <c r="E129" s="50"/>
      <c r="F129" s="51"/>
      <c r="G129" s="63"/>
      <c r="H129" s="49" t="s">
        <v>75</v>
      </c>
      <c r="I129" s="133">
        <v>1</v>
      </c>
      <c r="J129" s="53"/>
      <c r="K129" s="53" t="s">
        <v>76</v>
      </c>
      <c r="L129" s="53" t="s">
        <v>77</v>
      </c>
      <c r="M129" s="54" t="s">
        <v>920</v>
      </c>
      <c r="N129" s="59" t="s">
        <v>76</v>
      </c>
      <c r="O129" s="49" t="s">
        <v>75</v>
      </c>
      <c r="P129" s="49" t="s">
        <v>76</v>
      </c>
      <c r="Q129" s="55" t="s">
        <v>76</v>
      </c>
      <c r="R129" s="56" t="s">
        <v>76</v>
      </c>
      <c r="S129" s="49" t="s">
        <v>76</v>
      </c>
      <c r="T129" s="122"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134"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2">
      <c r="A130" s="115" t="s">
        <v>1875</v>
      </c>
      <c r="B130" s="114" t="s">
        <v>1873</v>
      </c>
      <c r="C130" s="136"/>
      <c r="D130" s="49" t="s">
        <v>76</v>
      </c>
      <c r="E130" s="50"/>
      <c r="F130" s="51"/>
      <c r="G130" s="63"/>
      <c r="H130" s="49" t="s">
        <v>75</v>
      </c>
      <c r="I130" s="133">
        <v>1</v>
      </c>
      <c r="J130" s="53"/>
      <c r="K130" s="53" t="s">
        <v>76</v>
      </c>
      <c r="L130" s="53" t="s">
        <v>77</v>
      </c>
      <c r="M130" s="54" t="s">
        <v>920</v>
      </c>
      <c r="N130" s="59" t="s">
        <v>76</v>
      </c>
      <c r="O130" s="49" t="s">
        <v>75</v>
      </c>
      <c r="P130" s="49" t="s">
        <v>76</v>
      </c>
      <c r="Q130" s="55" t="s">
        <v>76</v>
      </c>
      <c r="R130" s="56" t="s">
        <v>76</v>
      </c>
      <c r="S130" s="49" t="s">
        <v>76</v>
      </c>
      <c r="T130" s="122"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134"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2">
      <c r="A131" s="115" t="s">
        <v>1875</v>
      </c>
      <c r="B131" s="114" t="s">
        <v>1873</v>
      </c>
      <c r="C131" s="136"/>
      <c r="D131" s="49" t="s">
        <v>76</v>
      </c>
      <c r="E131" s="50"/>
      <c r="F131" s="51"/>
      <c r="G131" s="63"/>
      <c r="H131" s="49" t="s">
        <v>75</v>
      </c>
      <c r="I131" s="133">
        <v>1</v>
      </c>
      <c r="J131" s="53"/>
      <c r="K131" s="53" t="s">
        <v>76</v>
      </c>
      <c r="L131" s="53" t="s">
        <v>77</v>
      </c>
      <c r="M131" s="54" t="s">
        <v>920</v>
      </c>
      <c r="N131" s="59" t="s">
        <v>76</v>
      </c>
      <c r="O131" s="49" t="s">
        <v>75</v>
      </c>
      <c r="P131" s="49" t="s">
        <v>76</v>
      </c>
      <c r="Q131" s="55" t="s">
        <v>76</v>
      </c>
      <c r="R131" s="56" t="s">
        <v>76</v>
      </c>
      <c r="S131" s="49" t="s">
        <v>76</v>
      </c>
      <c r="T131" s="122"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134"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2">
      <c r="A132" s="115" t="s">
        <v>1875</v>
      </c>
      <c r="B132" s="114" t="s">
        <v>1873</v>
      </c>
      <c r="C132" s="136"/>
      <c r="D132" s="49" t="s">
        <v>76</v>
      </c>
      <c r="E132" s="50"/>
      <c r="F132" s="51"/>
      <c r="G132" s="63"/>
      <c r="H132" s="49" t="s">
        <v>75</v>
      </c>
      <c r="I132" s="133">
        <v>1</v>
      </c>
      <c r="J132" s="53"/>
      <c r="K132" s="53" t="s">
        <v>76</v>
      </c>
      <c r="L132" s="53" t="s">
        <v>77</v>
      </c>
      <c r="M132" s="54" t="s">
        <v>920</v>
      </c>
      <c r="N132" s="59" t="s">
        <v>76</v>
      </c>
      <c r="O132" s="49" t="s">
        <v>75</v>
      </c>
      <c r="P132" s="49" t="s">
        <v>76</v>
      </c>
      <c r="Q132" s="55" t="s">
        <v>76</v>
      </c>
      <c r="R132" s="56" t="s">
        <v>76</v>
      </c>
      <c r="S132" s="49" t="s">
        <v>76</v>
      </c>
      <c r="T132" s="122"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134"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2">
      <c r="A133" s="115" t="s">
        <v>1875</v>
      </c>
      <c r="B133" s="114" t="s">
        <v>1873</v>
      </c>
      <c r="C133" s="136"/>
      <c r="D133" s="49" t="s">
        <v>76</v>
      </c>
      <c r="E133" s="50"/>
      <c r="F133" s="51"/>
      <c r="G133" s="63"/>
      <c r="H133" s="49" t="s">
        <v>75</v>
      </c>
      <c r="I133" s="133">
        <v>1</v>
      </c>
      <c r="J133" s="53"/>
      <c r="K133" s="53" t="s">
        <v>76</v>
      </c>
      <c r="L133" s="53" t="s">
        <v>77</v>
      </c>
      <c r="M133" s="54" t="s">
        <v>920</v>
      </c>
      <c r="N133" s="59" t="s">
        <v>76</v>
      </c>
      <c r="O133" s="49" t="s">
        <v>75</v>
      </c>
      <c r="P133" s="49" t="s">
        <v>76</v>
      </c>
      <c r="Q133" s="55" t="s">
        <v>76</v>
      </c>
      <c r="R133" s="56" t="s">
        <v>76</v>
      </c>
      <c r="S133" s="49" t="s">
        <v>76</v>
      </c>
      <c r="T133" s="122"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134"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2">
      <c r="A134" s="115" t="s">
        <v>1875</v>
      </c>
      <c r="B134" s="114" t="s">
        <v>1873</v>
      </c>
      <c r="C134" s="136"/>
      <c r="D134" s="49" t="s">
        <v>76</v>
      </c>
      <c r="E134" s="50"/>
      <c r="F134" s="51"/>
      <c r="G134" s="63"/>
      <c r="H134" s="49" t="s">
        <v>75</v>
      </c>
      <c r="I134" s="133">
        <v>1</v>
      </c>
      <c r="J134" s="53"/>
      <c r="K134" s="53" t="s">
        <v>76</v>
      </c>
      <c r="L134" s="53" t="s">
        <v>77</v>
      </c>
      <c r="M134" s="54" t="s">
        <v>920</v>
      </c>
      <c r="N134" s="59" t="s">
        <v>76</v>
      </c>
      <c r="O134" s="49" t="s">
        <v>75</v>
      </c>
      <c r="P134" s="49" t="s">
        <v>76</v>
      </c>
      <c r="Q134" s="55" t="s">
        <v>76</v>
      </c>
      <c r="R134" s="56" t="s">
        <v>76</v>
      </c>
      <c r="S134" s="49" t="s">
        <v>76</v>
      </c>
      <c r="T134" s="122"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134"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2">
      <c r="A135" s="115" t="s">
        <v>1875</v>
      </c>
      <c r="B135" s="114" t="s">
        <v>1873</v>
      </c>
      <c r="C135" s="136"/>
      <c r="D135" s="49" t="s">
        <v>76</v>
      </c>
      <c r="E135" s="50"/>
      <c r="F135" s="51"/>
      <c r="G135" s="63"/>
      <c r="H135" s="49" t="s">
        <v>75</v>
      </c>
      <c r="I135" s="133">
        <v>1</v>
      </c>
      <c r="J135" s="53"/>
      <c r="K135" s="53" t="s">
        <v>76</v>
      </c>
      <c r="L135" s="53" t="s">
        <v>77</v>
      </c>
      <c r="M135" s="54" t="s">
        <v>920</v>
      </c>
      <c r="N135" s="59" t="s">
        <v>76</v>
      </c>
      <c r="O135" s="49" t="s">
        <v>75</v>
      </c>
      <c r="P135" s="49" t="s">
        <v>76</v>
      </c>
      <c r="Q135" s="55" t="s">
        <v>76</v>
      </c>
      <c r="R135" s="56" t="s">
        <v>76</v>
      </c>
      <c r="S135" s="49" t="s">
        <v>76</v>
      </c>
      <c r="T135" s="122"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134"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2">
      <c r="A136" s="115" t="s">
        <v>1875</v>
      </c>
      <c r="B136" s="114" t="s">
        <v>1873</v>
      </c>
      <c r="C136" s="136"/>
      <c r="D136" s="49" t="s">
        <v>76</v>
      </c>
      <c r="E136" s="50"/>
      <c r="F136" s="51"/>
      <c r="G136" s="63"/>
      <c r="H136" s="49" t="s">
        <v>75</v>
      </c>
      <c r="I136" s="133">
        <v>1</v>
      </c>
      <c r="J136" s="53"/>
      <c r="K136" s="53" t="s">
        <v>76</v>
      </c>
      <c r="L136" s="53" t="s">
        <v>77</v>
      </c>
      <c r="M136" s="54" t="s">
        <v>920</v>
      </c>
      <c r="N136" s="59" t="s">
        <v>76</v>
      </c>
      <c r="O136" s="49" t="s">
        <v>75</v>
      </c>
      <c r="P136" s="49" t="s">
        <v>76</v>
      </c>
      <c r="Q136" s="55" t="s">
        <v>76</v>
      </c>
      <c r="R136" s="56" t="s">
        <v>76</v>
      </c>
      <c r="S136" s="49" t="s">
        <v>76</v>
      </c>
      <c r="T136" s="122"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134"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2">
      <c r="A137" s="115" t="s">
        <v>1875</v>
      </c>
      <c r="B137" s="114" t="s">
        <v>1873</v>
      </c>
      <c r="C137" s="136"/>
      <c r="D137" s="49" t="s">
        <v>76</v>
      </c>
      <c r="E137" s="50"/>
      <c r="F137" s="51"/>
      <c r="G137" s="63"/>
      <c r="H137" s="49" t="s">
        <v>75</v>
      </c>
      <c r="I137" s="133">
        <v>1</v>
      </c>
      <c r="J137" s="53"/>
      <c r="K137" s="53" t="s">
        <v>76</v>
      </c>
      <c r="L137" s="53" t="s">
        <v>77</v>
      </c>
      <c r="M137" s="54" t="s">
        <v>920</v>
      </c>
      <c r="N137" s="59" t="s">
        <v>76</v>
      </c>
      <c r="O137" s="49" t="s">
        <v>75</v>
      </c>
      <c r="P137" s="49" t="s">
        <v>76</v>
      </c>
      <c r="Q137" s="55" t="s">
        <v>76</v>
      </c>
      <c r="R137" s="56" t="s">
        <v>76</v>
      </c>
      <c r="S137" s="49" t="s">
        <v>76</v>
      </c>
      <c r="T137" s="122"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134"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2">
      <c r="A138" s="115" t="s">
        <v>1875</v>
      </c>
      <c r="B138" s="114" t="s">
        <v>1873</v>
      </c>
      <c r="C138" s="136"/>
      <c r="D138" s="49" t="s">
        <v>76</v>
      </c>
      <c r="E138" s="50"/>
      <c r="F138" s="51"/>
      <c r="G138" s="63"/>
      <c r="H138" s="49" t="s">
        <v>75</v>
      </c>
      <c r="I138" s="133">
        <v>1</v>
      </c>
      <c r="J138" s="53"/>
      <c r="K138" s="53" t="s">
        <v>76</v>
      </c>
      <c r="L138" s="53" t="s">
        <v>77</v>
      </c>
      <c r="M138" s="54" t="s">
        <v>920</v>
      </c>
      <c r="N138" s="59" t="s">
        <v>76</v>
      </c>
      <c r="O138" s="49" t="s">
        <v>75</v>
      </c>
      <c r="P138" s="49" t="s">
        <v>76</v>
      </c>
      <c r="Q138" s="55" t="s">
        <v>76</v>
      </c>
      <c r="R138" s="56" t="s">
        <v>76</v>
      </c>
      <c r="S138" s="49" t="s">
        <v>76</v>
      </c>
      <c r="T138" s="122"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134"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2">
      <c r="A139" s="115" t="s">
        <v>1875</v>
      </c>
      <c r="B139" s="114" t="s">
        <v>1873</v>
      </c>
      <c r="C139" s="136"/>
      <c r="D139" s="49" t="s">
        <v>76</v>
      </c>
      <c r="E139" s="50"/>
      <c r="F139" s="51"/>
      <c r="G139" s="63"/>
      <c r="H139" s="49" t="s">
        <v>75</v>
      </c>
      <c r="I139" s="133">
        <v>1</v>
      </c>
      <c r="J139" s="53"/>
      <c r="K139" s="53" t="s">
        <v>76</v>
      </c>
      <c r="L139" s="53" t="s">
        <v>77</v>
      </c>
      <c r="M139" s="54" t="s">
        <v>920</v>
      </c>
      <c r="N139" s="59" t="s">
        <v>76</v>
      </c>
      <c r="O139" s="49" t="s">
        <v>75</v>
      </c>
      <c r="P139" s="49" t="s">
        <v>76</v>
      </c>
      <c r="Q139" s="55" t="s">
        <v>76</v>
      </c>
      <c r="R139" s="56" t="s">
        <v>76</v>
      </c>
      <c r="S139" s="49" t="s">
        <v>76</v>
      </c>
      <c r="T139" s="122"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134"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2">
      <c r="A140" s="115" t="s">
        <v>1875</v>
      </c>
      <c r="B140" s="114" t="s">
        <v>1873</v>
      </c>
      <c r="C140" s="136"/>
      <c r="D140" s="49" t="s">
        <v>76</v>
      </c>
      <c r="E140" s="50"/>
      <c r="F140" s="51"/>
      <c r="G140" s="63"/>
      <c r="H140" s="49" t="s">
        <v>75</v>
      </c>
      <c r="I140" s="133">
        <v>1</v>
      </c>
      <c r="J140" s="53"/>
      <c r="K140" s="53" t="s">
        <v>76</v>
      </c>
      <c r="L140" s="53" t="s">
        <v>77</v>
      </c>
      <c r="M140" s="54" t="s">
        <v>920</v>
      </c>
      <c r="N140" s="59" t="s">
        <v>76</v>
      </c>
      <c r="O140" s="49" t="s">
        <v>75</v>
      </c>
      <c r="P140" s="49" t="s">
        <v>76</v>
      </c>
      <c r="Q140" s="55" t="s">
        <v>76</v>
      </c>
      <c r="R140" s="56" t="s">
        <v>76</v>
      </c>
      <c r="S140" s="49" t="s">
        <v>76</v>
      </c>
      <c r="T140" s="122"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134"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2">
      <c r="A141" s="115" t="s">
        <v>1875</v>
      </c>
      <c r="B141" s="114" t="s">
        <v>1873</v>
      </c>
      <c r="C141" s="136"/>
      <c r="D141" s="49" t="s">
        <v>76</v>
      </c>
      <c r="E141" s="50"/>
      <c r="F141" s="51"/>
      <c r="G141" s="63"/>
      <c r="H141" s="49" t="s">
        <v>75</v>
      </c>
      <c r="I141" s="133">
        <v>1</v>
      </c>
      <c r="J141" s="53"/>
      <c r="K141" s="53" t="s">
        <v>76</v>
      </c>
      <c r="L141" s="53" t="s">
        <v>77</v>
      </c>
      <c r="M141" s="54" t="s">
        <v>920</v>
      </c>
      <c r="N141" s="59" t="s">
        <v>76</v>
      </c>
      <c r="O141" s="49" t="s">
        <v>75</v>
      </c>
      <c r="P141" s="49" t="s">
        <v>76</v>
      </c>
      <c r="Q141" s="55" t="s">
        <v>76</v>
      </c>
      <c r="R141" s="56" t="s">
        <v>76</v>
      </c>
      <c r="S141" s="49" t="s">
        <v>76</v>
      </c>
      <c r="T141" s="122"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134"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2">
      <c r="A142" s="115" t="s">
        <v>1875</v>
      </c>
      <c r="B142" s="114" t="s">
        <v>1873</v>
      </c>
      <c r="C142" s="136"/>
      <c r="D142" s="49" t="s">
        <v>76</v>
      </c>
      <c r="E142" s="50"/>
      <c r="F142" s="51"/>
      <c r="G142" s="63"/>
      <c r="H142" s="49" t="s">
        <v>75</v>
      </c>
      <c r="I142" s="133">
        <v>1</v>
      </c>
      <c r="J142" s="53"/>
      <c r="K142" s="53" t="s">
        <v>76</v>
      </c>
      <c r="L142" s="53" t="s">
        <v>77</v>
      </c>
      <c r="M142" s="54" t="s">
        <v>920</v>
      </c>
      <c r="N142" s="59" t="s">
        <v>76</v>
      </c>
      <c r="O142" s="49" t="s">
        <v>75</v>
      </c>
      <c r="P142" s="49" t="s">
        <v>76</v>
      </c>
      <c r="Q142" s="55" t="s">
        <v>76</v>
      </c>
      <c r="R142" s="56" t="s">
        <v>76</v>
      </c>
      <c r="S142" s="49" t="s">
        <v>76</v>
      </c>
      <c r="T142" s="122"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134"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2">
      <c r="A143" s="115" t="s">
        <v>1875</v>
      </c>
      <c r="B143" s="114" t="s">
        <v>1873</v>
      </c>
      <c r="C143" s="136"/>
      <c r="D143" s="49" t="s">
        <v>76</v>
      </c>
      <c r="E143" s="50"/>
      <c r="F143" s="51"/>
      <c r="G143" s="63"/>
      <c r="H143" s="49" t="s">
        <v>75</v>
      </c>
      <c r="I143" s="133">
        <v>1</v>
      </c>
      <c r="J143" s="53"/>
      <c r="K143" s="53" t="s">
        <v>76</v>
      </c>
      <c r="L143" s="53" t="s">
        <v>77</v>
      </c>
      <c r="M143" s="54" t="s">
        <v>920</v>
      </c>
      <c r="N143" s="59" t="s">
        <v>76</v>
      </c>
      <c r="O143" s="49" t="s">
        <v>75</v>
      </c>
      <c r="P143" s="49" t="s">
        <v>76</v>
      </c>
      <c r="Q143" s="55" t="s">
        <v>76</v>
      </c>
      <c r="R143" s="56" t="s">
        <v>76</v>
      </c>
      <c r="S143" s="49" t="s">
        <v>76</v>
      </c>
      <c r="T143" s="122"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134"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2">
      <c r="A144" s="115" t="s">
        <v>1875</v>
      </c>
      <c r="B144" s="114" t="s">
        <v>1873</v>
      </c>
      <c r="C144" s="136"/>
      <c r="D144" s="49" t="s">
        <v>76</v>
      </c>
      <c r="E144" s="50"/>
      <c r="F144" s="51"/>
      <c r="G144" s="63"/>
      <c r="H144" s="49" t="s">
        <v>75</v>
      </c>
      <c r="I144" s="133">
        <v>1</v>
      </c>
      <c r="J144" s="53"/>
      <c r="K144" s="53" t="s">
        <v>76</v>
      </c>
      <c r="L144" s="53" t="s">
        <v>77</v>
      </c>
      <c r="M144" s="54" t="s">
        <v>920</v>
      </c>
      <c r="N144" s="59" t="s">
        <v>76</v>
      </c>
      <c r="O144" s="49" t="s">
        <v>75</v>
      </c>
      <c r="P144" s="49" t="s">
        <v>76</v>
      </c>
      <c r="Q144" s="55" t="s">
        <v>76</v>
      </c>
      <c r="R144" s="56" t="s">
        <v>76</v>
      </c>
      <c r="S144" s="49" t="s">
        <v>76</v>
      </c>
      <c r="T144" s="122"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134"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2">
      <c r="A145" s="115" t="s">
        <v>1875</v>
      </c>
      <c r="B145" s="114" t="s">
        <v>1873</v>
      </c>
      <c r="C145" s="136"/>
      <c r="D145" s="49" t="s">
        <v>76</v>
      </c>
      <c r="E145" s="50"/>
      <c r="F145" s="51"/>
      <c r="G145" s="63"/>
      <c r="H145" s="49" t="s">
        <v>75</v>
      </c>
      <c r="I145" s="133">
        <v>1</v>
      </c>
      <c r="J145" s="53"/>
      <c r="K145" s="53" t="s">
        <v>76</v>
      </c>
      <c r="L145" s="53" t="s">
        <v>77</v>
      </c>
      <c r="M145" s="54" t="s">
        <v>920</v>
      </c>
      <c r="N145" s="59" t="s">
        <v>76</v>
      </c>
      <c r="O145" s="49" t="s">
        <v>75</v>
      </c>
      <c r="P145" s="49" t="s">
        <v>76</v>
      </c>
      <c r="Q145" s="55" t="s">
        <v>76</v>
      </c>
      <c r="R145" s="56" t="s">
        <v>76</v>
      </c>
      <c r="S145" s="49" t="s">
        <v>76</v>
      </c>
      <c r="T145" s="122"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134"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2">
      <c r="A146" s="115" t="s">
        <v>1875</v>
      </c>
      <c r="B146" s="114" t="s">
        <v>1873</v>
      </c>
      <c r="C146" s="136"/>
      <c r="D146" s="49" t="s">
        <v>76</v>
      </c>
      <c r="E146" s="50"/>
      <c r="F146" s="51"/>
      <c r="G146" s="63"/>
      <c r="H146" s="49" t="s">
        <v>75</v>
      </c>
      <c r="I146" s="133">
        <v>1</v>
      </c>
      <c r="J146" s="53"/>
      <c r="K146" s="53" t="s">
        <v>76</v>
      </c>
      <c r="L146" s="53" t="s">
        <v>77</v>
      </c>
      <c r="M146" s="54" t="s">
        <v>920</v>
      </c>
      <c r="N146" s="59" t="s">
        <v>76</v>
      </c>
      <c r="O146" s="49" t="s">
        <v>75</v>
      </c>
      <c r="P146" s="49" t="s">
        <v>76</v>
      </c>
      <c r="Q146" s="55" t="s">
        <v>76</v>
      </c>
      <c r="R146" s="56" t="s">
        <v>76</v>
      </c>
      <c r="S146" s="49" t="s">
        <v>76</v>
      </c>
      <c r="T146" s="122"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134"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2">
      <c r="A147" s="115" t="s">
        <v>1875</v>
      </c>
      <c r="B147" s="114" t="s">
        <v>1873</v>
      </c>
      <c r="C147" s="136"/>
      <c r="D147" s="49" t="s">
        <v>76</v>
      </c>
      <c r="E147" s="50"/>
      <c r="F147" s="51"/>
      <c r="G147" s="63"/>
      <c r="H147" s="49" t="s">
        <v>75</v>
      </c>
      <c r="I147" s="133">
        <v>1</v>
      </c>
      <c r="J147" s="53"/>
      <c r="K147" s="53" t="s">
        <v>76</v>
      </c>
      <c r="L147" s="53" t="s">
        <v>77</v>
      </c>
      <c r="M147" s="54" t="s">
        <v>920</v>
      </c>
      <c r="N147" s="59" t="s">
        <v>76</v>
      </c>
      <c r="O147" s="49" t="s">
        <v>75</v>
      </c>
      <c r="P147" s="49" t="s">
        <v>76</v>
      </c>
      <c r="Q147" s="55" t="s">
        <v>76</v>
      </c>
      <c r="R147" s="56" t="s">
        <v>76</v>
      </c>
      <c r="S147" s="49" t="s">
        <v>76</v>
      </c>
      <c r="T147" s="122"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134"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2">
      <c r="A148" s="115" t="s">
        <v>1875</v>
      </c>
      <c r="B148" s="114" t="s">
        <v>1873</v>
      </c>
      <c r="C148" s="136"/>
      <c r="D148" s="49" t="s">
        <v>76</v>
      </c>
      <c r="E148" s="50"/>
      <c r="F148" s="51"/>
      <c r="G148" s="63"/>
      <c r="H148" s="49" t="s">
        <v>75</v>
      </c>
      <c r="I148" s="133">
        <v>1</v>
      </c>
      <c r="J148" s="53"/>
      <c r="K148" s="53" t="s">
        <v>76</v>
      </c>
      <c r="L148" s="53" t="s">
        <v>77</v>
      </c>
      <c r="M148" s="54" t="s">
        <v>920</v>
      </c>
      <c r="N148" s="59" t="s">
        <v>76</v>
      </c>
      <c r="O148" s="49" t="s">
        <v>75</v>
      </c>
      <c r="P148" s="49" t="s">
        <v>76</v>
      </c>
      <c r="Q148" s="55" t="s">
        <v>76</v>
      </c>
      <c r="R148" s="56" t="s">
        <v>76</v>
      </c>
      <c r="S148" s="49" t="s">
        <v>76</v>
      </c>
      <c r="T148" s="122"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134"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2">
      <c r="A149" s="115" t="s">
        <v>1875</v>
      </c>
      <c r="B149" s="114" t="s">
        <v>1873</v>
      </c>
      <c r="C149" s="136"/>
      <c r="D149" s="49" t="s">
        <v>76</v>
      </c>
      <c r="E149" s="50"/>
      <c r="F149" s="51"/>
      <c r="G149" s="63"/>
      <c r="H149" s="49" t="s">
        <v>75</v>
      </c>
      <c r="I149" s="133">
        <v>1</v>
      </c>
      <c r="J149" s="53"/>
      <c r="K149" s="53" t="s">
        <v>76</v>
      </c>
      <c r="L149" s="53" t="s">
        <v>77</v>
      </c>
      <c r="M149" s="54" t="s">
        <v>920</v>
      </c>
      <c r="N149" s="59" t="s">
        <v>76</v>
      </c>
      <c r="O149" s="49" t="s">
        <v>75</v>
      </c>
      <c r="P149" s="49" t="s">
        <v>76</v>
      </c>
      <c r="Q149" s="55" t="s">
        <v>76</v>
      </c>
      <c r="R149" s="56" t="s">
        <v>76</v>
      </c>
      <c r="S149" s="49" t="s">
        <v>76</v>
      </c>
      <c r="T149" s="122"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134"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2">
      <c r="A150" s="115" t="s">
        <v>1875</v>
      </c>
      <c r="B150" s="114" t="s">
        <v>1873</v>
      </c>
      <c r="C150" s="136"/>
      <c r="D150" s="49" t="s">
        <v>76</v>
      </c>
      <c r="E150" s="50"/>
      <c r="F150" s="51"/>
      <c r="G150" s="63"/>
      <c r="H150" s="49" t="s">
        <v>75</v>
      </c>
      <c r="I150" s="133">
        <v>1</v>
      </c>
      <c r="J150" s="53"/>
      <c r="K150" s="53" t="s">
        <v>76</v>
      </c>
      <c r="L150" s="53" t="s">
        <v>77</v>
      </c>
      <c r="M150" s="54" t="s">
        <v>920</v>
      </c>
      <c r="N150" s="59" t="s">
        <v>76</v>
      </c>
      <c r="O150" s="49" t="s">
        <v>75</v>
      </c>
      <c r="P150" s="49" t="s">
        <v>76</v>
      </c>
      <c r="Q150" s="55" t="s">
        <v>76</v>
      </c>
      <c r="R150" s="56" t="s">
        <v>76</v>
      </c>
      <c r="S150" s="49" t="s">
        <v>76</v>
      </c>
      <c r="T150" s="122"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134"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2">
      <c r="A151" s="115" t="s">
        <v>1875</v>
      </c>
      <c r="B151" s="114" t="s">
        <v>1873</v>
      </c>
      <c r="C151" s="136"/>
      <c r="D151" s="49" t="s">
        <v>76</v>
      </c>
      <c r="E151" s="50"/>
      <c r="F151" s="51"/>
      <c r="G151" s="63"/>
      <c r="H151" s="49" t="s">
        <v>75</v>
      </c>
      <c r="I151" s="133">
        <v>1</v>
      </c>
      <c r="J151" s="53"/>
      <c r="K151" s="53" t="s">
        <v>76</v>
      </c>
      <c r="L151" s="53" t="s">
        <v>77</v>
      </c>
      <c r="M151" s="54" t="s">
        <v>920</v>
      </c>
      <c r="N151" s="59" t="s">
        <v>76</v>
      </c>
      <c r="O151" s="49" t="s">
        <v>75</v>
      </c>
      <c r="P151" s="49" t="s">
        <v>76</v>
      </c>
      <c r="Q151" s="55" t="s">
        <v>76</v>
      </c>
      <c r="R151" s="56" t="s">
        <v>76</v>
      </c>
      <c r="S151" s="49" t="s">
        <v>76</v>
      </c>
      <c r="T151" s="122"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134"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2">
      <c r="A152" s="115" t="s">
        <v>1875</v>
      </c>
      <c r="B152" s="114" t="s">
        <v>1873</v>
      </c>
      <c r="C152" s="136"/>
      <c r="D152" s="49" t="s">
        <v>76</v>
      </c>
      <c r="E152" s="50"/>
      <c r="F152" s="51"/>
      <c r="G152" s="63"/>
      <c r="H152" s="49" t="s">
        <v>75</v>
      </c>
      <c r="I152" s="133">
        <v>1</v>
      </c>
      <c r="J152" s="53"/>
      <c r="K152" s="53" t="s">
        <v>76</v>
      </c>
      <c r="L152" s="53" t="s">
        <v>77</v>
      </c>
      <c r="M152" s="54" t="s">
        <v>920</v>
      </c>
      <c r="N152" s="59" t="s">
        <v>76</v>
      </c>
      <c r="O152" s="49" t="s">
        <v>75</v>
      </c>
      <c r="P152" s="49" t="s">
        <v>76</v>
      </c>
      <c r="Q152" s="55" t="s">
        <v>76</v>
      </c>
      <c r="R152" s="56" t="s">
        <v>76</v>
      </c>
      <c r="S152" s="49" t="s">
        <v>76</v>
      </c>
      <c r="T152" s="122"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134"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2">
      <c r="A153" s="115" t="s">
        <v>1875</v>
      </c>
      <c r="B153" s="114" t="s">
        <v>1873</v>
      </c>
      <c r="C153" s="136"/>
      <c r="D153" s="49" t="s">
        <v>76</v>
      </c>
      <c r="E153" s="50"/>
      <c r="F153" s="51"/>
      <c r="G153" s="63"/>
      <c r="H153" s="49" t="s">
        <v>75</v>
      </c>
      <c r="I153" s="133">
        <v>1</v>
      </c>
      <c r="J153" s="53"/>
      <c r="K153" s="53" t="s">
        <v>76</v>
      </c>
      <c r="L153" s="53" t="s">
        <v>77</v>
      </c>
      <c r="M153" s="54" t="s">
        <v>920</v>
      </c>
      <c r="N153" s="59" t="s">
        <v>76</v>
      </c>
      <c r="O153" s="49" t="s">
        <v>75</v>
      </c>
      <c r="P153" s="49" t="s">
        <v>76</v>
      </c>
      <c r="Q153" s="55" t="s">
        <v>76</v>
      </c>
      <c r="R153" s="56" t="s">
        <v>76</v>
      </c>
      <c r="S153" s="49" t="s">
        <v>76</v>
      </c>
      <c r="T153" s="122"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134"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2">
      <c r="A154" s="115" t="s">
        <v>1875</v>
      </c>
      <c r="B154" s="114" t="s">
        <v>1873</v>
      </c>
      <c r="C154" s="136"/>
      <c r="D154" s="49" t="s">
        <v>76</v>
      </c>
      <c r="E154" s="50"/>
      <c r="F154" s="51"/>
      <c r="G154" s="63"/>
      <c r="H154" s="49" t="s">
        <v>75</v>
      </c>
      <c r="I154" s="133">
        <v>1</v>
      </c>
      <c r="J154" s="53"/>
      <c r="K154" s="53" t="s">
        <v>76</v>
      </c>
      <c r="L154" s="53" t="s">
        <v>77</v>
      </c>
      <c r="M154" s="54" t="s">
        <v>920</v>
      </c>
      <c r="N154" s="59" t="s">
        <v>76</v>
      </c>
      <c r="O154" s="49" t="s">
        <v>75</v>
      </c>
      <c r="P154" s="49" t="s">
        <v>76</v>
      </c>
      <c r="Q154" s="55" t="s">
        <v>76</v>
      </c>
      <c r="R154" s="56" t="s">
        <v>76</v>
      </c>
      <c r="S154" s="49" t="s">
        <v>76</v>
      </c>
      <c r="T154" s="122"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134"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2">
      <c r="A155" s="115" t="s">
        <v>1875</v>
      </c>
      <c r="B155" s="114" t="s">
        <v>1873</v>
      </c>
      <c r="C155" s="136"/>
      <c r="D155" s="49" t="s">
        <v>76</v>
      </c>
      <c r="E155" s="50"/>
      <c r="F155" s="51"/>
      <c r="G155" s="63"/>
      <c r="H155" s="49" t="s">
        <v>75</v>
      </c>
      <c r="I155" s="133">
        <v>1</v>
      </c>
      <c r="J155" s="53"/>
      <c r="K155" s="53" t="s">
        <v>76</v>
      </c>
      <c r="L155" s="53" t="s">
        <v>77</v>
      </c>
      <c r="M155" s="54" t="s">
        <v>920</v>
      </c>
      <c r="N155" s="59" t="s">
        <v>76</v>
      </c>
      <c r="O155" s="49" t="s">
        <v>75</v>
      </c>
      <c r="P155" s="49" t="s">
        <v>76</v>
      </c>
      <c r="Q155" s="55" t="s">
        <v>76</v>
      </c>
      <c r="R155" s="56" t="s">
        <v>76</v>
      </c>
      <c r="S155" s="49" t="s">
        <v>76</v>
      </c>
      <c r="T155" s="122"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134"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2">
      <c r="A156" s="115" t="s">
        <v>1875</v>
      </c>
      <c r="B156" s="114" t="s">
        <v>1873</v>
      </c>
      <c r="C156" s="136"/>
      <c r="D156" s="49" t="s">
        <v>76</v>
      </c>
      <c r="E156" s="50"/>
      <c r="F156" s="51"/>
      <c r="G156" s="63"/>
      <c r="H156" s="49" t="s">
        <v>75</v>
      </c>
      <c r="I156" s="133">
        <v>1</v>
      </c>
      <c r="J156" s="53"/>
      <c r="K156" s="53" t="s">
        <v>76</v>
      </c>
      <c r="L156" s="53" t="s">
        <v>77</v>
      </c>
      <c r="M156" s="54" t="s">
        <v>920</v>
      </c>
      <c r="N156" s="59" t="s">
        <v>76</v>
      </c>
      <c r="O156" s="49" t="s">
        <v>75</v>
      </c>
      <c r="P156" s="49" t="s">
        <v>76</v>
      </c>
      <c r="Q156" s="55" t="s">
        <v>76</v>
      </c>
      <c r="R156" s="56" t="s">
        <v>76</v>
      </c>
      <c r="S156" s="49" t="s">
        <v>76</v>
      </c>
      <c r="T156" s="122"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134"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2">
      <c r="A157" s="115" t="s">
        <v>1875</v>
      </c>
      <c r="B157" s="114" t="s">
        <v>1873</v>
      </c>
      <c r="C157" s="136"/>
      <c r="D157" s="49" t="s">
        <v>76</v>
      </c>
      <c r="E157" s="50"/>
      <c r="F157" s="51"/>
      <c r="G157" s="63"/>
      <c r="H157" s="49" t="s">
        <v>75</v>
      </c>
      <c r="I157" s="133">
        <v>1</v>
      </c>
      <c r="J157" s="53"/>
      <c r="K157" s="53" t="s">
        <v>76</v>
      </c>
      <c r="L157" s="53" t="s">
        <v>77</v>
      </c>
      <c r="M157" s="54" t="s">
        <v>920</v>
      </c>
      <c r="N157" s="59" t="s">
        <v>76</v>
      </c>
      <c r="O157" s="49" t="s">
        <v>75</v>
      </c>
      <c r="P157" s="49" t="s">
        <v>76</v>
      </c>
      <c r="Q157" s="55" t="s">
        <v>76</v>
      </c>
      <c r="R157" s="56" t="s">
        <v>76</v>
      </c>
      <c r="S157" s="49" t="s">
        <v>76</v>
      </c>
      <c r="T157" s="122"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134"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2">
      <c r="A158" s="115" t="s">
        <v>1875</v>
      </c>
      <c r="B158" s="114" t="s">
        <v>1873</v>
      </c>
      <c r="C158" s="136"/>
      <c r="D158" s="49" t="s">
        <v>76</v>
      </c>
      <c r="E158" s="50"/>
      <c r="F158" s="51"/>
      <c r="G158" s="63"/>
      <c r="H158" s="49" t="s">
        <v>75</v>
      </c>
      <c r="I158" s="133">
        <v>1</v>
      </c>
      <c r="J158" s="53"/>
      <c r="K158" s="53" t="s">
        <v>76</v>
      </c>
      <c r="L158" s="53" t="s">
        <v>77</v>
      </c>
      <c r="M158" s="54" t="s">
        <v>920</v>
      </c>
      <c r="N158" s="59" t="s">
        <v>76</v>
      </c>
      <c r="O158" s="49" t="s">
        <v>75</v>
      </c>
      <c r="P158" s="49" t="s">
        <v>76</v>
      </c>
      <c r="Q158" s="55" t="s">
        <v>76</v>
      </c>
      <c r="R158" s="56" t="s">
        <v>76</v>
      </c>
      <c r="S158" s="49" t="s">
        <v>76</v>
      </c>
      <c r="T158" s="122"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134"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2">
      <c r="A159" s="115" t="s">
        <v>1875</v>
      </c>
      <c r="B159" s="114" t="s">
        <v>1873</v>
      </c>
      <c r="C159" s="136"/>
      <c r="D159" s="49" t="s">
        <v>76</v>
      </c>
      <c r="E159" s="50"/>
      <c r="F159" s="51"/>
      <c r="G159" s="63"/>
      <c r="H159" s="49" t="s">
        <v>75</v>
      </c>
      <c r="I159" s="133">
        <v>1</v>
      </c>
      <c r="J159" s="53"/>
      <c r="K159" s="53" t="s">
        <v>76</v>
      </c>
      <c r="L159" s="53" t="s">
        <v>77</v>
      </c>
      <c r="M159" s="54" t="s">
        <v>920</v>
      </c>
      <c r="N159" s="59" t="s">
        <v>76</v>
      </c>
      <c r="O159" s="49" t="s">
        <v>75</v>
      </c>
      <c r="P159" s="49" t="s">
        <v>76</v>
      </c>
      <c r="Q159" s="55" t="s">
        <v>76</v>
      </c>
      <c r="R159" s="56" t="s">
        <v>76</v>
      </c>
      <c r="S159" s="49" t="s">
        <v>76</v>
      </c>
      <c r="T159" s="122"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134"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2">
      <c r="A160" s="115" t="s">
        <v>1875</v>
      </c>
      <c r="B160" s="114" t="s">
        <v>1873</v>
      </c>
      <c r="C160" s="136"/>
      <c r="D160" s="49" t="s">
        <v>76</v>
      </c>
      <c r="E160" s="50"/>
      <c r="F160" s="51"/>
      <c r="G160" s="63"/>
      <c r="H160" s="49" t="s">
        <v>75</v>
      </c>
      <c r="I160" s="133">
        <v>1</v>
      </c>
      <c r="J160" s="53"/>
      <c r="K160" s="53" t="s">
        <v>76</v>
      </c>
      <c r="L160" s="53" t="s">
        <v>77</v>
      </c>
      <c r="M160" s="54" t="s">
        <v>920</v>
      </c>
      <c r="N160" s="59" t="s">
        <v>76</v>
      </c>
      <c r="O160" s="49" t="s">
        <v>75</v>
      </c>
      <c r="P160" s="49" t="s">
        <v>76</v>
      </c>
      <c r="Q160" s="55" t="s">
        <v>76</v>
      </c>
      <c r="R160" s="56" t="s">
        <v>76</v>
      </c>
      <c r="S160" s="49" t="s">
        <v>76</v>
      </c>
      <c r="T160" s="122"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134"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2">
      <c r="A161" s="115" t="s">
        <v>1875</v>
      </c>
      <c r="B161" s="114" t="s">
        <v>1873</v>
      </c>
      <c r="C161" s="136"/>
      <c r="D161" s="49" t="s">
        <v>76</v>
      </c>
      <c r="E161" s="50"/>
      <c r="F161" s="51"/>
      <c r="G161" s="63"/>
      <c r="H161" s="49" t="s">
        <v>75</v>
      </c>
      <c r="I161" s="133">
        <v>1</v>
      </c>
      <c r="J161" s="53"/>
      <c r="K161" s="53" t="s">
        <v>76</v>
      </c>
      <c r="L161" s="53" t="s">
        <v>77</v>
      </c>
      <c r="M161" s="54" t="s">
        <v>920</v>
      </c>
      <c r="N161" s="59" t="s">
        <v>76</v>
      </c>
      <c r="O161" s="49" t="s">
        <v>75</v>
      </c>
      <c r="P161" s="49" t="s">
        <v>76</v>
      </c>
      <c r="Q161" s="55" t="s">
        <v>76</v>
      </c>
      <c r="R161" s="56" t="s">
        <v>76</v>
      </c>
      <c r="S161" s="49" t="s">
        <v>76</v>
      </c>
      <c r="T161" s="122"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134"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2">
      <c r="A162" s="115" t="s">
        <v>1875</v>
      </c>
      <c r="B162" s="114" t="s">
        <v>1873</v>
      </c>
      <c r="C162" s="136"/>
      <c r="D162" s="49" t="s">
        <v>76</v>
      </c>
      <c r="E162" s="50"/>
      <c r="F162" s="51"/>
      <c r="G162" s="63"/>
      <c r="H162" s="49" t="s">
        <v>75</v>
      </c>
      <c r="I162" s="133">
        <v>1</v>
      </c>
      <c r="J162" s="53"/>
      <c r="K162" s="53" t="s">
        <v>76</v>
      </c>
      <c r="L162" s="53" t="s">
        <v>77</v>
      </c>
      <c r="M162" s="54" t="s">
        <v>920</v>
      </c>
      <c r="N162" s="59" t="s">
        <v>76</v>
      </c>
      <c r="O162" s="49" t="s">
        <v>75</v>
      </c>
      <c r="P162" s="49" t="s">
        <v>76</v>
      </c>
      <c r="Q162" s="55" t="s">
        <v>76</v>
      </c>
      <c r="R162" s="56" t="s">
        <v>76</v>
      </c>
      <c r="S162" s="49" t="s">
        <v>76</v>
      </c>
      <c r="T162" s="122"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134"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2">
      <c r="A163" s="115" t="s">
        <v>1875</v>
      </c>
      <c r="B163" s="114" t="s">
        <v>1873</v>
      </c>
      <c r="C163" s="136"/>
      <c r="D163" s="49" t="s">
        <v>76</v>
      </c>
      <c r="E163" s="50"/>
      <c r="F163" s="51"/>
      <c r="G163" s="63"/>
      <c r="H163" s="49" t="s">
        <v>75</v>
      </c>
      <c r="I163" s="133">
        <v>1</v>
      </c>
      <c r="J163" s="53"/>
      <c r="K163" s="53" t="s">
        <v>76</v>
      </c>
      <c r="L163" s="53" t="s">
        <v>77</v>
      </c>
      <c r="M163" s="54" t="s">
        <v>920</v>
      </c>
      <c r="N163" s="59" t="s">
        <v>76</v>
      </c>
      <c r="O163" s="49" t="s">
        <v>75</v>
      </c>
      <c r="P163" s="49" t="s">
        <v>76</v>
      </c>
      <c r="Q163" s="55" t="s">
        <v>76</v>
      </c>
      <c r="R163" s="56" t="s">
        <v>76</v>
      </c>
      <c r="S163" s="49" t="s">
        <v>76</v>
      </c>
      <c r="T163" s="122"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134"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2">
      <c r="A164" s="115" t="s">
        <v>1875</v>
      </c>
      <c r="B164" s="114" t="s">
        <v>1873</v>
      </c>
      <c r="C164" s="136"/>
      <c r="D164" s="49" t="s">
        <v>76</v>
      </c>
      <c r="E164" s="50"/>
      <c r="F164" s="51"/>
      <c r="G164" s="63"/>
      <c r="H164" s="49" t="s">
        <v>75</v>
      </c>
      <c r="I164" s="133">
        <v>1</v>
      </c>
      <c r="J164" s="53"/>
      <c r="K164" s="53" t="s">
        <v>76</v>
      </c>
      <c r="L164" s="53" t="s">
        <v>77</v>
      </c>
      <c r="M164" s="54" t="s">
        <v>920</v>
      </c>
      <c r="N164" s="59" t="s">
        <v>76</v>
      </c>
      <c r="O164" s="49" t="s">
        <v>75</v>
      </c>
      <c r="P164" s="49" t="s">
        <v>76</v>
      </c>
      <c r="Q164" s="55" t="s">
        <v>76</v>
      </c>
      <c r="R164" s="56" t="s">
        <v>76</v>
      </c>
      <c r="S164" s="49" t="s">
        <v>76</v>
      </c>
      <c r="T164" s="122"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134"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2">
      <c r="A165" s="115" t="s">
        <v>1875</v>
      </c>
      <c r="B165" s="114" t="s">
        <v>1873</v>
      </c>
      <c r="C165" s="136"/>
      <c r="D165" s="49" t="s">
        <v>76</v>
      </c>
      <c r="E165" s="50"/>
      <c r="F165" s="51"/>
      <c r="G165" s="63"/>
      <c r="H165" s="49" t="s">
        <v>75</v>
      </c>
      <c r="I165" s="133">
        <v>1</v>
      </c>
      <c r="J165" s="53"/>
      <c r="K165" s="53" t="s">
        <v>76</v>
      </c>
      <c r="L165" s="53" t="s">
        <v>77</v>
      </c>
      <c r="M165" s="54" t="s">
        <v>920</v>
      </c>
      <c r="N165" s="59" t="s">
        <v>76</v>
      </c>
      <c r="O165" s="49" t="s">
        <v>75</v>
      </c>
      <c r="P165" s="49" t="s">
        <v>76</v>
      </c>
      <c r="Q165" s="55" t="s">
        <v>76</v>
      </c>
      <c r="R165" s="56" t="s">
        <v>76</v>
      </c>
      <c r="S165" s="49" t="s">
        <v>76</v>
      </c>
      <c r="T165" s="122"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134"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2">
      <c r="A166" s="115" t="s">
        <v>1875</v>
      </c>
      <c r="B166" s="114" t="s">
        <v>1873</v>
      </c>
      <c r="C166" s="136"/>
      <c r="D166" s="49" t="s">
        <v>76</v>
      </c>
      <c r="E166" s="50"/>
      <c r="F166" s="51"/>
      <c r="G166" s="63"/>
      <c r="H166" s="49" t="s">
        <v>75</v>
      </c>
      <c r="I166" s="133">
        <v>1</v>
      </c>
      <c r="J166" s="53"/>
      <c r="K166" s="53" t="s">
        <v>76</v>
      </c>
      <c r="L166" s="53" t="s">
        <v>77</v>
      </c>
      <c r="M166" s="54" t="s">
        <v>920</v>
      </c>
      <c r="N166" s="59" t="s">
        <v>76</v>
      </c>
      <c r="O166" s="49" t="s">
        <v>75</v>
      </c>
      <c r="P166" s="49" t="s">
        <v>76</v>
      </c>
      <c r="Q166" s="55" t="s">
        <v>76</v>
      </c>
      <c r="R166" s="56" t="s">
        <v>76</v>
      </c>
      <c r="S166" s="49" t="s">
        <v>76</v>
      </c>
      <c r="T166" s="122"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134"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2">
      <c r="A167" s="115" t="s">
        <v>1875</v>
      </c>
      <c r="B167" s="114" t="s">
        <v>1873</v>
      </c>
      <c r="C167" s="136"/>
      <c r="D167" s="49" t="s">
        <v>76</v>
      </c>
      <c r="E167" s="50"/>
      <c r="F167" s="51"/>
      <c r="G167" s="63"/>
      <c r="H167" s="49" t="s">
        <v>75</v>
      </c>
      <c r="I167" s="133">
        <v>1</v>
      </c>
      <c r="J167" s="53"/>
      <c r="K167" s="53" t="s">
        <v>76</v>
      </c>
      <c r="L167" s="53" t="s">
        <v>77</v>
      </c>
      <c r="M167" s="54" t="s">
        <v>920</v>
      </c>
      <c r="N167" s="59" t="s">
        <v>76</v>
      </c>
      <c r="O167" s="49" t="s">
        <v>75</v>
      </c>
      <c r="P167" s="49" t="s">
        <v>76</v>
      </c>
      <c r="Q167" s="55" t="s">
        <v>76</v>
      </c>
      <c r="R167" s="56" t="s">
        <v>76</v>
      </c>
      <c r="S167" s="49" t="s">
        <v>76</v>
      </c>
      <c r="T167" s="122"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134"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2">
      <c r="A168" s="115" t="s">
        <v>1875</v>
      </c>
      <c r="B168" s="114" t="s">
        <v>1873</v>
      </c>
      <c r="C168" s="136"/>
      <c r="D168" s="49" t="s">
        <v>76</v>
      </c>
      <c r="E168" s="50"/>
      <c r="F168" s="51"/>
      <c r="G168" s="63"/>
      <c r="H168" s="49" t="s">
        <v>75</v>
      </c>
      <c r="I168" s="133">
        <v>1</v>
      </c>
      <c r="J168" s="53"/>
      <c r="K168" s="53" t="s">
        <v>76</v>
      </c>
      <c r="L168" s="53" t="s">
        <v>77</v>
      </c>
      <c r="M168" s="54" t="s">
        <v>920</v>
      </c>
      <c r="N168" s="59" t="s">
        <v>76</v>
      </c>
      <c r="O168" s="49" t="s">
        <v>75</v>
      </c>
      <c r="P168" s="49" t="s">
        <v>76</v>
      </c>
      <c r="Q168" s="55" t="s">
        <v>76</v>
      </c>
      <c r="R168" s="56" t="s">
        <v>76</v>
      </c>
      <c r="S168" s="49" t="s">
        <v>76</v>
      </c>
      <c r="T168" s="122"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134"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2">
      <c r="A169" s="115" t="s">
        <v>1875</v>
      </c>
      <c r="B169" s="114" t="s">
        <v>1873</v>
      </c>
      <c r="C169" s="136"/>
      <c r="D169" s="49" t="s">
        <v>76</v>
      </c>
      <c r="E169" s="50"/>
      <c r="F169" s="51"/>
      <c r="G169" s="63"/>
      <c r="H169" s="49" t="s">
        <v>75</v>
      </c>
      <c r="I169" s="133">
        <v>1</v>
      </c>
      <c r="J169" s="53"/>
      <c r="K169" s="53" t="s">
        <v>76</v>
      </c>
      <c r="L169" s="53" t="s">
        <v>77</v>
      </c>
      <c r="M169" s="54" t="s">
        <v>920</v>
      </c>
      <c r="N169" s="59" t="s">
        <v>76</v>
      </c>
      <c r="O169" s="49" t="s">
        <v>75</v>
      </c>
      <c r="P169" s="49" t="s">
        <v>76</v>
      </c>
      <c r="Q169" s="55" t="s">
        <v>76</v>
      </c>
      <c r="R169" s="56" t="s">
        <v>76</v>
      </c>
      <c r="S169" s="49" t="s">
        <v>76</v>
      </c>
      <c r="T169" s="122"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134"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2">
      <c r="A170" s="115" t="s">
        <v>1875</v>
      </c>
      <c r="B170" s="114" t="s">
        <v>1873</v>
      </c>
      <c r="C170" s="136"/>
      <c r="D170" s="49" t="s">
        <v>76</v>
      </c>
      <c r="E170" s="50"/>
      <c r="F170" s="51"/>
      <c r="G170" s="63"/>
      <c r="H170" s="49" t="s">
        <v>75</v>
      </c>
      <c r="I170" s="133">
        <v>1</v>
      </c>
      <c r="J170" s="53"/>
      <c r="K170" s="53" t="s">
        <v>76</v>
      </c>
      <c r="L170" s="53" t="s">
        <v>77</v>
      </c>
      <c r="M170" s="54" t="s">
        <v>920</v>
      </c>
      <c r="N170" s="59" t="s">
        <v>76</v>
      </c>
      <c r="O170" s="49" t="s">
        <v>75</v>
      </c>
      <c r="P170" s="49" t="s">
        <v>76</v>
      </c>
      <c r="Q170" s="55" t="s">
        <v>76</v>
      </c>
      <c r="R170" s="56" t="s">
        <v>76</v>
      </c>
      <c r="S170" s="49" t="s">
        <v>76</v>
      </c>
      <c r="T170" s="122"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134"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2">
      <c r="A171" s="115" t="s">
        <v>1875</v>
      </c>
      <c r="B171" s="114" t="s">
        <v>1873</v>
      </c>
      <c r="C171" s="136"/>
      <c r="D171" s="49" t="s">
        <v>76</v>
      </c>
      <c r="E171" s="50"/>
      <c r="F171" s="51"/>
      <c r="G171" s="63"/>
      <c r="H171" s="49" t="s">
        <v>75</v>
      </c>
      <c r="I171" s="133">
        <v>1</v>
      </c>
      <c r="J171" s="53"/>
      <c r="K171" s="53" t="s">
        <v>76</v>
      </c>
      <c r="L171" s="53" t="s">
        <v>77</v>
      </c>
      <c r="M171" s="54" t="s">
        <v>920</v>
      </c>
      <c r="N171" s="59" t="s">
        <v>76</v>
      </c>
      <c r="O171" s="49" t="s">
        <v>75</v>
      </c>
      <c r="P171" s="49" t="s">
        <v>76</v>
      </c>
      <c r="Q171" s="55" t="s">
        <v>76</v>
      </c>
      <c r="R171" s="56" t="s">
        <v>76</v>
      </c>
      <c r="S171" s="49" t="s">
        <v>76</v>
      </c>
      <c r="T171" s="122"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134"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2">
      <c r="A172" s="115" t="s">
        <v>1875</v>
      </c>
      <c r="B172" s="114" t="s">
        <v>1873</v>
      </c>
      <c r="C172" s="136"/>
      <c r="D172" s="49" t="s">
        <v>76</v>
      </c>
      <c r="E172" s="50"/>
      <c r="F172" s="51"/>
      <c r="G172" s="63"/>
      <c r="H172" s="49" t="s">
        <v>75</v>
      </c>
      <c r="I172" s="133">
        <v>1</v>
      </c>
      <c r="J172" s="53"/>
      <c r="K172" s="53" t="s">
        <v>76</v>
      </c>
      <c r="L172" s="53" t="s">
        <v>77</v>
      </c>
      <c r="M172" s="54" t="s">
        <v>920</v>
      </c>
      <c r="N172" s="59" t="s">
        <v>76</v>
      </c>
      <c r="O172" s="49" t="s">
        <v>75</v>
      </c>
      <c r="P172" s="49" t="s">
        <v>76</v>
      </c>
      <c r="Q172" s="55" t="s">
        <v>76</v>
      </c>
      <c r="R172" s="56" t="s">
        <v>76</v>
      </c>
      <c r="S172" s="49" t="s">
        <v>76</v>
      </c>
      <c r="T172" s="122"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134"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2">
      <c r="A173" s="115" t="s">
        <v>1875</v>
      </c>
      <c r="B173" s="114" t="s">
        <v>1873</v>
      </c>
      <c r="C173" s="136"/>
      <c r="D173" s="49" t="s">
        <v>76</v>
      </c>
      <c r="E173" s="50"/>
      <c r="F173" s="51"/>
      <c r="G173" s="63"/>
      <c r="H173" s="49" t="s">
        <v>75</v>
      </c>
      <c r="I173" s="133">
        <v>1</v>
      </c>
      <c r="J173" s="53"/>
      <c r="K173" s="53" t="s">
        <v>76</v>
      </c>
      <c r="L173" s="53" t="s">
        <v>77</v>
      </c>
      <c r="M173" s="54" t="s">
        <v>920</v>
      </c>
      <c r="N173" s="59" t="s">
        <v>76</v>
      </c>
      <c r="O173" s="49" t="s">
        <v>75</v>
      </c>
      <c r="P173" s="49" t="s">
        <v>76</v>
      </c>
      <c r="Q173" s="55" t="s">
        <v>76</v>
      </c>
      <c r="R173" s="56" t="s">
        <v>76</v>
      </c>
      <c r="S173" s="49" t="s">
        <v>76</v>
      </c>
      <c r="T173" s="122"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134"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2">
      <c r="A174" s="115" t="s">
        <v>1875</v>
      </c>
      <c r="B174" s="114" t="s">
        <v>1873</v>
      </c>
      <c r="C174" s="136"/>
      <c r="D174" s="49" t="s">
        <v>76</v>
      </c>
      <c r="E174" s="50"/>
      <c r="F174" s="51"/>
      <c r="G174" s="63"/>
      <c r="H174" s="49" t="s">
        <v>75</v>
      </c>
      <c r="I174" s="133">
        <v>1</v>
      </c>
      <c r="J174" s="53"/>
      <c r="K174" s="53" t="s">
        <v>76</v>
      </c>
      <c r="L174" s="53" t="s">
        <v>77</v>
      </c>
      <c r="M174" s="54" t="s">
        <v>920</v>
      </c>
      <c r="N174" s="59" t="s">
        <v>76</v>
      </c>
      <c r="O174" s="49" t="s">
        <v>75</v>
      </c>
      <c r="P174" s="49" t="s">
        <v>76</v>
      </c>
      <c r="Q174" s="55" t="s">
        <v>76</v>
      </c>
      <c r="R174" s="56" t="s">
        <v>76</v>
      </c>
      <c r="S174" s="49" t="s">
        <v>76</v>
      </c>
      <c r="T174" s="122"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134"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2">
      <c r="A175" s="115" t="s">
        <v>1875</v>
      </c>
      <c r="B175" s="114" t="s">
        <v>1873</v>
      </c>
      <c r="C175" s="136"/>
      <c r="D175" s="49" t="s">
        <v>76</v>
      </c>
      <c r="E175" s="50"/>
      <c r="F175" s="51"/>
      <c r="G175" s="63"/>
      <c r="H175" s="49" t="s">
        <v>75</v>
      </c>
      <c r="I175" s="133">
        <v>1</v>
      </c>
      <c r="J175" s="53"/>
      <c r="K175" s="53" t="s">
        <v>76</v>
      </c>
      <c r="L175" s="53" t="s">
        <v>77</v>
      </c>
      <c r="M175" s="54" t="s">
        <v>920</v>
      </c>
      <c r="N175" s="59" t="s">
        <v>76</v>
      </c>
      <c r="O175" s="49" t="s">
        <v>75</v>
      </c>
      <c r="P175" s="49" t="s">
        <v>76</v>
      </c>
      <c r="Q175" s="55" t="s">
        <v>76</v>
      </c>
      <c r="R175" s="56" t="s">
        <v>76</v>
      </c>
      <c r="S175" s="49" t="s">
        <v>76</v>
      </c>
      <c r="T175" s="122"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134"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2">
      <c r="A176" s="115" t="s">
        <v>1875</v>
      </c>
      <c r="B176" s="114" t="s">
        <v>1873</v>
      </c>
      <c r="C176" s="136"/>
      <c r="D176" s="49" t="s">
        <v>76</v>
      </c>
      <c r="E176" s="50"/>
      <c r="F176" s="51"/>
      <c r="G176" s="63"/>
      <c r="H176" s="49" t="s">
        <v>75</v>
      </c>
      <c r="I176" s="133">
        <v>1</v>
      </c>
      <c r="J176" s="53"/>
      <c r="K176" s="53" t="s">
        <v>76</v>
      </c>
      <c r="L176" s="53" t="s">
        <v>77</v>
      </c>
      <c r="M176" s="54" t="s">
        <v>920</v>
      </c>
      <c r="N176" s="59" t="s">
        <v>76</v>
      </c>
      <c r="O176" s="49" t="s">
        <v>75</v>
      </c>
      <c r="P176" s="49" t="s">
        <v>76</v>
      </c>
      <c r="Q176" s="55" t="s">
        <v>76</v>
      </c>
      <c r="R176" s="56" t="s">
        <v>76</v>
      </c>
      <c r="S176" s="49" t="s">
        <v>76</v>
      </c>
      <c r="T176" s="122"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134"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2">
      <c r="A177" s="115" t="s">
        <v>1875</v>
      </c>
      <c r="B177" s="114" t="s">
        <v>1873</v>
      </c>
      <c r="C177" s="136"/>
      <c r="D177" s="49" t="s">
        <v>76</v>
      </c>
      <c r="E177" s="50"/>
      <c r="F177" s="51"/>
      <c r="G177" s="63"/>
      <c r="H177" s="49" t="s">
        <v>75</v>
      </c>
      <c r="I177" s="133">
        <v>1</v>
      </c>
      <c r="J177" s="53"/>
      <c r="K177" s="53" t="s">
        <v>76</v>
      </c>
      <c r="L177" s="53" t="s">
        <v>77</v>
      </c>
      <c r="M177" s="54" t="s">
        <v>920</v>
      </c>
      <c r="N177" s="59" t="s">
        <v>76</v>
      </c>
      <c r="O177" s="49" t="s">
        <v>75</v>
      </c>
      <c r="P177" s="49" t="s">
        <v>76</v>
      </c>
      <c r="Q177" s="55" t="s">
        <v>76</v>
      </c>
      <c r="R177" s="56" t="s">
        <v>76</v>
      </c>
      <c r="S177" s="49" t="s">
        <v>76</v>
      </c>
      <c r="T177" s="122"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134"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2">
      <c r="A178" s="115" t="s">
        <v>1875</v>
      </c>
      <c r="B178" s="114" t="s">
        <v>1873</v>
      </c>
      <c r="C178" s="136"/>
      <c r="D178" s="49" t="s">
        <v>76</v>
      </c>
      <c r="E178" s="50"/>
      <c r="F178" s="51"/>
      <c r="G178" s="63"/>
      <c r="H178" s="49" t="s">
        <v>75</v>
      </c>
      <c r="I178" s="133">
        <v>1</v>
      </c>
      <c r="J178" s="53"/>
      <c r="K178" s="53" t="s">
        <v>76</v>
      </c>
      <c r="L178" s="53" t="s">
        <v>77</v>
      </c>
      <c r="M178" s="54" t="s">
        <v>920</v>
      </c>
      <c r="N178" s="59" t="s">
        <v>76</v>
      </c>
      <c r="O178" s="49" t="s">
        <v>75</v>
      </c>
      <c r="P178" s="49" t="s">
        <v>76</v>
      </c>
      <c r="Q178" s="55" t="s">
        <v>76</v>
      </c>
      <c r="R178" s="56" t="s">
        <v>76</v>
      </c>
      <c r="S178" s="49" t="s">
        <v>76</v>
      </c>
      <c r="T178" s="122"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134"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2">
      <c r="A179" s="115" t="s">
        <v>1875</v>
      </c>
      <c r="B179" s="114" t="s">
        <v>1873</v>
      </c>
      <c r="C179" s="136"/>
      <c r="D179" s="49" t="s">
        <v>76</v>
      </c>
      <c r="E179" s="50"/>
      <c r="F179" s="51"/>
      <c r="G179" s="63"/>
      <c r="H179" s="49" t="s">
        <v>75</v>
      </c>
      <c r="I179" s="133">
        <v>1</v>
      </c>
      <c r="J179" s="53"/>
      <c r="K179" s="53" t="s">
        <v>76</v>
      </c>
      <c r="L179" s="53" t="s">
        <v>77</v>
      </c>
      <c r="M179" s="54" t="s">
        <v>920</v>
      </c>
      <c r="N179" s="59" t="s">
        <v>76</v>
      </c>
      <c r="O179" s="49" t="s">
        <v>75</v>
      </c>
      <c r="P179" s="49" t="s">
        <v>76</v>
      </c>
      <c r="Q179" s="55" t="s">
        <v>76</v>
      </c>
      <c r="R179" s="56" t="s">
        <v>76</v>
      </c>
      <c r="S179" s="49" t="s">
        <v>76</v>
      </c>
      <c r="T179" s="122"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134"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2">
      <c r="A180" s="115" t="s">
        <v>1875</v>
      </c>
      <c r="B180" s="114" t="s">
        <v>1873</v>
      </c>
      <c r="C180" s="136"/>
      <c r="D180" s="49" t="s">
        <v>76</v>
      </c>
      <c r="E180" s="50"/>
      <c r="F180" s="51"/>
      <c r="G180" s="63"/>
      <c r="H180" s="49" t="s">
        <v>75</v>
      </c>
      <c r="I180" s="133">
        <v>1</v>
      </c>
      <c r="J180" s="53"/>
      <c r="K180" s="53" t="s">
        <v>76</v>
      </c>
      <c r="L180" s="53" t="s">
        <v>77</v>
      </c>
      <c r="M180" s="54" t="s">
        <v>920</v>
      </c>
      <c r="N180" s="59" t="s">
        <v>76</v>
      </c>
      <c r="O180" s="49" t="s">
        <v>75</v>
      </c>
      <c r="P180" s="49" t="s">
        <v>76</v>
      </c>
      <c r="Q180" s="55" t="s">
        <v>76</v>
      </c>
      <c r="R180" s="56" t="s">
        <v>76</v>
      </c>
      <c r="S180" s="49" t="s">
        <v>76</v>
      </c>
      <c r="T180" s="122"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134"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2">
      <c r="A181" s="115" t="s">
        <v>1875</v>
      </c>
      <c r="B181" s="114" t="s">
        <v>1873</v>
      </c>
      <c r="C181" s="136"/>
      <c r="D181" s="49" t="s">
        <v>76</v>
      </c>
      <c r="E181" s="50"/>
      <c r="F181" s="51"/>
      <c r="G181" s="63"/>
      <c r="H181" s="49" t="s">
        <v>75</v>
      </c>
      <c r="I181" s="133">
        <v>1</v>
      </c>
      <c r="J181" s="53"/>
      <c r="K181" s="53" t="s">
        <v>76</v>
      </c>
      <c r="L181" s="53" t="s">
        <v>77</v>
      </c>
      <c r="M181" s="54" t="s">
        <v>920</v>
      </c>
      <c r="N181" s="59" t="s">
        <v>76</v>
      </c>
      <c r="O181" s="49" t="s">
        <v>75</v>
      </c>
      <c r="P181" s="49" t="s">
        <v>76</v>
      </c>
      <c r="Q181" s="55" t="s">
        <v>76</v>
      </c>
      <c r="R181" s="56" t="s">
        <v>76</v>
      </c>
      <c r="S181" s="49" t="s">
        <v>76</v>
      </c>
      <c r="T181" s="122"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134"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2">
      <c r="A182" s="115" t="s">
        <v>1875</v>
      </c>
      <c r="B182" s="114" t="s">
        <v>1873</v>
      </c>
      <c r="C182" s="136"/>
      <c r="D182" s="49" t="s">
        <v>76</v>
      </c>
      <c r="E182" s="50"/>
      <c r="F182" s="51"/>
      <c r="G182" s="63"/>
      <c r="H182" s="49" t="s">
        <v>75</v>
      </c>
      <c r="I182" s="133">
        <v>1</v>
      </c>
      <c r="J182" s="53"/>
      <c r="K182" s="53" t="s">
        <v>76</v>
      </c>
      <c r="L182" s="53" t="s">
        <v>77</v>
      </c>
      <c r="M182" s="54" t="s">
        <v>920</v>
      </c>
      <c r="N182" s="59" t="s">
        <v>76</v>
      </c>
      <c r="O182" s="49" t="s">
        <v>75</v>
      </c>
      <c r="P182" s="49" t="s">
        <v>76</v>
      </c>
      <c r="Q182" s="55" t="s">
        <v>76</v>
      </c>
      <c r="R182" s="56" t="s">
        <v>76</v>
      </c>
      <c r="S182" s="49" t="s">
        <v>76</v>
      </c>
      <c r="T182" s="122"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134"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2">
      <c r="A183" s="115" t="s">
        <v>1875</v>
      </c>
      <c r="B183" s="114" t="s">
        <v>1873</v>
      </c>
      <c r="C183" s="136"/>
      <c r="D183" s="49" t="s">
        <v>76</v>
      </c>
      <c r="E183" s="50"/>
      <c r="F183" s="51"/>
      <c r="G183" s="63"/>
      <c r="H183" s="49" t="s">
        <v>75</v>
      </c>
      <c r="I183" s="133">
        <v>1</v>
      </c>
      <c r="J183" s="53"/>
      <c r="K183" s="53" t="s">
        <v>76</v>
      </c>
      <c r="L183" s="53" t="s">
        <v>77</v>
      </c>
      <c r="M183" s="54" t="s">
        <v>920</v>
      </c>
      <c r="N183" s="59" t="s">
        <v>76</v>
      </c>
      <c r="O183" s="49" t="s">
        <v>75</v>
      </c>
      <c r="P183" s="49" t="s">
        <v>76</v>
      </c>
      <c r="Q183" s="55" t="s">
        <v>76</v>
      </c>
      <c r="R183" s="56" t="s">
        <v>76</v>
      </c>
      <c r="S183" s="49" t="s">
        <v>76</v>
      </c>
      <c r="T183" s="122"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134"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2">
      <c r="A184" s="115" t="s">
        <v>1875</v>
      </c>
      <c r="B184" s="114" t="s">
        <v>1873</v>
      </c>
      <c r="C184" s="136"/>
      <c r="D184" s="49" t="s">
        <v>76</v>
      </c>
      <c r="E184" s="50"/>
      <c r="F184" s="51"/>
      <c r="G184" s="63"/>
      <c r="H184" s="49" t="s">
        <v>75</v>
      </c>
      <c r="I184" s="133">
        <v>1</v>
      </c>
      <c r="J184" s="53"/>
      <c r="K184" s="53" t="s">
        <v>76</v>
      </c>
      <c r="L184" s="53" t="s">
        <v>77</v>
      </c>
      <c r="M184" s="54" t="s">
        <v>920</v>
      </c>
      <c r="N184" s="59" t="s">
        <v>76</v>
      </c>
      <c r="O184" s="49" t="s">
        <v>75</v>
      </c>
      <c r="P184" s="49" t="s">
        <v>76</v>
      </c>
      <c r="Q184" s="55" t="s">
        <v>76</v>
      </c>
      <c r="R184" s="56" t="s">
        <v>76</v>
      </c>
      <c r="S184" s="49" t="s">
        <v>76</v>
      </c>
      <c r="T184" s="122"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134"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2">
      <c r="A185" s="115" t="s">
        <v>1875</v>
      </c>
      <c r="B185" s="114" t="s">
        <v>1873</v>
      </c>
      <c r="C185" s="136"/>
      <c r="D185" s="49" t="s">
        <v>76</v>
      </c>
      <c r="E185" s="50"/>
      <c r="F185" s="51"/>
      <c r="G185" s="63"/>
      <c r="H185" s="49" t="s">
        <v>75</v>
      </c>
      <c r="I185" s="133">
        <v>1</v>
      </c>
      <c r="J185" s="53"/>
      <c r="K185" s="53" t="s">
        <v>76</v>
      </c>
      <c r="L185" s="53" t="s">
        <v>77</v>
      </c>
      <c r="M185" s="54" t="s">
        <v>920</v>
      </c>
      <c r="N185" s="59" t="s">
        <v>76</v>
      </c>
      <c r="O185" s="49" t="s">
        <v>75</v>
      </c>
      <c r="P185" s="49" t="s">
        <v>76</v>
      </c>
      <c r="Q185" s="55" t="s">
        <v>76</v>
      </c>
      <c r="R185" s="56" t="s">
        <v>76</v>
      </c>
      <c r="S185" s="49" t="s">
        <v>76</v>
      </c>
      <c r="T185" s="122"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134"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2">
      <c r="A186" s="115" t="s">
        <v>1875</v>
      </c>
      <c r="B186" s="114" t="s">
        <v>1873</v>
      </c>
      <c r="C186" s="136"/>
      <c r="D186" s="49" t="s">
        <v>76</v>
      </c>
      <c r="E186" s="50"/>
      <c r="F186" s="51"/>
      <c r="G186" s="63"/>
      <c r="H186" s="49" t="s">
        <v>75</v>
      </c>
      <c r="I186" s="133">
        <v>1</v>
      </c>
      <c r="J186" s="53"/>
      <c r="K186" s="53" t="s">
        <v>76</v>
      </c>
      <c r="L186" s="53" t="s">
        <v>77</v>
      </c>
      <c r="M186" s="54" t="s">
        <v>920</v>
      </c>
      <c r="N186" s="59" t="s">
        <v>76</v>
      </c>
      <c r="O186" s="49" t="s">
        <v>75</v>
      </c>
      <c r="P186" s="49" t="s">
        <v>76</v>
      </c>
      <c r="Q186" s="55" t="s">
        <v>76</v>
      </c>
      <c r="R186" s="56" t="s">
        <v>76</v>
      </c>
      <c r="S186" s="49" t="s">
        <v>76</v>
      </c>
      <c r="T186" s="122"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134"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2">
      <c r="A187" s="115" t="s">
        <v>1875</v>
      </c>
      <c r="B187" s="114" t="s">
        <v>1873</v>
      </c>
      <c r="C187" s="136"/>
      <c r="D187" s="49" t="s">
        <v>76</v>
      </c>
      <c r="E187" s="50"/>
      <c r="F187" s="51"/>
      <c r="G187" s="63"/>
      <c r="H187" s="49" t="s">
        <v>75</v>
      </c>
      <c r="I187" s="133">
        <v>1</v>
      </c>
      <c r="J187" s="53"/>
      <c r="K187" s="53" t="s">
        <v>76</v>
      </c>
      <c r="L187" s="53" t="s">
        <v>77</v>
      </c>
      <c r="M187" s="54" t="s">
        <v>920</v>
      </c>
      <c r="N187" s="59" t="s">
        <v>76</v>
      </c>
      <c r="O187" s="49" t="s">
        <v>75</v>
      </c>
      <c r="P187" s="49" t="s">
        <v>76</v>
      </c>
      <c r="Q187" s="55" t="s">
        <v>76</v>
      </c>
      <c r="R187" s="56" t="s">
        <v>76</v>
      </c>
      <c r="S187" s="49" t="s">
        <v>76</v>
      </c>
      <c r="T187" s="122"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134"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2">
      <c r="A188" s="115" t="s">
        <v>1875</v>
      </c>
      <c r="B188" s="114" t="s">
        <v>1873</v>
      </c>
      <c r="C188" s="136"/>
      <c r="D188" s="49" t="s">
        <v>76</v>
      </c>
      <c r="E188" s="50"/>
      <c r="F188" s="51"/>
      <c r="G188" s="63"/>
      <c r="H188" s="49" t="s">
        <v>75</v>
      </c>
      <c r="I188" s="133">
        <v>1</v>
      </c>
      <c r="J188" s="53"/>
      <c r="K188" s="53" t="s">
        <v>76</v>
      </c>
      <c r="L188" s="53" t="s">
        <v>77</v>
      </c>
      <c r="M188" s="54" t="s">
        <v>920</v>
      </c>
      <c r="N188" s="59" t="s">
        <v>76</v>
      </c>
      <c r="O188" s="49" t="s">
        <v>75</v>
      </c>
      <c r="P188" s="49" t="s">
        <v>76</v>
      </c>
      <c r="Q188" s="55" t="s">
        <v>76</v>
      </c>
      <c r="R188" s="56" t="s">
        <v>76</v>
      </c>
      <c r="S188" s="49" t="s">
        <v>76</v>
      </c>
      <c r="T188" s="122"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134"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2">
      <c r="A189" s="115" t="s">
        <v>1875</v>
      </c>
      <c r="B189" s="114" t="s">
        <v>1873</v>
      </c>
      <c r="C189" s="136"/>
      <c r="D189" s="49" t="s">
        <v>76</v>
      </c>
      <c r="E189" s="50"/>
      <c r="F189" s="51"/>
      <c r="G189" s="63"/>
      <c r="H189" s="49" t="s">
        <v>75</v>
      </c>
      <c r="I189" s="133">
        <v>1</v>
      </c>
      <c r="J189" s="53"/>
      <c r="K189" s="53" t="s">
        <v>76</v>
      </c>
      <c r="L189" s="53" t="s">
        <v>77</v>
      </c>
      <c r="M189" s="54" t="s">
        <v>920</v>
      </c>
      <c r="N189" s="59" t="s">
        <v>76</v>
      </c>
      <c r="O189" s="49" t="s">
        <v>75</v>
      </c>
      <c r="P189" s="49" t="s">
        <v>76</v>
      </c>
      <c r="Q189" s="55" t="s">
        <v>76</v>
      </c>
      <c r="R189" s="56" t="s">
        <v>76</v>
      </c>
      <c r="S189" s="49" t="s">
        <v>76</v>
      </c>
      <c r="T189" s="122"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134"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2">
      <c r="A190" s="115" t="s">
        <v>1875</v>
      </c>
      <c r="B190" s="114" t="s">
        <v>1873</v>
      </c>
      <c r="C190" s="136"/>
      <c r="D190" s="49" t="s">
        <v>76</v>
      </c>
      <c r="E190" s="50"/>
      <c r="F190" s="51"/>
      <c r="G190" s="63"/>
      <c r="H190" s="49" t="s">
        <v>75</v>
      </c>
      <c r="I190" s="133">
        <v>1</v>
      </c>
      <c r="J190" s="53"/>
      <c r="K190" s="53" t="s">
        <v>76</v>
      </c>
      <c r="L190" s="53" t="s">
        <v>77</v>
      </c>
      <c r="M190" s="54" t="s">
        <v>920</v>
      </c>
      <c r="N190" s="59" t="s">
        <v>76</v>
      </c>
      <c r="O190" s="49" t="s">
        <v>75</v>
      </c>
      <c r="P190" s="49" t="s">
        <v>76</v>
      </c>
      <c r="Q190" s="55" t="s">
        <v>76</v>
      </c>
      <c r="R190" s="56" t="s">
        <v>76</v>
      </c>
      <c r="S190" s="49" t="s">
        <v>76</v>
      </c>
      <c r="T190" s="122"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134"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2">
      <c r="A191" s="115" t="s">
        <v>1875</v>
      </c>
      <c r="B191" s="114" t="s">
        <v>1873</v>
      </c>
      <c r="C191" s="136"/>
      <c r="D191" s="49" t="s">
        <v>76</v>
      </c>
      <c r="E191" s="50"/>
      <c r="F191" s="51"/>
      <c r="G191" s="63"/>
      <c r="H191" s="49" t="s">
        <v>75</v>
      </c>
      <c r="I191" s="133">
        <v>1</v>
      </c>
      <c r="J191" s="53"/>
      <c r="K191" s="53" t="s">
        <v>76</v>
      </c>
      <c r="L191" s="53" t="s">
        <v>77</v>
      </c>
      <c r="M191" s="54" t="s">
        <v>920</v>
      </c>
      <c r="N191" s="59" t="s">
        <v>76</v>
      </c>
      <c r="O191" s="49" t="s">
        <v>75</v>
      </c>
      <c r="P191" s="49" t="s">
        <v>76</v>
      </c>
      <c r="Q191" s="55" t="s">
        <v>76</v>
      </c>
      <c r="R191" s="56" t="s">
        <v>76</v>
      </c>
      <c r="S191" s="49" t="s">
        <v>76</v>
      </c>
      <c r="T191" s="122"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134"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2">
      <c r="A192" s="115" t="s">
        <v>1875</v>
      </c>
      <c r="B192" s="114" t="s">
        <v>1873</v>
      </c>
      <c r="C192" s="136"/>
      <c r="D192" s="49" t="s">
        <v>76</v>
      </c>
      <c r="E192" s="50"/>
      <c r="F192" s="51"/>
      <c r="G192" s="63"/>
      <c r="H192" s="49" t="s">
        <v>75</v>
      </c>
      <c r="I192" s="133">
        <v>1</v>
      </c>
      <c r="J192" s="53"/>
      <c r="K192" s="53" t="s">
        <v>76</v>
      </c>
      <c r="L192" s="53" t="s">
        <v>77</v>
      </c>
      <c r="M192" s="54" t="s">
        <v>920</v>
      </c>
      <c r="N192" s="59" t="s">
        <v>76</v>
      </c>
      <c r="O192" s="49" t="s">
        <v>75</v>
      </c>
      <c r="P192" s="49" t="s">
        <v>76</v>
      </c>
      <c r="Q192" s="55" t="s">
        <v>76</v>
      </c>
      <c r="R192" s="56" t="s">
        <v>76</v>
      </c>
      <c r="S192" s="49" t="s">
        <v>76</v>
      </c>
      <c r="T192" s="122"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134"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2">
      <c r="A193" s="115" t="s">
        <v>1875</v>
      </c>
      <c r="B193" s="114" t="s">
        <v>1873</v>
      </c>
      <c r="C193" s="136"/>
      <c r="D193" s="49" t="s">
        <v>76</v>
      </c>
      <c r="E193" s="50"/>
      <c r="F193" s="51"/>
      <c r="G193" s="63"/>
      <c r="H193" s="49" t="s">
        <v>75</v>
      </c>
      <c r="I193" s="133">
        <v>1</v>
      </c>
      <c r="J193" s="53"/>
      <c r="K193" s="53" t="s">
        <v>76</v>
      </c>
      <c r="L193" s="53" t="s">
        <v>77</v>
      </c>
      <c r="M193" s="54" t="s">
        <v>920</v>
      </c>
      <c r="N193" s="59" t="s">
        <v>76</v>
      </c>
      <c r="O193" s="49" t="s">
        <v>75</v>
      </c>
      <c r="P193" s="49" t="s">
        <v>76</v>
      </c>
      <c r="Q193" s="55" t="s">
        <v>76</v>
      </c>
      <c r="R193" s="56" t="s">
        <v>76</v>
      </c>
      <c r="S193" s="49" t="s">
        <v>76</v>
      </c>
      <c r="T193" s="122"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134"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2">
      <c r="A194" s="115" t="s">
        <v>1875</v>
      </c>
      <c r="B194" s="114" t="s">
        <v>1873</v>
      </c>
      <c r="C194" s="136"/>
      <c r="D194" s="49" t="s">
        <v>76</v>
      </c>
      <c r="E194" s="50"/>
      <c r="F194" s="51"/>
      <c r="G194" s="63"/>
      <c r="H194" s="49" t="s">
        <v>75</v>
      </c>
      <c r="I194" s="133">
        <v>1</v>
      </c>
      <c r="J194" s="53"/>
      <c r="K194" s="53" t="s">
        <v>76</v>
      </c>
      <c r="L194" s="53" t="s">
        <v>77</v>
      </c>
      <c r="M194" s="54" t="s">
        <v>920</v>
      </c>
      <c r="N194" s="59" t="s">
        <v>76</v>
      </c>
      <c r="O194" s="49" t="s">
        <v>75</v>
      </c>
      <c r="P194" s="49" t="s">
        <v>76</v>
      </c>
      <c r="Q194" s="55" t="s">
        <v>76</v>
      </c>
      <c r="R194" s="56" t="s">
        <v>76</v>
      </c>
      <c r="S194" s="49" t="s">
        <v>76</v>
      </c>
      <c r="T194" s="122"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134"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2">
      <c r="A195" s="115" t="s">
        <v>1875</v>
      </c>
      <c r="B195" s="114" t="s">
        <v>1873</v>
      </c>
      <c r="C195" s="136"/>
      <c r="D195" s="49" t="s">
        <v>76</v>
      </c>
      <c r="E195" s="50"/>
      <c r="F195" s="51"/>
      <c r="G195" s="63"/>
      <c r="H195" s="49" t="s">
        <v>75</v>
      </c>
      <c r="I195" s="133">
        <v>1</v>
      </c>
      <c r="J195" s="53"/>
      <c r="K195" s="53" t="s">
        <v>76</v>
      </c>
      <c r="L195" s="53" t="s">
        <v>77</v>
      </c>
      <c r="M195" s="54" t="s">
        <v>920</v>
      </c>
      <c r="N195" s="59" t="s">
        <v>76</v>
      </c>
      <c r="O195" s="49" t="s">
        <v>75</v>
      </c>
      <c r="P195" s="49" t="s">
        <v>76</v>
      </c>
      <c r="Q195" s="55" t="s">
        <v>76</v>
      </c>
      <c r="R195" s="56" t="s">
        <v>76</v>
      </c>
      <c r="S195" s="49" t="s">
        <v>76</v>
      </c>
      <c r="T195" s="122"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134"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2">
      <c r="A196" s="115" t="s">
        <v>1875</v>
      </c>
      <c r="B196" s="114" t="s">
        <v>1873</v>
      </c>
      <c r="C196" s="136"/>
      <c r="D196" s="49" t="s">
        <v>76</v>
      </c>
      <c r="E196" s="50"/>
      <c r="F196" s="51"/>
      <c r="G196" s="63"/>
      <c r="H196" s="49" t="s">
        <v>75</v>
      </c>
      <c r="I196" s="133">
        <v>1</v>
      </c>
      <c r="J196" s="53"/>
      <c r="K196" s="53" t="s">
        <v>76</v>
      </c>
      <c r="L196" s="53" t="s">
        <v>77</v>
      </c>
      <c r="M196" s="54" t="s">
        <v>920</v>
      </c>
      <c r="N196" s="59" t="s">
        <v>76</v>
      </c>
      <c r="O196" s="49" t="s">
        <v>75</v>
      </c>
      <c r="P196" s="49" t="s">
        <v>76</v>
      </c>
      <c r="Q196" s="55" t="s">
        <v>76</v>
      </c>
      <c r="R196" s="56" t="s">
        <v>76</v>
      </c>
      <c r="S196" s="49" t="s">
        <v>76</v>
      </c>
      <c r="T196" s="122"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134"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2">
      <c r="A197" s="115" t="s">
        <v>1875</v>
      </c>
      <c r="B197" s="114" t="s">
        <v>1873</v>
      </c>
      <c r="C197" s="136"/>
      <c r="D197" s="49" t="s">
        <v>76</v>
      </c>
      <c r="E197" s="50"/>
      <c r="F197" s="51"/>
      <c r="G197" s="63"/>
      <c r="H197" s="49" t="s">
        <v>75</v>
      </c>
      <c r="I197" s="133">
        <v>1</v>
      </c>
      <c r="J197" s="53"/>
      <c r="K197" s="53" t="s">
        <v>76</v>
      </c>
      <c r="L197" s="53" t="s">
        <v>77</v>
      </c>
      <c r="M197" s="54" t="s">
        <v>920</v>
      </c>
      <c r="N197" s="59" t="s">
        <v>76</v>
      </c>
      <c r="O197" s="49" t="s">
        <v>75</v>
      </c>
      <c r="P197" s="49" t="s">
        <v>76</v>
      </c>
      <c r="Q197" s="55" t="s">
        <v>76</v>
      </c>
      <c r="R197" s="56" t="s">
        <v>76</v>
      </c>
      <c r="S197" s="49" t="s">
        <v>76</v>
      </c>
      <c r="T197" s="122"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134"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2">
      <c r="A198" s="115" t="s">
        <v>1875</v>
      </c>
      <c r="B198" s="114" t="s">
        <v>1873</v>
      </c>
      <c r="C198" s="136"/>
      <c r="D198" s="49" t="s">
        <v>76</v>
      </c>
      <c r="E198" s="50"/>
      <c r="F198" s="51"/>
      <c r="G198" s="63"/>
      <c r="H198" s="49" t="s">
        <v>75</v>
      </c>
      <c r="I198" s="133">
        <v>1</v>
      </c>
      <c r="J198" s="53"/>
      <c r="K198" s="53" t="s">
        <v>76</v>
      </c>
      <c r="L198" s="53" t="s">
        <v>77</v>
      </c>
      <c r="M198" s="54" t="s">
        <v>920</v>
      </c>
      <c r="N198" s="59" t="s">
        <v>76</v>
      </c>
      <c r="O198" s="49" t="s">
        <v>75</v>
      </c>
      <c r="P198" s="49" t="s">
        <v>76</v>
      </c>
      <c r="Q198" s="55" t="s">
        <v>76</v>
      </c>
      <c r="R198" s="56" t="s">
        <v>76</v>
      </c>
      <c r="S198" s="49" t="s">
        <v>76</v>
      </c>
      <c r="T198" s="122"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134"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2">
      <c r="A199" s="115" t="s">
        <v>1875</v>
      </c>
      <c r="B199" s="114" t="s">
        <v>1873</v>
      </c>
      <c r="C199" s="136"/>
      <c r="D199" s="49" t="s">
        <v>76</v>
      </c>
      <c r="E199" s="50"/>
      <c r="F199" s="51"/>
      <c r="G199" s="63"/>
      <c r="H199" s="49" t="s">
        <v>75</v>
      </c>
      <c r="I199" s="133">
        <v>1</v>
      </c>
      <c r="J199" s="53"/>
      <c r="K199" s="53" t="s">
        <v>76</v>
      </c>
      <c r="L199" s="53" t="s">
        <v>77</v>
      </c>
      <c r="M199" s="54" t="s">
        <v>920</v>
      </c>
      <c r="N199" s="59" t="s">
        <v>76</v>
      </c>
      <c r="O199" s="49" t="s">
        <v>75</v>
      </c>
      <c r="P199" s="49" t="s">
        <v>76</v>
      </c>
      <c r="Q199" s="55" t="s">
        <v>76</v>
      </c>
      <c r="R199" s="56" t="s">
        <v>76</v>
      </c>
      <c r="S199" s="49" t="s">
        <v>76</v>
      </c>
      <c r="T199" s="122"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134"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2">
      <c r="A200" s="115" t="s">
        <v>1875</v>
      </c>
      <c r="B200" s="114" t="s">
        <v>1873</v>
      </c>
      <c r="C200" s="136"/>
      <c r="D200" s="49" t="s">
        <v>76</v>
      </c>
      <c r="E200" s="50"/>
      <c r="F200" s="51"/>
      <c r="G200" s="63"/>
      <c r="H200" s="49" t="s">
        <v>75</v>
      </c>
      <c r="I200" s="133">
        <v>1</v>
      </c>
      <c r="J200" s="53"/>
      <c r="K200" s="53" t="s">
        <v>76</v>
      </c>
      <c r="L200" s="53" t="s">
        <v>77</v>
      </c>
      <c r="M200" s="54" t="s">
        <v>920</v>
      </c>
      <c r="N200" s="59" t="s">
        <v>76</v>
      </c>
      <c r="O200" s="49" t="s">
        <v>75</v>
      </c>
      <c r="P200" s="49" t="s">
        <v>76</v>
      </c>
      <c r="Q200" s="55" t="s">
        <v>76</v>
      </c>
      <c r="R200" s="56" t="s">
        <v>76</v>
      </c>
      <c r="S200" s="49" t="s">
        <v>76</v>
      </c>
      <c r="T200" s="122"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134"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2">
      <c r="A201" s="115" t="s">
        <v>1875</v>
      </c>
      <c r="B201" s="114" t="s">
        <v>1873</v>
      </c>
      <c r="C201" s="136"/>
      <c r="D201" s="49" t="s">
        <v>76</v>
      </c>
      <c r="E201" s="50"/>
      <c r="F201" s="51"/>
      <c r="G201" s="63"/>
      <c r="H201" s="49" t="s">
        <v>75</v>
      </c>
      <c r="I201" s="133">
        <v>1</v>
      </c>
      <c r="J201" s="53"/>
      <c r="K201" s="53" t="s">
        <v>76</v>
      </c>
      <c r="L201" s="53" t="s">
        <v>77</v>
      </c>
      <c r="M201" s="54" t="s">
        <v>920</v>
      </c>
      <c r="N201" s="59" t="s">
        <v>76</v>
      </c>
      <c r="O201" s="49" t="s">
        <v>75</v>
      </c>
      <c r="P201" s="49" t="s">
        <v>76</v>
      </c>
      <c r="Q201" s="55" t="s">
        <v>76</v>
      </c>
      <c r="R201" s="56" t="s">
        <v>76</v>
      </c>
      <c r="S201" s="49" t="s">
        <v>76</v>
      </c>
      <c r="T201" s="122"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134"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2">
      <c r="A202" s="115" t="s">
        <v>1875</v>
      </c>
      <c r="B202" s="114" t="s">
        <v>1873</v>
      </c>
      <c r="C202" s="136"/>
      <c r="D202" s="49" t="s">
        <v>76</v>
      </c>
      <c r="E202" s="50"/>
      <c r="F202" s="51"/>
      <c r="G202" s="63"/>
      <c r="H202" s="49" t="s">
        <v>75</v>
      </c>
      <c r="I202" s="133">
        <v>1</v>
      </c>
      <c r="J202" s="53"/>
      <c r="K202" s="53" t="s">
        <v>76</v>
      </c>
      <c r="L202" s="53" t="s">
        <v>77</v>
      </c>
      <c r="M202" s="54" t="s">
        <v>920</v>
      </c>
      <c r="N202" s="59" t="s">
        <v>76</v>
      </c>
      <c r="O202" s="49" t="s">
        <v>75</v>
      </c>
      <c r="P202" s="49" t="s">
        <v>76</v>
      </c>
      <c r="Q202" s="55" t="s">
        <v>76</v>
      </c>
      <c r="R202" s="56" t="s">
        <v>76</v>
      </c>
      <c r="S202" s="49" t="s">
        <v>76</v>
      </c>
      <c r="T202" s="122"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134"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2">
      <c r="A203" s="115" t="s">
        <v>1875</v>
      </c>
      <c r="B203" s="114" t="s">
        <v>1873</v>
      </c>
      <c r="C203" s="136"/>
      <c r="D203" s="49" t="s">
        <v>76</v>
      </c>
      <c r="E203" s="50"/>
      <c r="F203" s="51"/>
      <c r="G203" s="63"/>
      <c r="H203" s="49" t="s">
        <v>75</v>
      </c>
      <c r="I203" s="133">
        <v>1</v>
      </c>
      <c r="J203" s="53"/>
      <c r="K203" s="53" t="s">
        <v>76</v>
      </c>
      <c r="L203" s="53" t="s">
        <v>77</v>
      </c>
      <c r="M203" s="54" t="s">
        <v>920</v>
      </c>
      <c r="N203" s="59" t="s">
        <v>76</v>
      </c>
      <c r="O203" s="49" t="s">
        <v>75</v>
      </c>
      <c r="P203" s="49" t="s">
        <v>76</v>
      </c>
      <c r="Q203" s="55" t="s">
        <v>76</v>
      </c>
      <c r="R203" s="56" t="s">
        <v>76</v>
      </c>
      <c r="S203" s="49" t="s">
        <v>76</v>
      </c>
      <c r="T203" s="122"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134"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2">
      <c r="A204" s="115" t="s">
        <v>1875</v>
      </c>
      <c r="B204" s="114" t="s">
        <v>1873</v>
      </c>
      <c r="C204" s="136"/>
      <c r="D204" s="49" t="s">
        <v>76</v>
      </c>
      <c r="E204" s="50"/>
      <c r="F204" s="51"/>
      <c r="G204" s="63"/>
      <c r="H204" s="49" t="s">
        <v>75</v>
      </c>
      <c r="I204" s="133">
        <v>1</v>
      </c>
      <c r="J204" s="53"/>
      <c r="K204" s="53" t="s">
        <v>76</v>
      </c>
      <c r="L204" s="53" t="s">
        <v>77</v>
      </c>
      <c r="M204" s="54" t="s">
        <v>920</v>
      </c>
      <c r="N204" s="59" t="s">
        <v>76</v>
      </c>
      <c r="O204" s="49" t="s">
        <v>75</v>
      </c>
      <c r="P204" s="49" t="s">
        <v>76</v>
      </c>
      <c r="Q204" s="55" t="s">
        <v>76</v>
      </c>
      <c r="R204" s="56" t="s">
        <v>76</v>
      </c>
      <c r="S204" s="49" t="s">
        <v>76</v>
      </c>
      <c r="T204" s="122"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134"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2">
      <c r="A205" s="115" t="s">
        <v>1875</v>
      </c>
      <c r="B205" s="114" t="s">
        <v>1873</v>
      </c>
      <c r="C205" s="136"/>
      <c r="D205" s="49" t="s">
        <v>76</v>
      </c>
      <c r="E205" s="50"/>
      <c r="F205" s="51"/>
      <c r="G205" s="63"/>
      <c r="H205" s="49" t="s">
        <v>75</v>
      </c>
      <c r="I205" s="133">
        <v>1</v>
      </c>
      <c r="J205" s="53"/>
      <c r="K205" s="53" t="s">
        <v>76</v>
      </c>
      <c r="L205" s="53" t="s">
        <v>77</v>
      </c>
      <c r="M205" s="54" t="s">
        <v>920</v>
      </c>
      <c r="N205" s="59" t="s">
        <v>76</v>
      </c>
      <c r="O205" s="49" t="s">
        <v>75</v>
      </c>
      <c r="P205" s="49" t="s">
        <v>76</v>
      </c>
      <c r="Q205" s="55" t="s">
        <v>76</v>
      </c>
      <c r="R205" s="56" t="s">
        <v>76</v>
      </c>
      <c r="S205" s="49" t="s">
        <v>76</v>
      </c>
      <c r="T205" s="122"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134"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2">
      <c r="A206" s="115" t="s">
        <v>1875</v>
      </c>
      <c r="B206" s="114" t="s">
        <v>1873</v>
      </c>
      <c r="C206" s="136"/>
      <c r="D206" s="49" t="s">
        <v>76</v>
      </c>
      <c r="E206" s="50"/>
      <c r="F206" s="51"/>
      <c r="G206" s="63"/>
      <c r="H206" s="49" t="s">
        <v>75</v>
      </c>
      <c r="I206" s="133">
        <v>1</v>
      </c>
      <c r="J206" s="53"/>
      <c r="K206" s="53" t="s">
        <v>76</v>
      </c>
      <c r="L206" s="53" t="s">
        <v>77</v>
      </c>
      <c r="M206" s="54" t="s">
        <v>920</v>
      </c>
      <c r="N206" s="59" t="s">
        <v>76</v>
      </c>
      <c r="O206" s="49" t="s">
        <v>75</v>
      </c>
      <c r="P206" s="49" t="s">
        <v>76</v>
      </c>
      <c r="Q206" s="55" t="s">
        <v>76</v>
      </c>
      <c r="R206" s="56" t="s">
        <v>76</v>
      </c>
      <c r="S206" s="49" t="s">
        <v>76</v>
      </c>
      <c r="T206" s="122"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134"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2">
      <c r="A207" s="115" t="s">
        <v>1875</v>
      </c>
      <c r="B207" s="114" t="s">
        <v>1873</v>
      </c>
      <c r="C207" s="136"/>
      <c r="D207" s="49" t="s">
        <v>76</v>
      </c>
      <c r="E207" s="50"/>
      <c r="F207" s="51"/>
      <c r="G207" s="63"/>
      <c r="H207" s="49" t="s">
        <v>75</v>
      </c>
      <c r="I207" s="133">
        <v>1</v>
      </c>
      <c r="J207" s="53"/>
      <c r="K207" s="53" t="s">
        <v>76</v>
      </c>
      <c r="L207" s="53" t="s">
        <v>77</v>
      </c>
      <c r="M207" s="54" t="s">
        <v>920</v>
      </c>
      <c r="N207" s="59" t="s">
        <v>76</v>
      </c>
      <c r="O207" s="49" t="s">
        <v>75</v>
      </c>
      <c r="P207" s="49" t="s">
        <v>76</v>
      </c>
      <c r="Q207" s="55" t="s">
        <v>76</v>
      </c>
      <c r="R207" s="56" t="s">
        <v>76</v>
      </c>
      <c r="S207" s="49" t="s">
        <v>76</v>
      </c>
      <c r="T207" s="122"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134"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2">
      <c r="A208" s="115" t="s">
        <v>1875</v>
      </c>
      <c r="B208" s="114" t="s">
        <v>1873</v>
      </c>
      <c r="C208" s="136"/>
      <c r="D208" s="49" t="s">
        <v>76</v>
      </c>
      <c r="E208" s="50"/>
      <c r="F208" s="51"/>
      <c r="G208" s="63"/>
      <c r="H208" s="49" t="s">
        <v>75</v>
      </c>
      <c r="I208" s="133">
        <v>1</v>
      </c>
      <c r="J208" s="53"/>
      <c r="K208" s="53" t="s">
        <v>76</v>
      </c>
      <c r="L208" s="53" t="s">
        <v>77</v>
      </c>
      <c r="M208" s="54" t="s">
        <v>920</v>
      </c>
      <c r="N208" s="59" t="s">
        <v>76</v>
      </c>
      <c r="O208" s="49" t="s">
        <v>75</v>
      </c>
      <c r="P208" s="49" t="s">
        <v>76</v>
      </c>
      <c r="Q208" s="55" t="s">
        <v>76</v>
      </c>
      <c r="R208" s="56" t="s">
        <v>76</v>
      </c>
      <c r="S208" s="49" t="s">
        <v>76</v>
      </c>
      <c r="T208" s="122"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134"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2">
      <c r="A209" s="115" t="s">
        <v>1875</v>
      </c>
      <c r="B209" s="114" t="s">
        <v>1873</v>
      </c>
      <c r="C209" s="136"/>
      <c r="D209" s="49" t="s">
        <v>76</v>
      </c>
      <c r="E209" s="50"/>
      <c r="F209" s="51"/>
      <c r="G209" s="63"/>
      <c r="H209" s="49" t="s">
        <v>75</v>
      </c>
      <c r="I209" s="133">
        <v>1</v>
      </c>
      <c r="J209" s="53"/>
      <c r="K209" s="53" t="s">
        <v>76</v>
      </c>
      <c r="L209" s="53" t="s">
        <v>77</v>
      </c>
      <c r="M209" s="54" t="s">
        <v>920</v>
      </c>
      <c r="N209" s="59" t="s">
        <v>76</v>
      </c>
      <c r="O209" s="49" t="s">
        <v>75</v>
      </c>
      <c r="P209" s="49" t="s">
        <v>76</v>
      </c>
      <c r="Q209" s="55" t="s">
        <v>76</v>
      </c>
      <c r="R209" s="56" t="s">
        <v>76</v>
      </c>
      <c r="S209" s="49" t="s">
        <v>76</v>
      </c>
      <c r="T209" s="122"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134"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2">
      <c r="A210" s="115" t="s">
        <v>1875</v>
      </c>
      <c r="B210" s="114" t="s">
        <v>1873</v>
      </c>
      <c r="C210" s="136"/>
      <c r="D210" s="49" t="s">
        <v>76</v>
      </c>
      <c r="E210" s="50"/>
      <c r="F210" s="51"/>
      <c r="G210" s="63"/>
      <c r="H210" s="49" t="s">
        <v>75</v>
      </c>
      <c r="I210" s="133">
        <v>1</v>
      </c>
      <c r="J210" s="53"/>
      <c r="K210" s="53" t="s">
        <v>76</v>
      </c>
      <c r="L210" s="53" t="s">
        <v>77</v>
      </c>
      <c r="M210" s="54" t="s">
        <v>920</v>
      </c>
      <c r="N210" s="59" t="s">
        <v>76</v>
      </c>
      <c r="O210" s="49" t="s">
        <v>75</v>
      </c>
      <c r="P210" s="49" t="s">
        <v>76</v>
      </c>
      <c r="Q210" s="55" t="s">
        <v>76</v>
      </c>
      <c r="R210" s="56" t="s">
        <v>76</v>
      </c>
      <c r="S210" s="49" t="s">
        <v>76</v>
      </c>
      <c r="T210" s="122"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134"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2">
      <c r="A211" s="115" t="s">
        <v>1875</v>
      </c>
      <c r="B211" s="114" t="s">
        <v>1873</v>
      </c>
      <c r="C211" s="136"/>
      <c r="D211" s="49" t="s">
        <v>76</v>
      </c>
      <c r="E211" s="50"/>
      <c r="F211" s="51"/>
      <c r="G211" s="63"/>
      <c r="H211" s="49" t="s">
        <v>75</v>
      </c>
      <c r="I211" s="133">
        <v>1</v>
      </c>
      <c r="J211" s="53"/>
      <c r="K211" s="53" t="s">
        <v>76</v>
      </c>
      <c r="L211" s="53" t="s">
        <v>77</v>
      </c>
      <c r="M211" s="54" t="s">
        <v>920</v>
      </c>
      <c r="N211" s="59" t="s">
        <v>76</v>
      </c>
      <c r="O211" s="49" t="s">
        <v>75</v>
      </c>
      <c r="P211" s="49" t="s">
        <v>76</v>
      </c>
      <c r="Q211" s="55" t="s">
        <v>76</v>
      </c>
      <c r="R211" s="56" t="s">
        <v>76</v>
      </c>
      <c r="S211" s="49" t="s">
        <v>76</v>
      </c>
      <c r="T211" s="122"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134"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2">
      <c r="A212" s="115" t="s">
        <v>1875</v>
      </c>
      <c r="B212" s="114" t="s">
        <v>1873</v>
      </c>
      <c r="C212" s="136"/>
      <c r="D212" s="49" t="s">
        <v>76</v>
      </c>
      <c r="E212" s="50"/>
      <c r="F212" s="51"/>
      <c r="G212" s="63"/>
      <c r="H212" s="49" t="s">
        <v>75</v>
      </c>
      <c r="I212" s="133">
        <v>1</v>
      </c>
      <c r="J212" s="53"/>
      <c r="K212" s="53" t="s">
        <v>76</v>
      </c>
      <c r="L212" s="53" t="s">
        <v>77</v>
      </c>
      <c r="M212" s="54" t="s">
        <v>920</v>
      </c>
      <c r="N212" s="59" t="s">
        <v>76</v>
      </c>
      <c r="O212" s="49" t="s">
        <v>75</v>
      </c>
      <c r="P212" s="49" t="s">
        <v>76</v>
      </c>
      <c r="Q212" s="55" t="s">
        <v>76</v>
      </c>
      <c r="R212" s="56" t="s">
        <v>76</v>
      </c>
      <c r="S212" s="49" t="s">
        <v>76</v>
      </c>
      <c r="T212" s="122"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134"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2">
      <c r="A213" s="115" t="s">
        <v>1875</v>
      </c>
      <c r="B213" s="114" t="s">
        <v>1873</v>
      </c>
      <c r="C213" s="136"/>
      <c r="D213" s="49" t="s">
        <v>76</v>
      </c>
      <c r="E213" s="50"/>
      <c r="F213" s="51"/>
      <c r="G213" s="63"/>
      <c r="H213" s="49" t="s">
        <v>75</v>
      </c>
      <c r="I213" s="133">
        <v>1</v>
      </c>
      <c r="J213" s="53"/>
      <c r="K213" s="53" t="s">
        <v>76</v>
      </c>
      <c r="L213" s="53" t="s">
        <v>77</v>
      </c>
      <c r="M213" s="54" t="s">
        <v>920</v>
      </c>
      <c r="N213" s="59" t="s">
        <v>76</v>
      </c>
      <c r="O213" s="49" t="s">
        <v>75</v>
      </c>
      <c r="P213" s="49" t="s">
        <v>76</v>
      </c>
      <c r="Q213" s="55" t="s">
        <v>76</v>
      </c>
      <c r="R213" s="56" t="s">
        <v>76</v>
      </c>
      <c r="S213" s="49" t="s">
        <v>76</v>
      </c>
      <c r="T213" s="122"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134"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2">
      <c r="A214" s="115" t="s">
        <v>1875</v>
      </c>
      <c r="B214" s="114" t="s">
        <v>1873</v>
      </c>
      <c r="C214" s="136"/>
      <c r="D214" s="49" t="s">
        <v>76</v>
      </c>
      <c r="E214" s="50"/>
      <c r="F214" s="51"/>
      <c r="G214" s="63"/>
      <c r="H214" s="49" t="s">
        <v>75</v>
      </c>
      <c r="I214" s="133">
        <v>1</v>
      </c>
      <c r="J214" s="53"/>
      <c r="K214" s="53" t="s">
        <v>76</v>
      </c>
      <c r="L214" s="53" t="s">
        <v>77</v>
      </c>
      <c r="M214" s="54" t="s">
        <v>920</v>
      </c>
      <c r="N214" s="59" t="s">
        <v>76</v>
      </c>
      <c r="O214" s="49" t="s">
        <v>75</v>
      </c>
      <c r="P214" s="49" t="s">
        <v>76</v>
      </c>
      <c r="Q214" s="55" t="s">
        <v>76</v>
      </c>
      <c r="R214" s="56" t="s">
        <v>76</v>
      </c>
      <c r="S214" s="49" t="s">
        <v>76</v>
      </c>
      <c r="T214" s="122"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134"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2">
      <c r="A215" s="115" t="s">
        <v>1875</v>
      </c>
      <c r="B215" s="114" t="s">
        <v>1873</v>
      </c>
      <c r="C215" s="136"/>
      <c r="D215" s="49" t="s">
        <v>76</v>
      </c>
      <c r="E215" s="50"/>
      <c r="F215" s="51"/>
      <c r="G215" s="63"/>
      <c r="H215" s="49" t="s">
        <v>75</v>
      </c>
      <c r="I215" s="133">
        <v>1</v>
      </c>
      <c r="J215" s="53"/>
      <c r="K215" s="53" t="s">
        <v>76</v>
      </c>
      <c r="L215" s="53" t="s">
        <v>77</v>
      </c>
      <c r="M215" s="54" t="s">
        <v>920</v>
      </c>
      <c r="N215" s="59" t="s">
        <v>76</v>
      </c>
      <c r="O215" s="49" t="s">
        <v>75</v>
      </c>
      <c r="P215" s="49" t="s">
        <v>76</v>
      </c>
      <c r="Q215" s="55" t="s">
        <v>76</v>
      </c>
      <c r="R215" s="56" t="s">
        <v>76</v>
      </c>
      <c r="S215" s="49" t="s">
        <v>76</v>
      </c>
      <c r="T215" s="122"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134"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2">
      <c r="A216" s="115" t="s">
        <v>1875</v>
      </c>
      <c r="B216" s="114" t="s">
        <v>1873</v>
      </c>
      <c r="C216" s="136"/>
      <c r="D216" s="49" t="s">
        <v>76</v>
      </c>
      <c r="E216" s="50"/>
      <c r="F216" s="51"/>
      <c r="G216" s="63"/>
      <c r="H216" s="49" t="s">
        <v>75</v>
      </c>
      <c r="I216" s="133">
        <v>1</v>
      </c>
      <c r="J216" s="53"/>
      <c r="K216" s="53" t="s">
        <v>76</v>
      </c>
      <c r="L216" s="53" t="s">
        <v>77</v>
      </c>
      <c r="M216" s="54" t="s">
        <v>920</v>
      </c>
      <c r="N216" s="59" t="s">
        <v>76</v>
      </c>
      <c r="O216" s="49" t="s">
        <v>75</v>
      </c>
      <c r="P216" s="49" t="s">
        <v>76</v>
      </c>
      <c r="Q216" s="55" t="s">
        <v>76</v>
      </c>
      <c r="R216" s="56" t="s">
        <v>76</v>
      </c>
      <c r="S216" s="49" t="s">
        <v>76</v>
      </c>
      <c r="T216" s="122"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134"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2">
      <c r="A217" s="115" t="s">
        <v>1875</v>
      </c>
      <c r="B217" s="114" t="s">
        <v>1873</v>
      </c>
      <c r="C217" s="136"/>
      <c r="D217" s="49" t="s">
        <v>76</v>
      </c>
      <c r="E217" s="50"/>
      <c r="F217" s="51"/>
      <c r="G217" s="63"/>
      <c r="H217" s="49" t="s">
        <v>75</v>
      </c>
      <c r="I217" s="133">
        <v>1</v>
      </c>
      <c r="J217" s="53"/>
      <c r="K217" s="53" t="s">
        <v>76</v>
      </c>
      <c r="L217" s="53" t="s">
        <v>77</v>
      </c>
      <c r="M217" s="54" t="s">
        <v>920</v>
      </c>
      <c r="N217" s="59" t="s">
        <v>76</v>
      </c>
      <c r="O217" s="49" t="s">
        <v>75</v>
      </c>
      <c r="P217" s="49" t="s">
        <v>76</v>
      </c>
      <c r="Q217" s="55" t="s">
        <v>76</v>
      </c>
      <c r="R217" s="56" t="s">
        <v>76</v>
      </c>
      <c r="S217" s="49" t="s">
        <v>76</v>
      </c>
      <c r="T217" s="122"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134"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2">
      <c r="A218" s="115" t="s">
        <v>1875</v>
      </c>
      <c r="B218" s="114" t="s">
        <v>1873</v>
      </c>
      <c r="C218" s="136"/>
      <c r="D218" s="49" t="s">
        <v>76</v>
      </c>
      <c r="E218" s="50"/>
      <c r="F218" s="51"/>
      <c r="G218" s="63"/>
      <c r="H218" s="49" t="s">
        <v>75</v>
      </c>
      <c r="I218" s="133">
        <v>1</v>
      </c>
      <c r="J218" s="53"/>
      <c r="K218" s="53" t="s">
        <v>76</v>
      </c>
      <c r="L218" s="53" t="s">
        <v>77</v>
      </c>
      <c r="M218" s="54" t="s">
        <v>920</v>
      </c>
      <c r="N218" s="59" t="s">
        <v>76</v>
      </c>
      <c r="O218" s="49" t="s">
        <v>75</v>
      </c>
      <c r="P218" s="49" t="s">
        <v>76</v>
      </c>
      <c r="Q218" s="55" t="s">
        <v>76</v>
      </c>
      <c r="R218" s="56" t="s">
        <v>76</v>
      </c>
      <c r="S218" s="49" t="s">
        <v>76</v>
      </c>
      <c r="T218" s="122"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134"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2">
      <c r="A219" s="115" t="s">
        <v>1875</v>
      </c>
      <c r="B219" s="114" t="s">
        <v>1873</v>
      </c>
      <c r="C219" s="136"/>
      <c r="D219" s="49" t="s">
        <v>76</v>
      </c>
      <c r="E219" s="50"/>
      <c r="F219" s="51"/>
      <c r="G219" s="63"/>
      <c r="H219" s="49" t="s">
        <v>75</v>
      </c>
      <c r="I219" s="133">
        <v>1</v>
      </c>
      <c r="J219" s="53"/>
      <c r="K219" s="53" t="s">
        <v>76</v>
      </c>
      <c r="L219" s="53" t="s">
        <v>77</v>
      </c>
      <c r="M219" s="54" t="s">
        <v>920</v>
      </c>
      <c r="N219" s="59" t="s">
        <v>76</v>
      </c>
      <c r="O219" s="49" t="s">
        <v>75</v>
      </c>
      <c r="P219" s="49" t="s">
        <v>76</v>
      </c>
      <c r="Q219" s="55" t="s">
        <v>76</v>
      </c>
      <c r="R219" s="56" t="s">
        <v>76</v>
      </c>
      <c r="S219" s="49" t="s">
        <v>76</v>
      </c>
      <c r="T219" s="122"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134"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2">
      <c r="A220" s="115" t="s">
        <v>1875</v>
      </c>
      <c r="B220" s="114" t="s">
        <v>1873</v>
      </c>
      <c r="C220" s="136"/>
      <c r="D220" s="49" t="s">
        <v>76</v>
      </c>
      <c r="E220" s="50"/>
      <c r="F220" s="51"/>
      <c r="G220" s="63"/>
      <c r="H220" s="49" t="s">
        <v>75</v>
      </c>
      <c r="I220" s="133">
        <v>1</v>
      </c>
      <c r="J220" s="53"/>
      <c r="K220" s="53" t="s">
        <v>76</v>
      </c>
      <c r="L220" s="53" t="s">
        <v>77</v>
      </c>
      <c r="M220" s="54" t="s">
        <v>920</v>
      </c>
      <c r="N220" s="59" t="s">
        <v>76</v>
      </c>
      <c r="O220" s="49" t="s">
        <v>75</v>
      </c>
      <c r="P220" s="49" t="s">
        <v>76</v>
      </c>
      <c r="Q220" s="55" t="s">
        <v>76</v>
      </c>
      <c r="R220" s="56" t="s">
        <v>76</v>
      </c>
      <c r="S220" s="49" t="s">
        <v>76</v>
      </c>
      <c r="T220" s="122"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134"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2">
      <c r="A221" s="115" t="s">
        <v>1875</v>
      </c>
      <c r="B221" s="114" t="s">
        <v>1873</v>
      </c>
      <c r="C221" s="136"/>
      <c r="D221" s="49" t="s">
        <v>76</v>
      </c>
      <c r="E221" s="50"/>
      <c r="F221" s="51"/>
      <c r="G221" s="63"/>
      <c r="H221" s="49" t="s">
        <v>75</v>
      </c>
      <c r="I221" s="133">
        <v>1</v>
      </c>
      <c r="J221" s="53"/>
      <c r="K221" s="53" t="s">
        <v>76</v>
      </c>
      <c r="L221" s="53" t="s">
        <v>77</v>
      </c>
      <c r="M221" s="54" t="s">
        <v>920</v>
      </c>
      <c r="N221" s="59" t="s">
        <v>76</v>
      </c>
      <c r="O221" s="49" t="s">
        <v>75</v>
      </c>
      <c r="P221" s="49" t="s">
        <v>76</v>
      </c>
      <c r="Q221" s="55" t="s">
        <v>76</v>
      </c>
      <c r="R221" s="56" t="s">
        <v>76</v>
      </c>
      <c r="S221" s="49" t="s">
        <v>76</v>
      </c>
      <c r="T221" s="122"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134"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2">
      <c r="A222" s="115" t="s">
        <v>1875</v>
      </c>
      <c r="B222" s="114" t="s">
        <v>1873</v>
      </c>
      <c r="C222" s="136"/>
      <c r="D222" s="49" t="s">
        <v>76</v>
      </c>
      <c r="E222" s="50"/>
      <c r="F222" s="51"/>
      <c r="G222" s="63"/>
      <c r="H222" s="49" t="s">
        <v>75</v>
      </c>
      <c r="I222" s="133">
        <v>1</v>
      </c>
      <c r="J222" s="53"/>
      <c r="K222" s="53" t="s">
        <v>76</v>
      </c>
      <c r="L222" s="53" t="s">
        <v>77</v>
      </c>
      <c r="M222" s="54" t="s">
        <v>920</v>
      </c>
      <c r="N222" s="59" t="s">
        <v>76</v>
      </c>
      <c r="O222" s="49" t="s">
        <v>75</v>
      </c>
      <c r="P222" s="49" t="s">
        <v>76</v>
      </c>
      <c r="Q222" s="55" t="s">
        <v>76</v>
      </c>
      <c r="R222" s="56" t="s">
        <v>76</v>
      </c>
      <c r="S222" s="49" t="s">
        <v>76</v>
      </c>
      <c r="T222" s="122"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134"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2">
      <c r="A223" s="115" t="s">
        <v>1875</v>
      </c>
      <c r="B223" s="114" t="s">
        <v>1873</v>
      </c>
      <c r="C223" s="136"/>
      <c r="D223" s="49" t="s">
        <v>76</v>
      </c>
      <c r="E223" s="50"/>
      <c r="F223" s="51"/>
      <c r="G223" s="63"/>
      <c r="H223" s="49" t="s">
        <v>75</v>
      </c>
      <c r="I223" s="133">
        <v>1</v>
      </c>
      <c r="J223" s="53"/>
      <c r="K223" s="53" t="s">
        <v>76</v>
      </c>
      <c r="L223" s="53" t="s">
        <v>77</v>
      </c>
      <c r="M223" s="54" t="s">
        <v>920</v>
      </c>
      <c r="N223" s="59" t="s">
        <v>76</v>
      </c>
      <c r="O223" s="49" t="s">
        <v>75</v>
      </c>
      <c r="P223" s="49" t="s">
        <v>76</v>
      </c>
      <c r="Q223" s="55" t="s">
        <v>76</v>
      </c>
      <c r="R223" s="56" t="s">
        <v>76</v>
      </c>
      <c r="S223" s="49" t="s">
        <v>76</v>
      </c>
      <c r="T223" s="122"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134"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2">
      <c r="A224" s="115" t="s">
        <v>1875</v>
      </c>
      <c r="B224" s="114" t="s">
        <v>1873</v>
      </c>
      <c r="C224" s="136"/>
      <c r="D224" s="49" t="s">
        <v>76</v>
      </c>
      <c r="E224" s="50"/>
      <c r="F224" s="51"/>
      <c r="G224" s="63"/>
      <c r="H224" s="49" t="s">
        <v>75</v>
      </c>
      <c r="I224" s="133">
        <v>1</v>
      </c>
      <c r="J224" s="53"/>
      <c r="K224" s="53" t="s">
        <v>76</v>
      </c>
      <c r="L224" s="53" t="s">
        <v>77</v>
      </c>
      <c r="M224" s="54" t="s">
        <v>920</v>
      </c>
      <c r="N224" s="59" t="s">
        <v>76</v>
      </c>
      <c r="O224" s="49" t="s">
        <v>75</v>
      </c>
      <c r="P224" s="49" t="s">
        <v>76</v>
      </c>
      <c r="Q224" s="55" t="s">
        <v>76</v>
      </c>
      <c r="R224" s="56" t="s">
        <v>76</v>
      </c>
      <c r="S224" s="49" t="s">
        <v>76</v>
      </c>
      <c r="T224" s="122"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134"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2">
      <c r="A225" s="115" t="s">
        <v>1875</v>
      </c>
      <c r="B225" s="114" t="s">
        <v>1873</v>
      </c>
      <c r="C225" s="136"/>
      <c r="D225" s="49" t="s">
        <v>76</v>
      </c>
      <c r="E225" s="50"/>
      <c r="F225" s="51"/>
      <c r="G225" s="63"/>
      <c r="H225" s="49" t="s">
        <v>75</v>
      </c>
      <c r="I225" s="133">
        <v>1</v>
      </c>
      <c r="J225" s="53"/>
      <c r="K225" s="53" t="s">
        <v>76</v>
      </c>
      <c r="L225" s="53" t="s">
        <v>77</v>
      </c>
      <c r="M225" s="54" t="s">
        <v>920</v>
      </c>
      <c r="N225" s="59" t="s">
        <v>76</v>
      </c>
      <c r="O225" s="49" t="s">
        <v>75</v>
      </c>
      <c r="P225" s="49" t="s">
        <v>76</v>
      </c>
      <c r="Q225" s="55" t="s">
        <v>76</v>
      </c>
      <c r="R225" s="56" t="s">
        <v>76</v>
      </c>
      <c r="S225" s="49" t="s">
        <v>76</v>
      </c>
      <c r="T225" s="122"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134"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2">
      <c r="A226" s="115" t="s">
        <v>1875</v>
      </c>
      <c r="B226" s="114" t="s">
        <v>1873</v>
      </c>
      <c r="C226" s="136"/>
      <c r="D226" s="49" t="s">
        <v>76</v>
      </c>
      <c r="E226" s="50"/>
      <c r="F226" s="51"/>
      <c r="G226" s="63"/>
      <c r="H226" s="49" t="s">
        <v>75</v>
      </c>
      <c r="I226" s="133">
        <v>1</v>
      </c>
      <c r="J226" s="53"/>
      <c r="K226" s="53" t="s">
        <v>76</v>
      </c>
      <c r="L226" s="53" t="s">
        <v>77</v>
      </c>
      <c r="M226" s="54" t="s">
        <v>920</v>
      </c>
      <c r="N226" s="59" t="s">
        <v>76</v>
      </c>
      <c r="O226" s="49" t="s">
        <v>75</v>
      </c>
      <c r="P226" s="49" t="s">
        <v>76</v>
      </c>
      <c r="Q226" s="55" t="s">
        <v>76</v>
      </c>
      <c r="R226" s="56" t="s">
        <v>76</v>
      </c>
      <c r="S226" s="49" t="s">
        <v>76</v>
      </c>
      <c r="T226" s="122"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134"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2">
      <c r="A227" s="115" t="s">
        <v>1875</v>
      </c>
      <c r="B227" s="114" t="s">
        <v>1873</v>
      </c>
      <c r="C227" s="136"/>
      <c r="D227" s="49" t="s">
        <v>76</v>
      </c>
      <c r="E227" s="50"/>
      <c r="F227" s="51"/>
      <c r="G227" s="63"/>
      <c r="H227" s="49" t="s">
        <v>75</v>
      </c>
      <c r="I227" s="133">
        <v>1</v>
      </c>
      <c r="J227" s="53"/>
      <c r="K227" s="53" t="s">
        <v>76</v>
      </c>
      <c r="L227" s="53" t="s">
        <v>77</v>
      </c>
      <c r="M227" s="54" t="s">
        <v>920</v>
      </c>
      <c r="N227" s="59" t="s">
        <v>76</v>
      </c>
      <c r="O227" s="49" t="s">
        <v>75</v>
      </c>
      <c r="P227" s="49" t="s">
        <v>76</v>
      </c>
      <c r="Q227" s="55" t="s">
        <v>76</v>
      </c>
      <c r="R227" s="56" t="s">
        <v>76</v>
      </c>
      <c r="S227" s="49" t="s">
        <v>76</v>
      </c>
      <c r="T227" s="122"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134"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2">
      <c r="A228" s="115" t="s">
        <v>1875</v>
      </c>
      <c r="B228" s="114" t="s">
        <v>1873</v>
      </c>
      <c r="C228" s="136"/>
      <c r="D228" s="49" t="s">
        <v>76</v>
      </c>
      <c r="E228" s="50"/>
      <c r="F228" s="51"/>
      <c r="G228" s="63"/>
      <c r="H228" s="49" t="s">
        <v>75</v>
      </c>
      <c r="I228" s="133">
        <v>1</v>
      </c>
      <c r="J228" s="53"/>
      <c r="K228" s="53" t="s">
        <v>76</v>
      </c>
      <c r="L228" s="53" t="s">
        <v>77</v>
      </c>
      <c r="M228" s="54" t="s">
        <v>920</v>
      </c>
      <c r="N228" s="59" t="s">
        <v>76</v>
      </c>
      <c r="O228" s="49" t="s">
        <v>75</v>
      </c>
      <c r="P228" s="49" t="s">
        <v>76</v>
      </c>
      <c r="Q228" s="55" t="s">
        <v>76</v>
      </c>
      <c r="R228" s="56" t="s">
        <v>76</v>
      </c>
      <c r="S228" s="49" t="s">
        <v>76</v>
      </c>
      <c r="T228" s="122"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134"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2">
      <c r="A229" s="115" t="s">
        <v>1875</v>
      </c>
      <c r="B229" s="114" t="s">
        <v>1873</v>
      </c>
      <c r="C229" s="136"/>
      <c r="D229" s="49" t="s">
        <v>76</v>
      </c>
      <c r="E229" s="50"/>
      <c r="F229" s="51"/>
      <c r="G229" s="63"/>
      <c r="H229" s="49" t="s">
        <v>75</v>
      </c>
      <c r="I229" s="133">
        <v>1</v>
      </c>
      <c r="J229" s="53"/>
      <c r="K229" s="53" t="s">
        <v>76</v>
      </c>
      <c r="L229" s="53" t="s">
        <v>77</v>
      </c>
      <c r="M229" s="54" t="s">
        <v>920</v>
      </c>
      <c r="N229" s="59" t="s">
        <v>76</v>
      </c>
      <c r="O229" s="49" t="s">
        <v>75</v>
      </c>
      <c r="P229" s="49" t="s">
        <v>76</v>
      </c>
      <c r="Q229" s="55" t="s">
        <v>76</v>
      </c>
      <c r="R229" s="56" t="s">
        <v>76</v>
      </c>
      <c r="S229" s="49" t="s">
        <v>76</v>
      </c>
      <c r="T229" s="122"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134"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2">
      <c r="A230" s="115" t="s">
        <v>1875</v>
      </c>
      <c r="B230" s="114" t="s">
        <v>1873</v>
      </c>
      <c r="C230" s="136"/>
      <c r="D230" s="49" t="s">
        <v>76</v>
      </c>
      <c r="E230" s="50"/>
      <c r="F230" s="51"/>
      <c r="G230" s="63"/>
      <c r="H230" s="49" t="s">
        <v>75</v>
      </c>
      <c r="I230" s="133">
        <v>1</v>
      </c>
      <c r="J230" s="53"/>
      <c r="K230" s="53" t="s">
        <v>76</v>
      </c>
      <c r="L230" s="53" t="s">
        <v>77</v>
      </c>
      <c r="M230" s="54" t="s">
        <v>920</v>
      </c>
      <c r="N230" s="59" t="s">
        <v>76</v>
      </c>
      <c r="O230" s="49" t="s">
        <v>75</v>
      </c>
      <c r="P230" s="49" t="s">
        <v>76</v>
      </c>
      <c r="Q230" s="55" t="s">
        <v>76</v>
      </c>
      <c r="R230" s="56" t="s">
        <v>76</v>
      </c>
      <c r="S230" s="49" t="s">
        <v>76</v>
      </c>
      <c r="T230" s="122"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134"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2">
      <c r="A231" s="115" t="s">
        <v>1875</v>
      </c>
      <c r="B231" s="114" t="s">
        <v>1873</v>
      </c>
      <c r="C231" s="136"/>
      <c r="D231" s="49" t="s">
        <v>76</v>
      </c>
      <c r="E231" s="50"/>
      <c r="F231" s="51"/>
      <c r="G231" s="63"/>
      <c r="H231" s="49" t="s">
        <v>75</v>
      </c>
      <c r="I231" s="133">
        <v>1</v>
      </c>
      <c r="J231" s="53"/>
      <c r="K231" s="53" t="s">
        <v>76</v>
      </c>
      <c r="L231" s="53" t="s">
        <v>77</v>
      </c>
      <c r="M231" s="54" t="s">
        <v>920</v>
      </c>
      <c r="N231" s="59" t="s">
        <v>76</v>
      </c>
      <c r="O231" s="49" t="s">
        <v>75</v>
      </c>
      <c r="P231" s="49" t="s">
        <v>76</v>
      </c>
      <c r="Q231" s="55" t="s">
        <v>76</v>
      </c>
      <c r="R231" s="56" t="s">
        <v>76</v>
      </c>
      <c r="S231" s="49" t="s">
        <v>76</v>
      </c>
      <c r="T231" s="122"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134"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2">
      <c r="A232" s="115" t="s">
        <v>1875</v>
      </c>
      <c r="B232" s="114" t="s">
        <v>1873</v>
      </c>
      <c r="C232" s="136"/>
      <c r="D232" s="49" t="s">
        <v>76</v>
      </c>
      <c r="E232" s="50"/>
      <c r="F232" s="51"/>
      <c r="G232" s="63"/>
      <c r="H232" s="49" t="s">
        <v>75</v>
      </c>
      <c r="I232" s="133">
        <v>1</v>
      </c>
      <c r="J232" s="53"/>
      <c r="K232" s="53" t="s">
        <v>76</v>
      </c>
      <c r="L232" s="53" t="s">
        <v>77</v>
      </c>
      <c r="M232" s="54" t="s">
        <v>920</v>
      </c>
      <c r="N232" s="59" t="s">
        <v>76</v>
      </c>
      <c r="O232" s="49" t="s">
        <v>75</v>
      </c>
      <c r="P232" s="49" t="s">
        <v>76</v>
      </c>
      <c r="Q232" s="55" t="s">
        <v>76</v>
      </c>
      <c r="R232" s="56" t="s">
        <v>76</v>
      </c>
      <c r="S232" s="49" t="s">
        <v>76</v>
      </c>
      <c r="T232" s="122"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134"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2">
      <c r="A233" s="115" t="s">
        <v>1875</v>
      </c>
      <c r="B233" s="114" t="s">
        <v>1873</v>
      </c>
      <c r="C233" s="136"/>
      <c r="D233" s="49" t="s">
        <v>76</v>
      </c>
      <c r="E233" s="50"/>
      <c r="F233" s="51"/>
      <c r="G233" s="63"/>
      <c r="H233" s="49" t="s">
        <v>75</v>
      </c>
      <c r="I233" s="133">
        <v>1</v>
      </c>
      <c r="J233" s="53"/>
      <c r="K233" s="53" t="s">
        <v>76</v>
      </c>
      <c r="L233" s="53" t="s">
        <v>77</v>
      </c>
      <c r="M233" s="54" t="s">
        <v>920</v>
      </c>
      <c r="N233" s="59" t="s">
        <v>76</v>
      </c>
      <c r="O233" s="49" t="s">
        <v>75</v>
      </c>
      <c r="P233" s="49" t="s">
        <v>76</v>
      </c>
      <c r="Q233" s="55" t="s">
        <v>76</v>
      </c>
      <c r="R233" s="56" t="s">
        <v>76</v>
      </c>
      <c r="S233" s="49" t="s">
        <v>76</v>
      </c>
      <c r="T233" s="122"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134"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2">
      <c r="A234" s="115" t="s">
        <v>1875</v>
      </c>
      <c r="B234" s="114" t="s">
        <v>1873</v>
      </c>
      <c r="C234" s="136"/>
      <c r="D234" s="49" t="s">
        <v>76</v>
      </c>
      <c r="E234" s="50"/>
      <c r="F234" s="51"/>
      <c r="G234" s="63"/>
      <c r="H234" s="49" t="s">
        <v>75</v>
      </c>
      <c r="I234" s="133">
        <v>1</v>
      </c>
      <c r="J234" s="53"/>
      <c r="K234" s="53" t="s">
        <v>76</v>
      </c>
      <c r="L234" s="53" t="s">
        <v>77</v>
      </c>
      <c r="M234" s="54" t="s">
        <v>920</v>
      </c>
      <c r="N234" s="59" t="s">
        <v>76</v>
      </c>
      <c r="O234" s="49" t="s">
        <v>75</v>
      </c>
      <c r="P234" s="49" t="s">
        <v>76</v>
      </c>
      <c r="Q234" s="55" t="s">
        <v>76</v>
      </c>
      <c r="R234" s="56" t="s">
        <v>76</v>
      </c>
      <c r="S234" s="49" t="s">
        <v>76</v>
      </c>
      <c r="T234" s="122"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134"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2">
      <c r="A235" s="115" t="s">
        <v>1875</v>
      </c>
      <c r="B235" s="114" t="s">
        <v>1873</v>
      </c>
      <c r="C235" s="136"/>
      <c r="D235" s="49" t="s">
        <v>76</v>
      </c>
      <c r="E235" s="50"/>
      <c r="F235" s="51"/>
      <c r="G235" s="63"/>
      <c r="H235" s="49" t="s">
        <v>75</v>
      </c>
      <c r="I235" s="133">
        <v>1</v>
      </c>
      <c r="J235" s="53"/>
      <c r="K235" s="53" t="s">
        <v>76</v>
      </c>
      <c r="L235" s="53" t="s">
        <v>77</v>
      </c>
      <c r="M235" s="54" t="s">
        <v>920</v>
      </c>
      <c r="N235" s="59" t="s">
        <v>76</v>
      </c>
      <c r="O235" s="49" t="s">
        <v>75</v>
      </c>
      <c r="P235" s="49" t="s">
        <v>76</v>
      </c>
      <c r="Q235" s="55" t="s">
        <v>76</v>
      </c>
      <c r="R235" s="56" t="s">
        <v>76</v>
      </c>
      <c r="S235" s="49" t="s">
        <v>76</v>
      </c>
      <c r="T235" s="122"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134"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2">
      <c r="A236" s="115" t="s">
        <v>1875</v>
      </c>
      <c r="B236" s="114" t="s">
        <v>1873</v>
      </c>
      <c r="C236" s="136"/>
      <c r="D236" s="49" t="s">
        <v>76</v>
      </c>
      <c r="E236" s="50"/>
      <c r="F236" s="51"/>
      <c r="G236" s="63"/>
      <c r="H236" s="49" t="s">
        <v>75</v>
      </c>
      <c r="I236" s="133">
        <v>1</v>
      </c>
      <c r="J236" s="53"/>
      <c r="K236" s="53" t="s">
        <v>76</v>
      </c>
      <c r="L236" s="53" t="s">
        <v>77</v>
      </c>
      <c r="M236" s="54" t="s">
        <v>920</v>
      </c>
      <c r="N236" s="59" t="s">
        <v>76</v>
      </c>
      <c r="O236" s="49" t="s">
        <v>75</v>
      </c>
      <c r="P236" s="49" t="s">
        <v>76</v>
      </c>
      <c r="Q236" s="55" t="s">
        <v>76</v>
      </c>
      <c r="R236" s="56" t="s">
        <v>76</v>
      </c>
      <c r="S236" s="49" t="s">
        <v>76</v>
      </c>
      <c r="T236" s="122"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134"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2">
      <c r="A237" s="115" t="s">
        <v>1875</v>
      </c>
      <c r="B237" s="114" t="s">
        <v>1873</v>
      </c>
      <c r="C237" s="136"/>
      <c r="D237" s="49" t="s">
        <v>76</v>
      </c>
      <c r="E237" s="50"/>
      <c r="F237" s="51"/>
      <c r="G237" s="63"/>
      <c r="H237" s="49" t="s">
        <v>75</v>
      </c>
      <c r="I237" s="133">
        <v>1</v>
      </c>
      <c r="J237" s="53"/>
      <c r="K237" s="53" t="s">
        <v>76</v>
      </c>
      <c r="L237" s="53" t="s">
        <v>77</v>
      </c>
      <c r="M237" s="54" t="s">
        <v>920</v>
      </c>
      <c r="N237" s="59" t="s">
        <v>76</v>
      </c>
      <c r="O237" s="49" t="s">
        <v>75</v>
      </c>
      <c r="P237" s="49" t="s">
        <v>76</v>
      </c>
      <c r="Q237" s="55" t="s">
        <v>76</v>
      </c>
      <c r="R237" s="56" t="s">
        <v>76</v>
      </c>
      <c r="S237" s="49" t="s">
        <v>76</v>
      </c>
      <c r="T237" s="122"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134"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2">
      <c r="A238" s="115" t="s">
        <v>1875</v>
      </c>
      <c r="B238" s="114" t="s">
        <v>1873</v>
      </c>
      <c r="C238" s="136"/>
      <c r="D238" s="49" t="s">
        <v>76</v>
      </c>
      <c r="E238" s="50"/>
      <c r="F238" s="51"/>
      <c r="G238" s="63"/>
      <c r="H238" s="49" t="s">
        <v>75</v>
      </c>
      <c r="I238" s="133">
        <v>1</v>
      </c>
      <c r="J238" s="53"/>
      <c r="K238" s="53" t="s">
        <v>76</v>
      </c>
      <c r="L238" s="53" t="s">
        <v>77</v>
      </c>
      <c r="M238" s="54" t="s">
        <v>920</v>
      </c>
      <c r="N238" s="59" t="s">
        <v>76</v>
      </c>
      <c r="O238" s="49" t="s">
        <v>75</v>
      </c>
      <c r="P238" s="49" t="s">
        <v>76</v>
      </c>
      <c r="Q238" s="55" t="s">
        <v>76</v>
      </c>
      <c r="R238" s="56" t="s">
        <v>76</v>
      </c>
      <c r="S238" s="49" t="s">
        <v>76</v>
      </c>
      <c r="T238" s="122"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134"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2">
      <c r="A239" s="115" t="s">
        <v>1875</v>
      </c>
      <c r="B239" s="114" t="s">
        <v>1873</v>
      </c>
      <c r="C239" s="136"/>
      <c r="D239" s="49" t="s">
        <v>76</v>
      </c>
      <c r="E239" s="50"/>
      <c r="F239" s="51"/>
      <c r="G239" s="63"/>
      <c r="H239" s="49" t="s">
        <v>75</v>
      </c>
      <c r="I239" s="133">
        <v>1</v>
      </c>
      <c r="J239" s="53"/>
      <c r="K239" s="53" t="s">
        <v>76</v>
      </c>
      <c r="L239" s="53" t="s">
        <v>77</v>
      </c>
      <c r="M239" s="54" t="s">
        <v>920</v>
      </c>
      <c r="N239" s="59" t="s">
        <v>76</v>
      </c>
      <c r="O239" s="49" t="s">
        <v>75</v>
      </c>
      <c r="P239" s="49" t="s">
        <v>76</v>
      </c>
      <c r="Q239" s="55" t="s">
        <v>76</v>
      </c>
      <c r="R239" s="56" t="s">
        <v>76</v>
      </c>
      <c r="S239" s="49" t="s">
        <v>76</v>
      </c>
      <c r="T239" s="122"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134"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2">
      <c r="A240" s="115" t="s">
        <v>1875</v>
      </c>
      <c r="B240" s="114" t="s">
        <v>1873</v>
      </c>
      <c r="C240" s="136"/>
      <c r="D240" s="49" t="s">
        <v>76</v>
      </c>
      <c r="E240" s="50"/>
      <c r="F240" s="51"/>
      <c r="G240" s="63"/>
      <c r="H240" s="49" t="s">
        <v>75</v>
      </c>
      <c r="I240" s="133">
        <v>1</v>
      </c>
      <c r="J240" s="53"/>
      <c r="K240" s="53" t="s">
        <v>76</v>
      </c>
      <c r="L240" s="53" t="s">
        <v>77</v>
      </c>
      <c r="M240" s="54" t="s">
        <v>920</v>
      </c>
      <c r="N240" s="59" t="s">
        <v>76</v>
      </c>
      <c r="O240" s="49" t="s">
        <v>75</v>
      </c>
      <c r="P240" s="49" t="s">
        <v>76</v>
      </c>
      <c r="Q240" s="55" t="s">
        <v>76</v>
      </c>
      <c r="R240" s="56" t="s">
        <v>76</v>
      </c>
      <c r="S240" s="49" t="s">
        <v>76</v>
      </c>
      <c r="T240" s="122"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134"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2">
      <c r="A241" s="115" t="s">
        <v>1875</v>
      </c>
      <c r="B241" s="114" t="s">
        <v>1873</v>
      </c>
      <c r="C241" s="136"/>
      <c r="D241" s="49" t="s">
        <v>76</v>
      </c>
      <c r="E241" s="50"/>
      <c r="F241" s="51"/>
      <c r="G241" s="63"/>
      <c r="H241" s="49" t="s">
        <v>75</v>
      </c>
      <c r="I241" s="133">
        <v>1</v>
      </c>
      <c r="J241" s="53"/>
      <c r="K241" s="53" t="s">
        <v>76</v>
      </c>
      <c r="L241" s="53" t="s">
        <v>77</v>
      </c>
      <c r="M241" s="54" t="s">
        <v>920</v>
      </c>
      <c r="N241" s="59" t="s">
        <v>76</v>
      </c>
      <c r="O241" s="49" t="s">
        <v>75</v>
      </c>
      <c r="P241" s="49" t="s">
        <v>76</v>
      </c>
      <c r="Q241" s="55" t="s">
        <v>76</v>
      </c>
      <c r="R241" s="56" t="s">
        <v>76</v>
      </c>
      <c r="S241" s="49" t="s">
        <v>76</v>
      </c>
      <c r="T241" s="122"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134"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2">
      <c r="A242" s="115" t="s">
        <v>1875</v>
      </c>
      <c r="B242" s="114" t="s">
        <v>1873</v>
      </c>
      <c r="C242" s="136"/>
      <c r="D242" s="49" t="s">
        <v>76</v>
      </c>
      <c r="E242" s="50"/>
      <c r="F242" s="51"/>
      <c r="G242" s="63"/>
      <c r="H242" s="49" t="s">
        <v>75</v>
      </c>
      <c r="I242" s="133">
        <v>1</v>
      </c>
      <c r="J242" s="53"/>
      <c r="K242" s="53" t="s">
        <v>76</v>
      </c>
      <c r="L242" s="53" t="s">
        <v>77</v>
      </c>
      <c r="M242" s="54" t="s">
        <v>920</v>
      </c>
      <c r="N242" s="59" t="s">
        <v>76</v>
      </c>
      <c r="O242" s="49" t="s">
        <v>75</v>
      </c>
      <c r="P242" s="49" t="s">
        <v>76</v>
      </c>
      <c r="Q242" s="55" t="s">
        <v>76</v>
      </c>
      <c r="R242" s="56" t="s">
        <v>76</v>
      </c>
      <c r="S242" s="49" t="s">
        <v>76</v>
      </c>
      <c r="T242" s="122"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134"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2">
      <c r="A243" s="115" t="s">
        <v>1875</v>
      </c>
      <c r="B243" s="114" t="s">
        <v>1873</v>
      </c>
      <c r="C243" s="136"/>
      <c r="D243" s="49" t="s">
        <v>76</v>
      </c>
      <c r="E243" s="50"/>
      <c r="F243" s="51"/>
      <c r="G243" s="63"/>
      <c r="H243" s="49" t="s">
        <v>75</v>
      </c>
      <c r="I243" s="133">
        <v>1</v>
      </c>
      <c r="J243" s="53"/>
      <c r="K243" s="53" t="s">
        <v>76</v>
      </c>
      <c r="L243" s="53" t="s">
        <v>77</v>
      </c>
      <c r="M243" s="54" t="s">
        <v>920</v>
      </c>
      <c r="N243" s="59" t="s">
        <v>76</v>
      </c>
      <c r="O243" s="49" t="s">
        <v>75</v>
      </c>
      <c r="P243" s="49" t="s">
        <v>76</v>
      </c>
      <c r="Q243" s="55" t="s">
        <v>76</v>
      </c>
      <c r="R243" s="56" t="s">
        <v>76</v>
      </c>
      <c r="S243" s="49" t="s">
        <v>76</v>
      </c>
      <c r="T243" s="122"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134"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2">
      <c r="A244" s="115" t="s">
        <v>1875</v>
      </c>
      <c r="B244" s="114" t="s">
        <v>1873</v>
      </c>
      <c r="C244" s="136"/>
      <c r="D244" s="49" t="s">
        <v>76</v>
      </c>
      <c r="E244" s="50"/>
      <c r="F244" s="51"/>
      <c r="G244" s="63"/>
      <c r="H244" s="49" t="s">
        <v>75</v>
      </c>
      <c r="I244" s="133">
        <v>1</v>
      </c>
      <c r="J244" s="53"/>
      <c r="K244" s="53" t="s">
        <v>76</v>
      </c>
      <c r="L244" s="53" t="s">
        <v>77</v>
      </c>
      <c r="M244" s="54" t="s">
        <v>920</v>
      </c>
      <c r="N244" s="59" t="s">
        <v>76</v>
      </c>
      <c r="O244" s="49" t="s">
        <v>75</v>
      </c>
      <c r="P244" s="49" t="s">
        <v>76</v>
      </c>
      <c r="Q244" s="55" t="s">
        <v>76</v>
      </c>
      <c r="R244" s="56" t="s">
        <v>76</v>
      </c>
      <c r="S244" s="49" t="s">
        <v>76</v>
      </c>
      <c r="T244" s="122"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134"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2">
      <c r="A245" s="115" t="s">
        <v>1875</v>
      </c>
      <c r="B245" s="114" t="s">
        <v>1873</v>
      </c>
      <c r="C245" s="136"/>
      <c r="D245" s="49" t="s">
        <v>76</v>
      </c>
      <c r="E245" s="50"/>
      <c r="F245" s="51"/>
      <c r="G245" s="63"/>
      <c r="H245" s="49" t="s">
        <v>75</v>
      </c>
      <c r="I245" s="133">
        <v>1</v>
      </c>
      <c r="J245" s="53"/>
      <c r="K245" s="53" t="s">
        <v>76</v>
      </c>
      <c r="L245" s="53" t="s">
        <v>77</v>
      </c>
      <c r="M245" s="54" t="s">
        <v>920</v>
      </c>
      <c r="N245" s="59" t="s">
        <v>76</v>
      </c>
      <c r="O245" s="49" t="s">
        <v>75</v>
      </c>
      <c r="P245" s="49" t="s">
        <v>76</v>
      </c>
      <c r="Q245" s="55" t="s">
        <v>76</v>
      </c>
      <c r="R245" s="56" t="s">
        <v>76</v>
      </c>
      <c r="S245" s="49" t="s">
        <v>76</v>
      </c>
      <c r="T245" s="122"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134"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2">
      <c r="A246" s="115" t="s">
        <v>1875</v>
      </c>
      <c r="B246" s="114" t="s">
        <v>1873</v>
      </c>
      <c r="C246" s="136"/>
      <c r="D246" s="49" t="s">
        <v>76</v>
      </c>
      <c r="E246" s="50"/>
      <c r="F246" s="51"/>
      <c r="G246" s="63"/>
      <c r="H246" s="49" t="s">
        <v>75</v>
      </c>
      <c r="I246" s="133">
        <v>1</v>
      </c>
      <c r="J246" s="53"/>
      <c r="K246" s="53" t="s">
        <v>76</v>
      </c>
      <c r="L246" s="53" t="s">
        <v>77</v>
      </c>
      <c r="M246" s="54" t="s">
        <v>920</v>
      </c>
      <c r="N246" s="59" t="s">
        <v>76</v>
      </c>
      <c r="O246" s="49" t="s">
        <v>75</v>
      </c>
      <c r="P246" s="49" t="s">
        <v>76</v>
      </c>
      <c r="Q246" s="55" t="s">
        <v>76</v>
      </c>
      <c r="R246" s="56" t="s">
        <v>76</v>
      </c>
      <c r="S246" s="49" t="s">
        <v>76</v>
      </c>
      <c r="T246" s="122"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134"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2">
      <c r="A247" s="115" t="s">
        <v>1875</v>
      </c>
      <c r="B247" s="114" t="s">
        <v>1873</v>
      </c>
      <c r="C247" s="136"/>
      <c r="D247" s="49" t="s">
        <v>76</v>
      </c>
      <c r="E247" s="50"/>
      <c r="F247" s="51"/>
      <c r="G247" s="63"/>
      <c r="H247" s="49" t="s">
        <v>75</v>
      </c>
      <c r="I247" s="133">
        <v>1</v>
      </c>
      <c r="J247" s="53"/>
      <c r="K247" s="53" t="s">
        <v>76</v>
      </c>
      <c r="L247" s="53" t="s">
        <v>77</v>
      </c>
      <c r="M247" s="54" t="s">
        <v>920</v>
      </c>
      <c r="N247" s="59" t="s">
        <v>76</v>
      </c>
      <c r="O247" s="49" t="s">
        <v>75</v>
      </c>
      <c r="P247" s="49" t="s">
        <v>76</v>
      </c>
      <c r="Q247" s="55" t="s">
        <v>76</v>
      </c>
      <c r="R247" s="56" t="s">
        <v>76</v>
      </c>
      <c r="S247" s="49" t="s">
        <v>76</v>
      </c>
      <c r="T247" s="122"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134"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2">
      <c r="A248" s="115" t="s">
        <v>1875</v>
      </c>
      <c r="B248" s="114" t="s">
        <v>1873</v>
      </c>
      <c r="C248" s="136"/>
      <c r="D248" s="49" t="s">
        <v>76</v>
      </c>
      <c r="E248" s="50"/>
      <c r="F248" s="51"/>
      <c r="G248" s="63"/>
      <c r="H248" s="49" t="s">
        <v>75</v>
      </c>
      <c r="I248" s="133">
        <v>1</v>
      </c>
      <c r="J248" s="53"/>
      <c r="K248" s="53" t="s">
        <v>76</v>
      </c>
      <c r="L248" s="53" t="s">
        <v>77</v>
      </c>
      <c r="M248" s="54" t="s">
        <v>920</v>
      </c>
      <c r="N248" s="59" t="s">
        <v>76</v>
      </c>
      <c r="O248" s="49" t="s">
        <v>75</v>
      </c>
      <c r="P248" s="49" t="s">
        <v>76</v>
      </c>
      <c r="Q248" s="55" t="s">
        <v>76</v>
      </c>
      <c r="R248" s="56" t="s">
        <v>76</v>
      </c>
      <c r="S248" s="49" t="s">
        <v>76</v>
      </c>
      <c r="T248" s="122"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134"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2">
      <c r="A249" s="115" t="s">
        <v>1875</v>
      </c>
      <c r="B249" s="114" t="s">
        <v>1873</v>
      </c>
      <c r="C249" s="136"/>
      <c r="D249" s="49" t="s">
        <v>76</v>
      </c>
      <c r="E249" s="50"/>
      <c r="F249" s="51"/>
      <c r="G249" s="63"/>
      <c r="H249" s="49" t="s">
        <v>75</v>
      </c>
      <c r="I249" s="133">
        <v>1</v>
      </c>
      <c r="J249" s="53"/>
      <c r="K249" s="53" t="s">
        <v>76</v>
      </c>
      <c r="L249" s="53" t="s">
        <v>77</v>
      </c>
      <c r="M249" s="54" t="s">
        <v>920</v>
      </c>
      <c r="N249" s="59" t="s">
        <v>76</v>
      </c>
      <c r="O249" s="49" t="s">
        <v>75</v>
      </c>
      <c r="P249" s="49" t="s">
        <v>76</v>
      </c>
      <c r="Q249" s="55" t="s">
        <v>76</v>
      </c>
      <c r="R249" s="56" t="s">
        <v>76</v>
      </c>
      <c r="S249" s="49" t="s">
        <v>76</v>
      </c>
      <c r="T249" s="122"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134"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2">
      <c r="A250" s="115" t="s">
        <v>1875</v>
      </c>
      <c r="B250" s="114" t="s">
        <v>1873</v>
      </c>
      <c r="C250" s="136"/>
      <c r="D250" s="49" t="s">
        <v>76</v>
      </c>
      <c r="E250" s="50"/>
      <c r="F250" s="51"/>
      <c r="G250" s="63"/>
      <c r="H250" s="49" t="s">
        <v>75</v>
      </c>
      <c r="I250" s="133">
        <v>1</v>
      </c>
      <c r="J250" s="53"/>
      <c r="K250" s="53" t="s">
        <v>76</v>
      </c>
      <c r="L250" s="53" t="s">
        <v>77</v>
      </c>
      <c r="M250" s="54" t="s">
        <v>920</v>
      </c>
      <c r="N250" s="59" t="s">
        <v>76</v>
      </c>
      <c r="O250" s="49" t="s">
        <v>75</v>
      </c>
      <c r="P250" s="49" t="s">
        <v>76</v>
      </c>
      <c r="Q250" s="55" t="s">
        <v>76</v>
      </c>
      <c r="R250" s="56" t="s">
        <v>76</v>
      </c>
      <c r="S250" s="49" t="s">
        <v>76</v>
      </c>
      <c r="T250" s="122"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134"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2">
      <c r="A251" s="115" t="s">
        <v>1875</v>
      </c>
      <c r="B251" s="114" t="s">
        <v>1873</v>
      </c>
      <c r="C251" s="136"/>
      <c r="D251" s="49" t="s">
        <v>76</v>
      </c>
      <c r="E251" s="50"/>
      <c r="F251" s="51"/>
      <c r="G251" s="63"/>
      <c r="H251" s="49" t="s">
        <v>75</v>
      </c>
      <c r="I251" s="133">
        <v>1</v>
      </c>
      <c r="J251" s="53"/>
      <c r="K251" s="53" t="s">
        <v>76</v>
      </c>
      <c r="L251" s="53" t="s">
        <v>77</v>
      </c>
      <c r="M251" s="54" t="s">
        <v>920</v>
      </c>
      <c r="N251" s="59" t="s">
        <v>76</v>
      </c>
      <c r="O251" s="49" t="s">
        <v>75</v>
      </c>
      <c r="P251" s="49" t="s">
        <v>76</v>
      </c>
      <c r="Q251" s="55" t="s">
        <v>76</v>
      </c>
      <c r="R251" s="56" t="s">
        <v>76</v>
      </c>
      <c r="S251" s="49" t="s">
        <v>76</v>
      </c>
      <c r="T251" s="122"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134"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2">
      <c r="A252" s="115" t="s">
        <v>1875</v>
      </c>
      <c r="B252" s="114" t="s">
        <v>1873</v>
      </c>
      <c r="C252" s="136"/>
      <c r="D252" s="49" t="s">
        <v>76</v>
      </c>
      <c r="E252" s="50"/>
      <c r="F252" s="51"/>
      <c r="G252" s="63"/>
      <c r="H252" s="49" t="s">
        <v>75</v>
      </c>
      <c r="I252" s="133">
        <v>1</v>
      </c>
      <c r="J252" s="53"/>
      <c r="K252" s="53" t="s">
        <v>76</v>
      </c>
      <c r="L252" s="53" t="s">
        <v>77</v>
      </c>
      <c r="M252" s="54" t="s">
        <v>920</v>
      </c>
      <c r="N252" s="59" t="s">
        <v>76</v>
      </c>
      <c r="O252" s="49" t="s">
        <v>75</v>
      </c>
      <c r="P252" s="49" t="s">
        <v>76</v>
      </c>
      <c r="Q252" s="55" t="s">
        <v>76</v>
      </c>
      <c r="R252" s="56" t="s">
        <v>76</v>
      </c>
      <c r="S252" s="49" t="s">
        <v>76</v>
      </c>
      <c r="T252" s="122"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134"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2">
      <c r="A253" s="115" t="s">
        <v>1875</v>
      </c>
      <c r="B253" s="114" t="s">
        <v>1873</v>
      </c>
      <c r="C253" s="136"/>
      <c r="D253" s="49" t="s">
        <v>76</v>
      </c>
      <c r="E253" s="50"/>
      <c r="F253" s="51"/>
      <c r="G253" s="63"/>
      <c r="H253" s="49" t="s">
        <v>75</v>
      </c>
      <c r="I253" s="133">
        <v>1</v>
      </c>
      <c r="J253" s="53"/>
      <c r="K253" s="53" t="s">
        <v>76</v>
      </c>
      <c r="L253" s="53" t="s">
        <v>77</v>
      </c>
      <c r="M253" s="54" t="s">
        <v>920</v>
      </c>
      <c r="N253" s="59" t="s">
        <v>76</v>
      </c>
      <c r="O253" s="49" t="s">
        <v>75</v>
      </c>
      <c r="P253" s="49" t="s">
        <v>76</v>
      </c>
      <c r="Q253" s="55" t="s">
        <v>76</v>
      </c>
      <c r="R253" s="56" t="s">
        <v>76</v>
      </c>
      <c r="S253" s="49" t="s">
        <v>76</v>
      </c>
      <c r="T253" s="122"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134"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2">
      <c r="A254" s="115" t="s">
        <v>1875</v>
      </c>
      <c r="B254" s="114" t="s">
        <v>1873</v>
      </c>
      <c r="C254" s="136"/>
      <c r="D254" s="49" t="s">
        <v>76</v>
      </c>
      <c r="E254" s="50"/>
      <c r="F254" s="51"/>
      <c r="G254" s="63"/>
      <c r="H254" s="49" t="s">
        <v>75</v>
      </c>
      <c r="I254" s="133">
        <v>1</v>
      </c>
      <c r="J254" s="53"/>
      <c r="K254" s="53" t="s">
        <v>76</v>
      </c>
      <c r="L254" s="53" t="s">
        <v>77</v>
      </c>
      <c r="M254" s="54" t="s">
        <v>920</v>
      </c>
      <c r="N254" s="59" t="s">
        <v>76</v>
      </c>
      <c r="O254" s="49" t="s">
        <v>75</v>
      </c>
      <c r="P254" s="49" t="s">
        <v>76</v>
      </c>
      <c r="Q254" s="55" t="s">
        <v>76</v>
      </c>
      <c r="R254" s="56" t="s">
        <v>76</v>
      </c>
      <c r="S254" s="49" t="s">
        <v>76</v>
      </c>
      <c r="T254" s="122"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134"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2">
      <c r="A255" s="115" t="s">
        <v>1875</v>
      </c>
      <c r="B255" s="114" t="s">
        <v>1873</v>
      </c>
      <c r="C255" s="136"/>
      <c r="D255" s="49" t="s">
        <v>76</v>
      </c>
      <c r="E255" s="50"/>
      <c r="F255" s="51"/>
      <c r="G255" s="63"/>
      <c r="H255" s="49" t="s">
        <v>75</v>
      </c>
      <c r="I255" s="133">
        <v>1</v>
      </c>
      <c r="J255" s="53"/>
      <c r="K255" s="53" t="s">
        <v>76</v>
      </c>
      <c r="L255" s="53" t="s">
        <v>77</v>
      </c>
      <c r="M255" s="54" t="s">
        <v>920</v>
      </c>
      <c r="N255" s="59" t="s">
        <v>76</v>
      </c>
      <c r="O255" s="49" t="s">
        <v>75</v>
      </c>
      <c r="P255" s="49" t="s">
        <v>76</v>
      </c>
      <c r="Q255" s="55" t="s">
        <v>76</v>
      </c>
      <c r="R255" s="56" t="s">
        <v>76</v>
      </c>
      <c r="S255" s="49" t="s">
        <v>76</v>
      </c>
      <c r="T255" s="122"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134"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2">
      <c r="A256" s="115" t="s">
        <v>1875</v>
      </c>
      <c r="B256" s="114" t="s">
        <v>1873</v>
      </c>
      <c r="C256" s="136"/>
      <c r="D256" s="49" t="s">
        <v>76</v>
      </c>
      <c r="E256" s="50"/>
      <c r="F256" s="51"/>
      <c r="G256" s="63"/>
      <c r="H256" s="49" t="s">
        <v>75</v>
      </c>
      <c r="I256" s="133">
        <v>1</v>
      </c>
      <c r="J256" s="53"/>
      <c r="K256" s="53" t="s">
        <v>76</v>
      </c>
      <c r="L256" s="53" t="s">
        <v>77</v>
      </c>
      <c r="M256" s="54" t="s">
        <v>920</v>
      </c>
      <c r="N256" s="59" t="s">
        <v>76</v>
      </c>
      <c r="O256" s="49" t="s">
        <v>75</v>
      </c>
      <c r="P256" s="49" t="s">
        <v>76</v>
      </c>
      <c r="Q256" s="55" t="s">
        <v>76</v>
      </c>
      <c r="R256" s="56" t="s">
        <v>76</v>
      </c>
      <c r="S256" s="49" t="s">
        <v>76</v>
      </c>
      <c r="T256" s="122"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134"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2">
      <c r="A257" s="115" t="s">
        <v>1875</v>
      </c>
      <c r="B257" s="114" t="s">
        <v>1873</v>
      </c>
      <c r="C257" s="136"/>
      <c r="D257" s="49" t="s">
        <v>76</v>
      </c>
      <c r="E257" s="50"/>
      <c r="F257" s="51"/>
      <c r="G257" s="63"/>
      <c r="H257" s="49" t="s">
        <v>75</v>
      </c>
      <c r="I257" s="133">
        <v>1</v>
      </c>
      <c r="J257" s="53"/>
      <c r="K257" s="53" t="s">
        <v>76</v>
      </c>
      <c r="L257" s="53" t="s">
        <v>77</v>
      </c>
      <c r="M257" s="54" t="s">
        <v>920</v>
      </c>
      <c r="N257" s="59" t="s">
        <v>76</v>
      </c>
      <c r="O257" s="49" t="s">
        <v>75</v>
      </c>
      <c r="P257" s="49" t="s">
        <v>76</v>
      </c>
      <c r="Q257" s="55" t="s">
        <v>76</v>
      </c>
      <c r="R257" s="56" t="s">
        <v>76</v>
      </c>
      <c r="S257" s="49" t="s">
        <v>76</v>
      </c>
      <c r="T257" s="122"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134"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2">
      <c r="A258" s="115" t="s">
        <v>1875</v>
      </c>
      <c r="B258" s="114" t="s">
        <v>1873</v>
      </c>
      <c r="C258" s="136"/>
      <c r="D258" s="49" t="s">
        <v>76</v>
      </c>
      <c r="E258" s="50"/>
      <c r="F258" s="51"/>
      <c r="G258" s="63"/>
      <c r="H258" s="49" t="s">
        <v>75</v>
      </c>
      <c r="I258" s="133">
        <v>1</v>
      </c>
      <c r="J258" s="53"/>
      <c r="K258" s="53" t="s">
        <v>76</v>
      </c>
      <c r="L258" s="53" t="s">
        <v>77</v>
      </c>
      <c r="M258" s="54" t="s">
        <v>920</v>
      </c>
      <c r="N258" s="59" t="s">
        <v>76</v>
      </c>
      <c r="O258" s="49" t="s">
        <v>75</v>
      </c>
      <c r="P258" s="49" t="s">
        <v>76</v>
      </c>
      <c r="Q258" s="55" t="s">
        <v>76</v>
      </c>
      <c r="R258" s="56" t="s">
        <v>76</v>
      </c>
      <c r="S258" s="49" t="s">
        <v>76</v>
      </c>
      <c r="T258" s="122"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134"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2">
      <c r="A259" s="115" t="s">
        <v>1875</v>
      </c>
      <c r="B259" s="114" t="s">
        <v>1873</v>
      </c>
      <c r="C259" s="136"/>
      <c r="D259" s="49" t="s">
        <v>76</v>
      </c>
      <c r="E259" s="50"/>
      <c r="F259" s="51"/>
      <c r="G259" s="63"/>
      <c r="H259" s="49" t="s">
        <v>75</v>
      </c>
      <c r="I259" s="133">
        <v>1</v>
      </c>
      <c r="J259" s="53"/>
      <c r="K259" s="53" t="s">
        <v>76</v>
      </c>
      <c r="L259" s="53" t="s">
        <v>77</v>
      </c>
      <c r="M259" s="54" t="s">
        <v>920</v>
      </c>
      <c r="N259" s="59" t="s">
        <v>76</v>
      </c>
      <c r="O259" s="49" t="s">
        <v>75</v>
      </c>
      <c r="P259" s="49" t="s">
        <v>76</v>
      </c>
      <c r="Q259" s="55" t="s">
        <v>76</v>
      </c>
      <c r="R259" s="56" t="s">
        <v>76</v>
      </c>
      <c r="S259" s="49" t="s">
        <v>76</v>
      </c>
      <c r="T259" s="122"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134"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2">
      <c r="A260" s="115" t="s">
        <v>1875</v>
      </c>
      <c r="B260" s="114" t="s">
        <v>1873</v>
      </c>
      <c r="C260" s="136"/>
      <c r="D260" s="49" t="s">
        <v>76</v>
      </c>
      <c r="E260" s="50"/>
      <c r="F260" s="51"/>
      <c r="G260" s="63"/>
      <c r="H260" s="49" t="s">
        <v>75</v>
      </c>
      <c r="I260" s="133">
        <v>1</v>
      </c>
      <c r="J260" s="53"/>
      <c r="K260" s="53" t="s">
        <v>76</v>
      </c>
      <c r="L260" s="53" t="s">
        <v>77</v>
      </c>
      <c r="M260" s="54" t="s">
        <v>920</v>
      </c>
      <c r="N260" s="59" t="s">
        <v>76</v>
      </c>
      <c r="O260" s="49" t="s">
        <v>75</v>
      </c>
      <c r="P260" s="49" t="s">
        <v>76</v>
      </c>
      <c r="Q260" s="55" t="s">
        <v>76</v>
      </c>
      <c r="R260" s="56" t="s">
        <v>76</v>
      </c>
      <c r="S260" s="49" t="s">
        <v>76</v>
      </c>
      <c r="T260" s="122"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134"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2">
      <c r="A261" s="115" t="s">
        <v>1875</v>
      </c>
      <c r="B261" s="114" t="s">
        <v>1873</v>
      </c>
      <c r="C261" s="136"/>
      <c r="D261" s="49" t="s">
        <v>76</v>
      </c>
      <c r="E261" s="50"/>
      <c r="F261" s="51"/>
      <c r="G261" s="63"/>
      <c r="H261" s="49" t="s">
        <v>75</v>
      </c>
      <c r="I261" s="133">
        <v>1</v>
      </c>
      <c r="J261" s="53"/>
      <c r="K261" s="53" t="s">
        <v>76</v>
      </c>
      <c r="L261" s="53" t="s">
        <v>77</v>
      </c>
      <c r="M261" s="54" t="s">
        <v>920</v>
      </c>
      <c r="N261" s="59" t="s">
        <v>76</v>
      </c>
      <c r="O261" s="49" t="s">
        <v>75</v>
      </c>
      <c r="P261" s="49" t="s">
        <v>76</v>
      </c>
      <c r="Q261" s="55" t="s">
        <v>76</v>
      </c>
      <c r="R261" s="56" t="s">
        <v>76</v>
      </c>
      <c r="S261" s="49" t="s">
        <v>76</v>
      </c>
      <c r="T261" s="122"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134"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2">
      <c r="A262" s="115" t="s">
        <v>1875</v>
      </c>
      <c r="B262" s="114" t="s">
        <v>1873</v>
      </c>
      <c r="C262" s="136"/>
      <c r="D262" s="49" t="s">
        <v>76</v>
      </c>
      <c r="E262" s="50"/>
      <c r="F262" s="51"/>
      <c r="G262" s="63"/>
      <c r="H262" s="49" t="s">
        <v>75</v>
      </c>
      <c r="I262" s="133">
        <v>1</v>
      </c>
      <c r="J262" s="53"/>
      <c r="K262" s="53" t="s">
        <v>76</v>
      </c>
      <c r="L262" s="53" t="s">
        <v>77</v>
      </c>
      <c r="M262" s="54" t="s">
        <v>920</v>
      </c>
      <c r="N262" s="59" t="s">
        <v>76</v>
      </c>
      <c r="O262" s="49" t="s">
        <v>75</v>
      </c>
      <c r="P262" s="49" t="s">
        <v>76</v>
      </c>
      <c r="Q262" s="55" t="s">
        <v>76</v>
      </c>
      <c r="R262" s="56" t="s">
        <v>76</v>
      </c>
      <c r="S262" s="49" t="s">
        <v>76</v>
      </c>
      <c r="T262" s="122"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134"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2">
      <c r="A263" s="115" t="s">
        <v>1875</v>
      </c>
      <c r="B263" s="114" t="s">
        <v>1873</v>
      </c>
      <c r="C263" s="136"/>
      <c r="D263" s="49" t="s">
        <v>76</v>
      </c>
      <c r="E263" s="50"/>
      <c r="F263" s="51"/>
      <c r="G263" s="63"/>
      <c r="H263" s="49" t="s">
        <v>75</v>
      </c>
      <c r="I263" s="133">
        <v>1</v>
      </c>
      <c r="J263" s="53"/>
      <c r="K263" s="53" t="s">
        <v>76</v>
      </c>
      <c r="L263" s="53" t="s">
        <v>77</v>
      </c>
      <c r="M263" s="54" t="s">
        <v>920</v>
      </c>
      <c r="N263" s="59" t="s">
        <v>76</v>
      </c>
      <c r="O263" s="49" t="s">
        <v>75</v>
      </c>
      <c r="P263" s="49" t="s">
        <v>76</v>
      </c>
      <c r="Q263" s="55" t="s">
        <v>76</v>
      </c>
      <c r="R263" s="56" t="s">
        <v>76</v>
      </c>
      <c r="S263" s="49" t="s">
        <v>76</v>
      </c>
      <c r="T263" s="122"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134"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2">
      <c r="A264" s="115" t="s">
        <v>1875</v>
      </c>
      <c r="B264" s="114" t="s">
        <v>1873</v>
      </c>
      <c r="C264" s="136"/>
      <c r="D264" s="49" t="s">
        <v>76</v>
      </c>
      <c r="E264" s="50"/>
      <c r="F264" s="51"/>
      <c r="G264" s="63"/>
      <c r="H264" s="49" t="s">
        <v>75</v>
      </c>
      <c r="I264" s="133">
        <v>1</v>
      </c>
      <c r="J264" s="53"/>
      <c r="K264" s="53" t="s">
        <v>76</v>
      </c>
      <c r="L264" s="53" t="s">
        <v>77</v>
      </c>
      <c r="M264" s="54" t="s">
        <v>920</v>
      </c>
      <c r="N264" s="59" t="s">
        <v>76</v>
      </c>
      <c r="O264" s="49" t="s">
        <v>75</v>
      </c>
      <c r="P264" s="49" t="s">
        <v>76</v>
      </c>
      <c r="Q264" s="55" t="s">
        <v>76</v>
      </c>
      <c r="R264" s="56" t="s">
        <v>76</v>
      </c>
      <c r="S264" s="49" t="s">
        <v>76</v>
      </c>
      <c r="T264" s="122"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134"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2">
      <c r="A265" s="115" t="s">
        <v>1875</v>
      </c>
      <c r="B265" s="114" t="s">
        <v>1873</v>
      </c>
      <c r="C265" s="136"/>
      <c r="D265" s="49" t="s">
        <v>76</v>
      </c>
      <c r="E265" s="50"/>
      <c r="F265" s="51"/>
      <c r="G265" s="63"/>
      <c r="H265" s="49" t="s">
        <v>75</v>
      </c>
      <c r="I265" s="133">
        <v>1</v>
      </c>
      <c r="J265" s="53"/>
      <c r="K265" s="53" t="s">
        <v>76</v>
      </c>
      <c r="L265" s="53" t="s">
        <v>77</v>
      </c>
      <c r="M265" s="54" t="s">
        <v>920</v>
      </c>
      <c r="N265" s="59" t="s">
        <v>76</v>
      </c>
      <c r="O265" s="49" t="s">
        <v>75</v>
      </c>
      <c r="P265" s="49" t="s">
        <v>76</v>
      </c>
      <c r="Q265" s="55" t="s">
        <v>76</v>
      </c>
      <c r="R265" s="56" t="s">
        <v>76</v>
      </c>
      <c r="S265" s="49" t="s">
        <v>76</v>
      </c>
      <c r="T265" s="122"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134"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2">
      <c r="A266" s="115" t="s">
        <v>1875</v>
      </c>
      <c r="B266" s="114" t="s">
        <v>1873</v>
      </c>
      <c r="C266" s="136"/>
      <c r="D266" s="49" t="s">
        <v>76</v>
      </c>
      <c r="E266" s="50"/>
      <c r="F266" s="51"/>
      <c r="G266" s="63"/>
      <c r="H266" s="49" t="s">
        <v>75</v>
      </c>
      <c r="I266" s="133">
        <v>1</v>
      </c>
      <c r="J266" s="53"/>
      <c r="K266" s="53" t="s">
        <v>76</v>
      </c>
      <c r="L266" s="53" t="s">
        <v>77</v>
      </c>
      <c r="M266" s="54" t="s">
        <v>920</v>
      </c>
      <c r="N266" s="59" t="s">
        <v>76</v>
      </c>
      <c r="O266" s="49" t="s">
        <v>75</v>
      </c>
      <c r="P266" s="49" t="s">
        <v>76</v>
      </c>
      <c r="Q266" s="55" t="s">
        <v>76</v>
      </c>
      <c r="R266" s="56" t="s">
        <v>76</v>
      </c>
      <c r="S266" s="49" t="s">
        <v>76</v>
      </c>
      <c r="T266" s="122"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134"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2">
      <c r="A267" s="115" t="s">
        <v>1875</v>
      </c>
      <c r="B267" s="114" t="s">
        <v>1873</v>
      </c>
      <c r="C267" s="136"/>
      <c r="D267" s="49" t="s">
        <v>76</v>
      </c>
      <c r="E267" s="50"/>
      <c r="F267" s="51"/>
      <c r="G267" s="63"/>
      <c r="H267" s="49" t="s">
        <v>75</v>
      </c>
      <c r="I267" s="133">
        <v>1</v>
      </c>
      <c r="J267" s="53"/>
      <c r="K267" s="53" t="s">
        <v>76</v>
      </c>
      <c r="L267" s="53" t="s">
        <v>77</v>
      </c>
      <c r="M267" s="54" t="s">
        <v>920</v>
      </c>
      <c r="N267" s="59" t="s">
        <v>76</v>
      </c>
      <c r="O267" s="49" t="s">
        <v>75</v>
      </c>
      <c r="P267" s="49" t="s">
        <v>76</v>
      </c>
      <c r="Q267" s="55" t="s">
        <v>76</v>
      </c>
      <c r="R267" s="56" t="s">
        <v>76</v>
      </c>
      <c r="S267" s="49" t="s">
        <v>76</v>
      </c>
      <c r="T267" s="122"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134"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2">
      <c r="A268" s="115" t="s">
        <v>1875</v>
      </c>
      <c r="B268" s="114" t="s">
        <v>1873</v>
      </c>
      <c r="C268" s="136"/>
      <c r="D268" s="49" t="s">
        <v>76</v>
      </c>
      <c r="E268" s="50"/>
      <c r="F268" s="51"/>
      <c r="G268" s="63"/>
      <c r="H268" s="49" t="s">
        <v>75</v>
      </c>
      <c r="I268" s="133">
        <v>1</v>
      </c>
      <c r="J268" s="53"/>
      <c r="K268" s="53" t="s">
        <v>76</v>
      </c>
      <c r="L268" s="53" t="s">
        <v>77</v>
      </c>
      <c r="M268" s="54" t="s">
        <v>920</v>
      </c>
      <c r="N268" s="59" t="s">
        <v>76</v>
      </c>
      <c r="O268" s="49" t="s">
        <v>75</v>
      </c>
      <c r="P268" s="49" t="s">
        <v>76</v>
      </c>
      <c r="Q268" s="55" t="s">
        <v>76</v>
      </c>
      <c r="R268" s="56" t="s">
        <v>76</v>
      </c>
      <c r="S268" s="49" t="s">
        <v>76</v>
      </c>
      <c r="T268" s="122"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134"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2">
      <c r="A269" s="115" t="s">
        <v>1875</v>
      </c>
      <c r="B269" s="114" t="s">
        <v>1873</v>
      </c>
      <c r="C269" s="136"/>
      <c r="D269" s="49" t="s">
        <v>76</v>
      </c>
      <c r="E269" s="50"/>
      <c r="F269" s="51"/>
      <c r="G269" s="63"/>
      <c r="H269" s="49" t="s">
        <v>75</v>
      </c>
      <c r="I269" s="133">
        <v>1</v>
      </c>
      <c r="J269" s="53"/>
      <c r="K269" s="53" t="s">
        <v>76</v>
      </c>
      <c r="L269" s="53" t="s">
        <v>77</v>
      </c>
      <c r="M269" s="54" t="s">
        <v>920</v>
      </c>
      <c r="N269" s="59" t="s">
        <v>76</v>
      </c>
      <c r="O269" s="49" t="s">
        <v>75</v>
      </c>
      <c r="P269" s="49" t="s">
        <v>76</v>
      </c>
      <c r="Q269" s="55" t="s">
        <v>76</v>
      </c>
      <c r="R269" s="56" t="s">
        <v>76</v>
      </c>
      <c r="S269" s="49" t="s">
        <v>76</v>
      </c>
      <c r="T269" s="122"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134"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2">
      <c r="A270" s="115" t="s">
        <v>1875</v>
      </c>
      <c r="B270" s="114" t="s">
        <v>1873</v>
      </c>
      <c r="C270" s="136"/>
      <c r="D270" s="49" t="s">
        <v>76</v>
      </c>
      <c r="E270" s="50"/>
      <c r="F270" s="51"/>
      <c r="G270" s="63"/>
      <c r="H270" s="49" t="s">
        <v>75</v>
      </c>
      <c r="I270" s="133">
        <v>1</v>
      </c>
      <c r="J270" s="53"/>
      <c r="K270" s="53" t="s">
        <v>76</v>
      </c>
      <c r="L270" s="53" t="s">
        <v>77</v>
      </c>
      <c r="M270" s="54" t="s">
        <v>920</v>
      </c>
      <c r="N270" s="59" t="s">
        <v>76</v>
      </c>
      <c r="O270" s="49" t="s">
        <v>75</v>
      </c>
      <c r="P270" s="49" t="s">
        <v>76</v>
      </c>
      <c r="Q270" s="55" t="s">
        <v>76</v>
      </c>
      <c r="R270" s="56" t="s">
        <v>76</v>
      </c>
      <c r="S270" s="49" t="s">
        <v>76</v>
      </c>
      <c r="T270" s="122"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134"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2">
      <c r="A271" s="115" t="s">
        <v>1875</v>
      </c>
      <c r="B271" s="114" t="s">
        <v>1873</v>
      </c>
      <c r="C271" s="136"/>
      <c r="D271" s="49" t="s">
        <v>76</v>
      </c>
      <c r="E271" s="50"/>
      <c r="F271" s="51"/>
      <c r="G271" s="63"/>
      <c r="H271" s="49" t="s">
        <v>75</v>
      </c>
      <c r="I271" s="133">
        <v>1</v>
      </c>
      <c r="J271" s="53"/>
      <c r="K271" s="53" t="s">
        <v>76</v>
      </c>
      <c r="L271" s="53" t="s">
        <v>77</v>
      </c>
      <c r="M271" s="54" t="s">
        <v>920</v>
      </c>
      <c r="N271" s="59" t="s">
        <v>76</v>
      </c>
      <c r="O271" s="49" t="s">
        <v>75</v>
      </c>
      <c r="P271" s="49" t="s">
        <v>76</v>
      </c>
      <c r="Q271" s="55" t="s">
        <v>76</v>
      </c>
      <c r="R271" s="56" t="s">
        <v>76</v>
      </c>
      <c r="S271" s="49" t="s">
        <v>76</v>
      </c>
      <c r="T271" s="122"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134"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2">
      <c r="A272" s="115" t="s">
        <v>1875</v>
      </c>
      <c r="B272" s="114" t="s">
        <v>1873</v>
      </c>
      <c r="C272" s="136"/>
      <c r="D272" s="49" t="s">
        <v>76</v>
      </c>
      <c r="E272" s="50"/>
      <c r="F272" s="51"/>
      <c r="G272" s="63"/>
      <c r="H272" s="49" t="s">
        <v>75</v>
      </c>
      <c r="I272" s="133">
        <v>1</v>
      </c>
      <c r="J272" s="53"/>
      <c r="K272" s="53" t="s">
        <v>76</v>
      </c>
      <c r="L272" s="53" t="s">
        <v>77</v>
      </c>
      <c r="M272" s="54" t="s">
        <v>920</v>
      </c>
      <c r="N272" s="59" t="s">
        <v>76</v>
      </c>
      <c r="O272" s="49" t="s">
        <v>75</v>
      </c>
      <c r="P272" s="49" t="s">
        <v>76</v>
      </c>
      <c r="Q272" s="55" t="s">
        <v>76</v>
      </c>
      <c r="R272" s="56" t="s">
        <v>76</v>
      </c>
      <c r="S272" s="49" t="s">
        <v>76</v>
      </c>
      <c r="T272" s="122"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134"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2">
      <c r="A273" s="115" t="s">
        <v>1875</v>
      </c>
      <c r="B273" s="114" t="s">
        <v>1873</v>
      </c>
      <c r="C273" s="136"/>
      <c r="D273" s="49" t="s">
        <v>76</v>
      </c>
      <c r="E273" s="50"/>
      <c r="F273" s="51"/>
      <c r="G273" s="63"/>
      <c r="H273" s="49" t="s">
        <v>75</v>
      </c>
      <c r="I273" s="133">
        <v>1</v>
      </c>
      <c r="J273" s="53"/>
      <c r="K273" s="53" t="s">
        <v>76</v>
      </c>
      <c r="L273" s="53" t="s">
        <v>77</v>
      </c>
      <c r="M273" s="54" t="s">
        <v>920</v>
      </c>
      <c r="N273" s="59" t="s">
        <v>76</v>
      </c>
      <c r="O273" s="49" t="s">
        <v>75</v>
      </c>
      <c r="P273" s="49" t="s">
        <v>76</v>
      </c>
      <c r="Q273" s="55" t="s">
        <v>76</v>
      </c>
      <c r="R273" s="56" t="s">
        <v>76</v>
      </c>
      <c r="S273" s="49" t="s">
        <v>76</v>
      </c>
      <c r="T273" s="122"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134"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2">
      <c r="A274" s="115" t="s">
        <v>1875</v>
      </c>
      <c r="B274" s="114" t="s">
        <v>1873</v>
      </c>
      <c r="C274" s="136"/>
      <c r="D274" s="49" t="s">
        <v>76</v>
      </c>
      <c r="E274" s="50"/>
      <c r="F274" s="51"/>
      <c r="G274" s="63"/>
      <c r="H274" s="49" t="s">
        <v>75</v>
      </c>
      <c r="I274" s="133">
        <v>1</v>
      </c>
      <c r="J274" s="53"/>
      <c r="K274" s="53" t="s">
        <v>76</v>
      </c>
      <c r="L274" s="53" t="s">
        <v>77</v>
      </c>
      <c r="M274" s="54" t="s">
        <v>920</v>
      </c>
      <c r="N274" s="59" t="s">
        <v>76</v>
      </c>
      <c r="O274" s="49" t="s">
        <v>75</v>
      </c>
      <c r="P274" s="49" t="s">
        <v>76</v>
      </c>
      <c r="Q274" s="55" t="s">
        <v>76</v>
      </c>
      <c r="R274" s="56" t="s">
        <v>76</v>
      </c>
      <c r="S274" s="49" t="s">
        <v>76</v>
      </c>
      <c r="T274" s="122"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134"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2">
      <c r="A275" s="115" t="s">
        <v>1875</v>
      </c>
      <c r="B275" s="114" t="s">
        <v>1873</v>
      </c>
      <c r="C275" s="136"/>
      <c r="D275" s="49" t="s">
        <v>76</v>
      </c>
      <c r="E275" s="50"/>
      <c r="F275" s="51"/>
      <c r="G275" s="63"/>
      <c r="H275" s="49" t="s">
        <v>75</v>
      </c>
      <c r="I275" s="133">
        <v>1</v>
      </c>
      <c r="J275" s="53"/>
      <c r="K275" s="53" t="s">
        <v>76</v>
      </c>
      <c r="L275" s="53" t="s">
        <v>77</v>
      </c>
      <c r="M275" s="54" t="s">
        <v>920</v>
      </c>
      <c r="N275" s="59" t="s">
        <v>76</v>
      </c>
      <c r="O275" s="49" t="s">
        <v>75</v>
      </c>
      <c r="P275" s="49" t="s">
        <v>76</v>
      </c>
      <c r="Q275" s="55" t="s">
        <v>76</v>
      </c>
      <c r="R275" s="56" t="s">
        <v>76</v>
      </c>
      <c r="S275" s="49" t="s">
        <v>76</v>
      </c>
      <c r="T275" s="122"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134"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2">
      <c r="A276" s="115" t="s">
        <v>1875</v>
      </c>
      <c r="B276" s="114" t="s">
        <v>1873</v>
      </c>
      <c r="C276" s="136"/>
      <c r="D276" s="49" t="s">
        <v>76</v>
      </c>
      <c r="E276" s="50"/>
      <c r="F276" s="51"/>
      <c r="G276" s="63"/>
      <c r="H276" s="49" t="s">
        <v>75</v>
      </c>
      <c r="I276" s="133">
        <v>1</v>
      </c>
      <c r="J276" s="53"/>
      <c r="K276" s="53" t="s">
        <v>76</v>
      </c>
      <c r="L276" s="53" t="s">
        <v>77</v>
      </c>
      <c r="M276" s="54" t="s">
        <v>920</v>
      </c>
      <c r="N276" s="59" t="s">
        <v>76</v>
      </c>
      <c r="O276" s="49" t="s">
        <v>75</v>
      </c>
      <c r="P276" s="49" t="s">
        <v>76</v>
      </c>
      <c r="Q276" s="55" t="s">
        <v>76</v>
      </c>
      <c r="R276" s="56" t="s">
        <v>76</v>
      </c>
      <c r="S276" s="49" t="s">
        <v>76</v>
      </c>
      <c r="T276" s="122"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134"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2">
      <c r="A277" s="115" t="s">
        <v>1875</v>
      </c>
      <c r="B277" s="114" t="s">
        <v>1873</v>
      </c>
      <c r="C277" s="136"/>
      <c r="D277" s="49" t="s">
        <v>76</v>
      </c>
      <c r="E277" s="50"/>
      <c r="F277" s="51"/>
      <c r="G277" s="63"/>
      <c r="H277" s="49" t="s">
        <v>75</v>
      </c>
      <c r="I277" s="133">
        <v>1</v>
      </c>
      <c r="J277" s="53"/>
      <c r="K277" s="53" t="s">
        <v>76</v>
      </c>
      <c r="L277" s="53" t="s">
        <v>77</v>
      </c>
      <c r="M277" s="54" t="s">
        <v>920</v>
      </c>
      <c r="N277" s="59" t="s">
        <v>76</v>
      </c>
      <c r="O277" s="49" t="s">
        <v>75</v>
      </c>
      <c r="P277" s="49" t="s">
        <v>76</v>
      </c>
      <c r="Q277" s="55" t="s">
        <v>76</v>
      </c>
      <c r="R277" s="56" t="s">
        <v>76</v>
      </c>
      <c r="S277" s="49" t="s">
        <v>76</v>
      </c>
      <c r="T277" s="122"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134"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2">
      <c r="A278" s="115" t="s">
        <v>1875</v>
      </c>
      <c r="B278" s="114" t="s">
        <v>1873</v>
      </c>
      <c r="C278" s="136"/>
      <c r="D278" s="49" t="s">
        <v>76</v>
      </c>
      <c r="E278" s="50"/>
      <c r="F278" s="51"/>
      <c r="G278" s="63"/>
      <c r="H278" s="49" t="s">
        <v>75</v>
      </c>
      <c r="I278" s="133">
        <v>1</v>
      </c>
      <c r="J278" s="53"/>
      <c r="K278" s="53" t="s">
        <v>76</v>
      </c>
      <c r="L278" s="53" t="s">
        <v>77</v>
      </c>
      <c r="M278" s="54" t="s">
        <v>920</v>
      </c>
      <c r="N278" s="59" t="s">
        <v>76</v>
      </c>
      <c r="O278" s="49" t="s">
        <v>75</v>
      </c>
      <c r="P278" s="49" t="s">
        <v>76</v>
      </c>
      <c r="Q278" s="55" t="s">
        <v>76</v>
      </c>
      <c r="R278" s="56" t="s">
        <v>76</v>
      </c>
      <c r="S278" s="49" t="s">
        <v>76</v>
      </c>
      <c r="T278" s="122"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134"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2">
      <c r="A279" s="115" t="s">
        <v>1875</v>
      </c>
      <c r="B279" s="114" t="s">
        <v>1873</v>
      </c>
      <c r="C279" s="136"/>
      <c r="D279" s="49" t="s">
        <v>76</v>
      </c>
      <c r="E279" s="50"/>
      <c r="F279" s="51"/>
      <c r="G279" s="63"/>
      <c r="H279" s="49" t="s">
        <v>75</v>
      </c>
      <c r="I279" s="133">
        <v>1</v>
      </c>
      <c r="J279" s="53"/>
      <c r="K279" s="53" t="s">
        <v>76</v>
      </c>
      <c r="L279" s="53" t="s">
        <v>77</v>
      </c>
      <c r="M279" s="54" t="s">
        <v>920</v>
      </c>
      <c r="N279" s="59" t="s">
        <v>76</v>
      </c>
      <c r="O279" s="49" t="s">
        <v>75</v>
      </c>
      <c r="P279" s="49" t="s">
        <v>76</v>
      </c>
      <c r="Q279" s="55" t="s">
        <v>76</v>
      </c>
      <c r="R279" s="56" t="s">
        <v>76</v>
      </c>
      <c r="S279" s="49" t="s">
        <v>76</v>
      </c>
      <c r="T279" s="122"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134"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2">
      <c r="A280" s="115" t="s">
        <v>1875</v>
      </c>
      <c r="B280" s="114" t="s">
        <v>1873</v>
      </c>
      <c r="C280" s="136"/>
      <c r="D280" s="49" t="s">
        <v>76</v>
      </c>
      <c r="E280" s="50"/>
      <c r="F280" s="51"/>
      <c r="G280" s="63"/>
      <c r="H280" s="49" t="s">
        <v>75</v>
      </c>
      <c r="I280" s="133">
        <v>1</v>
      </c>
      <c r="J280" s="53"/>
      <c r="K280" s="53" t="s">
        <v>76</v>
      </c>
      <c r="L280" s="53" t="s">
        <v>77</v>
      </c>
      <c r="M280" s="54" t="s">
        <v>920</v>
      </c>
      <c r="N280" s="59" t="s">
        <v>76</v>
      </c>
      <c r="O280" s="49" t="s">
        <v>75</v>
      </c>
      <c r="P280" s="49" t="s">
        <v>76</v>
      </c>
      <c r="Q280" s="55" t="s">
        <v>76</v>
      </c>
      <c r="R280" s="56" t="s">
        <v>76</v>
      </c>
      <c r="S280" s="49" t="s">
        <v>76</v>
      </c>
      <c r="T280" s="122"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134"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2">
      <c r="A281" s="115" t="s">
        <v>1875</v>
      </c>
      <c r="B281" s="114" t="s">
        <v>1873</v>
      </c>
      <c r="C281" s="136"/>
      <c r="D281" s="49" t="s">
        <v>76</v>
      </c>
      <c r="E281" s="50"/>
      <c r="F281" s="51"/>
      <c r="G281" s="63"/>
      <c r="H281" s="49" t="s">
        <v>75</v>
      </c>
      <c r="I281" s="133">
        <v>1</v>
      </c>
      <c r="J281" s="53"/>
      <c r="K281" s="53" t="s">
        <v>76</v>
      </c>
      <c r="L281" s="53" t="s">
        <v>77</v>
      </c>
      <c r="M281" s="54" t="s">
        <v>920</v>
      </c>
      <c r="N281" s="59" t="s">
        <v>76</v>
      </c>
      <c r="O281" s="49" t="s">
        <v>75</v>
      </c>
      <c r="P281" s="49" t="s">
        <v>76</v>
      </c>
      <c r="Q281" s="55" t="s">
        <v>76</v>
      </c>
      <c r="R281" s="56" t="s">
        <v>76</v>
      </c>
      <c r="S281" s="49" t="s">
        <v>76</v>
      </c>
      <c r="T281" s="122"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134"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2">
      <c r="A282" s="115" t="s">
        <v>1875</v>
      </c>
      <c r="B282" s="114" t="s">
        <v>1873</v>
      </c>
      <c r="C282" s="136"/>
      <c r="D282" s="49" t="s">
        <v>76</v>
      </c>
      <c r="E282" s="50"/>
      <c r="F282" s="51"/>
      <c r="G282" s="63"/>
      <c r="H282" s="49" t="s">
        <v>75</v>
      </c>
      <c r="I282" s="133">
        <v>1</v>
      </c>
      <c r="J282" s="53"/>
      <c r="K282" s="53" t="s">
        <v>76</v>
      </c>
      <c r="L282" s="53" t="s">
        <v>77</v>
      </c>
      <c r="M282" s="54" t="s">
        <v>920</v>
      </c>
      <c r="N282" s="59" t="s">
        <v>76</v>
      </c>
      <c r="O282" s="49" t="s">
        <v>75</v>
      </c>
      <c r="P282" s="49" t="s">
        <v>76</v>
      </c>
      <c r="Q282" s="55" t="s">
        <v>76</v>
      </c>
      <c r="R282" s="56" t="s">
        <v>76</v>
      </c>
      <c r="S282" s="49" t="s">
        <v>76</v>
      </c>
      <c r="T282" s="122"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134"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2">
      <c r="A283" s="115" t="s">
        <v>1875</v>
      </c>
      <c r="B283" s="114" t="s">
        <v>1873</v>
      </c>
      <c r="C283" s="136"/>
      <c r="D283" s="49" t="s">
        <v>76</v>
      </c>
      <c r="E283" s="50"/>
      <c r="F283" s="51"/>
      <c r="G283" s="63"/>
      <c r="H283" s="49" t="s">
        <v>75</v>
      </c>
      <c r="I283" s="133">
        <v>1</v>
      </c>
      <c r="J283" s="53"/>
      <c r="K283" s="53" t="s">
        <v>76</v>
      </c>
      <c r="L283" s="53" t="s">
        <v>77</v>
      </c>
      <c r="M283" s="54" t="s">
        <v>920</v>
      </c>
      <c r="N283" s="59" t="s">
        <v>76</v>
      </c>
      <c r="O283" s="49" t="s">
        <v>75</v>
      </c>
      <c r="P283" s="49" t="s">
        <v>76</v>
      </c>
      <c r="Q283" s="55" t="s">
        <v>76</v>
      </c>
      <c r="R283" s="56" t="s">
        <v>76</v>
      </c>
      <c r="S283" s="49" t="s">
        <v>76</v>
      </c>
      <c r="T283" s="122"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134"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2">
      <c r="A284" s="115" t="s">
        <v>1875</v>
      </c>
      <c r="B284" s="114" t="s">
        <v>1873</v>
      </c>
      <c r="C284" s="136"/>
      <c r="D284" s="49" t="s">
        <v>76</v>
      </c>
      <c r="E284" s="50"/>
      <c r="F284" s="51"/>
      <c r="G284" s="63"/>
      <c r="H284" s="49" t="s">
        <v>75</v>
      </c>
      <c r="I284" s="133">
        <v>1</v>
      </c>
      <c r="J284" s="53"/>
      <c r="K284" s="53" t="s">
        <v>76</v>
      </c>
      <c r="L284" s="53" t="s">
        <v>77</v>
      </c>
      <c r="M284" s="54" t="s">
        <v>920</v>
      </c>
      <c r="N284" s="59" t="s">
        <v>76</v>
      </c>
      <c r="O284" s="49" t="s">
        <v>75</v>
      </c>
      <c r="P284" s="49" t="s">
        <v>76</v>
      </c>
      <c r="Q284" s="55" t="s">
        <v>76</v>
      </c>
      <c r="R284" s="56" t="s">
        <v>76</v>
      </c>
      <c r="S284" s="49" t="s">
        <v>76</v>
      </c>
      <c r="T284" s="122"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134"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2">
      <c r="A285" s="115" t="s">
        <v>1875</v>
      </c>
      <c r="B285" s="114" t="s">
        <v>1873</v>
      </c>
      <c r="C285" s="136"/>
      <c r="D285" s="49" t="s">
        <v>76</v>
      </c>
      <c r="E285" s="50"/>
      <c r="F285" s="51"/>
      <c r="G285" s="63"/>
      <c r="H285" s="49" t="s">
        <v>75</v>
      </c>
      <c r="I285" s="133">
        <v>1</v>
      </c>
      <c r="J285" s="53"/>
      <c r="K285" s="53" t="s">
        <v>76</v>
      </c>
      <c r="L285" s="53" t="s">
        <v>77</v>
      </c>
      <c r="M285" s="54" t="s">
        <v>920</v>
      </c>
      <c r="N285" s="59" t="s">
        <v>76</v>
      </c>
      <c r="O285" s="49" t="s">
        <v>75</v>
      </c>
      <c r="P285" s="49" t="s">
        <v>76</v>
      </c>
      <c r="Q285" s="55" t="s">
        <v>76</v>
      </c>
      <c r="R285" s="56" t="s">
        <v>76</v>
      </c>
      <c r="S285" s="49" t="s">
        <v>76</v>
      </c>
      <c r="T285" s="122"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134"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2">
      <c r="A286" s="115" t="s">
        <v>1875</v>
      </c>
      <c r="B286" s="114" t="s">
        <v>1873</v>
      </c>
      <c r="C286" s="136"/>
      <c r="D286" s="49" t="s">
        <v>76</v>
      </c>
      <c r="E286" s="50"/>
      <c r="F286" s="51"/>
      <c r="G286" s="63"/>
      <c r="H286" s="49" t="s">
        <v>75</v>
      </c>
      <c r="I286" s="133">
        <v>1</v>
      </c>
      <c r="J286" s="53"/>
      <c r="K286" s="53" t="s">
        <v>76</v>
      </c>
      <c r="L286" s="53" t="s">
        <v>77</v>
      </c>
      <c r="M286" s="54" t="s">
        <v>920</v>
      </c>
      <c r="N286" s="59" t="s">
        <v>76</v>
      </c>
      <c r="O286" s="49" t="s">
        <v>75</v>
      </c>
      <c r="P286" s="49" t="s">
        <v>76</v>
      </c>
      <c r="Q286" s="55" t="s">
        <v>76</v>
      </c>
      <c r="R286" s="56" t="s">
        <v>76</v>
      </c>
      <c r="S286" s="49" t="s">
        <v>76</v>
      </c>
      <c r="T286" s="122"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134"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2">
      <c r="A287" s="115" t="s">
        <v>1875</v>
      </c>
      <c r="B287" s="114" t="s">
        <v>1873</v>
      </c>
      <c r="C287" s="136"/>
      <c r="D287" s="49" t="s">
        <v>76</v>
      </c>
      <c r="E287" s="50"/>
      <c r="F287" s="51"/>
      <c r="G287" s="63"/>
      <c r="H287" s="49" t="s">
        <v>75</v>
      </c>
      <c r="I287" s="133">
        <v>1</v>
      </c>
      <c r="J287" s="53"/>
      <c r="K287" s="53" t="s">
        <v>76</v>
      </c>
      <c r="L287" s="53" t="s">
        <v>77</v>
      </c>
      <c r="M287" s="54" t="s">
        <v>920</v>
      </c>
      <c r="N287" s="59" t="s">
        <v>76</v>
      </c>
      <c r="O287" s="49" t="s">
        <v>75</v>
      </c>
      <c r="P287" s="49" t="s">
        <v>76</v>
      </c>
      <c r="Q287" s="55" t="s">
        <v>76</v>
      </c>
      <c r="R287" s="56" t="s">
        <v>76</v>
      </c>
      <c r="S287" s="49" t="s">
        <v>76</v>
      </c>
      <c r="T287" s="122"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134"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2">
      <c r="A288" s="115" t="s">
        <v>1875</v>
      </c>
      <c r="B288" s="114" t="s">
        <v>1873</v>
      </c>
      <c r="C288" s="136"/>
      <c r="D288" s="49" t="s">
        <v>76</v>
      </c>
      <c r="E288" s="50"/>
      <c r="F288" s="51"/>
      <c r="G288" s="63"/>
      <c r="H288" s="49" t="s">
        <v>75</v>
      </c>
      <c r="I288" s="133">
        <v>1</v>
      </c>
      <c r="J288" s="53"/>
      <c r="K288" s="53" t="s">
        <v>76</v>
      </c>
      <c r="L288" s="53" t="s">
        <v>77</v>
      </c>
      <c r="M288" s="54" t="s">
        <v>920</v>
      </c>
      <c r="N288" s="59" t="s">
        <v>76</v>
      </c>
      <c r="O288" s="49" t="s">
        <v>75</v>
      </c>
      <c r="P288" s="49" t="s">
        <v>76</v>
      </c>
      <c r="Q288" s="55" t="s">
        <v>76</v>
      </c>
      <c r="R288" s="56" t="s">
        <v>76</v>
      </c>
      <c r="S288" s="49" t="s">
        <v>76</v>
      </c>
      <c r="T288" s="122"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134"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2">
      <c r="A289" s="115" t="s">
        <v>1875</v>
      </c>
      <c r="B289" s="114" t="s">
        <v>1873</v>
      </c>
      <c r="C289" s="136"/>
      <c r="D289" s="49" t="s">
        <v>76</v>
      </c>
      <c r="E289" s="50"/>
      <c r="F289" s="51"/>
      <c r="G289" s="63"/>
      <c r="H289" s="49" t="s">
        <v>75</v>
      </c>
      <c r="I289" s="133">
        <v>1</v>
      </c>
      <c r="J289" s="53"/>
      <c r="K289" s="53" t="s">
        <v>76</v>
      </c>
      <c r="L289" s="53" t="s">
        <v>77</v>
      </c>
      <c r="M289" s="54" t="s">
        <v>920</v>
      </c>
      <c r="N289" s="59" t="s">
        <v>76</v>
      </c>
      <c r="O289" s="49" t="s">
        <v>75</v>
      </c>
      <c r="P289" s="49" t="s">
        <v>76</v>
      </c>
      <c r="Q289" s="55" t="s">
        <v>76</v>
      </c>
      <c r="R289" s="56" t="s">
        <v>76</v>
      </c>
      <c r="S289" s="49" t="s">
        <v>76</v>
      </c>
      <c r="T289" s="122"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134"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2">
      <c r="A290" s="115" t="s">
        <v>1875</v>
      </c>
      <c r="B290" s="114" t="s">
        <v>1873</v>
      </c>
      <c r="C290" s="136"/>
      <c r="D290" s="49" t="s">
        <v>76</v>
      </c>
      <c r="E290" s="50"/>
      <c r="F290" s="51"/>
      <c r="G290" s="63"/>
      <c r="H290" s="49" t="s">
        <v>75</v>
      </c>
      <c r="I290" s="133">
        <v>1</v>
      </c>
      <c r="J290" s="53"/>
      <c r="K290" s="53" t="s">
        <v>76</v>
      </c>
      <c r="L290" s="53" t="s">
        <v>77</v>
      </c>
      <c r="M290" s="54" t="s">
        <v>920</v>
      </c>
      <c r="N290" s="59" t="s">
        <v>76</v>
      </c>
      <c r="O290" s="49" t="s">
        <v>75</v>
      </c>
      <c r="P290" s="49" t="s">
        <v>76</v>
      </c>
      <c r="Q290" s="55" t="s">
        <v>76</v>
      </c>
      <c r="R290" s="56" t="s">
        <v>76</v>
      </c>
      <c r="S290" s="49" t="s">
        <v>76</v>
      </c>
      <c r="T290" s="122"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134"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2">
      <c r="A291" s="115" t="s">
        <v>1875</v>
      </c>
      <c r="B291" s="114" t="s">
        <v>1873</v>
      </c>
      <c r="C291" s="136"/>
      <c r="D291" s="49" t="s">
        <v>76</v>
      </c>
      <c r="E291" s="50"/>
      <c r="F291" s="51"/>
      <c r="G291" s="63"/>
      <c r="H291" s="49" t="s">
        <v>75</v>
      </c>
      <c r="I291" s="133">
        <v>1</v>
      </c>
      <c r="J291" s="53"/>
      <c r="K291" s="53" t="s">
        <v>76</v>
      </c>
      <c r="L291" s="53" t="s">
        <v>77</v>
      </c>
      <c r="M291" s="54" t="s">
        <v>920</v>
      </c>
      <c r="N291" s="59" t="s">
        <v>76</v>
      </c>
      <c r="O291" s="49" t="s">
        <v>75</v>
      </c>
      <c r="P291" s="49" t="s">
        <v>76</v>
      </c>
      <c r="Q291" s="55" t="s">
        <v>76</v>
      </c>
      <c r="R291" s="56" t="s">
        <v>76</v>
      </c>
      <c r="S291" s="49" t="s">
        <v>76</v>
      </c>
      <c r="T291" s="122"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134"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2">
      <c r="A292" s="115" t="s">
        <v>1875</v>
      </c>
      <c r="B292" s="114" t="s">
        <v>1873</v>
      </c>
      <c r="C292" s="136"/>
      <c r="D292" s="49" t="s">
        <v>76</v>
      </c>
      <c r="E292" s="50"/>
      <c r="F292" s="51"/>
      <c r="G292" s="63"/>
      <c r="H292" s="49" t="s">
        <v>75</v>
      </c>
      <c r="I292" s="133">
        <v>1</v>
      </c>
      <c r="J292" s="53"/>
      <c r="K292" s="53" t="s">
        <v>76</v>
      </c>
      <c r="L292" s="53" t="s">
        <v>77</v>
      </c>
      <c r="M292" s="54" t="s">
        <v>920</v>
      </c>
      <c r="N292" s="59" t="s">
        <v>76</v>
      </c>
      <c r="O292" s="49" t="s">
        <v>75</v>
      </c>
      <c r="P292" s="49" t="s">
        <v>76</v>
      </c>
      <c r="Q292" s="55" t="s">
        <v>76</v>
      </c>
      <c r="R292" s="56" t="s">
        <v>76</v>
      </c>
      <c r="S292" s="49" t="s">
        <v>76</v>
      </c>
      <c r="T292" s="122"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134"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2">
      <c r="A293" s="115" t="s">
        <v>1875</v>
      </c>
      <c r="B293" s="114" t="s">
        <v>1873</v>
      </c>
      <c r="C293" s="136"/>
      <c r="D293" s="49" t="s">
        <v>76</v>
      </c>
      <c r="E293" s="50"/>
      <c r="F293" s="51"/>
      <c r="G293" s="63"/>
      <c r="H293" s="49" t="s">
        <v>75</v>
      </c>
      <c r="I293" s="133">
        <v>1</v>
      </c>
      <c r="J293" s="53"/>
      <c r="K293" s="53" t="s">
        <v>76</v>
      </c>
      <c r="L293" s="53" t="s">
        <v>77</v>
      </c>
      <c r="M293" s="54" t="s">
        <v>920</v>
      </c>
      <c r="N293" s="59" t="s">
        <v>76</v>
      </c>
      <c r="O293" s="49" t="s">
        <v>75</v>
      </c>
      <c r="P293" s="49" t="s">
        <v>76</v>
      </c>
      <c r="Q293" s="55" t="s">
        <v>76</v>
      </c>
      <c r="R293" s="56" t="s">
        <v>76</v>
      </c>
      <c r="S293" s="49" t="s">
        <v>76</v>
      </c>
      <c r="T293" s="122"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134"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2">
      <c r="A294" s="115" t="s">
        <v>1875</v>
      </c>
      <c r="B294" s="114" t="s">
        <v>1873</v>
      </c>
      <c r="C294" s="136"/>
      <c r="D294" s="49" t="s">
        <v>76</v>
      </c>
      <c r="E294" s="50"/>
      <c r="F294" s="51"/>
      <c r="G294" s="63"/>
      <c r="H294" s="49" t="s">
        <v>75</v>
      </c>
      <c r="I294" s="133">
        <v>1</v>
      </c>
      <c r="J294" s="53"/>
      <c r="K294" s="53" t="s">
        <v>76</v>
      </c>
      <c r="L294" s="53" t="s">
        <v>77</v>
      </c>
      <c r="M294" s="54" t="s">
        <v>920</v>
      </c>
      <c r="N294" s="59" t="s">
        <v>76</v>
      </c>
      <c r="O294" s="49" t="s">
        <v>75</v>
      </c>
      <c r="P294" s="49" t="s">
        <v>76</v>
      </c>
      <c r="Q294" s="55" t="s">
        <v>76</v>
      </c>
      <c r="R294" s="56" t="s">
        <v>76</v>
      </c>
      <c r="S294" s="49" t="s">
        <v>76</v>
      </c>
      <c r="T294" s="122"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134"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2">
      <c r="A295" s="115" t="s">
        <v>1875</v>
      </c>
      <c r="B295" s="114" t="s">
        <v>1873</v>
      </c>
      <c r="C295" s="136"/>
      <c r="D295" s="49" t="s">
        <v>76</v>
      </c>
      <c r="E295" s="50"/>
      <c r="F295" s="51"/>
      <c r="G295" s="63"/>
      <c r="H295" s="49" t="s">
        <v>75</v>
      </c>
      <c r="I295" s="133">
        <v>1</v>
      </c>
      <c r="J295" s="53"/>
      <c r="K295" s="53" t="s">
        <v>76</v>
      </c>
      <c r="L295" s="53" t="s">
        <v>77</v>
      </c>
      <c r="M295" s="54" t="s">
        <v>920</v>
      </c>
      <c r="N295" s="59" t="s">
        <v>76</v>
      </c>
      <c r="O295" s="49" t="s">
        <v>75</v>
      </c>
      <c r="P295" s="49" t="s">
        <v>76</v>
      </c>
      <c r="Q295" s="55" t="s">
        <v>76</v>
      </c>
      <c r="R295" s="56" t="s">
        <v>76</v>
      </c>
      <c r="S295" s="49" t="s">
        <v>76</v>
      </c>
      <c r="T295" s="122"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134"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2">
      <c r="A296" s="115" t="s">
        <v>1875</v>
      </c>
      <c r="B296" s="114" t="s">
        <v>1873</v>
      </c>
      <c r="C296" s="136"/>
      <c r="D296" s="49" t="s">
        <v>76</v>
      </c>
      <c r="E296" s="50"/>
      <c r="F296" s="51"/>
      <c r="G296" s="63"/>
      <c r="H296" s="49" t="s">
        <v>75</v>
      </c>
      <c r="I296" s="133">
        <v>1</v>
      </c>
      <c r="J296" s="53"/>
      <c r="K296" s="53" t="s">
        <v>76</v>
      </c>
      <c r="L296" s="53" t="s">
        <v>77</v>
      </c>
      <c r="M296" s="54" t="s">
        <v>920</v>
      </c>
      <c r="N296" s="59" t="s">
        <v>76</v>
      </c>
      <c r="O296" s="49" t="s">
        <v>75</v>
      </c>
      <c r="P296" s="49" t="s">
        <v>76</v>
      </c>
      <c r="Q296" s="55" t="s">
        <v>76</v>
      </c>
      <c r="R296" s="56" t="s">
        <v>76</v>
      </c>
      <c r="S296" s="49" t="s">
        <v>76</v>
      </c>
      <c r="T296" s="122"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134"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2">
      <c r="A297" s="115" t="s">
        <v>1875</v>
      </c>
      <c r="B297" s="114" t="s">
        <v>1873</v>
      </c>
      <c r="C297" s="136"/>
      <c r="D297" s="49" t="s">
        <v>76</v>
      </c>
      <c r="E297" s="50"/>
      <c r="F297" s="51"/>
      <c r="G297" s="63"/>
      <c r="H297" s="49" t="s">
        <v>75</v>
      </c>
      <c r="I297" s="133">
        <v>1</v>
      </c>
      <c r="J297" s="53"/>
      <c r="K297" s="53" t="s">
        <v>76</v>
      </c>
      <c r="L297" s="53" t="s">
        <v>77</v>
      </c>
      <c r="M297" s="54" t="s">
        <v>920</v>
      </c>
      <c r="N297" s="59" t="s">
        <v>76</v>
      </c>
      <c r="O297" s="49" t="s">
        <v>75</v>
      </c>
      <c r="P297" s="49" t="s">
        <v>76</v>
      </c>
      <c r="Q297" s="55" t="s">
        <v>76</v>
      </c>
      <c r="R297" s="56" t="s">
        <v>76</v>
      </c>
      <c r="S297" s="49" t="s">
        <v>76</v>
      </c>
      <c r="T297" s="122"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134"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2">
      <c r="A298" s="115" t="s">
        <v>1875</v>
      </c>
      <c r="B298" s="114" t="s">
        <v>1873</v>
      </c>
      <c r="C298" s="136"/>
      <c r="D298" s="49" t="s">
        <v>76</v>
      </c>
      <c r="E298" s="50"/>
      <c r="F298" s="51"/>
      <c r="G298" s="63"/>
      <c r="H298" s="49" t="s">
        <v>75</v>
      </c>
      <c r="I298" s="133">
        <v>1</v>
      </c>
      <c r="J298" s="53"/>
      <c r="K298" s="53" t="s">
        <v>76</v>
      </c>
      <c r="L298" s="53" t="s">
        <v>77</v>
      </c>
      <c r="M298" s="54" t="s">
        <v>920</v>
      </c>
      <c r="N298" s="59" t="s">
        <v>76</v>
      </c>
      <c r="O298" s="49" t="s">
        <v>75</v>
      </c>
      <c r="P298" s="49" t="s">
        <v>76</v>
      </c>
      <c r="Q298" s="55" t="s">
        <v>76</v>
      </c>
      <c r="R298" s="56" t="s">
        <v>76</v>
      </c>
      <c r="S298" s="49" t="s">
        <v>76</v>
      </c>
      <c r="T298" s="122"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134"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2">
      <c r="A299" s="115" t="s">
        <v>1875</v>
      </c>
      <c r="B299" s="114" t="s">
        <v>1873</v>
      </c>
      <c r="C299" s="136"/>
      <c r="D299" s="49" t="s">
        <v>76</v>
      </c>
      <c r="E299" s="50"/>
      <c r="F299" s="51"/>
      <c r="G299" s="63"/>
      <c r="H299" s="49" t="s">
        <v>75</v>
      </c>
      <c r="I299" s="133">
        <v>1</v>
      </c>
      <c r="J299" s="53"/>
      <c r="K299" s="53" t="s">
        <v>76</v>
      </c>
      <c r="L299" s="53" t="s">
        <v>77</v>
      </c>
      <c r="M299" s="54" t="s">
        <v>920</v>
      </c>
      <c r="N299" s="59" t="s">
        <v>76</v>
      </c>
      <c r="O299" s="49" t="s">
        <v>75</v>
      </c>
      <c r="P299" s="49" t="s">
        <v>76</v>
      </c>
      <c r="Q299" s="55" t="s">
        <v>76</v>
      </c>
      <c r="R299" s="56" t="s">
        <v>76</v>
      </c>
      <c r="S299" s="49" t="s">
        <v>76</v>
      </c>
      <c r="T299" s="122"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134"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2">
      <c r="A300" s="115" t="s">
        <v>1875</v>
      </c>
      <c r="B300" s="114" t="s">
        <v>1873</v>
      </c>
      <c r="C300" s="136"/>
      <c r="D300" s="49" t="s">
        <v>76</v>
      </c>
      <c r="E300" s="50"/>
      <c r="F300" s="51"/>
      <c r="G300" s="63"/>
      <c r="H300" s="49" t="s">
        <v>75</v>
      </c>
      <c r="I300" s="133">
        <v>1</v>
      </c>
      <c r="J300" s="53"/>
      <c r="K300" s="53" t="s">
        <v>76</v>
      </c>
      <c r="L300" s="53" t="s">
        <v>77</v>
      </c>
      <c r="M300" s="54" t="s">
        <v>920</v>
      </c>
      <c r="N300" s="59" t="s">
        <v>76</v>
      </c>
      <c r="O300" s="49" t="s">
        <v>75</v>
      </c>
      <c r="P300" s="49" t="s">
        <v>76</v>
      </c>
      <c r="Q300" s="55" t="s">
        <v>76</v>
      </c>
      <c r="R300" s="56" t="s">
        <v>76</v>
      </c>
      <c r="S300" s="49" t="s">
        <v>76</v>
      </c>
      <c r="T300" s="122"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134"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2">
      <c r="A301" s="115" t="s">
        <v>1875</v>
      </c>
      <c r="B301" s="114" t="s">
        <v>1873</v>
      </c>
      <c r="C301" s="136"/>
      <c r="D301" s="49" t="s">
        <v>76</v>
      </c>
      <c r="E301" s="50"/>
      <c r="F301" s="51"/>
      <c r="G301" s="63"/>
      <c r="H301" s="49" t="s">
        <v>75</v>
      </c>
      <c r="I301" s="133">
        <v>1</v>
      </c>
      <c r="J301" s="53"/>
      <c r="K301" s="53" t="s">
        <v>76</v>
      </c>
      <c r="L301" s="53" t="s">
        <v>77</v>
      </c>
      <c r="M301" s="54" t="s">
        <v>920</v>
      </c>
      <c r="N301" s="59" t="s">
        <v>76</v>
      </c>
      <c r="O301" s="49" t="s">
        <v>75</v>
      </c>
      <c r="P301" s="49" t="s">
        <v>76</v>
      </c>
      <c r="Q301" s="55" t="s">
        <v>76</v>
      </c>
      <c r="R301" s="56" t="s">
        <v>76</v>
      </c>
      <c r="S301" s="49" t="s">
        <v>76</v>
      </c>
      <c r="T301" s="122"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134"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2">
      <c r="A302" s="115" t="s">
        <v>1875</v>
      </c>
      <c r="B302" s="114" t="s">
        <v>1873</v>
      </c>
      <c r="C302" s="136"/>
      <c r="D302" s="49" t="s">
        <v>76</v>
      </c>
      <c r="E302" s="50"/>
      <c r="F302" s="51"/>
      <c r="G302" s="63"/>
      <c r="H302" s="49" t="s">
        <v>75</v>
      </c>
      <c r="I302" s="133">
        <v>1</v>
      </c>
      <c r="J302" s="53"/>
      <c r="K302" s="53" t="s">
        <v>76</v>
      </c>
      <c r="L302" s="53" t="s">
        <v>77</v>
      </c>
      <c r="M302" s="54" t="s">
        <v>920</v>
      </c>
      <c r="N302" s="59" t="s">
        <v>76</v>
      </c>
      <c r="O302" s="49" t="s">
        <v>75</v>
      </c>
      <c r="P302" s="49" t="s">
        <v>76</v>
      </c>
      <c r="Q302" s="55" t="s">
        <v>76</v>
      </c>
      <c r="R302" s="56" t="s">
        <v>76</v>
      </c>
      <c r="S302" s="49" t="s">
        <v>76</v>
      </c>
      <c r="T302" s="122"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134"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2">
      <c r="A303" s="115" t="s">
        <v>1875</v>
      </c>
      <c r="B303" s="114" t="s">
        <v>1873</v>
      </c>
      <c r="C303" s="136"/>
      <c r="D303" s="49" t="s">
        <v>76</v>
      </c>
      <c r="E303" s="50"/>
      <c r="F303" s="51"/>
      <c r="G303" s="63"/>
      <c r="H303" s="49" t="s">
        <v>75</v>
      </c>
      <c r="I303" s="133">
        <v>1</v>
      </c>
      <c r="J303" s="53"/>
      <c r="K303" s="53" t="s">
        <v>76</v>
      </c>
      <c r="L303" s="53" t="s">
        <v>77</v>
      </c>
      <c r="M303" s="54" t="s">
        <v>920</v>
      </c>
      <c r="N303" s="59" t="s">
        <v>76</v>
      </c>
      <c r="O303" s="49" t="s">
        <v>75</v>
      </c>
      <c r="P303" s="49" t="s">
        <v>76</v>
      </c>
      <c r="Q303" s="55" t="s">
        <v>76</v>
      </c>
      <c r="R303" s="56" t="s">
        <v>76</v>
      </c>
      <c r="S303" s="49" t="s">
        <v>76</v>
      </c>
      <c r="T303" s="122"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134"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2">
      <c r="A304" s="115" t="s">
        <v>1875</v>
      </c>
      <c r="B304" s="114" t="s">
        <v>1873</v>
      </c>
      <c r="C304" s="136"/>
      <c r="D304" s="49" t="s">
        <v>76</v>
      </c>
      <c r="E304" s="50"/>
      <c r="F304" s="51"/>
      <c r="G304" s="63"/>
      <c r="H304" s="49" t="s">
        <v>75</v>
      </c>
      <c r="I304" s="133">
        <v>1</v>
      </c>
      <c r="J304" s="53"/>
      <c r="K304" s="53" t="s">
        <v>76</v>
      </c>
      <c r="L304" s="53" t="s">
        <v>77</v>
      </c>
      <c r="M304" s="54" t="s">
        <v>920</v>
      </c>
      <c r="N304" s="59" t="s">
        <v>76</v>
      </c>
      <c r="O304" s="49" t="s">
        <v>75</v>
      </c>
      <c r="P304" s="49" t="s">
        <v>76</v>
      </c>
      <c r="Q304" s="55" t="s">
        <v>76</v>
      </c>
      <c r="R304" s="56" t="s">
        <v>76</v>
      </c>
      <c r="S304" s="49" t="s">
        <v>76</v>
      </c>
      <c r="T304" s="122"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134"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2">
      <c r="A305" s="115" t="s">
        <v>1875</v>
      </c>
      <c r="B305" s="114" t="s">
        <v>1873</v>
      </c>
      <c r="C305" s="136"/>
      <c r="D305" s="49" t="s">
        <v>76</v>
      </c>
      <c r="E305" s="50"/>
      <c r="F305" s="51"/>
      <c r="G305" s="63"/>
      <c r="H305" s="49" t="s">
        <v>75</v>
      </c>
      <c r="I305" s="133">
        <v>1</v>
      </c>
      <c r="J305" s="53"/>
      <c r="K305" s="53" t="s">
        <v>76</v>
      </c>
      <c r="L305" s="53" t="s">
        <v>77</v>
      </c>
      <c r="M305" s="54" t="s">
        <v>920</v>
      </c>
      <c r="N305" s="59" t="s">
        <v>76</v>
      </c>
      <c r="O305" s="49" t="s">
        <v>75</v>
      </c>
      <c r="P305" s="49" t="s">
        <v>76</v>
      </c>
      <c r="Q305" s="55" t="s">
        <v>76</v>
      </c>
      <c r="R305" s="56" t="s">
        <v>76</v>
      </c>
      <c r="S305" s="49" t="s">
        <v>76</v>
      </c>
      <c r="T305" s="122"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134"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2">
      <c r="A306" s="115" t="s">
        <v>1875</v>
      </c>
      <c r="B306" s="114" t="s">
        <v>1873</v>
      </c>
      <c r="C306" s="136"/>
      <c r="D306" s="49" t="s">
        <v>76</v>
      </c>
      <c r="E306" s="50"/>
      <c r="F306" s="51"/>
      <c r="G306" s="63"/>
      <c r="H306" s="49" t="s">
        <v>75</v>
      </c>
      <c r="I306" s="133">
        <v>1</v>
      </c>
      <c r="J306" s="53"/>
      <c r="K306" s="53" t="s">
        <v>76</v>
      </c>
      <c r="L306" s="53" t="s">
        <v>77</v>
      </c>
      <c r="M306" s="54" t="s">
        <v>920</v>
      </c>
      <c r="N306" s="59" t="s">
        <v>76</v>
      </c>
      <c r="O306" s="49" t="s">
        <v>75</v>
      </c>
      <c r="P306" s="49" t="s">
        <v>76</v>
      </c>
      <c r="Q306" s="55" t="s">
        <v>76</v>
      </c>
      <c r="R306" s="56" t="s">
        <v>76</v>
      </c>
      <c r="S306" s="49" t="s">
        <v>76</v>
      </c>
      <c r="T306" s="122"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134"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2">
      <c r="A307" s="115" t="s">
        <v>1875</v>
      </c>
      <c r="B307" s="114" t="s">
        <v>1873</v>
      </c>
      <c r="C307" s="136"/>
      <c r="D307" s="49" t="s">
        <v>76</v>
      </c>
      <c r="E307" s="50"/>
      <c r="F307" s="51"/>
      <c r="G307" s="63"/>
      <c r="H307" s="49" t="s">
        <v>75</v>
      </c>
      <c r="I307" s="133">
        <v>1</v>
      </c>
      <c r="J307" s="53"/>
      <c r="K307" s="53" t="s">
        <v>76</v>
      </c>
      <c r="L307" s="53" t="s">
        <v>77</v>
      </c>
      <c r="M307" s="54" t="s">
        <v>920</v>
      </c>
      <c r="N307" s="59" t="s">
        <v>76</v>
      </c>
      <c r="O307" s="49" t="s">
        <v>75</v>
      </c>
      <c r="P307" s="49" t="s">
        <v>76</v>
      </c>
      <c r="Q307" s="55" t="s">
        <v>76</v>
      </c>
      <c r="R307" s="56" t="s">
        <v>76</v>
      </c>
      <c r="S307" s="49" t="s">
        <v>76</v>
      </c>
      <c r="T307" s="122"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134"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2">
      <c r="A308" s="115" t="s">
        <v>1875</v>
      </c>
      <c r="B308" s="114" t="s">
        <v>1873</v>
      </c>
      <c r="C308" s="136"/>
      <c r="D308" s="49" t="s">
        <v>76</v>
      </c>
      <c r="E308" s="50"/>
      <c r="F308" s="51"/>
      <c r="G308" s="63"/>
      <c r="H308" s="49" t="s">
        <v>75</v>
      </c>
      <c r="I308" s="133">
        <v>1</v>
      </c>
      <c r="J308" s="53"/>
      <c r="K308" s="53" t="s">
        <v>76</v>
      </c>
      <c r="L308" s="53" t="s">
        <v>77</v>
      </c>
      <c r="M308" s="54" t="s">
        <v>920</v>
      </c>
      <c r="N308" s="59" t="s">
        <v>76</v>
      </c>
      <c r="O308" s="49" t="s">
        <v>75</v>
      </c>
      <c r="P308" s="49" t="s">
        <v>76</v>
      </c>
      <c r="Q308" s="55" t="s">
        <v>76</v>
      </c>
      <c r="R308" s="56" t="s">
        <v>76</v>
      </c>
      <c r="S308" s="49" t="s">
        <v>76</v>
      </c>
      <c r="T308" s="122"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134"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2">
      <c r="A309" s="115" t="s">
        <v>1875</v>
      </c>
      <c r="B309" s="114" t="s">
        <v>1873</v>
      </c>
      <c r="C309" s="136"/>
      <c r="D309" s="49" t="s">
        <v>76</v>
      </c>
      <c r="E309" s="50"/>
      <c r="F309" s="51"/>
      <c r="G309" s="63"/>
      <c r="H309" s="49" t="s">
        <v>75</v>
      </c>
      <c r="I309" s="133">
        <v>1</v>
      </c>
      <c r="J309" s="53"/>
      <c r="K309" s="53" t="s">
        <v>76</v>
      </c>
      <c r="L309" s="53" t="s">
        <v>77</v>
      </c>
      <c r="M309" s="54" t="s">
        <v>920</v>
      </c>
      <c r="N309" s="59" t="s">
        <v>76</v>
      </c>
      <c r="O309" s="49" t="s">
        <v>75</v>
      </c>
      <c r="P309" s="49" t="s">
        <v>76</v>
      </c>
      <c r="Q309" s="55" t="s">
        <v>76</v>
      </c>
      <c r="R309" s="56" t="s">
        <v>76</v>
      </c>
      <c r="S309" s="49" t="s">
        <v>76</v>
      </c>
      <c r="T309" s="122"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134"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2">
      <c r="A310" s="115" t="s">
        <v>1875</v>
      </c>
      <c r="B310" s="114" t="s">
        <v>1873</v>
      </c>
      <c r="C310" s="136"/>
      <c r="D310" s="49" t="s">
        <v>76</v>
      </c>
      <c r="E310" s="50"/>
      <c r="F310" s="51"/>
      <c r="G310" s="63"/>
      <c r="H310" s="49" t="s">
        <v>75</v>
      </c>
      <c r="I310" s="133">
        <v>1</v>
      </c>
      <c r="J310" s="53"/>
      <c r="K310" s="53" t="s">
        <v>76</v>
      </c>
      <c r="L310" s="53" t="s">
        <v>77</v>
      </c>
      <c r="M310" s="54" t="s">
        <v>920</v>
      </c>
      <c r="N310" s="59" t="s">
        <v>76</v>
      </c>
      <c r="O310" s="49" t="s">
        <v>75</v>
      </c>
      <c r="P310" s="49" t="s">
        <v>76</v>
      </c>
      <c r="Q310" s="55" t="s">
        <v>76</v>
      </c>
      <c r="R310" s="56" t="s">
        <v>76</v>
      </c>
      <c r="S310" s="49" t="s">
        <v>76</v>
      </c>
      <c r="T310" s="122"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134"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2">
      <c r="A311" s="115" t="s">
        <v>1875</v>
      </c>
      <c r="B311" s="114" t="s">
        <v>1873</v>
      </c>
      <c r="C311" s="136"/>
      <c r="D311" s="49" t="s">
        <v>76</v>
      </c>
      <c r="E311" s="50"/>
      <c r="F311" s="51"/>
      <c r="G311" s="63"/>
      <c r="H311" s="49" t="s">
        <v>75</v>
      </c>
      <c r="I311" s="133">
        <v>1</v>
      </c>
      <c r="J311" s="53"/>
      <c r="K311" s="53" t="s">
        <v>76</v>
      </c>
      <c r="L311" s="53" t="s">
        <v>77</v>
      </c>
      <c r="M311" s="54" t="s">
        <v>920</v>
      </c>
      <c r="N311" s="59" t="s">
        <v>76</v>
      </c>
      <c r="O311" s="49" t="s">
        <v>75</v>
      </c>
      <c r="P311" s="49" t="s">
        <v>76</v>
      </c>
      <c r="Q311" s="55" t="s">
        <v>76</v>
      </c>
      <c r="R311" s="56" t="s">
        <v>76</v>
      </c>
      <c r="S311" s="49" t="s">
        <v>76</v>
      </c>
      <c r="T311" s="122"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134"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2">
      <c r="A312" s="115" t="s">
        <v>1875</v>
      </c>
      <c r="B312" s="114" t="s">
        <v>1873</v>
      </c>
      <c r="C312" s="136"/>
      <c r="D312" s="49" t="s">
        <v>76</v>
      </c>
      <c r="E312" s="50"/>
      <c r="F312" s="51"/>
      <c r="G312" s="63"/>
      <c r="H312" s="49" t="s">
        <v>75</v>
      </c>
      <c r="I312" s="133">
        <v>1</v>
      </c>
      <c r="J312" s="53"/>
      <c r="K312" s="53" t="s">
        <v>76</v>
      </c>
      <c r="L312" s="53" t="s">
        <v>77</v>
      </c>
      <c r="M312" s="54" t="s">
        <v>920</v>
      </c>
      <c r="N312" s="59" t="s">
        <v>76</v>
      </c>
      <c r="O312" s="49" t="s">
        <v>75</v>
      </c>
      <c r="P312" s="49" t="s">
        <v>76</v>
      </c>
      <c r="Q312" s="55" t="s">
        <v>76</v>
      </c>
      <c r="R312" s="56" t="s">
        <v>76</v>
      </c>
      <c r="S312" s="49" t="s">
        <v>76</v>
      </c>
      <c r="T312" s="122"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134"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2">
      <c r="A313" s="115" t="s">
        <v>1875</v>
      </c>
      <c r="B313" s="114" t="s">
        <v>1873</v>
      </c>
      <c r="C313" s="136"/>
      <c r="D313" s="49" t="s">
        <v>76</v>
      </c>
      <c r="E313" s="50"/>
      <c r="F313" s="51"/>
      <c r="G313" s="63"/>
      <c r="H313" s="49" t="s">
        <v>75</v>
      </c>
      <c r="I313" s="133">
        <v>1</v>
      </c>
      <c r="J313" s="53"/>
      <c r="K313" s="53" t="s">
        <v>76</v>
      </c>
      <c r="L313" s="53" t="s">
        <v>77</v>
      </c>
      <c r="M313" s="54" t="s">
        <v>920</v>
      </c>
      <c r="N313" s="59" t="s">
        <v>76</v>
      </c>
      <c r="O313" s="49" t="s">
        <v>75</v>
      </c>
      <c r="P313" s="49" t="s">
        <v>76</v>
      </c>
      <c r="Q313" s="55" t="s">
        <v>76</v>
      </c>
      <c r="R313" s="56" t="s">
        <v>76</v>
      </c>
      <c r="S313" s="49" t="s">
        <v>76</v>
      </c>
      <c r="T313" s="122"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134"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2">
      <c r="A314" s="115" t="s">
        <v>1875</v>
      </c>
      <c r="B314" s="114" t="s">
        <v>1873</v>
      </c>
      <c r="C314" s="136"/>
      <c r="D314" s="49" t="s">
        <v>76</v>
      </c>
      <c r="E314" s="50"/>
      <c r="F314" s="51"/>
      <c r="G314" s="63"/>
      <c r="H314" s="49" t="s">
        <v>75</v>
      </c>
      <c r="I314" s="133">
        <v>1</v>
      </c>
      <c r="J314" s="53"/>
      <c r="K314" s="53" t="s">
        <v>76</v>
      </c>
      <c r="L314" s="53" t="s">
        <v>77</v>
      </c>
      <c r="M314" s="54" t="s">
        <v>920</v>
      </c>
      <c r="N314" s="59" t="s">
        <v>76</v>
      </c>
      <c r="O314" s="49" t="s">
        <v>75</v>
      </c>
      <c r="P314" s="49" t="s">
        <v>76</v>
      </c>
      <c r="Q314" s="55" t="s">
        <v>76</v>
      </c>
      <c r="R314" s="56" t="s">
        <v>76</v>
      </c>
      <c r="S314" s="49" t="s">
        <v>76</v>
      </c>
      <c r="T314" s="122"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134"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2">
      <c r="A315" s="115" t="s">
        <v>1875</v>
      </c>
      <c r="B315" s="114" t="s">
        <v>1873</v>
      </c>
      <c r="C315" s="136"/>
      <c r="D315" s="49" t="s">
        <v>76</v>
      </c>
      <c r="E315" s="50"/>
      <c r="F315" s="51"/>
      <c r="G315" s="63"/>
      <c r="H315" s="49" t="s">
        <v>75</v>
      </c>
      <c r="I315" s="133">
        <v>1</v>
      </c>
      <c r="J315" s="53"/>
      <c r="K315" s="53" t="s">
        <v>76</v>
      </c>
      <c r="L315" s="53" t="s">
        <v>77</v>
      </c>
      <c r="M315" s="54" t="s">
        <v>920</v>
      </c>
      <c r="N315" s="59" t="s">
        <v>76</v>
      </c>
      <c r="O315" s="49" t="s">
        <v>75</v>
      </c>
      <c r="P315" s="49" t="s">
        <v>76</v>
      </c>
      <c r="Q315" s="55" t="s">
        <v>76</v>
      </c>
      <c r="R315" s="56" t="s">
        <v>76</v>
      </c>
      <c r="S315" s="49" t="s">
        <v>76</v>
      </c>
      <c r="T315" s="122"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134"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2">
      <c r="A316" s="115" t="s">
        <v>1875</v>
      </c>
      <c r="B316" s="114" t="s">
        <v>1873</v>
      </c>
      <c r="C316" s="136"/>
      <c r="D316" s="49" t="s">
        <v>76</v>
      </c>
      <c r="E316" s="50"/>
      <c r="F316" s="51"/>
      <c r="G316" s="63"/>
      <c r="H316" s="49" t="s">
        <v>75</v>
      </c>
      <c r="I316" s="133">
        <v>1</v>
      </c>
      <c r="J316" s="53"/>
      <c r="K316" s="53" t="s">
        <v>76</v>
      </c>
      <c r="L316" s="53" t="s">
        <v>77</v>
      </c>
      <c r="M316" s="54" t="s">
        <v>920</v>
      </c>
      <c r="N316" s="59" t="s">
        <v>76</v>
      </c>
      <c r="O316" s="49" t="s">
        <v>75</v>
      </c>
      <c r="P316" s="49" t="s">
        <v>76</v>
      </c>
      <c r="Q316" s="55" t="s">
        <v>76</v>
      </c>
      <c r="R316" s="56" t="s">
        <v>76</v>
      </c>
      <c r="S316" s="49" t="s">
        <v>76</v>
      </c>
      <c r="T316" s="122"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134"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2">
      <c r="A317" s="115" t="s">
        <v>1875</v>
      </c>
      <c r="B317" s="114" t="s">
        <v>1873</v>
      </c>
      <c r="C317" s="136"/>
      <c r="D317" s="49" t="s">
        <v>76</v>
      </c>
      <c r="E317" s="50"/>
      <c r="F317" s="51"/>
      <c r="G317" s="63"/>
      <c r="H317" s="49" t="s">
        <v>75</v>
      </c>
      <c r="I317" s="133">
        <v>1</v>
      </c>
      <c r="J317" s="53"/>
      <c r="K317" s="53" t="s">
        <v>76</v>
      </c>
      <c r="L317" s="53" t="s">
        <v>77</v>
      </c>
      <c r="M317" s="54" t="s">
        <v>920</v>
      </c>
      <c r="N317" s="59" t="s">
        <v>76</v>
      </c>
      <c r="O317" s="49" t="s">
        <v>75</v>
      </c>
      <c r="P317" s="49" t="s">
        <v>76</v>
      </c>
      <c r="Q317" s="55" t="s">
        <v>76</v>
      </c>
      <c r="R317" s="56" t="s">
        <v>76</v>
      </c>
      <c r="S317" s="49" t="s">
        <v>76</v>
      </c>
      <c r="T317" s="122"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134"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2">
      <c r="A318" s="115" t="s">
        <v>1875</v>
      </c>
      <c r="B318" s="114" t="s">
        <v>1873</v>
      </c>
      <c r="C318" s="136"/>
      <c r="D318" s="49" t="s">
        <v>76</v>
      </c>
      <c r="E318" s="50"/>
      <c r="F318" s="51"/>
      <c r="G318" s="63"/>
      <c r="H318" s="49" t="s">
        <v>75</v>
      </c>
      <c r="I318" s="133">
        <v>1</v>
      </c>
      <c r="J318" s="53"/>
      <c r="K318" s="53" t="s">
        <v>76</v>
      </c>
      <c r="L318" s="53" t="s">
        <v>77</v>
      </c>
      <c r="M318" s="54" t="s">
        <v>920</v>
      </c>
      <c r="N318" s="59" t="s">
        <v>76</v>
      </c>
      <c r="O318" s="49" t="s">
        <v>75</v>
      </c>
      <c r="P318" s="49" t="s">
        <v>76</v>
      </c>
      <c r="Q318" s="55" t="s">
        <v>76</v>
      </c>
      <c r="R318" s="56" t="s">
        <v>76</v>
      </c>
      <c r="S318" s="49" t="s">
        <v>76</v>
      </c>
      <c r="T318" s="122"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134"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2">
      <c r="A319" s="115" t="s">
        <v>1875</v>
      </c>
      <c r="B319" s="114" t="s">
        <v>1873</v>
      </c>
      <c r="C319" s="136"/>
      <c r="D319" s="49" t="s">
        <v>76</v>
      </c>
      <c r="E319" s="50"/>
      <c r="F319" s="51"/>
      <c r="G319" s="63"/>
      <c r="H319" s="49" t="s">
        <v>75</v>
      </c>
      <c r="I319" s="133">
        <v>1</v>
      </c>
      <c r="J319" s="53"/>
      <c r="K319" s="53" t="s">
        <v>76</v>
      </c>
      <c r="L319" s="53" t="s">
        <v>77</v>
      </c>
      <c r="M319" s="54" t="s">
        <v>920</v>
      </c>
      <c r="N319" s="59" t="s">
        <v>76</v>
      </c>
      <c r="O319" s="49" t="s">
        <v>75</v>
      </c>
      <c r="P319" s="49" t="s">
        <v>76</v>
      </c>
      <c r="Q319" s="55" t="s">
        <v>76</v>
      </c>
      <c r="R319" s="56" t="s">
        <v>76</v>
      </c>
      <c r="S319" s="49" t="s">
        <v>76</v>
      </c>
      <c r="T319" s="122"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134"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2">
      <c r="A320" s="115" t="s">
        <v>1875</v>
      </c>
      <c r="B320" s="114" t="s">
        <v>1873</v>
      </c>
      <c r="C320" s="136"/>
      <c r="D320" s="49" t="s">
        <v>76</v>
      </c>
      <c r="E320" s="50"/>
      <c r="F320" s="51"/>
      <c r="G320" s="63"/>
      <c r="H320" s="49" t="s">
        <v>75</v>
      </c>
      <c r="I320" s="133">
        <v>1</v>
      </c>
      <c r="J320" s="53"/>
      <c r="K320" s="53" t="s">
        <v>76</v>
      </c>
      <c r="L320" s="53" t="s">
        <v>77</v>
      </c>
      <c r="M320" s="54" t="s">
        <v>920</v>
      </c>
      <c r="N320" s="59" t="s">
        <v>76</v>
      </c>
      <c r="O320" s="49" t="s">
        <v>75</v>
      </c>
      <c r="P320" s="49" t="s">
        <v>76</v>
      </c>
      <c r="Q320" s="55" t="s">
        <v>76</v>
      </c>
      <c r="R320" s="56" t="s">
        <v>76</v>
      </c>
      <c r="S320" s="49" t="s">
        <v>76</v>
      </c>
      <c r="T320" s="122"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134"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2">
      <c r="A321" s="115" t="s">
        <v>1875</v>
      </c>
      <c r="B321" s="114" t="s">
        <v>1873</v>
      </c>
      <c r="C321" s="136"/>
      <c r="D321" s="49" t="s">
        <v>76</v>
      </c>
      <c r="E321" s="50"/>
      <c r="F321" s="51"/>
      <c r="G321" s="63"/>
      <c r="H321" s="49" t="s">
        <v>75</v>
      </c>
      <c r="I321" s="133">
        <v>1</v>
      </c>
      <c r="J321" s="53"/>
      <c r="K321" s="53" t="s">
        <v>76</v>
      </c>
      <c r="L321" s="53" t="s">
        <v>77</v>
      </c>
      <c r="M321" s="54" t="s">
        <v>920</v>
      </c>
      <c r="N321" s="59" t="s">
        <v>76</v>
      </c>
      <c r="O321" s="49" t="s">
        <v>75</v>
      </c>
      <c r="P321" s="49" t="s">
        <v>76</v>
      </c>
      <c r="Q321" s="55" t="s">
        <v>76</v>
      </c>
      <c r="R321" s="56" t="s">
        <v>76</v>
      </c>
      <c r="S321" s="49" t="s">
        <v>76</v>
      </c>
      <c r="T321" s="122"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134"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2">
      <c r="A322" s="115" t="s">
        <v>1875</v>
      </c>
      <c r="B322" s="114" t="s">
        <v>1873</v>
      </c>
      <c r="C322" s="136"/>
      <c r="D322" s="49" t="s">
        <v>76</v>
      </c>
      <c r="E322" s="50"/>
      <c r="F322" s="51"/>
      <c r="G322" s="63"/>
      <c r="H322" s="49" t="s">
        <v>75</v>
      </c>
      <c r="I322" s="133">
        <v>1</v>
      </c>
      <c r="J322" s="53"/>
      <c r="K322" s="53" t="s">
        <v>76</v>
      </c>
      <c r="L322" s="53" t="s">
        <v>77</v>
      </c>
      <c r="M322" s="54" t="s">
        <v>920</v>
      </c>
      <c r="N322" s="59" t="s">
        <v>76</v>
      </c>
      <c r="O322" s="49" t="s">
        <v>75</v>
      </c>
      <c r="P322" s="49" t="s">
        <v>76</v>
      </c>
      <c r="Q322" s="55" t="s">
        <v>76</v>
      </c>
      <c r="R322" s="56" t="s">
        <v>76</v>
      </c>
      <c r="S322" s="49" t="s">
        <v>76</v>
      </c>
      <c r="T322" s="122"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134"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2">
      <c r="A323" s="115" t="s">
        <v>1875</v>
      </c>
      <c r="B323" s="114" t="s">
        <v>1873</v>
      </c>
      <c r="C323" s="136"/>
      <c r="D323" s="49" t="s">
        <v>76</v>
      </c>
      <c r="E323" s="50"/>
      <c r="F323" s="51"/>
      <c r="G323" s="63"/>
      <c r="H323" s="49" t="s">
        <v>75</v>
      </c>
      <c r="I323" s="133">
        <v>1</v>
      </c>
      <c r="J323" s="53"/>
      <c r="K323" s="53" t="s">
        <v>76</v>
      </c>
      <c r="L323" s="53" t="s">
        <v>77</v>
      </c>
      <c r="M323" s="54" t="s">
        <v>920</v>
      </c>
      <c r="N323" s="59" t="s">
        <v>76</v>
      </c>
      <c r="O323" s="49" t="s">
        <v>75</v>
      </c>
      <c r="P323" s="49" t="s">
        <v>76</v>
      </c>
      <c r="Q323" s="55" t="s">
        <v>76</v>
      </c>
      <c r="R323" s="56" t="s">
        <v>76</v>
      </c>
      <c r="S323" s="49" t="s">
        <v>76</v>
      </c>
      <c r="T323" s="122"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134"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2">
      <c r="A324" s="115" t="s">
        <v>1875</v>
      </c>
      <c r="B324" s="114" t="s">
        <v>1873</v>
      </c>
      <c r="C324" s="136"/>
      <c r="D324" s="49" t="s">
        <v>76</v>
      </c>
      <c r="E324" s="50"/>
      <c r="F324" s="51"/>
      <c r="G324" s="63"/>
      <c r="H324" s="49" t="s">
        <v>75</v>
      </c>
      <c r="I324" s="133">
        <v>1</v>
      </c>
      <c r="J324" s="53"/>
      <c r="K324" s="53" t="s">
        <v>76</v>
      </c>
      <c r="L324" s="53" t="s">
        <v>77</v>
      </c>
      <c r="M324" s="54" t="s">
        <v>920</v>
      </c>
      <c r="N324" s="59" t="s">
        <v>76</v>
      </c>
      <c r="O324" s="49" t="s">
        <v>75</v>
      </c>
      <c r="P324" s="49" t="s">
        <v>76</v>
      </c>
      <c r="Q324" s="55" t="s">
        <v>76</v>
      </c>
      <c r="R324" s="56" t="s">
        <v>76</v>
      </c>
      <c r="S324" s="49" t="s">
        <v>76</v>
      </c>
      <c r="T324" s="122"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134"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2">
      <c r="A325" s="115" t="s">
        <v>1875</v>
      </c>
      <c r="B325" s="114" t="s">
        <v>1873</v>
      </c>
      <c r="C325" s="136"/>
      <c r="D325" s="49" t="s">
        <v>76</v>
      </c>
      <c r="E325" s="50"/>
      <c r="F325" s="51"/>
      <c r="G325" s="63"/>
      <c r="H325" s="49" t="s">
        <v>75</v>
      </c>
      <c r="I325" s="133">
        <v>1</v>
      </c>
      <c r="J325" s="53"/>
      <c r="K325" s="53" t="s">
        <v>76</v>
      </c>
      <c r="L325" s="53" t="s">
        <v>77</v>
      </c>
      <c r="M325" s="54" t="s">
        <v>920</v>
      </c>
      <c r="N325" s="59" t="s">
        <v>76</v>
      </c>
      <c r="O325" s="49" t="s">
        <v>75</v>
      </c>
      <c r="P325" s="49" t="s">
        <v>76</v>
      </c>
      <c r="Q325" s="55" t="s">
        <v>76</v>
      </c>
      <c r="R325" s="56" t="s">
        <v>76</v>
      </c>
      <c r="S325" s="49" t="s">
        <v>76</v>
      </c>
      <c r="T325" s="122"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134"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2">
      <c r="A326" s="115" t="s">
        <v>1875</v>
      </c>
      <c r="B326" s="114" t="s">
        <v>1873</v>
      </c>
      <c r="C326" s="136"/>
      <c r="D326" s="49" t="s">
        <v>76</v>
      </c>
      <c r="E326" s="50"/>
      <c r="F326" s="51"/>
      <c r="G326" s="63"/>
      <c r="H326" s="49" t="s">
        <v>75</v>
      </c>
      <c r="I326" s="133">
        <v>1</v>
      </c>
      <c r="J326" s="53"/>
      <c r="K326" s="53" t="s">
        <v>76</v>
      </c>
      <c r="L326" s="53" t="s">
        <v>77</v>
      </c>
      <c r="M326" s="54" t="s">
        <v>920</v>
      </c>
      <c r="N326" s="59" t="s">
        <v>76</v>
      </c>
      <c r="O326" s="49" t="s">
        <v>75</v>
      </c>
      <c r="P326" s="49" t="s">
        <v>76</v>
      </c>
      <c r="Q326" s="55" t="s">
        <v>76</v>
      </c>
      <c r="R326" s="56" t="s">
        <v>76</v>
      </c>
      <c r="S326" s="49" t="s">
        <v>76</v>
      </c>
      <c r="T326" s="122"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134"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2">
      <c r="A327" s="115" t="s">
        <v>1875</v>
      </c>
      <c r="B327" s="114" t="s">
        <v>1873</v>
      </c>
      <c r="C327" s="136"/>
      <c r="D327" s="49" t="s">
        <v>76</v>
      </c>
      <c r="E327" s="50"/>
      <c r="F327" s="51"/>
      <c r="G327" s="63"/>
      <c r="H327" s="49" t="s">
        <v>75</v>
      </c>
      <c r="I327" s="133">
        <v>1</v>
      </c>
      <c r="J327" s="53"/>
      <c r="K327" s="53" t="s">
        <v>76</v>
      </c>
      <c r="L327" s="53" t="s">
        <v>77</v>
      </c>
      <c r="M327" s="54" t="s">
        <v>920</v>
      </c>
      <c r="N327" s="59" t="s">
        <v>76</v>
      </c>
      <c r="O327" s="49" t="s">
        <v>75</v>
      </c>
      <c r="P327" s="49" t="s">
        <v>76</v>
      </c>
      <c r="Q327" s="55" t="s">
        <v>76</v>
      </c>
      <c r="R327" s="56" t="s">
        <v>76</v>
      </c>
      <c r="S327" s="49" t="s">
        <v>76</v>
      </c>
      <c r="T327" s="122"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134"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2">
      <c r="A328" s="115" t="s">
        <v>1875</v>
      </c>
      <c r="B328" s="114" t="s">
        <v>1873</v>
      </c>
      <c r="C328" s="136"/>
      <c r="D328" s="49" t="s">
        <v>76</v>
      </c>
      <c r="E328" s="50"/>
      <c r="F328" s="51"/>
      <c r="G328" s="63"/>
      <c r="H328" s="49" t="s">
        <v>75</v>
      </c>
      <c r="I328" s="133">
        <v>1</v>
      </c>
      <c r="J328" s="53"/>
      <c r="K328" s="53" t="s">
        <v>76</v>
      </c>
      <c r="L328" s="53" t="s">
        <v>77</v>
      </c>
      <c r="M328" s="54" t="s">
        <v>920</v>
      </c>
      <c r="N328" s="59" t="s">
        <v>76</v>
      </c>
      <c r="O328" s="49" t="s">
        <v>75</v>
      </c>
      <c r="P328" s="49" t="s">
        <v>76</v>
      </c>
      <c r="Q328" s="55" t="s">
        <v>76</v>
      </c>
      <c r="R328" s="56" t="s">
        <v>76</v>
      </c>
      <c r="S328" s="49" t="s">
        <v>76</v>
      </c>
      <c r="T328" s="122"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134"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2">
      <c r="A329" s="115" t="s">
        <v>1875</v>
      </c>
      <c r="B329" s="114" t="s">
        <v>1873</v>
      </c>
      <c r="C329" s="136"/>
      <c r="D329" s="49" t="s">
        <v>76</v>
      </c>
      <c r="E329" s="50"/>
      <c r="F329" s="51"/>
      <c r="G329" s="63"/>
      <c r="H329" s="49" t="s">
        <v>75</v>
      </c>
      <c r="I329" s="133">
        <v>1</v>
      </c>
      <c r="J329" s="53"/>
      <c r="K329" s="53" t="s">
        <v>76</v>
      </c>
      <c r="L329" s="53" t="s">
        <v>77</v>
      </c>
      <c r="M329" s="54" t="s">
        <v>920</v>
      </c>
      <c r="N329" s="59" t="s">
        <v>76</v>
      </c>
      <c r="O329" s="49" t="s">
        <v>75</v>
      </c>
      <c r="P329" s="49" t="s">
        <v>76</v>
      </c>
      <c r="Q329" s="55" t="s">
        <v>76</v>
      </c>
      <c r="R329" s="56" t="s">
        <v>76</v>
      </c>
      <c r="S329" s="49" t="s">
        <v>76</v>
      </c>
      <c r="T329" s="122"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134"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2">
      <c r="A330" s="115" t="s">
        <v>1875</v>
      </c>
      <c r="B330" s="114" t="s">
        <v>1873</v>
      </c>
      <c r="C330" s="136"/>
      <c r="D330" s="49" t="s">
        <v>76</v>
      </c>
      <c r="E330" s="50"/>
      <c r="F330" s="51"/>
      <c r="G330" s="63"/>
      <c r="H330" s="49" t="s">
        <v>75</v>
      </c>
      <c r="I330" s="133">
        <v>1</v>
      </c>
      <c r="J330" s="53"/>
      <c r="K330" s="53" t="s">
        <v>76</v>
      </c>
      <c r="L330" s="53" t="s">
        <v>77</v>
      </c>
      <c r="M330" s="54" t="s">
        <v>920</v>
      </c>
      <c r="N330" s="59" t="s">
        <v>76</v>
      </c>
      <c r="O330" s="49" t="s">
        <v>75</v>
      </c>
      <c r="P330" s="49" t="s">
        <v>76</v>
      </c>
      <c r="Q330" s="55" t="s">
        <v>76</v>
      </c>
      <c r="R330" s="56" t="s">
        <v>76</v>
      </c>
      <c r="S330" s="49" t="s">
        <v>76</v>
      </c>
      <c r="T330" s="122"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134"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2">
      <c r="A331" s="115" t="s">
        <v>1875</v>
      </c>
      <c r="B331" s="114" t="s">
        <v>1873</v>
      </c>
      <c r="C331" s="136"/>
      <c r="D331" s="49" t="s">
        <v>76</v>
      </c>
      <c r="E331" s="50"/>
      <c r="F331" s="51"/>
      <c r="G331" s="63"/>
      <c r="H331" s="49" t="s">
        <v>75</v>
      </c>
      <c r="I331" s="133">
        <v>1</v>
      </c>
      <c r="J331" s="53"/>
      <c r="K331" s="53" t="s">
        <v>76</v>
      </c>
      <c r="L331" s="53" t="s">
        <v>77</v>
      </c>
      <c r="M331" s="54" t="s">
        <v>920</v>
      </c>
      <c r="N331" s="59" t="s">
        <v>76</v>
      </c>
      <c r="O331" s="49" t="s">
        <v>75</v>
      </c>
      <c r="P331" s="49" t="s">
        <v>76</v>
      </c>
      <c r="Q331" s="55" t="s">
        <v>76</v>
      </c>
      <c r="R331" s="56" t="s">
        <v>76</v>
      </c>
      <c r="S331" s="49" t="s">
        <v>76</v>
      </c>
      <c r="T331" s="122"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134"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2">
      <c r="A332" s="115" t="s">
        <v>1875</v>
      </c>
      <c r="B332" s="114" t="s">
        <v>1873</v>
      </c>
      <c r="C332" s="136"/>
      <c r="D332" s="49" t="s">
        <v>76</v>
      </c>
      <c r="E332" s="50"/>
      <c r="F332" s="51"/>
      <c r="G332" s="63"/>
      <c r="H332" s="49" t="s">
        <v>75</v>
      </c>
      <c r="I332" s="133">
        <v>1</v>
      </c>
      <c r="J332" s="53"/>
      <c r="K332" s="53" t="s">
        <v>76</v>
      </c>
      <c r="L332" s="53" t="s">
        <v>77</v>
      </c>
      <c r="M332" s="54" t="s">
        <v>920</v>
      </c>
      <c r="N332" s="59" t="s">
        <v>76</v>
      </c>
      <c r="O332" s="49" t="s">
        <v>75</v>
      </c>
      <c r="P332" s="49" t="s">
        <v>76</v>
      </c>
      <c r="Q332" s="55" t="s">
        <v>76</v>
      </c>
      <c r="R332" s="56" t="s">
        <v>76</v>
      </c>
      <c r="S332" s="49" t="s">
        <v>76</v>
      </c>
      <c r="T332" s="122"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134"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2">
      <c r="A333" s="115" t="s">
        <v>1875</v>
      </c>
      <c r="B333" s="114" t="s">
        <v>1873</v>
      </c>
      <c r="C333" s="136"/>
      <c r="D333" s="49" t="s">
        <v>76</v>
      </c>
      <c r="E333" s="50"/>
      <c r="F333" s="51"/>
      <c r="G333" s="63"/>
      <c r="H333" s="49" t="s">
        <v>75</v>
      </c>
      <c r="I333" s="133">
        <v>1</v>
      </c>
      <c r="J333" s="53"/>
      <c r="K333" s="53" t="s">
        <v>76</v>
      </c>
      <c r="L333" s="53" t="s">
        <v>77</v>
      </c>
      <c r="M333" s="54" t="s">
        <v>920</v>
      </c>
      <c r="N333" s="59" t="s">
        <v>76</v>
      </c>
      <c r="O333" s="49" t="s">
        <v>75</v>
      </c>
      <c r="P333" s="49" t="s">
        <v>76</v>
      </c>
      <c r="Q333" s="55" t="s">
        <v>76</v>
      </c>
      <c r="R333" s="56" t="s">
        <v>76</v>
      </c>
      <c r="S333" s="49" t="s">
        <v>76</v>
      </c>
      <c r="T333" s="122"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134"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2">
      <c r="A334" s="115" t="s">
        <v>1875</v>
      </c>
      <c r="B334" s="114" t="s">
        <v>1873</v>
      </c>
      <c r="C334" s="136"/>
      <c r="D334" s="49" t="s">
        <v>76</v>
      </c>
      <c r="E334" s="50"/>
      <c r="F334" s="51"/>
      <c r="G334" s="63"/>
      <c r="H334" s="49" t="s">
        <v>75</v>
      </c>
      <c r="I334" s="133">
        <v>1</v>
      </c>
      <c r="J334" s="53"/>
      <c r="K334" s="53" t="s">
        <v>76</v>
      </c>
      <c r="L334" s="53" t="s">
        <v>77</v>
      </c>
      <c r="M334" s="54" t="s">
        <v>920</v>
      </c>
      <c r="N334" s="59" t="s">
        <v>76</v>
      </c>
      <c r="O334" s="49" t="s">
        <v>75</v>
      </c>
      <c r="P334" s="49" t="s">
        <v>76</v>
      </c>
      <c r="Q334" s="55" t="s">
        <v>76</v>
      </c>
      <c r="R334" s="56" t="s">
        <v>76</v>
      </c>
      <c r="S334" s="49" t="s">
        <v>76</v>
      </c>
      <c r="T334" s="122"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134"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2">
      <c r="A335" s="115" t="s">
        <v>1875</v>
      </c>
      <c r="B335" s="114" t="s">
        <v>1873</v>
      </c>
      <c r="C335" s="136"/>
      <c r="D335" s="49" t="s">
        <v>76</v>
      </c>
      <c r="E335" s="50"/>
      <c r="F335" s="51"/>
      <c r="G335" s="63"/>
      <c r="H335" s="49" t="s">
        <v>75</v>
      </c>
      <c r="I335" s="133">
        <v>1</v>
      </c>
      <c r="J335" s="53"/>
      <c r="K335" s="53" t="s">
        <v>76</v>
      </c>
      <c r="L335" s="53" t="s">
        <v>77</v>
      </c>
      <c r="M335" s="54" t="s">
        <v>920</v>
      </c>
      <c r="N335" s="59" t="s">
        <v>76</v>
      </c>
      <c r="O335" s="49" t="s">
        <v>75</v>
      </c>
      <c r="P335" s="49" t="s">
        <v>76</v>
      </c>
      <c r="Q335" s="55" t="s">
        <v>76</v>
      </c>
      <c r="R335" s="56" t="s">
        <v>76</v>
      </c>
      <c r="S335" s="49" t="s">
        <v>76</v>
      </c>
      <c r="T335" s="122"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134"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2">
      <c r="A336" s="115" t="s">
        <v>1875</v>
      </c>
      <c r="B336" s="114" t="s">
        <v>1873</v>
      </c>
      <c r="C336" s="136"/>
      <c r="D336" s="49" t="s">
        <v>76</v>
      </c>
      <c r="E336" s="50"/>
      <c r="F336" s="51"/>
      <c r="G336" s="63"/>
      <c r="H336" s="49" t="s">
        <v>75</v>
      </c>
      <c r="I336" s="133">
        <v>1</v>
      </c>
      <c r="J336" s="53"/>
      <c r="K336" s="53" t="s">
        <v>76</v>
      </c>
      <c r="L336" s="53" t="s">
        <v>77</v>
      </c>
      <c r="M336" s="54" t="s">
        <v>920</v>
      </c>
      <c r="N336" s="59" t="s">
        <v>76</v>
      </c>
      <c r="O336" s="49" t="s">
        <v>75</v>
      </c>
      <c r="P336" s="49" t="s">
        <v>76</v>
      </c>
      <c r="Q336" s="55" t="s">
        <v>76</v>
      </c>
      <c r="R336" s="56" t="s">
        <v>76</v>
      </c>
      <c r="S336" s="49" t="s">
        <v>76</v>
      </c>
      <c r="T336" s="122"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134"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2">
      <c r="A337" s="115" t="s">
        <v>1875</v>
      </c>
      <c r="B337" s="114" t="s">
        <v>1873</v>
      </c>
      <c r="C337" s="136"/>
      <c r="D337" s="49" t="s">
        <v>76</v>
      </c>
      <c r="E337" s="50"/>
      <c r="F337" s="51"/>
      <c r="G337" s="63"/>
      <c r="H337" s="49" t="s">
        <v>75</v>
      </c>
      <c r="I337" s="133">
        <v>1</v>
      </c>
      <c r="J337" s="53"/>
      <c r="K337" s="53" t="s">
        <v>76</v>
      </c>
      <c r="L337" s="53" t="s">
        <v>77</v>
      </c>
      <c r="M337" s="54" t="s">
        <v>920</v>
      </c>
      <c r="N337" s="59" t="s">
        <v>76</v>
      </c>
      <c r="O337" s="49" t="s">
        <v>75</v>
      </c>
      <c r="P337" s="49" t="s">
        <v>76</v>
      </c>
      <c r="Q337" s="55" t="s">
        <v>76</v>
      </c>
      <c r="R337" s="56" t="s">
        <v>76</v>
      </c>
      <c r="S337" s="49" t="s">
        <v>76</v>
      </c>
      <c r="T337" s="122"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134"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2">
      <c r="A338" s="115" t="s">
        <v>1875</v>
      </c>
      <c r="B338" s="114" t="s">
        <v>1873</v>
      </c>
      <c r="C338" s="136"/>
      <c r="D338" s="49" t="s">
        <v>76</v>
      </c>
      <c r="E338" s="50"/>
      <c r="F338" s="51"/>
      <c r="G338" s="63"/>
      <c r="H338" s="49" t="s">
        <v>75</v>
      </c>
      <c r="I338" s="133">
        <v>1</v>
      </c>
      <c r="J338" s="53"/>
      <c r="K338" s="53" t="s">
        <v>76</v>
      </c>
      <c r="L338" s="53" t="s">
        <v>77</v>
      </c>
      <c r="M338" s="54" t="s">
        <v>920</v>
      </c>
      <c r="N338" s="59" t="s">
        <v>76</v>
      </c>
      <c r="O338" s="49" t="s">
        <v>75</v>
      </c>
      <c r="P338" s="49" t="s">
        <v>76</v>
      </c>
      <c r="Q338" s="55" t="s">
        <v>76</v>
      </c>
      <c r="R338" s="56" t="s">
        <v>76</v>
      </c>
      <c r="S338" s="49" t="s">
        <v>76</v>
      </c>
      <c r="T338" s="122"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134"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2">
      <c r="A339" s="115" t="s">
        <v>1875</v>
      </c>
      <c r="B339" s="114" t="s">
        <v>1873</v>
      </c>
      <c r="C339" s="136"/>
      <c r="D339" s="49" t="s">
        <v>76</v>
      </c>
      <c r="E339" s="50"/>
      <c r="F339" s="51"/>
      <c r="G339" s="63"/>
      <c r="H339" s="49" t="s">
        <v>75</v>
      </c>
      <c r="I339" s="133">
        <v>1</v>
      </c>
      <c r="J339" s="53"/>
      <c r="K339" s="53" t="s">
        <v>76</v>
      </c>
      <c r="L339" s="53" t="s">
        <v>77</v>
      </c>
      <c r="M339" s="54" t="s">
        <v>920</v>
      </c>
      <c r="N339" s="59" t="s">
        <v>76</v>
      </c>
      <c r="O339" s="49" t="s">
        <v>75</v>
      </c>
      <c r="P339" s="49" t="s">
        <v>76</v>
      </c>
      <c r="Q339" s="55" t="s">
        <v>76</v>
      </c>
      <c r="R339" s="56" t="s">
        <v>76</v>
      </c>
      <c r="S339" s="49" t="s">
        <v>76</v>
      </c>
      <c r="T339" s="122"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134"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2">
      <c r="A340" s="115" t="s">
        <v>1875</v>
      </c>
      <c r="B340" s="114" t="s">
        <v>1873</v>
      </c>
      <c r="C340" s="136"/>
      <c r="D340" s="49" t="s">
        <v>76</v>
      </c>
      <c r="E340" s="50"/>
      <c r="F340" s="51"/>
      <c r="G340" s="63"/>
      <c r="H340" s="49" t="s">
        <v>75</v>
      </c>
      <c r="I340" s="133">
        <v>1</v>
      </c>
      <c r="J340" s="53"/>
      <c r="K340" s="53" t="s">
        <v>76</v>
      </c>
      <c r="L340" s="53" t="s">
        <v>77</v>
      </c>
      <c r="M340" s="54" t="s">
        <v>920</v>
      </c>
      <c r="N340" s="59" t="s">
        <v>76</v>
      </c>
      <c r="O340" s="49" t="s">
        <v>75</v>
      </c>
      <c r="P340" s="49" t="s">
        <v>76</v>
      </c>
      <c r="Q340" s="55" t="s">
        <v>76</v>
      </c>
      <c r="R340" s="56" t="s">
        <v>76</v>
      </c>
      <c r="S340" s="49" t="s">
        <v>76</v>
      </c>
      <c r="T340" s="122"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134"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2">
      <c r="A341" s="115" t="s">
        <v>1875</v>
      </c>
      <c r="B341" s="114" t="s">
        <v>1873</v>
      </c>
      <c r="C341" s="136"/>
      <c r="D341" s="49" t="s">
        <v>76</v>
      </c>
      <c r="E341" s="50"/>
      <c r="F341" s="51"/>
      <c r="G341" s="63"/>
      <c r="H341" s="49" t="s">
        <v>75</v>
      </c>
      <c r="I341" s="133">
        <v>1</v>
      </c>
      <c r="J341" s="53"/>
      <c r="K341" s="53" t="s">
        <v>76</v>
      </c>
      <c r="L341" s="53" t="s">
        <v>77</v>
      </c>
      <c r="M341" s="54" t="s">
        <v>920</v>
      </c>
      <c r="N341" s="59" t="s">
        <v>76</v>
      </c>
      <c r="O341" s="49" t="s">
        <v>75</v>
      </c>
      <c r="P341" s="49" t="s">
        <v>76</v>
      </c>
      <c r="Q341" s="55" t="s">
        <v>76</v>
      </c>
      <c r="R341" s="56" t="s">
        <v>76</v>
      </c>
      <c r="S341" s="49" t="s">
        <v>76</v>
      </c>
      <c r="T341" s="122"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134"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2">
      <c r="A342" s="115" t="s">
        <v>1875</v>
      </c>
      <c r="B342" s="114" t="s">
        <v>1873</v>
      </c>
      <c r="C342" s="136"/>
      <c r="D342" s="49" t="s">
        <v>76</v>
      </c>
      <c r="E342" s="50"/>
      <c r="F342" s="51"/>
      <c r="G342" s="63"/>
      <c r="H342" s="49" t="s">
        <v>75</v>
      </c>
      <c r="I342" s="133">
        <v>1</v>
      </c>
      <c r="J342" s="53"/>
      <c r="K342" s="53" t="s">
        <v>76</v>
      </c>
      <c r="L342" s="53" t="s">
        <v>77</v>
      </c>
      <c r="M342" s="54" t="s">
        <v>920</v>
      </c>
      <c r="N342" s="59" t="s">
        <v>76</v>
      </c>
      <c r="O342" s="49" t="s">
        <v>75</v>
      </c>
      <c r="P342" s="49" t="s">
        <v>76</v>
      </c>
      <c r="Q342" s="55" t="s">
        <v>76</v>
      </c>
      <c r="R342" s="56" t="s">
        <v>76</v>
      </c>
      <c r="S342" s="49" t="s">
        <v>76</v>
      </c>
      <c r="T342" s="122"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134"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2">
      <c r="A343" s="115" t="s">
        <v>1875</v>
      </c>
      <c r="B343" s="114" t="s">
        <v>1873</v>
      </c>
      <c r="C343" s="136"/>
      <c r="D343" s="49" t="s">
        <v>76</v>
      </c>
      <c r="E343" s="50"/>
      <c r="F343" s="51"/>
      <c r="G343" s="63"/>
      <c r="H343" s="49" t="s">
        <v>75</v>
      </c>
      <c r="I343" s="133">
        <v>1</v>
      </c>
      <c r="J343" s="53"/>
      <c r="K343" s="53" t="s">
        <v>76</v>
      </c>
      <c r="L343" s="53" t="s">
        <v>77</v>
      </c>
      <c r="M343" s="54" t="s">
        <v>920</v>
      </c>
      <c r="N343" s="59" t="s">
        <v>76</v>
      </c>
      <c r="O343" s="49" t="s">
        <v>75</v>
      </c>
      <c r="P343" s="49" t="s">
        <v>76</v>
      </c>
      <c r="Q343" s="55" t="s">
        <v>76</v>
      </c>
      <c r="R343" s="56" t="s">
        <v>76</v>
      </c>
      <c r="S343" s="49" t="s">
        <v>76</v>
      </c>
      <c r="T343" s="122"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134"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2">
      <c r="A344" s="115" t="s">
        <v>1875</v>
      </c>
      <c r="B344" s="114" t="s">
        <v>1873</v>
      </c>
      <c r="C344" s="136"/>
      <c r="D344" s="49" t="s">
        <v>76</v>
      </c>
      <c r="E344" s="50"/>
      <c r="F344" s="51"/>
      <c r="G344" s="63"/>
      <c r="H344" s="49" t="s">
        <v>75</v>
      </c>
      <c r="I344" s="133">
        <v>1</v>
      </c>
      <c r="J344" s="53"/>
      <c r="K344" s="53" t="s">
        <v>76</v>
      </c>
      <c r="L344" s="53" t="s">
        <v>77</v>
      </c>
      <c r="M344" s="54" t="s">
        <v>920</v>
      </c>
      <c r="N344" s="59" t="s">
        <v>76</v>
      </c>
      <c r="O344" s="49" t="s">
        <v>75</v>
      </c>
      <c r="P344" s="49" t="s">
        <v>76</v>
      </c>
      <c r="Q344" s="55" t="s">
        <v>76</v>
      </c>
      <c r="R344" s="56" t="s">
        <v>76</v>
      </c>
      <c r="S344" s="49" t="s">
        <v>76</v>
      </c>
      <c r="T344" s="122"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134"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2">
      <c r="A345" s="115" t="s">
        <v>1875</v>
      </c>
      <c r="B345" s="114" t="s">
        <v>1873</v>
      </c>
      <c r="C345" s="136"/>
      <c r="D345" s="49" t="s">
        <v>76</v>
      </c>
      <c r="E345" s="50"/>
      <c r="F345" s="51"/>
      <c r="G345" s="63"/>
      <c r="H345" s="49" t="s">
        <v>75</v>
      </c>
      <c r="I345" s="133">
        <v>1</v>
      </c>
      <c r="J345" s="53"/>
      <c r="K345" s="53" t="s">
        <v>76</v>
      </c>
      <c r="L345" s="53" t="s">
        <v>77</v>
      </c>
      <c r="M345" s="54" t="s">
        <v>920</v>
      </c>
      <c r="N345" s="59" t="s">
        <v>76</v>
      </c>
      <c r="O345" s="49" t="s">
        <v>75</v>
      </c>
      <c r="P345" s="49" t="s">
        <v>76</v>
      </c>
      <c r="Q345" s="55" t="s">
        <v>76</v>
      </c>
      <c r="R345" s="56" t="s">
        <v>76</v>
      </c>
      <c r="S345" s="49" t="s">
        <v>76</v>
      </c>
      <c r="T345" s="122"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134"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2">
      <c r="A346" s="115" t="s">
        <v>1875</v>
      </c>
      <c r="B346" s="114" t="s">
        <v>1873</v>
      </c>
      <c r="C346" s="136"/>
      <c r="D346" s="49" t="s">
        <v>76</v>
      </c>
      <c r="E346" s="50"/>
      <c r="F346" s="51"/>
      <c r="G346" s="63"/>
      <c r="H346" s="49" t="s">
        <v>75</v>
      </c>
      <c r="I346" s="133">
        <v>1</v>
      </c>
      <c r="J346" s="53"/>
      <c r="K346" s="53" t="s">
        <v>76</v>
      </c>
      <c r="L346" s="53" t="s">
        <v>77</v>
      </c>
      <c r="M346" s="54" t="s">
        <v>920</v>
      </c>
      <c r="N346" s="59" t="s">
        <v>76</v>
      </c>
      <c r="O346" s="49" t="s">
        <v>75</v>
      </c>
      <c r="P346" s="49" t="s">
        <v>76</v>
      </c>
      <c r="Q346" s="55" t="s">
        <v>76</v>
      </c>
      <c r="R346" s="56" t="s">
        <v>76</v>
      </c>
      <c r="S346" s="49" t="s">
        <v>76</v>
      </c>
      <c r="T346" s="122"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134"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2">
      <c r="A347" s="115" t="s">
        <v>1875</v>
      </c>
      <c r="B347" s="114" t="s">
        <v>1873</v>
      </c>
      <c r="C347" s="136"/>
      <c r="D347" s="49" t="s">
        <v>76</v>
      </c>
      <c r="E347" s="50"/>
      <c r="F347" s="51"/>
      <c r="G347" s="63"/>
      <c r="H347" s="49" t="s">
        <v>75</v>
      </c>
      <c r="I347" s="133">
        <v>1</v>
      </c>
      <c r="J347" s="53"/>
      <c r="K347" s="53" t="s">
        <v>76</v>
      </c>
      <c r="L347" s="53" t="s">
        <v>77</v>
      </c>
      <c r="M347" s="54" t="s">
        <v>920</v>
      </c>
      <c r="N347" s="59" t="s">
        <v>76</v>
      </c>
      <c r="O347" s="49" t="s">
        <v>75</v>
      </c>
      <c r="P347" s="49" t="s">
        <v>76</v>
      </c>
      <c r="Q347" s="55" t="s">
        <v>76</v>
      </c>
      <c r="R347" s="56" t="s">
        <v>76</v>
      </c>
      <c r="S347" s="49" t="s">
        <v>76</v>
      </c>
      <c r="T347" s="122"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134"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2">
      <c r="A348" s="115" t="s">
        <v>1875</v>
      </c>
      <c r="B348" s="114" t="s">
        <v>1873</v>
      </c>
      <c r="C348" s="136"/>
      <c r="D348" s="49" t="s">
        <v>76</v>
      </c>
      <c r="E348" s="50"/>
      <c r="F348" s="51"/>
      <c r="G348" s="63"/>
      <c r="H348" s="49" t="s">
        <v>75</v>
      </c>
      <c r="I348" s="133">
        <v>1</v>
      </c>
      <c r="J348" s="53"/>
      <c r="K348" s="53" t="s">
        <v>76</v>
      </c>
      <c r="L348" s="53" t="s">
        <v>77</v>
      </c>
      <c r="M348" s="54" t="s">
        <v>920</v>
      </c>
      <c r="N348" s="59" t="s">
        <v>76</v>
      </c>
      <c r="O348" s="49" t="s">
        <v>75</v>
      </c>
      <c r="P348" s="49" t="s">
        <v>76</v>
      </c>
      <c r="Q348" s="55" t="s">
        <v>76</v>
      </c>
      <c r="R348" s="56" t="s">
        <v>76</v>
      </c>
      <c r="S348" s="49" t="s">
        <v>76</v>
      </c>
      <c r="T348" s="122"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134"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2">
      <c r="A349" s="115" t="s">
        <v>1875</v>
      </c>
      <c r="B349" s="114" t="s">
        <v>1873</v>
      </c>
      <c r="C349" s="136"/>
      <c r="D349" s="49" t="s">
        <v>76</v>
      </c>
      <c r="E349" s="50"/>
      <c r="F349" s="51"/>
      <c r="G349" s="63"/>
      <c r="H349" s="49" t="s">
        <v>75</v>
      </c>
      <c r="I349" s="133">
        <v>1</v>
      </c>
      <c r="J349" s="53"/>
      <c r="K349" s="53" t="s">
        <v>76</v>
      </c>
      <c r="L349" s="53" t="s">
        <v>77</v>
      </c>
      <c r="M349" s="54" t="s">
        <v>920</v>
      </c>
      <c r="N349" s="59" t="s">
        <v>76</v>
      </c>
      <c r="O349" s="49" t="s">
        <v>75</v>
      </c>
      <c r="P349" s="49" t="s">
        <v>76</v>
      </c>
      <c r="Q349" s="55" t="s">
        <v>76</v>
      </c>
      <c r="R349" s="56" t="s">
        <v>76</v>
      </c>
      <c r="S349" s="49" t="s">
        <v>76</v>
      </c>
      <c r="T349" s="122"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134"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2">
      <c r="A350" s="115" t="s">
        <v>1875</v>
      </c>
      <c r="B350" s="114" t="s">
        <v>1873</v>
      </c>
      <c r="C350" s="136"/>
      <c r="D350" s="49" t="s">
        <v>76</v>
      </c>
      <c r="E350" s="50"/>
      <c r="F350" s="51"/>
      <c r="G350" s="63"/>
      <c r="H350" s="49" t="s">
        <v>75</v>
      </c>
      <c r="I350" s="133">
        <v>1</v>
      </c>
      <c r="J350" s="53"/>
      <c r="K350" s="53" t="s">
        <v>76</v>
      </c>
      <c r="L350" s="53" t="s">
        <v>77</v>
      </c>
      <c r="M350" s="54" t="s">
        <v>920</v>
      </c>
      <c r="N350" s="59" t="s">
        <v>76</v>
      </c>
      <c r="O350" s="49" t="s">
        <v>75</v>
      </c>
      <c r="P350" s="49" t="s">
        <v>76</v>
      </c>
      <c r="Q350" s="55" t="s">
        <v>76</v>
      </c>
      <c r="R350" s="56" t="s">
        <v>76</v>
      </c>
      <c r="S350" s="49" t="s">
        <v>76</v>
      </c>
      <c r="T350" s="122"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134"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2">
      <c r="A351" s="115" t="s">
        <v>1875</v>
      </c>
      <c r="B351" s="114" t="s">
        <v>1873</v>
      </c>
      <c r="C351" s="136"/>
      <c r="D351" s="49" t="s">
        <v>76</v>
      </c>
      <c r="E351" s="50"/>
      <c r="F351" s="51"/>
      <c r="G351" s="63"/>
      <c r="H351" s="49" t="s">
        <v>75</v>
      </c>
      <c r="I351" s="133">
        <v>1</v>
      </c>
      <c r="J351" s="53"/>
      <c r="K351" s="53" t="s">
        <v>76</v>
      </c>
      <c r="L351" s="53" t="s">
        <v>77</v>
      </c>
      <c r="M351" s="54" t="s">
        <v>920</v>
      </c>
      <c r="N351" s="59" t="s">
        <v>76</v>
      </c>
      <c r="O351" s="49" t="s">
        <v>75</v>
      </c>
      <c r="P351" s="49" t="s">
        <v>76</v>
      </c>
      <c r="Q351" s="55" t="s">
        <v>76</v>
      </c>
      <c r="R351" s="56" t="s">
        <v>76</v>
      </c>
      <c r="S351" s="49" t="s">
        <v>76</v>
      </c>
      <c r="T351" s="122"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134"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2">
      <c r="A352" s="115" t="s">
        <v>1875</v>
      </c>
      <c r="B352" s="114" t="s">
        <v>1873</v>
      </c>
      <c r="C352" s="136"/>
      <c r="D352" s="49" t="s">
        <v>76</v>
      </c>
      <c r="E352" s="50"/>
      <c r="F352" s="51"/>
      <c r="G352" s="63"/>
      <c r="H352" s="49" t="s">
        <v>75</v>
      </c>
      <c r="I352" s="133">
        <v>1</v>
      </c>
      <c r="J352" s="53"/>
      <c r="K352" s="53" t="s">
        <v>76</v>
      </c>
      <c r="L352" s="53" t="s">
        <v>77</v>
      </c>
      <c r="M352" s="54" t="s">
        <v>920</v>
      </c>
      <c r="N352" s="59" t="s">
        <v>76</v>
      </c>
      <c r="O352" s="49" t="s">
        <v>75</v>
      </c>
      <c r="P352" s="49" t="s">
        <v>76</v>
      </c>
      <c r="Q352" s="55" t="s">
        <v>76</v>
      </c>
      <c r="R352" s="56" t="s">
        <v>76</v>
      </c>
      <c r="S352" s="49" t="s">
        <v>76</v>
      </c>
      <c r="T352" s="122"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134"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2">
      <c r="A353" s="115" t="s">
        <v>1875</v>
      </c>
      <c r="B353" s="114" t="s">
        <v>1873</v>
      </c>
      <c r="C353" s="136"/>
      <c r="D353" s="49" t="s">
        <v>76</v>
      </c>
      <c r="E353" s="50"/>
      <c r="F353" s="51"/>
      <c r="G353" s="63"/>
      <c r="H353" s="49" t="s">
        <v>75</v>
      </c>
      <c r="I353" s="133">
        <v>1</v>
      </c>
      <c r="J353" s="53"/>
      <c r="K353" s="53" t="s">
        <v>76</v>
      </c>
      <c r="L353" s="53" t="s">
        <v>77</v>
      </c>
      <c r="M353" s="54" t="s">
        <v>920</v>
      </c>
      <c r="N353" s="59" t="s">
        <v>76</v>
      </c>
      <c r="O353" s="49" t="s">
        <v>75</v>
      </c>
      <c r="P353" s="49" t="s">
        <v>76</v>
      </c>
      <c r="Q353" s="55" t="s">
        <v>76</v>
      </c>
      <c r="R353" s="56" t="s">
        <v>76</v>
      </c>
      <c r="S353" s="49" t="s">
        <v>76</v>
      </c>
      <c r="T353" s="122"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134"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2">
      <c r="A354" s="115" t="s">
        <v>1875</v>
      </c>
      <c r="B354" s="114" t="s">
        <v>1873</v>
      </c>
      <c r="C354" s="136"/>
      <c r="D354" s="49" t="s">
        <v>76</v>
      </c>
      <c r="E354" s="50"/>
      <c r="F354" s="51"/>
      <c r="G354" s="63"/>
      <c r="H354" s="49" t="s">
        <v>75</v>
      </c>
      <c r="I354" s="133">
        <v>1</v>
      </c>
      <c r="J354" s="53"/>
      <c r="K354" s="53" t="s">
        <v>76</v>
      </c>
      <c r="L354" s="53" t="s">
        <v>77</v>
      </c>
      <c r="M354" s="54" t="s">
        <v>920</v>
      </c>
      <c r="N354" s="59" t="s">
        <v>76</v>
      </c>
      <c r="O354" s="49" t="s">
        <v>75</v>
      </c>
      <c r="P354" s="49" t="s">
        <v>76</v>
      </c>
      <c r="Q354" s="55" t="s">
        <v>76</v>
      </c>
      <c r="R354" s="56" t="s">
        <v>76</v>
      </c>
      <c r="S354" s="49" t="s">
        <v>76</v>
      </c>
      <c r="T354" s="122"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134"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2">
      <c r="A355" s="115" t="s">
        <v>1875</v>
      </c>
      <c r="B355" s="114" t="s">
        <v>1873</v>
      </c>
      <c r="C355" s="136"/>
      <c r="D355" s="49" t="s">
        <v>76</v>
      </c>
      <c r="E355" s="50"/>
      <c r="F355" s="51"/>
      <c r="G355" s="63"/>
      <c r="H355" s="49" t="s">
        <v>75</v>
      </c>
      <c r="I355" s="133">
        <v>1</v>
      </c>
      <c r="J355" s="53"/>
      <c r="K355" s="53" t="s">
        <v>76</v>
      </c>
      <c r="L355" s="53" t="s">
        <v>77</v>
      </c>
      <c r="M355" s="54" t="s">
        <v>920</v>
      </c>
      <c r="N355" s="59" t="s">
        <v>76</v>
      </c>
      <c r="O355" s="49" t="s">
        <v>75</v>
      </c>
      <c r="P355" s="49" t="s">
        <v>76</v>
      </c>
      <c r="Q355" s="55" t="s">
        <v>76</v>
      </c>
      <c r="R355" s="56" t="s">
        <v>76</v>
      </c>
      <c r="S355" s="49" t="s">
        <v>76</v>
      </c>
      <c r="T355" s="122"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134"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2">
      <c r="A356" s="115" t="s">
        <v>1875</v>
      </c>
      <c r="B356" s="114" t="s">
        <v>1873</v>
      </c>
      <c r="C356" s="136"/>
      <c r="D356" s="49" t="s">
        <v>76</v>
      </c>
      <c r="E356" s="50"/>
      <c r="F356" s="51"/>
      <c r="G356" s="63"/>
      <c r="H356" s="49" t="s">
        <v>75</v>
      </c>
      <c r="I356" s="133">
        <v>1</v>
      </c>
      <c r="J356" s="53"/>
      <c r="K356" s="53" t="s">
        <v>76</v>
      </c>
      <c r="L356" s="53" t="s">
        <v>77</v>
      </c>
      <c r="M356" s="54" t="s">
        <v>920</v>
      </c>
      <c r="N356" s="59" t="s">
        <v>76</v>
      </c>
      <c r="O356" s="49" t="s">
        <v>75</v>
      </c>
      <c r="P356" s="49" t="s">
        <v>76</v>
      </c>
      <c r="Q356" s="55" t="s">
        <v>76</v>
      </c>
      <c r="R356" s="56" t="s">
        <v>76</v>
      </c>
      <c r="S356" s="49" t="s">
        <v>76</v>
      </c>
      <c r="T356" s="122"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134"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2">
      <c r="A357" s="115" t="s">
        <v>1875</v>
      </c>
      <c r="B357" s="114" t="s">
        <v>1873</v>
      </c>
      <c r="C357" s="136"/>
      <c r="D357" s="49" t="s">
        <v>76</v>
      </c>
      <c r="E357" s="50"/>
      <c r="F357" s="51"/>
      <c r="G357" s="63"/>
      <c r="H357" s="49" t="s">
        <v>75</v>
      </c>
      <c r="I357" s="133">
        <v>1</v>
      </c>
      <c r="J357" s="53"/>
      <c r="K357" s="53" t="s">
        <v>76</v>
      </c>
      <c r="L357" s="53" t="s">
        <v>77</v>
      </c>
      <c r="M357" s="54" t="s">
        <v>920</v>
      </c>
      <c r="N357" s="59" t="s">
        <v>76</v>
      </c>
      <c r="O357" s="49" t="s">
        <v>75</v>
      </c>
      <c r="P357" s="49" t="s">
        <v>76</v>
      </c>
      <c r="Q357" s="55" t="s">
        <v>76</v>
      </c>
      <c r="R357" s="56" t="s">
        <v>76</v>
      </c>
      <c r="S357" s="49" t="s">
        <v>76</v>
      </c>
      <c r="T357" s="122"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134"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2">
      <c r="A358" s="115" t="s">
        <v>1875</v>
      </c>
      <c r="B358" s="114" t="s">
        <v>1873</v>
      </c>
      <c r="C358" s="136"/>
      <c r="D358" s="49" t="s">
        <v>76</v>
      </c>
      <c r="E358" s="50"/>
      <c r="F358" s="51"/>
      <c r="G358" s="63"/>
      <c r="H358" s="49" t="s">
        <v>75</v>
      </c>
      <c r="I358" s="133">
        <v>1</v>
      </c>
      <c r="J358" s="53"/>
      <c r="K358" s="53" t="s">
        <v>76</v>
      </c>
      <c r="L358" s="53" t="s">
        <v>77</v>
      </c>
      <c r="M358" s="54" t="s">
        <v>920</v>
      </c>
      <c r="N358" s="59" t="s">
        <v>76</v>
      </c>
      <c r="O358" s="49" t="s">
        <v>75</v>
      </c>
      <c r="P358" s="49" t="s">
        <v>76</v>
      </c>
      <c r="Q358" s="55" t="s">
        <v>76</v>
      </c>
      <c r="R358" s="56" t="s">
        <v>76</v>
      </c>
      <c r="S358" s="49" t="s">
        <v>76</v>
      </c>
      <c r="T358" s="122"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134"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2">
      <c r="A359" s="115" t="s">
        <v>1875</v>
      </c>
      <c r="B359" s="114" t="s">
        <v>1873</v>
      </c>
      <c r="C359" s="136"/>
      <c r="D359" s="49" t="s">
        <v>76</v>
      </c>
      <c r="E359" s="50"/>
      <c r="F359" s="51"/>
      <c r="G359" s="63"/>
      <c r="H359" s="49" t="s">
        <v>75</v>
      </c>
      <c r="I359" s="133">
        <v>1</v>
      </c>
      <c r="J359" s="53"/>
      <c r="K359" s="53" t="s">
        <v>76</v>
      </c>
      <c r="L359" s="53" t="s">
        <v>77</v>
      </c>
      <c r="M359" s="54" t="s">
        <v>920</v>
      </c>
      <c r="N359" s="59" t="s">
        <v>76</v>
      </c>
      <c r="O359" s="49" t="s">
        <v>75</v>
      </c>
      <c r="P359" s="49" t="s">
        <v>76</v>
      </c>
      <c r="Q359" s="55" t="s">
        <v>76</v>
      </c>
      <c r="R359" s="56" t="s">
        <v>76</v>
      </c>
      <c r="S359" s="49" t="s">
        <v>76</v>
      </c>
      <c r="T359" s="122"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134"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2">
      <c r="A360" s="115" t="s">
        <v>1875</v>
      </c>
      <c r="B360" s="114" t="s">
        <v>1873</v>
      </c>
      <c r="C360" s="136"/>
      <c r="D360" s="49" t="s">
        <v>76</v>
      </c>
      <c r="E360" s="50"/>
      <c r="F360" s="51"/>
      <c r="G360" s="63"/>
      <c r="H360" s="49" t="s">
        <v>75</v>
      </c>
      <c r="I360" s="133">
        <v>1</v>
      </c>
      <c r="J360" s="53"/>
      <c r="K360" s="53" t="s">
        <v>76</v>
      </c>
      <c r="L360" s="53" t="s">
        <v>77</v>
      </c>
      <c r="M360" s="54" t="s">
        <v>920</v>
      </c>
      <c r="N360" s="59" t="s">
        <v>76</v>
      </c>
      <c r="O360" s="49" t="s">
        <v>75</v>
      </c>
      <c r="P360" s="49" t="s">
        <v>76</v>
      </c>
      <c r="Q360" s="55" t="s">
        <v>76</v>
      </c>
      <c r="R360" s="56" t="s">
        <v>76</v>
      </c>
      <c r="S360" s="49" t="s">
        <v>76</v>
      </c>
      <c r="T360" s="122"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134"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2">
      <c r="A361" s="115" t="s">
        <v>1875</v>
      </c>
      <c r="B361" s="114" t="s">
        <v>1873</v>
      </c>
      <c r="C361" s="136"/>
      <c r="D361" s="49" t="s">
        <v>76</v>
      </c>
      <c r="E361" s="50"/>
      <c r="F361" s="51"/>
      <c r="G361" s="63"/>
      <c r="H361" s="49" t="s">
        <v>75</v>
      </c>
      <c r="I361" s="133">
        <v>1</v>
      </c>
      <c r="J361" s="53"/>
      <c r="K361" s="53" t="s">
        <v>76</v>
      </c>
      <c r="L361" s="53" t="s">
        <v>77</v>
      </c>
      <c r="M361" s="54" t="s">
        <v>920</v>
      </c>
      <c r="N361" s="59" t="s">
        <v>76</v>
      </c>
      <c r="O361" s="49" t="s">
        <v>75</v>
      </c>
      <c r="P361" s="49" t="s">
        <v>76</v>
      </c>
      <c r="Q361" s="55" t="s">
        <v>76</v>
      </c>
      <c r="R361" s="56" t="s">
        <v>76</v>
      </c>
      <c r="S361" s="49" t="s">
        <v>76</v>
      </c>
      <c r="T361" s="122"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134"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2">
      <c r="A362" s="115" t="s">
        <v>1875</v>
      </c>
      <c r="B362" s="114" t="s">
        <v>1873</v>
      </c>
      <c r="C362" s="136"/>
      <c r="D362" s="49" t="s">
        <v>76</v>
      </c>
      <c r="E362" s="50"/>
      <c r="F362" s="51"/>
      <c r="G362" s="63"/>
      <c r="H362" s="49" t="s">
        <v>75</v>
      </c>
      <c r="I362" s="133">
        <v>1</v>
      </c>
      <c r="J362" s="53"/>
      <c r="K362" s="53" t="s">
        <v>76</v>
      </c>
      <c r="L362" s="53" t="s">
        <v>77</v>
      </c>
      <c r="M362" s="54" t="s">
        <v>920</v>
      </c>
      <c r="N362" s="59" t="s">
        <v>76</v>
      </c>
      <c r="O362" s="49" t="s">
        <v>75</v>
      </c>
      <c r="P362" s="49" t="s">
        <v>76</v>
      </c>
      <c r="Q362" s="55" t="s">
        <v>76</v>
      </c>
      <c r="R362" s="56" t="s">
        <v>76</v>
      </c>
      <c r="S362" s="49" t="s">
        <v>76</v>
      </c>
      <c r="T362" s="122"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134"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2">
      <c r="A363" s="115" t="s">
        <v>1875</v>
      </c>
      <c r="B363" s="114" t="s">
        <v>1873</v>
      </c>
      <c r="C363" s="136"/>
      <c r="D363" s="49" t="s">
        <v>76</v>
      </c>
      <c r="E363" s="50"/>
      <c r="F363" s="51"/>
      <c r="G363" s="63"/>
      <c r="H363" s="49" t="s">
        <v>75</v>
      </c>
      <c r="I363" s="133">
        <v>1</v>
      </c>
      <c r="J363" s="53"/>
      <c r="K363" s="53" t="s">
        <v>76</v>
      </c>
      <c r="L363" s="53" t="s">
        <v>77</v>
      </c>
      <c r="M363" s="54" t="s">
        <v>920</v>
      </c>
      <c r="N363" s="59" t="s">
        <v>76</v>
      </c>
      <c r="O363" s="49" t="s">
        <v>75</v>
      </c>
      <c r="P363" s="49" t="s">
        <v>76</v>
      </c>
      <c r="Q363" s="55" t="s">
        <v>76</v>
      </c>
      <c r="R363" s="56" t="s">
        <v>76</v>
      </c>
      <c r="S363" s="49" t="s">
        <v>76</v>
      </c>
      <c r="T363" s="122"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134"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2">
      <c r="A364" s="115" t="s">
        <v>1875</v>
      </c>
      <c r="B364" s="114" t="s">
        <v>1873</v>
      </c>
      <c r="C364" s="136"/>
      <c r="D364" s="49" t="s">
        <v>76</v>
      </c>
      <c r="E364" s="50"/>
      <c r="F364" s="51"/>
      <c r="G364" s="63"/>
      <c r="H364" s="49" t="s">
        <v>75</v>
      </c>
      <c r="I364" s="133">
        <v>1</v>
      </c>
      <c r="J364" s="53"/>
      <c r="K364" s="53" t="s">
        <v>76</v>
      </c>
      <c r="L364" s="53" t="s">
        <v>77</v>
      </c>
      <c r="M364" s="54" t="s">
        <v>920</v>
      </c>
      <c r="N364" s="59" t="s">
        <v>76</v>
      </c>
      <c r="O364" s="49" t="s">
        <v>75</v>
      </c>
      <c r="P364" s="49" t="s">
        <v>76</v>
      </c>
      <c r="Q364" s="55" t="s">
        <v>76</v>
      </c>
      <c r="R364" s="56" t="s">
        <v>76</v>
      </c>
      <c r="S364" s="49" t="s">
        <v>76</v>
      </c>
      <c r="T364" s="122"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134"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2">
      <c r="A365" s="115" t="s">
        <v>1875</v>
      </c>
      <c r="B365" s="114" t="s">
        <v>1873</v>
      </c>
      <c r="C365" s="136"/>
      <c r="D365" s="49" t="s">
        <v>76</v>
      </c>
      <c r="E365" s="50"/>
      <c r="F365" s="51"/>
      <c r="G365" s="63"/>
      <c r="H365" s="49" t="s">
        <v>75</v>
      </c>
      <c r="I365" s="133">
        <v>1</v>
      </c>
      <c r="J365" s="53"/>
      <c r="K365" s="53" t="s">
        <v>76</v>
      </c>
      <c r="L365" s="53" t="s">
        <v>77</v>
      </c>
      <c r="M365" s="54" t="s">
        <v>920</v>
      </c>
      <c r="N365" s="59" t="s">
        <v>76</v>
      </c>
      <c r="O365" s="49" t="s">
        <v>75</v>
      </c>
      <c r="P365" s="49" t="s">
        <v>76</v>
      </c>
      <c r="Q365" s="55" t="s">
        <v>76</v>
      </c>
      <c r="R365" s="56" t="s">
        <v>76</v>
      </c>
      <c r="S365" s="49" t="s">
        <v>76</v>
      </c>
      <c r="T365" s="122"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134"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2">
      <c r="A366" s="115" t="s">
        <v>1875</v>
      </c>
      <c r="B366" s="114" t="s">
        <v>1873</v>
      </c>
      <c r="C366" s="136"/>
      <c r="D366" s="49" t="s">
        <v>76</v>
      </c>
      <c r="E366" s="50"/>
      <c r="F366" s="51"/>
      <c r="G366" s="63"/>
      <c r="H366" s="49" t="s">
        <v>75</v>
      </c>
      <c r="I366" s="133">
        <v>1</v>
      </c>
      <c r="J366" s="53"/>
      <c r="K366" s="53" t="s">
        <v>76</v>
      </c>
      <c r="L366" s="53" t="s">
        <v>77</v>
      </c>
      <c r="M366" s="54" t="s">
        <v>920</v>
      </c>
      <c r="N366" s="59" t="s">
        <v>76</v>
      </c>
      <c r="O366" s="49" t="s">
        <v>75</v>
      </c>
      <c r="P366" s="49" t="s">
        <v>76</v>
      </c>
      <c r="Q366" s="55" t="s">
        <v>76</v>
      </c>
      <c r="R366" s="56" t="s">
        <v>76</v>
      </c>
      <c r="S366" s="49" t="s">
        <v>76</v>
      </c>
      <c r="T366" s="122"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134"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2">
      <c r="A367" s="115" t="s">
        <v>1875</v>
      </c>
      <c r="B367" s="114" t="s">
        <v>1873</v>
      </c>
      <c r="C367" s="136"/>
      <c r="D367" s="49" t="s">
        <v>76</v>
      </c>
      <c r="E367" s="50"/>
      <c r="F367" s="51"/>
      <c r="G367" s="63"/>
      <c r="H367" s="49" t="s">
        <v>75</v>
      </c>
      <c r="I367" s="133">
        <v>1</v>
      </c>
      <c r="J367" s="53"/>
      <c r="K367" s="53" t="s">
        <v>76</v>
      </c>
      <c r="L367" s="53" t="s">
        <v>77</v>
      </c>
      <c r="M367" s="54" t="s">
        <v>920</v>
      </c>
      <c r="N367" s="59" t="s">
        <v>76</v>
      </c>
      <c r="O367" s="49" t="s">
        <v>75</v>
      </c>
      <c r="P367" s="49" t="s">
        <v>76</v>
      </c>
      <c r="Q367" s="55" t="s">
        <v>76</v>
      </c>
      <c r="R367" s="56" t="s">
        <v>76</v>
      </c>
      <c r="S367" s="49" t="s">
        <v>76</v>
      </c>
      <c r="T367" s="122"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134"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2">
      <c r="A368" s="115" t="s">
        <v>1875</v>
      </c>
      <c r="B368" s="114" t="s">
        <v>1873</v>
      </c>
      <c r="C368" s="136"/>
      <c r="D368" s="49" t="s">
        <v>76</v>
      </c>
      <c r="E368" s="50"/>
      <c r="F368" s="51"/>
      <c r="G368" s="63"/>
      <c r="H368" s="49" t="s">
        <v>75</v>
      </c>
      <c r="I368" s="133">
        <v>1</v>
      </c>
      <c r="J368" s="53"/>
      <c r="K368" s="53" t="s">
        <v>76</v>
      </c>
      <c r="L368" s="53" t="s">
        <v>77</v>
      </c>
      <c r="M368" s="54" t="s">
        <v>920</v>
      </c>
      <c r="N368" s="59" t="s">
        <v>76</v>
      </c>
      <c r="O368" s="49" t="s">
        <v>75</v>
      </c>
      <c r="P368" s="49" t="s">
        <v>76</v>
      </c>
      <c r="Q368" s="55" t="s">
        <v>76</v>
      </c>
      <c r="R368" s="56" t="s">
        <v>76</v>
      </c>
      <c r="S368" s="49" t="s">
        <v>76</v>
      </c>
      <c r="T368" s="122"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134"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2">
      <c r="A369" s="115" t="s">
        <v>1875</v>
      </c>
      <c r="B369" s="114" t="s">
        <v>1873</v>
      </c>
      <c r="C369" s="136"/>
      <c r="D369" s="49" t="s">
        <v>76</v>
      </c>
      <c r="E369" s="50"/>
      <c r="F369" s="51"/>
      <c r="G369" s="63"/>
      <c r="H369" s="49" t="s">
        <v>75</v>
      </c>
      <c r="I369" s="133">
        <v>1</v>
      </c>
      <c r="J369" s="53"/>
      <c r="K369" s="53" t="s">
        <v>76</v>
      </c>
      <c r="L369" s="53" t="s">
        <v>77</v>
      </c>
      <c r="M369" s="54" t="s">
        <v>920</v>
      </c>
      <c r="N369" s="59" t="s">
        <v>76</v>
      </c>
      <c r="O369" s="49" t="s">
        <v>75</v>
      </c>
      <c r="P369" s="49" t="s">
        <v>76</v>
      </c>
      <c r="Q369" s="55" t="s">
        <v>76</v>
      </c>
      <c r="R369" s="56" t="s">
        <v>76</v>
      </c>
      <c r="S369" s="49" t="s">
        <v>76</v>
      </c>
      <c r="T369" s="122"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134"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2">
      <c r="A370" s="115" t="s">
        <v>1875</v>
      </c>
      <c r="B370" s="114" t="s">
        <v>1873</v>
      </c>
      <c r="C370" s="136"/>
      <c r="D370" s="49" t="s">
        <v>76</v>
      </c>
      <c r="E370" s="50"/>
      <c r="F370" s="51"/>
      <c r="G370" s="63"/>
      <c r="H370" s="49" t="s">
        <v>75</v>
      </c>
      <c r="I370" s="133">
        <v>1</v>
      </c>
      <c r="J370" s="53"/>
      <c r="K370" s="53" t="s">
        <v>76</v>
      </c>
      <c r="L370" s="53" t="s">
        <v>77</v>
      </c>
      <c r="M370" s="54" t="s">
        <v>920</v>
      </c>
      <c r="N370" s="59" t="s">
        <v>76</v>
      </c>
      <c r="O370" s="49" t="s">
        <v>75</v>
      </c>
      <c r="P370" s="49" t="s">
        <v>76</v>
      </c>
      <c r="Q370" s="55" t="s">
        <v>76</v>
      </c>
      <c r="R370" s="56" t="s">
        <v>76</v>
      </c>
      <c r="S370" s="49" t="s">
        <v>76</v>
      </c>
      <c r="T370" s="122"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134"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2">
      <c r="A371" s="115" t="s">
        <v>1875</v>
      </c>
      <c r="B371" s="114" t="s">
        <v>1873</v>
      </c>
      <c r="C371" s="136"/>
      <c r="D371" s="49" t="s">
        <v>76</v>
      </c>
      <c r="E371" s="50"/>
      <c r="F371" s="51"/>
      <c r="G371" s="63"/>
      <c r="H371" s="49" t="s">
        <v>75</v>
      </c>
      <c r="I371" s="133">
        <v>1</v>
      </c>
      <c r="J371" s="53"/>
      <c r="K371" s="53" t="s">
        <v>76</v>
      </c>
      <c r="L371" s="53" t="s">
        <v>77</v>
      </c>
      <c r="M371" s="54" t="s">
        <v>920</v>
      </c>
      <c r="N371" s="59" t="s">
        <v>76</v>
      </c>
      <c r="O371" s="49" t="s">
        <v>75</v>
      </c>
      <c r="P371" s="49" t="s">
        <v>76</v>
      </c>
      <c r="Q371" s="55" t="s">
        <v>76</v>
      </c>
      <c r="R371" s="56" t="s">
        <v>76</v>
      </c>
      <c r="S371" s="49" t="s">
        <v>76</v>
      </c>
      <c r="T371" s="122"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134"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2">
      <c r="A372" s="115" t="s">
        <v>1875</v>
      </c>
      <c r="B372" s="114" t="s">
        <v>1873</v>
      </c>
      <c r="C372" s="136"/>
      <c r="D372" s="49" t="s">
        <v>76</v>
      </c>
      <c r="E372" s="50"/>
      <c r="F372" s="51"/>
      <c r="G372" s="63"/>
      <c r="H372" s="49" t="s">
        <v>75</v>
      </c>
      <c r="I372" s="133">
        <v>1</v>
      </c>
      <c r="J372" s="53"/>
      <c r="K372" s="53" t="s">
        <v>76</v>
      </c>
      <c r="L372" s="53" t="s">
        <v>77</v>
      </c>
      <c r="M372" s="54" t="s">
        <v>920</v>
      </c>
      <c r="N372" s="59" t="s">
        <v>76</v>
      </c>
      <c r="O372" s="49" t="s">
        <v>75</v>
      </c>
      <c r="P372" s="49" t="s">
        <v>76</v>
      </c>
      <c r="Q372" s="55" t="s">
        <v>76</v>
      </c>
      <c r="R372" s="56" t="s">
        <v>76</v>
      </c>
      <c r="S372" s="49" t="s">
        <v>76</v>
      </c>
      <c r="T372" s="122"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134"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2">
      <c r="A373" s="115" t="s">
        <v>1875</v>
      </c>
      <c r="B373" s="114" t="s">
        <v>1873</v>
      </c>
      <c r="C373" s="136"/>
      <c r="D373" s="49" t="s">
        <v>76</v>
      </c>
      <c r="E373" s="50"/>
      <c r="F373" s="51"/>
      <c r="G373" s="63"/>
      <c r="H373" s="49" t="s">
        <v>75</v>
      </c>
      <c r="I373" s="133">
        <v>1</v>
      </c>
      <c r="J373" s="53"/>
      <c r="K373" s="53" t="s">
        <v>76</v>
      </c>
      <c r="L373" s="53" t="s">
        <v>77</v>
      </c>
      <c r="M373" s="54" t="s">
        <v>920</v>
      </c>
      <c r="N373" s="59" t="s">
        <v>76</v>
      </c>
      <c r="O373" s="49" t="s">
        <v>75</v>
      </c>
      <c r="P373" s="49" t="s">
        <v>76</v>
      </c>
      <c r="Q373" s="55" t="s">
        <v>76</v>
      </c>
      <c r="R373" s="56" t="s">
        <v>76</v>
      </c>
      <c r="S373" s="49" t="s">
        <v>76</v>
      </c>
      <c r="T373" s="122"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134"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2">
      <c r="A374" s="115" t="s">
        <v>1875</v>
      </c>
      <c r="B374" s="114" t="s">
        <v>1873</v>
      </c>
      <c r="C374" s="136"/>
      <c r="D374" s="49" t="s">
        <v>76</v>
      </c>
      <c r="E374" s="50"/>
      <c r="F374" s="51"/>
      <c r="G374" s="63"/>
      <c r="H374" s="49" t="s">
        <v>75</v>
      </c>
      <c r="I374" s="133">
        <v>1</v>
      </c>
      <c r="J374" s="53"/>
      <c r="K374" s="53" t="s">
        <v>76</v>
      </c>
      <c r="L374" s="53" t="s">
        <v>77</v>
      </c>
      <c r="M374" s="54" t="s">
        <v>920</v>
      </c>
      <c r="N374" s="59" t="s">
        <v>76</v>
      </c>
      <c r="O374" s="49" t="s">
        <v>75</v>
      </c>
      <c r="P374" s="49" t="s">
        <v>76</v>
      </c>
      <c r="Q374" s="55" t="s">
        <v>76</v>
      </c>
      <c r="R374" s="56" t="s">
        <v>76</v>
      </c>
      <c r="S374" s="49" t="s">
        <v>76</v>
      </c>
      <c r="T374" s="122"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134"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2">
      <c r="A375" s="115" t="s">
        <v>1875</v>
      </c>
      <c r="B375" s="114" t="s">
        <v>1873</v>
      </c>
      <c r="C375" s="136"/>
      <c r="D375" s="49" t="s">
        <v>76</v>
      </c>
      <c r="E375" s="50"/>
      <c r="F375" s="51"/>
      <c r="G375" s="63"/>
      <c r="H375" s="49" t="s">
        <v>75</v>
      </c>
      <c r="I375" s="133">
        <v>1</v>
      </c>
      <c r="J375" s="53"/>
      <c r="K375" s="53" t="s">
        <v>76</v>
      </c>
      <c r="L375" s="53" t="s">
        <v>77</v>
      </c>
      <c r="M375" s="54" t="s">
        <v>920</v>
      </c>
      <c r="N375" s="59" t="s">
        <v>76</v>
      </c>
      <c r="O375" s="49" t="s">
        <v>75</v>
      </c>
      <c r="P375" s="49" t="s">
        <v>76</v>
      </c>
      <c r="Q375" s="55" t="s">
        <v>76</v>
      </c>
      <c r="R375" s="56" t="s">
        <v>76</v>
      </c>
      <c r="S375" s="49" t="s">
        <v>76</v>
      </c>
      <c r="T375" s="122"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134"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2">
      <c r="A376" s="115" t="s">
        <v>1875</v>
      </c>
      <c r="B376" s="114" t="s">
        <v>1873</v>
      </c>
      <c r="C376" s="136"/>
      <c r="D376" s="49" t="s">
        <v>76</v>
      </c>
      <c r="E376" s="50"/>
      <c r="F376" s="51"/>
      <c r="G376" s="63"/>
      <c r="H376" s="49" t="s">
        <v>75</v>
      </c>
      <c r="I376" s="133">
        <v>1</v>
      </c>
      <c r="J376" s="53"/>
      <c r="K376" s="53" t="s">
        <v>76</v>
      </c>
      <c r="L376" s="53" t="s">
        <v>77</v>
      </c>
      <c r="M376" s="54" t="s">
        <v>920</v>
      </c>
      <c r="N376" s="59" t="s">
        <v>76</v>
      </c>
      <c r="O376" s="49" t="s">
        <v>75</v>
      </c>
      <c r="P376" s="49" t="s">
        <v>76</v>
      </c>
      <c r="Q376" s="55" t="s">
        <v>76</v>
      </c>
      <c r="R376" s="56" t="s">
        <v>76</v>
      </c>
      <c r="S376" s="49" t="s">
        <v>76</v>
      </c>
      <c r="T376" s="122"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134"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2">
      <c r="A377" s="115" t="s">
        <v>1875</v>
      </c>
      <c r="B377" s="114" t="s">
        <v>1873</v>
      </c>
      <c r="C377" s="136"/>
      <c r="D377" s="49" t="s">
        <v>76</v>
      </c>
      <c r="E377" s="50"/>
      <c r="F377" s="51"/>
      <c r="G377" s="63"/>
      <c r="H377" s="49" t="s">
        <v>75</v>
      </c>
      <c r="I377" s="133">
        <v>1</v>
      </c>
      <c r="J377" s="53"/>
      <c r="K377" s="53" t="s">
        <v>76</v>
      </c>
      <c r="L377" s="53" t="s">
        <v>77</v>
      </c>
      <c r="M377" s="54" t="s">
        <v>920</v>
      </c>
      <c r="N377" s="59" t="s">
        <v>76</v>
      </c>
      <c r="O377" s="49" t="s">
        <v>75</v>
      </c>
      <c r="P377" s="49" t="s">
        <v>76</v>
      </c>
      <c r="Q377" s="55" t="s">
        <v>76</v>
      </c>
      <c r="R377" s="56" t="s">
        <v>76</v>
      </c>
      <c r="S377" s="49" t="s">
        <v>76</v>
      </c>
      <c r="T377" s="122"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134"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2">
      <c r="A378" s="115" t="s">
        <v>1875</v>
      </c>
      <c r="B378" s="114" t="s">
        <v>1873</v>
      </c>
      <c r="C378" s="136"/>
      <c r="D378" s="49" t="s">
        <v>76</v>
      </c>
      <c r="E378" s="50"/>
      <c r="F378" s="51"/>
      <c r="G378" s="63"/>
      <c r="H378" s="49" t="s">
        <v>75</v>
      </c>
      <c r="I378" s="133">
        <v>1</v>
      </c>
      <c r="J378" s="53"/>
      <c r="K378" s="53" t="s">
        <v>76</v>
      </c>
      <c r="L378" s="53" t="s">
        <v>77</v>
      </c>
      <c r="M378" s="54" t="s">
        <v>920</v>
      </c>
      <c r="N378" s="59" t="s">
        <v>76</v>
      </c>
      <c r="O378" s="49" t="s">
        <v>75</v>
      </c>
      <c r="P378" s="49" t="s">
        <v>76</v>
      </c>
      <c r="Q378" s="55" t="s">
        <v>76</v>
      </c>
      <c r="R378" s="56" t="s">
        <v>76</v>
      </c>
      <c r="S378" s="49" t="s">
        <v>76</v>
      </c>
      <c r="T378" s="122"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134"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2">
      <c r="A379" s="115" t="s">
        <v>1875</v>
      </c>
      <c r="B379" s="114" t="s">
        <v>1873</v>
      </c>
      <c r="C379" s="136"/>
      <c r="D379" s="49" t="s">
        <v>76</v>
      </c>
      <c r="E379" s="50"/>
      <c r="F379" s="51"/>
      <c r="G379" s="63"/>
      <c r="H379" s="49" t="s">
        <v>75</v>
      </c>
      <c r="I379" s="133">
        <v>1</v>
      </c>
      <c r="J379" s="53"/>
      <c r="K379" s="53" t="s">
        <v>76</v>
      </c>
      <c r="L379" s="53" t="s">
        <v>77</v>
      </c>
      <c r="M379" s="54" t="s">
        <v>920</v>
      </c>
      <c r="N379" s="59" t="s">
        <v>76</v>
      </c>
      <c r="O379" s="49" t="s">
        <v>75</v>
      </c>
      <c r="P379" s="49" t="s">
        <v>76</v>
      </c>
      <c r="Q379" s="55" t="s">
        <v>76</v>
      </c>
      <c r="R379" s="56" t="s">
        <v>76</v>
      </c>
      <c r="S379" s="49" t="s">
        <v>76</v>
      </c>
      <c r="T379" s="122"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134"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2">
      <c r="A380" s="115" t="s">
        <v>1875</v>
      </c>
      <c r="B380" s="114" t="s">
        <v>1873</v>
      </c>
      <c r="C380" s="136"/>
      <c r="D380" s="49" t="s">
        <v>76</v>
      </c>
      <c r="E380" s="50"/>
      <c r="F380" s="51"/>
      <c r="G380" s="63"/>
      <c r="H380" s="49" t="s">
        <v>75</v>
      </c>
      <c r="I380" s="133">
        <v>1</v>
      </c>
      <c r="J380" s="53"/>
      <c r="K380" s="53" t="s">
        <v>76</v>
      </c>
      <c r="L380" s="53" t="s">
        <v>77</v>
      </c>
      <c r="M380" s="54" t="s">
        <v>920</v>
      </c>
      <c r="N380" s="59" t="s">
        <v>76</v>
      </c>
      <c r="O380" s="49" t="s">
        <v>75</v>
      </c>
      <c r="P380" s="49" t="s">
        <v>76</v>
      </c>
      <c r="Q380" s="55" t="s">
        <v>76</v>
      </c>
      <c r="R380" s="56" t="s">
        <v>76</v>
      </c>
      <c r="S380" s="49" t="s">
        <v>76</v>
      </c>
      <c r="T380" s="122"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134"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2">
      <c r="A381" s="115" t="s">
        <v>1875</v>
      </c>
      <c r="B381" s="114" t="s">
        <v>1873</v>
      </c>
      <c r="C381" s="136"/>
      <c r="D381" s="49" t="s">
        <v>76</v>
      </c>
      <c r="E381" s="50"/>
      <c r="F381" s="51"/>
      <c r="G381" s="63"/>
      <c r="H381" s="49" t="s">
        <v>75</v>
      </c>
      <c r="I381" s="133">
        <v>1</v>
      </c>
      <c r="J381" s="53"/>
      <c r="K381" s="53" t="s">
        <v>76</v>
      </c>
      <c r="L381" s="53" t="s">
        <v>77</v>
      </c>
      <c r="M381" s="54" t="s">
        <v>920</v>
      </c>
      <c r="N381" s="59" t="s">
        <v>76</v>
      </c>
      <c r="O381" s="49" t="s">
        <v>75</v>
      </c>
      <c r="P381" s="49" t="s">
        <v>76</v>
      </c>
      <c r="Q381" s="55" t="s">
        <v>76</v>
      </c>
      <c r="R381" s="56" t="s">
        <v>76</v>
      </c>
      <c r="S381" s="49" t="s">
        <v>76</v>
      </c>
      <c r="T381" s="122"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134"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2">
      <c r="A382" s="115" t="s">
        <v>1875</v>
      </c>
      <c r="B382" s="114" t="s">
        <v>1873</v>
      </c>
      <c r="C382" s="136"/>
      <c r="D382" s="49" t="s">
        <v>76</v>
      </c>
      <c r="E382" s="50"/>
      <c r="F382" s="51"/>
      <c r="G382" s="63"/>
      <c r="H382" s="49" t="s">
        <v>75</v>
      </c>
      <c r="I382" s="133">
        <v>1</v>
      </c>
      <c r="J382" s="53"/>
      <c r="K382" s="53" t="s">
        <v>76</v>
      </c>
      <c r="L382" s="53" t="s">
        <v>77</v>
      </c>
      <c r="M382" s="54" t="s">
        <v>920</v>
      </c>
      <c r="N382" s="59" t="s">
        <v>76</v>
      </c>
      <c r="O382" s="49" t="s">
        <v>75</v>
      </c>
      <c r="P382" s="49" t="s">
        <v>76</v>
      </c>
      <c r="Q382" s="55" t="s">
        <v>76</v>
      </c>
      <c r="R382" s="56" t="s">
        <v>76</v>
      </c>
      <c r="S382" s="49" t="s">
        <v>76</v>
      </c>
      <c r="T382" s="122"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134"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2">
      <c r="A383" s="115" t="s">
        <v>1875</v>
      </c>
      <c r="B383" s="114" t="s">
        <v>1873</v>
      </c>
      <c r="C383" s="136"/>
      <c r="D383" s="49" t="s">
        <v>76</v>
      </c>
      <c r="E383" s="50"/>
      <c r="F383" s="51"/>
      <c r="G383" s="63"/>
      <c r="H383" s="49" t="s">
        <v>75</v>
      </c>
      <c r="I383" s="133">
        <v>1</v>
      </c>
      <c r="J383" s="53"/>
      <c r="K383" s="53" t="s">
        <v>76</v>
      </c>
      <c r="L383" s="53" t="s">
        <v>77</v>
      </c>
      <c r="M383" s="54" t="s">
        <v>920</v>
      </c>
      <c r="N383" s="59" t="s">
        <v>76</v>
      </c>
      <c r="O383" s="49" t="s">
        <v>75</v>
      </c>
      <c r="P383" s="49" t="s">
        <v>76</v>
      </c>
      <c r="Q383" s="55" t="s">
        <v>76</v>
      </c>
      <c r="R383" s="56" t="s">
        <v>76</v>
      </c>
      <c r="S383" s="49" t="s">
        <v>76</v>
      </c>
      <c r="T383" s="122"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134"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2">
      <c r="A384" s="115" t="s">
        <v>1875</v>
      </c>
      <c r="B384" s="114" t="s">
        <v>1873</v>
      </c>
      <c r="C384" s="136"/>
      <c r="D384" s="49" t="s">
        <v>76</v>
      </c>
      <c r="E384" s="50"/>
      <c r="F384" s="51"/>
      <c r="G384" s="63"/>
      <c r="H384" s="49" t="s">
        <v>75</v>
      </c>
      <c r="I384" s="133">
        <v>1</v>
      </c>
      <c r="J384" s="53"/>
      <c r="K384" s="53" t="s">
        <v>76</v>
      </c>
      <c r="L384" s="53" t="s">
        <v>77</v>
      </c>
      <c r="M384" s="54" t="s">
        <v>920</v>
      </c>
      <c r="N384" s="59" t="s">
        <v>76</v>
      </c>
      <c r="O384" s="49" t="s">
        <v>75</v>
      </c>
      <c r="P384" s="49" t="s">
        <v>76</v>
      </c>
      <c r="Q384" s="55" t="s">
        <v>76</v>
      </c>
      <c r="R384" s="56" t="s">
        <v>76</v>
      </c>
      <c r="S384" s="49" t="s">
        <v>76</v>
      </c>
      <c r="T384" s="122"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134"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2">
      <c r="A385" s="115" t="s">
        <v>1875</v>
      </c>
      <c r="B385" s="114" t="s">
        <v>1873</v>
      </c>
      <c r="C385" s="136"/>
      <c r="D385" s="49" t="s">
        <v>76</v>
      </c>
      <c r="E385" s="50"/>
      <c r="F385" s="51"/>
      <c r="G385" s="63"/>
      <c r="H385" s="49" t="s">
        <v>75</v>
      </c>
      <c r="I385" s="133">
        <v>1</v>
      </c>
      <c r="J385" s="53"/>
      <c r="K385" s="53" t="s">
        <v>76</v>
      </c>
      <c r="L385" s="53" t="s">
        <v>77</v>
      </c>
      <c r="M385" s="54" t="s">
        <v>920</v>
      </c>
      <c r="N385" s="59" t="s">
        <v>76</v>
      </c>
      <c r="O385" s="49" t="s">
        <v>75</v>
      </c>
      <c r="P385" s="49" t="s">
        <v>76</v>
      </c>
      <c r="Q385" s="55" t="s">
        <v>76</v>
      </c>
      <c r="R385" s="56" t="s">
        <v>76</v>
      </c>
      <c r="S385" s="49" t="s">
        <v>76</v>
      </c>
      <c r="T385" s="122"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134"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2">
      <c r="A386" s="115" t="s">
        <v>1875</v>
      </c>
      <c r="B386" s="114" t="s">
        <v>1873</v>
      </c>
      <c r="C386" s="136"/>
      <c r="D386" s="49" t="s">
        <v>76</v>
      </c>
      <c r="E386" s="50"/>
      <c r="F386" s="51"/>
      <c r="G386" s="63"/>
      <c r="H386" s="49" t="s">
        <v>75</v>
      </c>
      <c r="I386" s="133">
        <v>1</v>
      </c>
      <c r="J386" s="53"/>
      <c r="K386" s="53" t="s">
        <v>76</v>
      </c>
      <c r="L386" s="53" t="s">
        <v>77</v>
      </c>
      <c r="M386" s="54" t="s">
        <v>920</v>
      </c>
      <c r="N386" s="59" t="s">
        <v>76</v>
      </c>
      <c r="O386" s="49" t="s">
        <v>75</v>
      </c>
      <c r="P386" s="49" t="s">
        <v>76</v>
      </c>
      <c r="Q386" s="55" t="s">
        <v>76</v>
      </c>
      <c r="R386" s="56" t="s">
        <v>76</v>
      </c>
      <c r="S386" s="49" t="s">
        <v>76</v>
      </c>
      <c r="T386" s="122"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134"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2">
      <c r="A387" s="115" t="s">
        <v>1875</v>
      </c>
      <c r="B387" s="114" t="s">
        <v>1873</v>
      </c>
      <c r="C387" s="136"/>
      <c r="D387" s="49" t="s">
        <v>76</v>
      </c>
      <c r="E387" s="50"/>
      <c r="F387" s="51"/>
      <c r="G387" s="63"/>
      <c r="H387" s="49" t="s">
        <v>75</v>
      </c>
      <c r="I387" s="133">
        <v>1</v>
      </c>
      <c r="J387" s="53"/>
      <c r="K387" s="53" t="s">
        <v>76</v>
      </c>
      <c r="L387" s="53" t="s">
        <v>77</v>
      </c>
      <c r="M387" s="54" t="s">
        <v>920</v>
      </c>
      <c r="N387" s="59" t="s">
        <v>76</v>
      </c>
      <c r="O387" s="49" t="s">
        <v>75</v>
      </c>
      <c r="P387" s="49" t="s">
        <v>76</v>
      </c>
      <c r="Q387" s="55" t="s">
        <v>76</v>
      </c>
      <c r="R387" s="56" t="s">
        <v>76</v>
      </c>
      <c r="S387" s="49" t="s">
        <v>76</v>
      </c>
      <c r="T387" s="122"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134"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2">
      <c r="A388" s="115" t="s">
        <v>1875</v>
      </c>
      <c r="B388" s="114" t="s">
        <v>1873</v>
      </c>
      <c r="C388" s="136"/>
      <c r="D388" s="49" t="s">
        <v>76</v>
      </c>
      <c r="E388" s="50"/>
      <c r="F388" s="51"/>
      <c r="G388" s="63"/>
      <c r="H388" s="49" t="s">
        <v>75</v>
      </c>
      <c r="I388" s="133">
        <v>1</v>
      </c>
      <c r="J388" s="53"/>
      <c r="K388" s="53" t="s">
        <v>76</v>
      </c>
      <c r="L388" s="53" t="s">
        <v>77</v>
      </c>
      <c r="M388" s="54" t="s">
        <v>920</v>
      </c>
      <c r="N388" s="59" t="s">
        <v>76</v>
      </c>
      <c r="O388" s="49" t="s">
        <v>75</v>
      </c>
      <c r="P388" s="49" t="s">
        <v>76</v>
      </c>
      <c r="Q388" s="55" t="s">
        <v>76</v>
      </c>
      <c r="R388" s="56" t="s">
        <v>76</v>
      </c>
      <c r="S388" s="49" t="s">
        <v>76</v>
      </c>
      <c r="T388" s="122"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134"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2">
      <c r="A389" s="115" t="s">
        <v>1875</v>
      </c>
      <c r="B389" s="114" t="s">
        <v>1873</v>
      </c>
      <c r="C389" s="136"/>
      <c r="D389" s="49" t="s">
        <v>76</v>
      </c>
      <c r="E389" s="50"/>
      <c r="F389" s="51"/>
      <c r="G389" s="63"/>
      <c r="H389" s="49" t="s">
        <v>75</v>
      </c>
      <c r="I389" s="133">
        <v>1</v>
      </c>
      <c r="J389" s="53"/>
      <c r="K389" s="53" t="s">
        <v>76</v>
      </c>
      <c r="L389" s="53" t="s">
        <v>77</v>
      </c>
      <c r="M389" s="54" t="s">
        <v>920</v>
      </c>
      <c r="N389" s="59" t="s">
        <v>76</v>
      </c>
      <c r="O389" s="49" t="s">
        <v>75</v>
      </c>
      <c r="P389" s="49" t="s">
        <v>76</v>
      </c>
      <c r="Q389" s="55" t="s">
        <v>76</v>
      </c>
      <c r="R389" s="56" t="s">
        <v>76</v>
      </c>
      <c r="S389" s="49" t="s">
        <v>76</v>
      </c>
      <c r="T389" s="122"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134"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2">
      <c r="A390" s="115" t="s">
        <v>1875</v>
      </c>
      <c r="B390" s="114" t="s">
        <v>1873</v>
      </c>
      <c r="C390" s="136"/>
      <c r="D390" s="49" t="s">
        <v>76</v>
      </c>
      <c r="E390" s="50"/>
      <c r="F390" s="51"/>
      <c r="G390" s="63"/>
      <c r="H390" s="49" t="s">
        <v>75</v>
      </c>
      <c r="I390" s="133">
        <v>1</v>
      </c>
      <c r="J390" s="53"/>
      <c r="K390" s="53" t="s">
        <v>76</v>
      </c>
      <c r="L390" s="53" t="s">
        <v>77</v>
      </c>
      <c r="M390" s="54" t="s">
        <v>920</v>
      </c>
      <c r="N390" s="59" t="s">
        <v>76</v>
      </c>
      <c r="O390" s="49" t="s">
        <v>75</v>
      </c>
      <c r="P390" s="49" t="s">
        <v>76</v>
      </c>
      <c r="Q390" s="55" t="s">
        <v>76</v>
      </c>
      <c r="R390" s="56" t="s">
        <v>76</v>
      </c>
      <c r="S390" s="49" t="s">
        <v>76</v>
      </c>
      <c r="T390" s="122"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134"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2">
      <c r="A391" s="115" t="s">
        <v>1875</v>
      </c>
      <c r="B391" s="114" t="s">
        <v>1873</v>
      </c>
      <c r="C391" s="136"/>
      <c r="D391" s="49" t="s">
        <v>76</v>
      </c>
      <c r="E391" s="50"/>
      <c r="F391" s="51"/>
      <c r="G391" s="63"/>
      <c r="H391" s="49" t="s">
        <v>75</v>
      </c>
      <c r="I391" s="133">
        <v>1</v>
      </c>
      <c r="J391" s="53"/>
      <c r="K391" s="53" t="s">
        <v>76</v>
      </c>
      <c r="L391" s="53" t="s">
        <v>77</v>
      </c>
      <c r="M391" s="54" t="s">
        <v>920</v>
      </c>
      <c r="N391" s="59" t="s">
        <v>76</v>
      </c>
      <c r="O391" s="49" t="s">
        <v>75</v>
      </c>
      <c r="P391" s="49" t="s">
        <v>76</v>
      </c>
      <c r="Q391" s="55" t="s">
        <v>76</v>
      </c>
      <c r="R391" s="56" t="s">
        <v>76</v>
      </c>
      <c r="S391" s="49" t="s">
        <v>76</v>
      </c>
      <c r="T391" s="122"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134"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2">
      <c r="A392" s="115" t="s">
        <v>1875</v>
      </c>
      <c r="B392" s="114" t="s">
        <v>1873</v>
      </c>
      <c r="C392" s="136"/>
      <c r="D392" s="49" t="s">
        <v>76</v>
      </c>
      <c r="E392" s="50"/>
      <c r="F392" s="51"/>
      <c r="G392" s="63"/>
      <c r="H392" s="49" t="s">
        <v>75</v>
      </c>
      <c r="I392" s="133">
        <v>1</v>
      </c>
      <c r="J392" s="53"/>
      <c r="K392" s="53" t="s">
        <v>76</v>
      </c>
      <c r="L392" s="53" t="s">
        <v>77</v>
      </c>
      <c r="M392" s="54" t="s">
        <v>920</v>
      </c>
      <c r="N392" s="59" t="s">
        <v>76</v>
      </c>
      <c r="O392" s="49" t="s">
        <v>75</v>
      </c>
      <c r="P392" s="49" t="s">
        <v>76</v>
      </c>
      <c r="Q392" s="55" t="s">
        <v>76</v>
      </c>
      <c r="R392" s="56" t="s">
        <v>76</v>
      </c>
      <c r="S392" s="49" t="s">
        <v>76</v>
      </c>
      <c r="T392" s="122"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134"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2">
      <c r="A393" s="115" t="s">
        <v>1875</v>
      </c>
      <c r="B393" s="114" t="s">
        <v>1873</v>
      </c>
      <c r="C393" s="136"/>
      <c r="D393" s="49" t="s">
        <v>76</v>
      </c>
      <c r="E393" s="50"/>
      <c r="F393" s="51"/>
      <c r="G393" s="63"/>
      <c r="H393" s="49" t="s">
        <v>75</v>
      </c>
      <c r="I393" s="133">
        <v>1</v>
      </c>
      <c r="J393" s="53"/>
      <c r="K393" s="53" t="s">
        <v>76</v>
      </c>
      <c r="L393" s="53" t="s">
        <v>77</v>
      </c>
      <c r="M393" s="54" t="s">
        <v>920</v>
      </c>
      <c r="N393" s="59" t="s">
        <v>76</v>
      </c>
      <c r="O393" s="49" t="s">
        <v>75</v>
      </c>
      <c r="P393" s="49" t="s">
        <v>76</v>
      </c>
      <c r="Q393" s="55" t="s">
        <v>76</v>
      </c>
      <c r="R393" s="56" t="s">
        <v>76</v>
      </c>
      <c r="S393" s="49" t="s">
        <v>76</v>
      </c>
      <c r="T393" s="122"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134"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2">
      <c r="A394" s="115" t="s">
        <v>1875</v>
      </c>
      <c r="B394" s="114" t="s">
        <v>1873</v>
      </c>
      <c r="C394" s="136"/>
      <c r="D394" s="49" t="s">
        <v>76</v>
      </c>
      <c r="E394" s="50"/>
      <c r="F394" s="51"/>
      <c r="G394" s="63"/>
      <c r="H394" s="49" t="s">
        <v>75</v>
      </c>
      <c r="I394" s="133">
        <v>1</v>
      </c>
      <c r="J394" s="53"/>
      <c r="K394" s="53" t="s">
        <v>76</v>
      </c>
      <c r="L394" s="53" t="s">
        <v>77</v>
      </c>
      <c r="M394" s="54" t="s">
        <v>920</v>
      </c>
      <c r="N394" s="59" t="s">
        <v>76</v>
      </c>
      <c r="O394" s="49" t="s">
        <v>75</v>
      </c>
      <c r="P394" s="49" t="s">
        <v>76</v>
      </c>
      <c r="Q394" s="55" t="s">
        <v>76</v>
      </c>
      <c r="R394" s="56" t="s">
        <v>76</v>
      </c>
      <c r="S394" s="49" t="s">
        <v>76</v>
      </c>
      <c r="T394" s="122"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134"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2">
      <c r="A395" s="115" t="s">
        <v>1875</v>
      </c>
      <c r="B395" s="114" t="s">
        <v>1873</v>
      </c>
      <c r="C395" s="136"/>
      <c r="D395" s="49" t="s">
        <v>76</v>
      </c>
      <c r="E395" s="50"/>
      <c r="F395" s="51"/>
      <c r="G395" s="63"/>
      <c r="H395" s="49" t="s">
        <v>75</v>
      </c>
      <c r="I395" s="133">
        <v>1</v>
      </c>
      <c r="J395" s="53"/>
      <c r="K395" s="53" t="s">
        <v>76</v>
      </c>
      <c r="L395" s="53" t="s">
        <v>77</v>
      </c>
      <c r="M395" s="54" t="s">
        <v>920</v>
      </c>
      <c r="N395" s="59" t="s">
        <v>76</v>
      </c>
      <c r="O395" s="49" t="s">
        <v>75</v>
      </c>
      <c r="P395" s="49" t="s">
        <v>76</v>
      </c>
      <c r="Q395" s="55" t="s">
        <v>76</v>
      </c>
      <c r="R395" s="56" t="s">
        <v>76</v>
      </c>
      <c r="S395" s="49" t="s">
        <v>76</v>
      </c>
      <c r="T395" s="122"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134"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2">
      <c r="A396" s="115" t="s">
        <v>1875</v>
      </c>
      <c r="B396" s="114" t="s">
        <v>1873</v>
      </c>
      <c r="C396" s="136"/>
      <c r="D396" s="49" t="s">
        <v>76</v>
      </c>
      <c r="E396" s="50"/>
      <c r="F396" s="51"/>
      <c r="G396" s="63"/>
      <c r="H396" s="49" t="s">
        <v>75</v>
      </c>
      <c r="I396" s="133">
        <v>1</v>
      </c>
      <c r="J396" s="53"/>
      <c r="K396" s="53" t="s">
        <v>76</v>
      </c>
      <c r="L396" s="53" t="s">
        <v>77</v>
      </c>
      <c r="M396" s="54" t="s">
        <v>920</v>
      </c>
      <c r="N396" s="59" t="s">
        <v>76</v>
      </c>
      <c r="O396" s="49" t="s">
        <v>75</v>
      </c>
      <c r="P396" s="49" t="s">
        <v>76</v>
      </c>
      <c r="Q396" s="55" t="s">
        <v>76</v>
      </c>
      <c r="R396" s="56" t="s">
        <v>76</v>
      </c>
      <c r="S396" s="49" t="s">
        <v>76</v>
      </c>
      <c r="T396" s="122"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134"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2">
      <c r="A397" s="115" t="s">
        <v>1875</v>
      </c>
      <c r="B397" s="114" t="s">
        <v>1873</v>
      </c>
      <c r="C397" s="136"/>
      <c r="D397" s="49" t="s">
        <v>76</v>
      </c>
      <c r="E397" s="50"/>
      <c r="F397" s="51"/>
      <c r="G397" s="63"/>
      <c r="H397" s="49" t="s">
        <v>75</v>
      </c>
      <c r="I397" s="133">
        <v>1</v>
      </c>
      <c r="J397" s="53"/>
      <c r="K397" s="53" t="s">
        <v>76</v>
      </c>
      <c r="L397" s="53" t="s">
        <v>77</v>
      </c>
      <c r="M397" s="54" t="s">
        <v>920</v>
      </c>
      <c r="N397" s="59" t="s">
        <v>76</v>
      </c>
      <c r="O397" s="49" t="s">
        <v>75</v>
      </c>
      <c r="P397" s="49" t="s">
        <v>76</v>
      </c>
      <c r="Q397" s="55" t="s">
        <v>76</v>
      </c>
      <c r="R397" s="56" t="s">
        <v>76</v>
      </c>
      <c r="S397" s="49" t="s">
        <v>76</v>
      </c>
      <c r="T397" s="122"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134"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2">
      <c r="A398" s="115" t="s">
        <v>1875</v>
      </c>
      <c r="B398" s="114" t="s">
        <v>1873</v>
      </c>
      <c r="C398" s="136"/>
      <c r="D398" s="49" t="s">
        <v>76</v>
      </c>
      <c r="E398" s="50"/>
      <c r="F398" s="51"/>
      <c r="G398" s="63"/>
      <c r="H398" s="49" t="s">
        <v>75</v>
      </c>
      <c r="I398" s="133">
        <v>1</v>
      </c>
      <c r="J398" s="53"/>
      <c r="K398" s="53" t="s">
        <v>76</v>
      </c>
      <c r="L398" s="53" t="s">
        <v>77</v>
      </c>
      <c r="M398" s="54" t="s">
        <v>920</v>
      </c>
      <c r="N398" s="59" t="s">
        <v>76</v>
      </c>
      <c r="O398" s="49" t="s">
        <v>75</v>
      </c>
      <c r="P398" s="49" t="s">
        <v>76</v>
      </c>
      <c r="Q398" s="55" t="s">
        <v>76</v>
      </c>
      <c r="R398" s="56" t="s">
        <v>76</v>
      </c>
      <c r="S398" s="49" t="s">
        <v>76</v>
      </c>
      <c r="T398" s="122"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134"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2">
      <c r="A399" s="115" t="s">
        <v>1875</v>
      </c>
      <c r="B399" s="114" t="s">
        <v>1873</v>
      </c>
      <c r="C399" s="136"/>
      <c r="D399" s="49" t="s">
        <v>76</v>
      </c>
      <c r="E399" s="50"/>
      <c r="F399" s="51"/>
      <c r="G399" s="63"/>
      <c r="H399" s="49" t="s">
        <v>75</v>
      </c>
      <c r="I399" s="133">
        <v>1</v>
      </c>
      <c r="J399" s="53"/>
      <c r="K399" s="53" t="s">
        <v>76</v>
      </c>
      <c r="L399" s="53" t="s">
        <v>77</v>
      </c>
      <c r="M399" s="54" t="s">
        <v>920</v>
      </c>
      <c r="N399" s="59" t="s">
        <v>76</v>
      </c>
      <c r="O399" s="49" t="s">
        <v>75</v>
      </c>
      <c r="P399" s="49" t="s">
        <v>76</v>
      </c>
      <c r="Q399" s="55" t="s">
        <v>76</v>
      </c>
      <c r="R399" s="56" t="s">
        <v>76</v>
      </c>
      <c r="S399" s="49" t="s">
        <v>76</v>
      </c>
      <c r="T399" s="122"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134"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2">
      <c r="A400" s="115" t="s">
        <v>1875</v>
      </c>
      <c r="B400" s="114" t="s">
        <v>1873</v>
      </c>
      <c r="C400" s="136"/>
      <c r="D400" s="49" t="s">
        <v>76</v>
      </c>
      <c r="E400" s="50"/>
      <c r="F400" s="51"/>
      <c r="G400" s="63"/>
      <c r="H400" s="49" t="s">
        <v>75</v>
      </c>
      <c r="I400" s="133">
        <v>1</v>
      </c>
      <c r="J400" s="53"/>
      <c r="K400" s="53" t="s">
        <v>76</v>
      </c>
      <c r="L400" s="53" t="s">
        <v>77</v>
      </c>
      <c r="M400" s="54" t="s">
        <v>920</v>
      </c>
      <c r="N400" s="59" t="s">
        <v>76</v>
      </c>
      <c r="O400" s="49" t="s">
        <v>75</v>
      </c>
      <c r="P400" s="49" t="s">
        <v>76</v>
      </c>
      <c r="Q400" s="55" t="s">
        <v>76</v>
      </c>
      <c r="R400" s="56" t="s">
        <v>76</v>
      </c>
      <c r="S400" s="49" t="s">
        <v>76</v>
      </c>
      <c r="T400" s="122"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134"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2">
      <c r="A401" s="115" t="s">
        <v>1875</v>
      </c>
      <c r="B401" s="114" t="s">
        <v>1873</v>
      </c>
      <c r="C401" s="136"/>
      <c r="D401" s="49" t="s">
        <v>76</v>
      </c>
      <c r="E401" s="50"/>
      <c r="F401" s="51"/>
      <c r="G401" s="63"/>
      <c r="H401" s="49" t="s">
        <v>75</v>
      </c>
      <c r="I401" s="133">
        <v>1</v>
      </c>
      <c r="J401" s="53"/>
      <c r="K401" s="53" t="s">
        <v>76</v>
      </c>
      <c r="L401" s="53" t="s">
        <v>77</v>
      </c>
      <c r="M401" s="54" t="s">
        <v>920</v>
      </c>
      <c r="N401" s="59" t="s">
        <v>76</v>
      </c>
      <c r="O401" s="49" t="s">
        <v>75</v>
      </c>
      <c r="P401" s="49" t="s">
        <v>76</v>
      </c>
      <c r="Q401" s="55" t="s">
        <v>76</v>
      </c>
      <c r="R401" s="56" t="s">
        <v>76</v>
      </c>
      <c r="S401" s="49" t="s">
        <v>76</v>
      </c>
      <c r="T401" s="122"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134"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2">
      <c r="A402" s="115" t="s">
        <v>1875</v>
      </c>
      <c r="B402" s="114" t="s">
        <v>1873</v>
      </c>
      <c r="C402" s="136"/>
      <c r="D402" s="49" t="s">
        <v>76</v>
      </c>
      <c r="E402" s="50"/>
      <c r="F402" s="51"/>
      <c r="G402" s="63"/>
      <c r="H402" s="49" t="s">
        <v>75</v>
      </c>
      <c r="I402" s="133">
        <v>1</v>
      </c>
      <c r="J402" s="53"/>
      <c r="K402" s="53" t="s">
        <v>76</v>
      </c>
      <c r="L402" s="53" t="s">
        <v>77</v>
      </c>
      <c r="M402" s="54" t="s">
        <v>920</v>
      </c>
      <c r="N402" s="59" t="s">
        <v>76</v>
      </c>
      <c r="O402" s="49" t="s">
        <v>75</v>
      </c>
      <c r="P402" s="49" t="s">
        <v>76</v>
      </c>
      <c r="Q402" s="55" t="s">
        <v>76</v>
      </c>
      <c r="R402" s="56" t="s">
        <v>76</v>
      </c>
      <c r="S402" s="49" t="s">
        <v>76</v>
      </c>
      <c r="T402" s="122"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134"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2">
      <c r="A403" s="115" t="s">
        <v>1875</v>
      </c>
      <c r="B403" s="114" t="s">
        <v>1873</v>
      </c>
      <c r="C403" s="136"/>
      <c r="D403" s="49" t="s">
        <v>76</v>
      </c>
      <c r="E403" s="50"/>
      <c r="F403" s="51"/>
      <c r="G403" s="63"/>
      <c r="H403" s="49" t="s">
        <v>75</v>
      </c>
      <c r="I403" s="133">
        <v>1</v>
      </c>
      <c r="J403" s="53"/>
      <c r="K403" s="53" t="s">
        <v>76</v>
      </c>
      <c r="L403" s="53" t="s">
        <v>77</v>
      </c>
      <c r="M403" s="54" t="s">
        <v>920</v>
      </c>
      <c r="N403" s="59" t="s">
        <v>76</v>
      </c>
      <c r="O403" s="49" t="s">
        <v>75</v>
      </c>
      <c r="P403" s="49" t="s">
        <v>76</v>
      </c>
      <c r="Q403" s="55" t="s">
        <v>76</v>
      </c>
      <c r="R403" s="56" t="s">
        <v>76</v>
      </c>
      <c r="S403" s="49" t="s">
        <v>76</v>
      </c>
      <c r="T403" s="122"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134"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2">
      <c r="A404" s="115" t="s">
        <v>1875</v>
      </c>
      <c r="B404" s="114" t="s">
        <v>1873</v>
      </c>
      <c r="C404" s="136"/>
      <c r="D404" s="49" t="s">
        <v>76</v>
      </c>
      <c r="E404" s="50"/>
      <c r="F404" s="51"/>
      <c r="G404" s="63"/>
      <c r="H404" s="49" t="s">
        <v>75</v>
      </c>
      <c r="I404" s="133">
        <v>1</v>
      </c>
      <c r="J404" s="53"/>
      <c r="K404" s="53" t="s">
        <v>76</v>
      </c>
      <c r="L404" s="53" t="s">
        <v>77</v>
      </c>
      <c r="M404" s="54" t="s">
        <v>920</v>
      </c>
      <c r="N404" s="59" t="s">
        <v>76</v>
      </c>
      <c r="O404" s="49" t="s">
        <v>75</v>
      </c>
      <c r="P404" s="49" t="s">
        <v>76</v>
      </c>
      <c r="Q404" s="55" t="s">
        <v>76</v>
      </c>
      <c r="R404" s="56" t="s">
        <v>76</v>
      </c>
      <c r="S404" s="49" t="s">
        <v>76</v>
      </c>
      <c r="T404" s="122"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134"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2">
      <c r="A405" s="115" t="s">
        <v>1875</v>
      </c>
      <c r="B405" s="114" t="s">
        <v>1873</v>
      </c>
      <c r="C405" s="136"/>
      <c r="D405" s="49" t="s">
        <v>76</v>
      </c>
      <c r="E405" s="50"/>
      <c r="F405" s="51"/>
      <c r="G405" s="63"/>
      <c r="H405" s="49" t="s">
        <v>75</v>
      </c>
      <c r="I405" s="133">
        <v>1</v>
      </c>
      <c r="J405" s="53"/>
      <c r="K405" s="53" t="s">
        <v>76</v>
      </c>
      <c r="L405" s="53" t="s">
        <v>77</v>
      </c>
      <c r="M405" s="54" t="s">
        <v>920</v>
      </c>
      <c r="N405" s="59" t="s">
        <v>76</v>
      </c>
      <c r="O405" s="49" t="s">
        <v>75</v>
      </c>
      <c r="P405" s="49" t="s">
        <v>76</v>
      </c>
      <c r="Q405" s="55" t="s">
        <v>76</v>
      </c>
      <c r="R405" s="56" t="s">
        <v>76</v>
      </c>
      <c r="S405" s="49" t="s">
        <v>76</v>
      </c>
      <c r="T405" s="122"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134"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2">
      <c r="A406" s="115" t="s">
        <v>1875</v>
      </c>
      <c r="B406" s="114" t="s">
        <v>1873</v>
      </c>
      <c r="C406" s="136"/>
      <c r="D406" s="49" t="s">
        <v>76</v>
      </c>
      <c r="E406" s="50"/>
      <c r="F406" s="51"/>
      <c r="G406" s="63"/>
      <c r="H406" s="49" t="s">
        <v>75</v>
      </c>
      <c r="I406" s="133">
        <v>1</v>
      </c>
      <c r="J406" s="53"/>
      <c r="K406" s="53" t="s">
        <v>76</v>
      </c>
      <c r="L406" s="53" t="s">
        <v>77</v>
      </c>
      <c r="M406" s="54" t="s">
        <v>920</v>
      </c>
      <c r="N406" s="59" t="s">
        <v>76</v>
      </c>
      <c r="O406" s="49" t="s">
        <v>75</v>
      </c>
      <c r="P406" s="49" t="s">
        <v>76</v>
      </c>
      <c r="Q406" s="55" t="s">
        <v>76</v>
      </c>
      <c r="R406" s="56" t="s">
        <v>76</v>
      </c>
      <c r="S406" s="49" t="s">
        <v>76</v>
      </c>
      <c r="T406" s="122"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134"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2">
      <c r="A407" s="115" t="s">
        <v>1875</v>
      </c>
      <c r="B407" s="114" t="s">
        <v>1873</v>
      </c>
      <c r="C407" s="136"/>
      <c r="D407" s="49" t="s">
        <v>76</v>
      </c>
      <c r="E407" s="50"/>
      <c r="F407" s="51"/>
      <c r="G407" s="63"/>
      <c r="H407" s="49" t="s">
        <v>75</v>
      </c>
      <c r="I407" s="133">
        <v>1</v>
      </c>
      <c r="J407" s="53"/>
      <c r="K407" s="53" t="s">
        <v>76</v>
      </c>
      <c r="L407" s="53" t="s">
        <v>77</v>
      </c>
      <c r="M407" s="54" t="s">
        <v>920</v>
      </c>
      <c r="N407" s="59" t="s">
        <v>76</v>
      </c>
      <c r="O407" s="49" t="s">
        <v>75</v>
      </c>
      <c r="P407" s="49" t="s">
        <v>76</v>
      </c>
      <c r="Q407" s="55" t="s">
        <v>76</v>
      </c>
      <c r="R407" s="56" t="s">
        <v>76</v>
      </c>
      <c r="S407" s="49" t="s">
        <v>76</v>
      </c>
      <c r="T407" s="122"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134"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2">
      <c r="A408" s="115" t="s">
        <v>1875</v>
      </c>
      <c r="B408" s="114" t="s">
        <v>1873</v>
      </c>
      <c r="C408" s="136"/>
      <c r="D408" s="49" t="s">
        <v>76</v>
      </c>
      <c r="E408" s="50"/>
      <c r="F408" s="51"/>
      <c r="G408" s="63"/>
      <c r="H408" s="49" t="s">
        <v>75</v>
      </c>
      <c r="I408" s="133">
        <v>1</v>
      </c>
      <c r="J408" s="53"/>
      <c r="K408" s="53" t="s">
        <v>76</v>
      </c>
      <c r="L408" s="53" t="s">
        <v>77</v>
      </c>
      <c r="M408" s="54" t="s">
        <v>920</v>
      </c>
      <c r="N408" s="59" t="s">
        <v>76</v>
      </c>
      <c r="O408" s="49" t="s">
        <v>75</v>
      </c>
      <c r="P408" s="49" t="s">
        <v>76</v>
      </c>
      <c r="Q408" s="55" t="s">
        <v>76</v>
      </c>
      <c r="R408" s="56" t="s">
        <v>76</v>
      </c>
      <c r="S408" s="49" t="s">
        <v>76</v>
      </c>
      <c r="T408" s="122"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134"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2">
      <c r="A409" s="115" t="s">
        <v>1875</v>
      </c>
      <c r="B409" s="114" t="s">
        <v>1873</v>
      </c>
      <c r="C409" s="136"/>
      <c r="D409" s="49" t="s">
        <v>76</v>
      </c>
      <c r="E409" s="50"/>
      <c r="F409" s="51"/>
      <c r="G409" s="63"/>
      <c r="H409" s="49" t="s">
        <v>75</v>
      </c>
      <c r="I409" s="133">
        <v>1</v>
      </c>
      <c r="J409" s="53"/>
      <c r="K409" s="53" t="s">
        <v>76</v>
      </c>
      <c r="L409" s="53" t="s">
        <v>77</v>
      </c>
      <c r="M409" s="54" t="s">
        <v>920</v>
      </c>
      <c r="N409" s="59" t="s">
        <v>76</v>
      </c>
      <c r="O409" s="49" t="s">
        <v>75</v>
      </c>
      <c r="P409" s="49" t="s">
        <v>76</v>
      </c>
      <c r="Q409" s="55" t="s">
        <v>76</v>
      </c>
      <c r="R409" s="56" t="s">
        <v>76</v>
      </c>
      <c r="S409" s="49" t="s">
        <v>76</v>
      </c>
      <c r="T409" s="122"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134"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2">
      <c r="A410" s="115" t="s">
        <v>1875</v>
      </c>
      <c r="B410" s="114" t="s">
        <v>1873</v>
      </c>
      <c r="C410" s="136"/>
      <c r="D410" s="49" t="s">
        <v>76</v>
      </c>
      <c r="E410" s="50"/>
      <c r="F410" s="51"/>
      <c r="G410" s="63"/>
      <c r="H410" s="49" t="s">
        <v>75</v>
      </c>
      <c r="I410" s="133">
        <v>1</v>
      </c>
      <c r="J410" s="53"/>
      <c r="K410" s="53" t="s">
        <v>76</v>
      </c>
      <c r="L410" s="53" t="s">
        <v>77</v>
      </c>
      <c r="M410" s="54" t="s">
        <v>920</v>
      </c>
      <c r="N410" s="59" t="s">
        <v>76</v>
      </c>
      <c r="O410" s="49" t="s">
        <v>75</v>
      </c>
      <c r="P410" s="49" t="s">
        <v>76</v>
      </c>
      <c r="Q410" s="55" t="s">
        <v>76</v>
      </c>
      <c r="R410" s="56" t="s">
        <v>76</v>
      </c>
      <c r="S410" s="49" t="s">
        <v>76</v>
      </c>
      <c r="T410" s="122"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134"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2">
      <c r="A411" s="115" t="s">
        <v>1875</v>
      </c>
      <c r="B411" s="114" t="s">
        <v>1873</v>
      </c>
      <c r="C411" s="136"/>
      <c r="D411" s="49" t="s">
        <v>76</v>
      </c>
      <c r="E411" s="50"/>
      <c r="F411" s="51"/>
      <c r="G411" s="63"/>
      <c r="H411" s="49" t="s">
        <v>75</v>
      </c>
      <c r="I411" s="133">
        <v>1</v>
      </c>
      <c r="J411" s="53"/>
      <c r="K411" s="53" t="s">
        <v>76</v>
      </c>
      <c r="L411" s="53" t="s">
        <v>77</v>
      </c>
      <c r="M411" s="54" t="s">
        <v>920</v>
      </c>
      <c r="N411" s="59" t="s">
        <v>76</v>
      </c>
      <c r="O411" s="49" t="s">
        <v>75</v>
      </c>
      <c r="P411" s="49" t="s">
        <v>76</v>
      </c>
      <c r="Q411" s="55" t="s">
        <v>76</v>
      </c>
      <c r="R411" s="56" t="s">
        <v>76</v>
      </c>
      <c r="S411" s="49" t="s">
        <v>76</v>
      </c>
      <c r="T411" s="122"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134"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2">
      <c r="A412" s="115" t="s">
        <v>1875</v>
      </c>
      <c r="B412" s="114" t="s">
        <v>1873</v>
      </c>
      <c r="C412" s="136"/>
      <c r="D412" s="49" t="s">
        <v>76</v>
      </c>
      <c r="E412" s="50"/>
      <c r="F412" s="51"/>
      <c r="G412" s="63"/>
      <c r="H412" s="49" t="s">
        <v>75</v>
      </c>
      <c r="I412" s="133">
        <v>1</v>
      </c>
      <c r="J412" s="53"/>
      <c r="K412" s="53" t="s">
        <v>76</v>
      </c>
      <c r="L412" s="53" t="s">
        <v>77</v>
      </c>
      <c r="M412" s="54" t="s">
        <v>920</v>
      </c>
      <c r="N412" s="59" t="s">
        <v>76</v>
      </c>
      <c r="O412" s="49" t="s">
        <v>75</v>
      </c>
      <c r="P412" s="49" t="s">
        <v>76</v>
      </c>
      <c r="Q412" s="55" t="s">
        <v>76</v>
      </c>
      <c r="R412" s="56" t="s">
        <v>76</v>
      </c>
      <c r="S412" s="49" t="s">
        <v>76</v>
      </c>
      <c r="T412" s="122"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134"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2">
      <c r="A413" s="115" t="s">
        <v>1875</v>
      </c>
      <c r="B413" s="114" t="s">
        <v>1873</v>
      </c>
      <c r="C413" s="136"/>
      <c r="D413" s="49" t="s">
        <v>76</v>
      </c>
      <c r="E413" s="50"/>
      <c r="F413" s="51"/>
      <c r="G413" s="63"/>
      <c r="H413" s="49" t="s">
        <v>75</v>
      </c>
      <c r="I413" s="133">
        <v>1</v>
      </c>
      <c r="J413" s="53"/>
      <c r="K413" s="53" t="s">
        <v>76</v>
      </c>
      <c r="L413" s="53" t="s">
        <v>77</v>
      </c>
      <c r="M413" s="54" t="s">
        <v>920</v>
      </c>
      <c r="N413" s="59" t="s">
        <v>76</v>
      </c>
      <c r="O413" s="49" t="s">
        <v>75</v>
      </c>
      <c r="P413" s="49" t="s">
        <v>76</v>
      </c>
      <c r="Q413" s="55" t="s">
        <v>76</v>
      </c>
      <c r="R413" s="56" t="s">
        <v>76</v>
      </c>
      <c r="S413" s="49" t="s">
        <v>76</v>
      </c>
      <c r="T413" s="122"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134"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2">
      <c r="A414" s="115" t="s">
        <v>1875</v>
      </c>
      <c r="B414" s="114" t="s">
        <v>1873</v>
      </c>
      <c r="C414" s="136"/>
      <c r="D414" s="49" t="s">
        <v>76</v>
      </c>
      <c r="E414" s="50"/>
      <c r="F414" s="51"/>
      <c r="G414" s="63"/>
      <c r="H414" s="49" t="s">
        <v>75</v>
      </c>
      <c r="I414" s="133">
        <v>1</v>
      </c>
      <c r="J414" s="53"/>
      <c r="K414" s="53" t="s">
        <v>76</v>
      </c>
      <c r="L414" s="53" t="s">
        <v>77</v>
      </c>
      <c r="M414" s="54" t="s">
        <v>920</v>
      </c>
      <c r="N414" s="59" t="s">
        <v>76</v>
      </c>
      <c r="O414" s="49" t="s">
        <v>75</v>
      </c>
      <c r="P414" s="49" t="s">
        <v>76</v>
      </c>
      <c r="Q414" s="55" t="s">
        <v>76</v>
      </c>
      <c r="R414" s="56" t="s">
        <v>76</v>
      </c>
      <c r="S414" s="49" t="s">
        <v>76</v>
      </c>
      <c r="T414" s="122"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134"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2">
      <c r="A415" s="115" t="s">
        <v>1875</v>
      </c>
      <c r="B415" s="114" t="s">
        <v>1873</v>
      </c>
      <c r="C415" s="136"/>
      <c r="D415" s="49" t="s">
        <v>76</v>
      </c>
      <c r="E415" s="50"/>
      <c r="F415" s="51"/>
      <c r="G415" s="63"/>
      <c r="H415" s="49" t="s">
        <v>75</v>
      </c>
      <c r="I415" s="133">
        <v>1</v>
      </c>
      <c r="J415" s="53"/>
      <c r="K415" s="53" t="s">
        <v>76</v>
      </c>
      <c r="L415" s="53" t="s">
        <v>77</v>
      </c>
      <c r="M415" s="54" t="s">
        <v>920</v>
      </c>
      <c r="N415" s="59" t="s">
        <v>76</v>
      </c>
      <c r="O415" s="49" t="s">
        <v>75</v>
      </c>
      <c r="P415" s="49" t="s">
        <v>76</v>
      </c>
      <c r="Q415" s="55" t="s">
        <v>76</v>
      </c>
      <c r="R415" s="56" t="s">
        <v>76</v>
      </c>
      <c r="S415" s="49" t="s">
        <v>76</v>
      </c>
      <c r="T415" s="122"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134"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2">
      <c r="A416" s="115" t="s">
        <v>1875</v>
      </c>
      <c r="B416" s="114" t="s">
        <v>1873</v>
      </c>
      <c r="C416" s="136"/>
      <c r="D416" s="49" t="s">
        <v>76</v>
      </c>
      <c r="E416" s="50"/>
      <c r="F416" s="51"/>
      <c r="G416" s="63"/>
      <c r="H416" s="49" t="s">
        <v>75</v>
      </c>
      <c r="I416" s="133">
        <v>1</v>
      </c>
      <c r="J416" s="53"/>
      <c r="K416" s="53" t="s">
        <v>76</v>
      </c>
      <c r="L416" s="53" t="s">
        <v>77</v>
      </c>
      <c r="M416" s="54" t="s">
        <v>920</v>
      </c>
      <c r="N416" s="59" t="s">
        <v>76</v>
      </c>
      <c r="O416" s="49" t="s">
        <v>75</v>
      </c>
      <c r="P416" s="49" t="s">
        <v>76</v>
      </c>
      <c r="Q416" s="55" t="s">
        <v>76</v>
      </c>
      <c r="R416" s="56" t="s">
        <v>76</v>
      </c>
      <c r="S416" s="49" t="s">
        <v>76</v>
      </c>
      <c r="T416" s="122"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134"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2">
      <c r="A417" s="115" t="s">
        <v>1875</v>
      </c>
      <c r="B417" s="114" t="s">
        <v>1873</v>
      </c>
      <c r="C417" s="136"/>
      <c r="D417" s="49" t="s">
        <v>76</v>
      </c>
      <c r="E417" s="50"/>
      <c r="F417" s="51"/>
      <c r="G417" s="63"/>
      <c r="H417" s="49" t="s">
        <v>75</v>
      </c>
      <c r="I417" s="133">
        <v>1</v>
      </c>
      <c r="J417" s="53"/>
      <c r="K417" s="53" t="s">
        <v>76</v>
      </c>
      <c r="L417" s="53" t="s">
        <v>77</v>
      </c>
      <c r="M417" s="54" t="s">
        <v>920</v>
      </c>
      <c r="N417" s="59" t="s">
        <v>76</v>
      </c>
      <c r="O417" s="49" t="s">
        <v>75</v>
      </c>
      <c r="P417" s="49" t="s">
        <v>76</v>
      </c>
      <c r="Q417" s="55" t="s">
        <v>76</v>
      </c>
      <c r="R417" s="56" t="s">
        <v>76</v>
      </c>
      <c r="S417" s="49" t="s">
        <v>76</v>
      </c>
      <c r="T417" s="122"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134"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2">
      <c r="A418" s="115" t="s">
        <v>1875</v>
      </c>
      <c r="B418" s="114" t="s">
        <v>1873</v>
      </c>
      <c r="C418" s="136"/>
      <c r="D418" s="49" t="s">
        <v>76</v>
      </c>
      <c r="E418" s="50"/>
      <c r="F418" s="51"/>
      <c r="G418" s="63"/>
      <c r="H418" s="49" t="s">
        <v>75</v>
      </c>
      <c r="I418" s="133">
        <v>1</v>
      </c>
      <c r="J418" s="53"/>
      <c r="K418" s="53" t="s">
        <v>76</v>
      </c>
      <c r="L418" s="53" t="s">
        <v>77</v>
      </c>
      <c r="M418" s="54" t="s">
        <v>920</v>
      </c>
      <c r="N418" s="59" t="s">
        <v>76</v>
      </c>
      <c r="O418" s="49" t="s">
        <v>75</v>
      </c>
      <c r="P418" s="49" t="s">
        <v>76</v>
      </c>
      <c r="Q418" s="55" t="s">
        <v>76</v>
      </c>
      <c r="R418" s="56" t="s">
        <v>76</v>
      </c>
      <c r="S418" s="49" t="s">
        <v>76</v>
      </c>
      <c r="T418" s="122"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134"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2">
      <c r="A419" s="115" t="s">
        <v>1875</v>
      </c>
      <c r="B419" s="114" t="s">
        <v>1873</v>
      </c>
      <c r="C419" s="136"/>
      <c r="D419" s="49" t="s">
        <v>76</v>
      </c>
      <c r="E419" s="50"/>
      <c r="F419" s="51"/>
      <c r="G419" s="63"/>
      <c r="H419" s="49" t="s">
        <v>75</v>
      </c>
      <c r="I419" s="133">
        <v>1</v>
      </c>
      <c r="J419" s="53"/>
      <c r="K419" s="53" t="s">
        <v>76</v>
      </c>
      <c r="L419" s="53" t="s">
        <v>77</v>
      </c>
      <c r="M419" s="54" t="s">
        <v>920</v>
      </c>
      <c r="N419" s="59" t="s">
        <v>76</v>
      </c>
      <c r="O419" s="49" t="s">
        <v>75</v>
      </c>
      <c r="P419" s="49" t="s">
        <v>76</v>
      </c>
      <c r="Q419" s="55" t="s">
        <v>76</v>
      </c>
      <c r="R419" s="56" t="s">
        <v>76</v>
      </c>
      <c r="S419" s="49" t="s">
        <v>76</v>
      </c>
      <c r="T419" s="122"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134"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2">
      <c r="A420" s="115" t="s">
        <v>1875</v>
      </c>
      <c r="B420" s="114" t="s">
        <v>1873</v>
      </c>
      <c r="C420" s="136"/>
      <c r="D420" s="49" t="s">
        <v>76</v>
      </c>
      <c r="E420" s="50"/>
      <c r="F420" s="51"/>
      <c r="G420" s="63"/>
      <c r="H420" s="49" t="s">
        <v>75</v>
      </c>
      <c r="I420" s="133">
        <v>1</v>
      </c>
      <c r="J420" s="53"/>
      <c r="K420" s="53" t="s">
        <v>76</v>
      </c>
      <c r="L420" s="53" t="s">
        <v>77</v>
      </c>
      <c r="M420" s="54" t="s">
        <v>920</v>
      </c>
      <c r="N420" s="59" t="s">
        <v>76</v>
      </c>
      <c r="O420" s="49" t="s">
        <v>75</v>
      </c>
      <c r="P420" s="49" t="s">
        <v>76</v>
      </c>
      <c r="Q420" s="55" t="s">
        <v>76</v>
      </c>
      <c r="R420" s="56" t="s">
        <v>76</v>
      </c>
      <c r="S420" s="49" t="s">
        <v>76</v>
      </c>
      <c r="T420" s="122"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134"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2">
      <c r="A421" s="115" t="s">
        <v>1875</v>
      </c>
      <c r="B421" s="114" t="s">
        <v>1873</v>
      </c>
      <c r="C421" s="136"/>
      <c r="D421" s="49" t="s">
        <v>76</v>
      </c>
      <c r="E421" s="50"/>
      <c r="F421" s="51"/>
      <c r="G421" s="63"/>
      <c r="H421" s="49" t="s">
        <v>75</v>
      </c>
      <c r="I421" s="133">
        <v>1</v>
      </c>
      <c r="J421" s="53"/>
      <c r="K421" s="53" t="s">
        <v>76</v>
      </c>
      <c r="L421" s="53" t="s">
        <v>77</v>
      </c>
      <c r="M421" s="54" t="s">
        <v>920</v>
      </c>
      <c r="N421" s="59" t="s">
        <v>76</v>
      </c>
      <c r="O421" s="49" t="s">
        <v>75</v>
      </c>
      <c r="P421" s="49" t="s">
        <v>76</v>
      </c>
      <c r="Q421" s="55" t="s">
        <v>76</v>
      </c>
      <c r="R421" s="56" t="s">
        <v>76</v>
      </c>
      <c r="S421" s="49" t="s">
        <v>76</v>
      </c>
      <c r="T421" s="122"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134"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2">
      <c r="A422" s="115" t="s">
        <v>1875</v>
      </c>
      <c r="B422" s="114" t="s">
        <v>1873</v>
      </c>
      <c r="C422" s="136"/>
      <c r="D422" s="49" t="s">
        <v>76</v>
      </c>
      <c r="E422" s="50"/>
      <c r="F422" s="51"/>
      <c r="G422" s="63"/>
      <c r="H422" s="49" t="s">
        <v>75</v>
      </c>
      <c r="I422" s="133">
        <v>1</v>
      </c>
      <c r="J422" s="53"/>
      <c r="K422" s="53" t="s">
        <v>76</v>
      </c>
      <c r="L422" s="53" t="s">
        <v>77</v>
      </c>
      <c r="M422" s="54" t="s">
        <v>920</v>
      </c>
      <c r="N422" s="59" t="s">
        <v>76</v>
      </c>
      <c r="O422" s="49" t="s">
        <v>75</v>
      </c>
      <c r="P422" s="49" t="s">
        <v>76</v>
      </c>
      <c r="Q422" s="55" t="s">
        <v>76</v>
      </c>
      <c r="R422" s="56" t="s">
        <v>76</v>
      </c>
      <c r="S422" s="49" t="s">
        <v>76</v>
      </c>
      <c r="T422" s="122"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134"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2">
      <c r="A423" s="115" t="s">
        <v>1875</v>
      </c>
      <c r="B423" s="114" t="s">
        <v>1873</v>
      </c>
      <c r="C423" s="136"/>
      <c r="D423" s="49" t="s">
        <v>76</v>
      </c>
      <c r="E423" s="50"/>
      <c r="F423" s="51"/>
      <c r="G423" s="63"/>
      <c r="H423" s="49" t="s">
        <v>75</v>
      </c>
      <c r="I423" s="133">
        <v>1</v>
      </c>
      <c r="J423" s="53"/>
      <c r="K423" s="53" t="s">
        <v>76</v>
      </c>
      <c r="L423" s="53" t="s">
        <v>77</v>
      </c>
      <c r="M423" s="54" t="s">
        <v>920</v>
      </c>
      <c r="N423" s="59" t="s">
        <v>76</v>
      </c>
      <c r="O423" s="49" t="s">
        <v>75</v>
      </c>
      <c r="P423" s="49" t="s">
        <v>76</v>
      </c>
      <c r="Q423" s="55" t="s">
        <v>76</v>
      </c>
      <c r="R423" s="56" t="s">
        <v>76</v>
      </c>
      <c r="S423" s="49" t="s">
        <v>76</v>
      </c>
      <c r="T423" s="122"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134"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2">
      <c r="A424" s="115" t="s">
        <v>1875</v>
      </c>
      <c r="B424" s="114" t="s">
        <v>1873</v>
      </c>
      <c r="C424" s="136"/>
      <c r="D424" s="49" t="s">
        <v>76</v>
      </c>
      <c r="E424" s="50"/>
      <c r="F424" s="51"/>
      <c r="G424" s="63"/>
      <c r="H424" s="49" t="s">
        <v>75</v>
      </c>
      <c r="I424" s="133">
        <v>1</v>
      </c>
      <c r="J424" s="53"/>
      <c r="K424" s="53" t="s">
        <v>76</v>
      </c>
      <c r="L424" s="53" t="s">
        <v>77</v>
      </c>
      <c r="M424" s="54" t="s">
        <v>920</v>
      </c>
      <c r="N424" s="59" t="s">
        <v>76</v>
      </c>
      <c r="O424" s="49" t="s">
        <v>75</v>
      </c>
      <c r="P424" s="49" t="s">
        <v>76</v>
      </c>
      <c r="Q424" s="55" t="s">
        <v>76</v>
      </c>
      <c r="R424" s="56" t="s">
        <v>76</v>
      </c>
      <c r="S424" s="49" t="s">
        <v>76</v>
      </c>
      <c r="T424" s="122"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134"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2">
      <c r="A425" s="115" t="s">
        <v>1875</v>
      </c>
      <c r="B425" s="114" t="s">
        <v>1873</v>
      </c>
      <c r="C425" s="136"/>
      <c r="D425" s="49" t="s">
        <v>76</v>
      </c>
      <c r="E425" s="50"/>
      <c r="F425" s="51"/>
      <c r="G425" s="63"/>
      <c r="H425" s="49" t="s">
        <v>75</v>
      </c>
      <c r="I425" s="133">
        <v>1</v>
      </c>
      <c r="J425" s="53"/>
      <c r="K425" s="53" t="s">
        <v>76</v>
      </c>
      <c r="L425" s="53" t="s">
        <v>77</v>
      </c>
      <c r="M425" s="54" t="s">
        <v>920</v>
      </c>
      <c r="N425" s="59" t="s">
        <v>76</v>
      </c>
      <c r="O425" s="49" t="s">
        <v>75</v>
      </c>
      <c r="P425" s="49" t="s">
        <v>76</v>
      </c>
      <c r="Q425" s="55" t="s">
        <v>76</v>
      </c>
      <c r="R425" s="56" t="s">
        <v>76</v>
      </c>
      <c r="S425" s="49" t="s">
        <v>76</v>
      </c>
      <c r="T425" s="122"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134"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2">
      <c r="A426" s="115" t="s">
        <v>1875</v>
      </c>
      <c r="B426" s="114" t="s">
        <v>1873</v>
      </c>
      <c r="C426" s="136"/>
      <c r="D426" s="49" t="s">
        <v>76</v>
      </c>
      <c r="E426" s="50"/>
      <c r="F426" s="51"/>
      <c r="G426" s="63"/>
      <c r="H426" s="49" t="s">
        <v>75</v>
      </c>
      <c r="I426" s="133">
        <v>1</v>
      </c>
      <c r="J426" s="53"/>
      <c r="K426" s="53" t="s">
        <v>76</v>
      </c>
      <c r="L426" s="53" t="s">
        <v>77</v>
      </c>
      <c r="M426" s="54" t="s">
        <v>920</v>
      </c>
      <c r="N426" s="59" t="s">
        <v>76</v>
      </c>
      <c r="O426" s="49" t="s">
        <v>75</v>
      </c>
      <c r="P426" s="49" t="s">
        <v>76</v>
      </c>
      <c r="Q426" s="55" t="s">
        <v>76</v>
      </c>
      <c r="R426" s="56" t="s">
        <v>76</v>
      </c>
      <c r="S426" s="49" t="s">
        <v>76</v>
      </c>
      <c r="T426" s="122"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134"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2">
      <c r="A427" s="115" t="s">
        <v>1875</v>
      </c>
      <c r="B427" s="114" t="s">
        <v>1873</v>
      </c>
      <c r="C427" s="136"/>
      <c r="D427" s="49" t="s">
        <v>76</v>
      </c>
      <c r="E427" s="50"/>
      <c r="F427" s="51"/>
      <c r="G427" s="63"/>
      <c r="H427" s="49" t="s">
        <v>75</v>
      </c>
      <c r="I427" s="133">
        <v>1</v>
      </c>
      <c r="J427" s="53"/>
      <c r="K427" s="53" t="s">
        <v>76</v>
      </c>
      <c r="L427" s="53" t="s">
        <v>77</v>
      </c>
      <c r="M427" s="54" t="s">
        <v>920</v>
      </c>
      <c r="N427" s="59" t="s">
        <v>76</v>
      </c>
      <c r="O427" s="49" t="s">
        <v>75</v>
      </c>
      <c r="P427" s="49" t="s">
        <v>76</v>
      </c>
      <c r="Q427" s="55" t="s">
        <v>76</v>
      </c>
      <c r="R427" s="56" t="s">
        <v>76</v>
      </c>
      <c r="S427" s="49" t="s">
        <v>76</v>
      </c>
      <c r="T427" s="122"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134"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2">
      <c r="A428" s="115" t="s">
        <v>1875</v>
      </c>
      <c r="B428" s="114" t="s">
        <v>1873</v>
      </c>
      <c r="C428" s="136"/>
      <c r="D428" s="49" t="s">
        <v>76</v>
      </c>
      <c r="E428" s="50"/>
      <c r="F428" s="51"/>
      <c r="G428" s="63"/>
      <c r="H428" s="49" t="s">
        <v>75</v>
      </c>
      <c r="I428" s="133">
        <v>1</v>
      </c>
      <c r="J428" s="53"/>
      <c r="K428" s="53" t="s">
        <v>76</v>
      </c>
      <c r="L428" s="53" t="s">
        <v>77</v>
      </c>
      <c r="M428" s="54" t="s">
        <v>920</v>
      </c>
      <c r="N428" s="59" t="s">
        <v>76</v>
      </c>
      <c r="O428" s="49" t="s">
        <v>75</v>
      </c>
      <c r="P428" s="49" t="s">
        <v>76</v>
      </c>
      <c r="Q428" s="55" t="s">
        <v>76</v>
      </c>
      <c r="R428" s="56" t="s">
        <v>76</v>
      </c>
      <c r="S428" s="49" t="s">
        <v>76</v>
      </c>
      <c r="T428" s="122"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134"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2">
      <c r="A429" s="115" t="s">
        <v>1875</v>
      </c>
      <c r="B429" s="114" t="s">
        <v>1873</v>
      </c>
      <c r="C429" s="136"/>
      <c r="D429" s="49" t="s">
        <v>76</v>
      </c>
      <c r="E429" s="50"/>
      <c r="F429" s="51"/>
      <c r="G429" s="63"/>
      <c r="H429" s="49" t="s">
        <v>75</v>
      </c>
      <c r="I429" s="133">
        <v>1</v>
      </c>
      <c r="J429" s="53"/>
      <c r="K429" s="53" t="s">
        <v>76</v>
      </c>
      <c r="L429" s="53" t="s">
        <v>77</v>
      </c>
      <c r="M429" s="54" t="s">
        <v>920</v>
      </c>
      <c r="N429" s="59" t="s">
        <v>76</v>
      </c>
      <c r="O429" s="49" t="s">
        <v>75</v>
      </c>
      <c r="P429" s="49" t="s">
        <v>76</v>
      </c>
      <c r="Q429" s="55" t="s">
        <v>76</v>
      </c>
      <c r="R429" s="56" t="s">
        <v>76</v>
      </c>
      <c r="S429" s="49" t="s">
        <v>76</v>
      </c>
      <c r="T429" s="122"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134"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2">
      <c r="A430" s="115" t="s">
        <v>1875</v>
      </c>
      <c r="B430" s="114" t="s">
        <v>1873</v>
      </c>
      <c r="C430" s="136"/>
      <c r="D430" s="49" t="s">
        <v>76</v>
      </c>
      <c r="E430" s="50"/>
      <c r="F430" s="51"/>
      <c r="G430" s="63"/>
      <c r="H430" s="49" t="s">
        <v>75</v>
      </c>
      <c r="I430" s="133">
        <v>1</v>
      </c>
      <c r="J430" s="53"/>
      <c r="K430" s="53" t="s">
        <v>76</v>
      </c>
      <c r="L430" s="53" t="s">
        <v>77</v>
      </c>
      <c r="M430" s="54" t="s">
        <v>920</v>
      </c>
      <c r="N430" s="59" t="s">
        <v>76</v>
      </c>
      <c r="O430" s="49" t="s">
        <v>75</v>
      </c>
      <c r="P430" s="49" t="s">
        <v>76</v>
      </c>
      <c r="Q430" s="55" t="s">
        <v>76</v>
      </c>
      <c r="R430" s="56" t="s">
        <v>76</v>
      </c>
      <c r="S430" s="49" t="s">
        <v>76</v>
      </c>
      <c r="T430" s="122"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134"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2">
      <c r="A431" s="115" t="s">
        <v>1875</v>
      </c>
      <c r="B431" s="114" t="s">
        <v>1873</v>
      </c>
      <c r="C431" s="136"/>
      <c r="D431" s="49" t="s">
        <v>76</v>
      </c>
      <c r="E431" s="50"/>
      <c r="F431" s="51"/>
      <c r="G431" s="63"/>
      <c r="H431" s="49" t="s">
        <v>75</v>
      </c>
      <c r="I431" s="133">
        <v>1</v>
      </c>
      <c r="J431" s="53"/>
      <c r="K431" s="53" t="s">
        <v>76</v>
      </c>
      <c r="L431" s="53" t="s">
        <v>77</v>
      </c>
      <c r="M431" s="54" t="s">
        <v>920</v>
      </c>
      <c r="N431" s="59" t="s">
        <v>76</v>
      </c>
      <c r="O431" s="49" t="s">
        <v>75</v>
      </c>
      <c r="P431" s="49" t="s">
        <v>76</v>
      </c>
      <c r="Q431" s="55" t="s">
        <v>76</v>
      </c>
      <c r="R431" s="56" t="s">
        <v>76</v>
      </c>
      <c r="S431" s="49" t="s">
        <v>76</v>
      </c>
      <c r="T431" s="122"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134"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2">
      <c r="A432" s="115" t="s">
        <v>1875</v>
      </c>
      <c r="B432" s="114" t="s">
        <v>1873</v>
      </c>
      <c r="C432" s="136"/>
      <c r="D432" s="49" t="s">
        <v>76</v>
      </c>
      <c r="E432" s="50"/>
      <c r="F432" s="51"/>
      <c r="G432" s="63"/>
      <c r="H432" s="49" t="s">
        <v>75</v>
      </c>
      <c r="I432" s="133">
        <v>1</v>
      </c>
      <c r="J432" s="53"/>
      <c r="K432" s="53" t="s">
        <v>76</v>
      </c>
      <c r="L432" s="53" t="s">
        <v>77</v>
      </c>
      <c r="M432" s="54" t="s">
        <v>920</v>
      </c>
      <c r="N432" s="59" t="s">
        <v>76</v>
      </c>
      <c r="O432" s="49" t="s">
        <v>75</v>
      </c>
      <c r="P432" s="49" t="s">
        <v>76</v>
      </c>
      <c r="Q432" s="55" t="s">
        <v>76</v>
      </c>
      <c r="R432" s="56" t="s">
        <v>76</v>
      </c>
      <c r="S432" s="49" t="s">
        <v>76</v>
      </c>
      <c r="T432" s="122"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134"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2">
      <c r="A433" s="115" t="s">
        <v>1875</v>
      </c>
      <c r="B433" s="114" t="s">
        <v>1873</v>
      </c>
      <c r="C433" s="136"/>
      <c r="D433" s="49" t="s">
        <v>76</v>
      </c>
      <c r="E433" s="50"/>
      <c r="F433" s="51"/>
      <c r="G433" s="63"/>
      <c r="H433" s="49" t="s">
        <v>75</v>
      </c>
      <c r="I433" s="133">
        <v>1</v>
      </c>
      <c r="J433" s="53"/>
      <c r="K433" s="53" t="s">
        <v>76</v>
      </c>
      <c r="L433" s="53" t="s">
        <v>77</v>
      </c>
      <c r="M433" s="54" t="s">
        <v>920</v>
      </c>
      <c r="N433" s="59" t="s">
        <v>76</v>
      </c>
      <c r="O433" s="49" t="s">
        <v>75</v>
      </c>
      <c r="P433" s="49" t="s">
        <v>76</v>
      </c>
      <c r="Q433" s="55" t="s">
        <v>76</v>
      </c>
      <c r="R433" s="56" t="s">
        <v>76</v>
      </c>
      <c r="S433" s="49" t="s">
        <v>76</v>
      </c>
      <c r="T433" s="122"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134"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2">
      <c r="A434" s="115" t="s">
        <v>1875</v>
      </c>
      <c r="B434" s="114" t="s">
        <v>1873</v>
      </c>
      <c r="C434" s="136"/>
      <c r="D434" s="49" t="s">
        <v>76</v>
      </c>
      <c r="E434" s="50"/>
      <c r="F434" s="51"/>
      <c r="G434" s="63"/>
      <c r="H434" s="49" t="s">
        <v>75</v>
      </c>
      <c r="I434" s="133">
        <v>1</v>
      </c>
      <c r="J434" s="53"/>
      <c r="K434" s="53" t="s">
        <v>76</v>
      </c>
      <c r="L434" s="53" t="s">
        <v>77</v>
      </c>
      <c r="M434" s="54" t="s">
        <v>920</v>
      </c>
      <c r="N434" s="59" t="s">
        <v>76</v>
      </c>
      <c r="O434" s="49" t="s">
        <v>75</v>
      </c>
      <c r="P434" s="49" t="s">
        <v>76</v>
      </c>
      <c r="Q434" s="55" t="s">
        <v>76</v>
      </c>
      <c r="R434" s="56" t="s">
        <v>76</v>
      </c>
      <c r="S434" s="49" t="s">
        <v>76</v>
      </c>
      <c r="T434" s="122"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134"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2">
      <c r="A435" s="115" t="s">
        <v>1875</v>
      </c>
      <c r="B435" s="114" t="s">
        <v>1873</v>
      </c>
      <c r="C435" s="136"/>
      <c r="D435" s="49" t="s">
        <v>76</v>
      </c>
      <c r="E435" s="50"/>
      <c r="F435" s="51"/>
      <c r="G435" s="63"/>
      <c r="H435" s="49" t="s">
        <v>75</v>
      </c>
      <c r="I435" s="133">
        <v>1</v>
      </c>
      <c r="J435" s="53"/>
      <c r="K435" s="53" t="s">
        <v>76</v>
      </c>
      <c r="L435" s="53" t="s">
        <v>77</v>
      </c>
      <c r="M435" s="54" t="s">
        <v>920</v>
      </c>
      <c r="N435" s="59" t="s">
        <v>76</v>
      </c>
      <c r="O435" s="49" t="s">
        <v>75</v>
      </c>
      <c r="P435" s="49" t="s">
        <v>76</v>
      </c>
      <c r="Q435" s="55" t="s">
        <v>76</v>
      </c>
      <c r="R435" s="56" t="s">
        <v>76</v>
      </c>
      <c r="S435" s="49" t="s">
        <v>76</v>
      </c>
      <c r="T435" s="122"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134"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2">
      <c r="A436" s="115" t="s">
        <v>1875</v>
      </c>
      <c r="B436" s="114" t="s">
        <v>1873</v>
      </c>
      <c r="C436" s="136"/>
      <c r="D436" s="49" t="s">
        <v>76</v>
      </c>
      <c r="E436" s="50"/>
      <c r="F436" s="51"/>
      <c r="G436" s="63"/>
      <c r="H436" s="49" t="s">
        <v>75</v>
      </c>
      <c r="I436" s="133">
        <v>1</v>
      </c>
      <c r="J436" s="53"/>
      <c r="K436" s="53" t="s">
        <v>76</v>
      </c>
      <c r="L436" s="53" t="s">
        <v>77</v>
      </c>
      <c r="M436" s="54" t="s">
        <v>920</v>
      </c>
      <c r="N436" s="59" t="s">
        <v>76</v>
      </c>
      <c r="O436" s="49" t="s">
        <v>75</v>
      </c>
      <c r="P436" s="49" t="s">
        <v>76</v>
      </c>
      <c r="Q436" s="55" t="s">
        <v>76</v>
      </c>
      <c r="R436" s="56" t="s">
        <v>76</v>
      </c>
      <c r="S436" s="49" t="s">
        <v>76</v>
      </c>
      <c r="T436" s="122"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134"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2">
      <c r="A437" s="115" t="s">
        <v>1875</v>
      </c>
      <c r="B437" s="114" t="s">
        <v>1873</v>
      </c>
      <c r="C437" s="136"/>
      <c r="D437" s="49" t="s">
        <v>76</v>
      </c>
      <c r="E437" s="50"/>
      <c r="F437" s="51"/>
      <c r="G437" s="63"/>
      <c r="H437" s="49" t="s">
        <v>75</v>
      </c>
      <c r="I437" s="133">
        <v>1</v>
      </c>
      <c r="J437" s="53"/>
      <c r="K437" s="53" t="s">
        <v>76</v>
      </c>
      <c r="L437" s="53" t="s">
        <v>77</v>
      </c>
      <c r="M437" s="54" t="s">
        <v>920</v>
      </c>
      <c r="N437" s="59" t="s">
        <v>76</v>
      </c>
      <c r="O437" s="49" t="s">
        <v>75</v>
      </c>
      <c r="P437" s="49" t="s">
        <v>76</v>
      </c>
      <c r="Q437" s="55" t="s">
        <v>76</v>
      </c>
      <c r="R437" s="56" t="s">
        <v>76</v>
      </c>
      <c r="S437" s="49" t="s">
        <v>76</v>
      </c>
      <c r="T437" s="122"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134"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2">
      <c r="A438" s="115" t="s">
        <v>1875</v>
      </c>
      <c r="B438" s="114" t="s">
        <v>1873</v>
      </c>
      <c r="C438" s="136"/>
      <c r="D438" s="49" t="s">
        <v>76</v>
      </c>
      <c r="E438" s="50"/>
      <c r="F438" s="51"/>
      <c r="G438" s="63"/>
      <c r="H438" s="49" t="s">
        <v>75</v>
      </c>
      <c r="I438" s="133">
        <v>1</v>
      </c>
      <c r="J438" s="53"/>
      <c r="K438" s="53" t="s">
        <v>76</v>
      </c>
      <c r="L438" s="53" t="s">
        <v>77</v>
      </c>
      <c r="M438" s="54" t="s">
        <v>920</v>
      </c>
      <c r="N438" s="59" t="s">
        <v>76</v>
      </c>
      <c r="O438" s="49" t="s">
        <v>75</v>
      </c>
      <c r="P438" s="49" t="s">
        <v>76</v>
      </c>
      <c r="Q438" s="55" t="s">
        <v>76</v>
      </c>
      <c r="R438" s="56" t="s">
        <v>76</v>
      </c>
      <c r="S438" s="49" t="s">
        <v>76</v>
      </c>
      <c r="T438" s="122"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134"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2">
      <c r="A439" s="115" t="s">
        <v>1875</v>
      </c>
      <c r="B439" s="114" t="s">
        <v>1873</v>
      </c>
      <c r="C439" s="136"/>
      <c r="D439" s="49" t="s">
        <v>76</v>
      </c>
      <c r="E439" s="50"/>
      <c r="F439" s="51"/>
      <c r="G439" s="63"/>
      <c r="H439" s="49" t="s">
        <v>75</v>
      </c>
      <c r="I439" s="133">
        <v>1</v>
      </c>
      <c r="J439" s="53"/>
      <c r="K439" s="53" t="s">
        <v>76</v>
      </c>
      <c r="L439" s="53" t="s">
        <v>77</v>
      </c>
      <c r="M439" s="54" t="s">
        <v>920</v>
      </c>
      <c r="N439" s="59" t="s">
        <v>76</v>
      </c>
      <c r="O439" s="49" t="s">
        <v>75</v>
      </c>
      <c r="P439" s="49" t="s">
        <v>76</v>
      </c>
      <c r="Q439" s="55" t="s">
        <v>76</v>
      </c>
      <c r="R439" s="56" t="s">
        <v>76</v>
      </c>
      <c r="S439" s="49" t="s">
        <v>76</v>
      </c>
      <c r="T439" s="122"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134"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2">
      <c r="A440" s="115" t="s">
        <v>1875</v>
      </c>
      <c r="B440" s="114" t="s">
        <v>1873</v>
      </c>
      <c r="C440" s="136"/>
      <c r="D440" s="49" t="s">
        <v>76</v>
      </c>
      <c r="E440" s="50"/>
      <c r="F440" s="51"/>
      <c r="G440" s="63"/>
      <c r="H440" s="49" t="s">
        <v>75</v>
      </c>
      <c r="I440" s="133">
        <v>1</v>
      </c>
      <c r="J440" s="53"/>
      <c r="K440" s="53" t="s">
        <v>76</v>
      </c>
      <c r="L440" s="53" t="s">
        <v>77</v>
      </c>
      <c r="M440" s="54" t="s">
        <v>920</v>
      </c>
      <c r="N440" s="59" t="s">
        <v>76</v>
      </c>
      <c r="O440" s="49" t="s">
        <v>75</v>
      </c>
      <c r="P440" s="49" t="s">
        <v>76</v>
      </c>
      <c r="Q440" s="55" t="s">
        <v>76</v>
      </c>
      <c r="R440" s="56" t="s">
        <v>76</v>
      </c>
      <c r="S440" s="49" t="s">
        <v>76</v>
      </c>
      <c r="T440" s="122"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134"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2">
      <c r="A441" s="115" t="s">
        <v>1875</v>
      </c>
      <c r="B441" s="114" t="s">
        <v>1873</v>
      </c>
      <c r="C441" s="136"/>
      <c r="D441" s="49" t="s">
        <v>76</v>
      </c>
      <c r="E441" s="50"/>
      <c r="F441" s="51"/>
      <c r="G441" s="63"/>
      <c r="H441" s="49" t="s">
        <v>75</v>
      </c>
      <c r="I441" s="133">
        <v>1</v>
      </c>
      <c r="J441" s="53"/>
      <c r="K441" s="53" t="s">
        <v>76</v>
      </c>
      <c r="L441" s="53" t="s">
        <v>77</v>
      </c>
      <c r="M441" s="54" t="s">
        <v>920</v>
      </c>
      <c r="N441" s="59" t="s">
        <v>76</v>
      </c>
      <c r="O441" s="49" t="s">
        <v>75</v>
      </c>
      <c r="P441" s="49" t="s">
        <v>76</v>
      </c>
      <c r="Q441" s="55" t="s">
        <v>76</v>
      </c>
      <c r="R441" s="56" t="s">
        <v>76</v>
      </c>
      <c r="S441" s="49" t="s">
        <v>76</v>
      </c>
      <c r="T441" s="122"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134"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2">
      <c r="A442" s="115" t="s">
        <v>1875</v>
      </c>
      <c r="B442" s="114" t="s">
        <v>1873</v>
      </c>
      <c r="C442" s="136"/>
      <c r="D442" s="49" t="s">
        <v>76</v>
      </c>
      <c r="E442" s="50"/>
      <c r="F442" s="51"/>
      <c r="G442" s="63"/>
      <c r="H442" s="49" t="s">
        <v>75</v>
      </c>
      <c r="I442" s="133">
        <v>1</v>
      </c>
      <c r="J442" s="53"/>
      <c r="K442" s="53" t="s">
        <v>76</v>
      </c>
      <c r="L442" s="53" t="s">
        <v>77</v>
      </c>
      <c r="M442" s="54" t="s">
        <v>920</v>
      </c>
      <c r="N442" s="59" t="s">
        <v>76</v>
      </c>
      <c r="O442" s="49" t="s">
        <v>75</v>
      </c>
      <c r="P442" s="49" t="s">
        <v>76</v>
      </c>
      <c r="Q442" s="55" t="s">
        <v>76</v>
      </c>
      <c r="R442" s="56" t="s">
        <v>76</v>
      </c>
      <c r="S442" s="49" t="s">
        <v>76</v>
      </c>
      <c r="T442" s="122"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134"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2">
      <c r="A443" s="115" t="s">
        <v>1875</v>
      </c>
      <c r="B443" s="114" t="s">
        <v>1873</v>
      </c>
      <c r="C443" s="136"/>
      <c r="D443" s="49" t="s">
        <v>76</v>
      </c>
      <c r="E443" s="50"/>
      <c r="F443" s="51"/>
      <c r="G443" s="63"/>
      <c r="H443" s="49" t="s">
        <v>75</v>
      </c>
      <c r="I443" s="133">
        <v>1</v>
      </c>
      <c r="J443" s="53"/>
      <c r="K443" s="53" t="s">
        <v>76</v>
      </c>
      <c r="L443" s="53" t="s">
        <v>77</v>
      </c>
      <c r="M443" s="54" t="s">
        <v>920</v>
      </c>
      <c r="N443" s="59" t="s">
        <v>76</v>
      </c>
      <c r="O443" s="49" t="s">
        <v>75</v>
      </c>
      <c r="P443" s="49" t="s">
        <v>76</v>
      </c>
      <c r="Q443" s="55" t="s">
        <v>76</v>
      </c>
      <c r="R443" s="56" t="s">
        <v>76</v>
      </c>
      <c r="S443" s="49" t="s">
        <v>76</v>
      </c>
      <c r="T443" s="122"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134"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2">
      <c r="A444" s="115" t="s">
        <v>1875</v>
      </c>
      <c r="B444" s="114" t="s">
        <v>1873</v>
      </c>
      <c r="C444" s="136"/>
      <c r="D444" s="49" t="s">
        <v>76</v>
      </c>
      <c r="E444" s="50"/>
      <c r="F444" s="51"/>
      <c r="G444" s="63"/>
      <c r="H444" s="49" t="s">
        <v>75</v>
      </c>
      <c r="I444" s="133">
        <v>1</v>
      </c>
      <c r="J444" s="53"/>
      <c r="K444" s="53" t="s">
        <v>76</v>
      </c>
      <c r="L444" s="53" t="s">
        <v>77</v>
      </c>
      <c r="M444" s="54" t="s">
        <v>920</v>
      </c>
      <c r="N444" s="59" t="s">
        <v>76</v>
      </c>
      <c r="O444" s="49" t="s">
        <v>75</v>
      </c>
      <c r="P444" s="49" t="s">
        <v>76</v>
      </c>
      <c r="Q444" s="55" t="s">
        <v>76</v>
      </c>
      <c r="R444" s="56" t="s">
        <v>76</v>
      </c>
      <c r="S444" s="49" t="s">
        <v>76</v>
      </c>
      <c r="T444" s="122"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134"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2">
      <c r="A445" s="115" t="s">
        <v>1875</v>
      </c>
      <c r="B445" s="114" t="s">
        <v>1873</v>
      </c>
      <c r="C445" s="136"/>
      <c r="D445" s="49" t="s">
        <v>76</v>
      </c>
      <c r="E445" s="50"/>
      <c r="F445" s="51"/>
      <c r="G445" s="63"/>
      <c r="H445" s="49" t="s">
        <v>75</v>
      </c>
      <c r="I445" s="133">
        <v>1</v>
      </c>
      <c r="J445" s="53"/>
      <c r="K445" s="53" t="s">
        <v>76</v>
      </c>
      <c r="L445" s="53" t="s">
        <v>77</v>
      </c>
      <c r="M445" s="54" t="s">
        <v>920</v>
      </c>
      <c r="N445" s="59" t="s">
        <v>76</v>
      </c>
      <c r="O445" s="49" t="s">
        <v>75</v>
      </c>
      <c r="P445" s="49" t="s">
        <v>76</v>
      </c>
      <c r="Q445" s="55" t="s">
        <v>76</v>
      </c>
      <c r="R445" s="56" t="s">
        <v>76</v>
      </c>
      <c r="S445" s="49" t="s">
        <v>76</v>
      </c>
      <c r="T445" s="122"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134"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2">
      <c r="A446" s="115" t="s">
        <v>1875</v>
      </c>
      <c r="B446" s="114" t="s">
        <v>1873</v>
      </c>
      <c r="C446" s="136"/>
      <c r="D446" s="49" t="s">
        <v>76</v>
      </c>
      <c r="E446" s="50"/>
      <c r="F446" s="51"/>
      <c r="G446" s="63"/>
      <c r="H446" s="49" t="s">
        <v>75</v>
      </c>
      <c r="I446" s="133">
        <v>1</v>
      </c>
      <c r="J446" s="53"/>
      <c r="K446" s="53" t="s">
        <v>76</v>
      </c>
      <c r="L446" s="53" t="s">
        <v>77</v>
      </c>
      <c r="M446" s="54" t="s">
        <v>920</v>
      </c>
      <c r="N446" s="59" t="s">
        <v>76</v>
      </c>
      <c r="O446" s="49" t="s">
        <v>75</v>
      </c>
      <c r="P446" s="49" t="s">
        <v>76</v>
      </c>
      <c r="Q446" s="55" t="s">
        <v>76</v>
      </c>
      <c r="R446" s="56" t="s">
        <v>76</v>
      </c>
      <c r="S446" s="49" t="s">
        <v>76</v>
      </c>
      <c r="T446" s="122"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134"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2">
      <c r="A447" s="115" t="s">
        <v>1875</v>
      </c>
      <c r="B447" s="114" t="s">
        <v>1873</v>
      </c>
      <c r="C447" s="136"/>
      <c r="D447" s="49" t="s">
        <v>76</v>
      </c>
      <c r="E447" s="50"/>
      <c r="F447" s="51"/>
      <c r="G447" s="63"/>
      <c r="H447" s="49" t="s">
        <v>75</v>
      </c>
      <c r="I447" s="133">
        <v>1</v>
      </c>
      <c r="J447" s="53"/>
      <c r="K447" s="53" t="s">
        <v>76</v>
      </c>
      <c r="L447" s="53" t="s">
        <v>77</v>
      </c>
      <c r="M447" s="54" t="s">
        <v>920</v>
      </c>
      <c r="N447" s="59" t="s">
        <v>76</v>
      </c>
      <c r="O447" s="49" t="s">
        <v>75</v>
      </c>
      <c r="P447" s="49" t="s">
        <v>76</v>
      </c>
      <c r="Q447" s="55" t="s">
        <v>76</v>
      </c>
      <c r="R447" s="56" t="s">
        <v>76</v>
      </c>
      <c r="S447" s="49" t="s">
        <v>76</v>
      </c>
      <c r="T447" s="122"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134"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2">
      <c r="A448" s="115" t="s">
        <v>1875</v>
      </c>
      <c r="B448" s="114" t="s">
        <v>1873</v>
      </c>
      <c r="C448" s="136"/>
      <c r="D448" s="49" t="s">
        <v>76</v>
      </c>
      <c r="E448" s="50"/>
      <c r="F448" s="51"/>
      <c r="G448" s="63"/>
      <c r="H448" s="49" t="s">
        <v>75</v>
      </c>
      <c r="I448" s="133">
        <v>1</v>
      </c>
      <c r="J448" s="53"/>
      <c r="K448" s="53" t="s">
        <v>76</v>
      </c>
      <c r="L448" s="53" t="s">
        <v>77</v>
      </c>
      <c r="M448" s="54" t="s">
        <v>920</v>
      </c>
      <c r="N448" s="59" t="s">
        <v>76</v>
      </c>
      <c r="O448" s="49" t="s">
        <v>75</v>
      </c>
      <c r="P448" s="49" t="s">
        <v>76</v>
      </c>
      <c r="Q448" s="55" t="s">
        <v>76</v>
      </c>
      <c r="R448" s="56" t="s">
        <v>76</v>
      </c>
      <c r="S448" s="49" t="s">
        <v>76</v>
      </c>
      <c r="T448" s="122"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134"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2">
      <c r="A449" s="115" t="s">
        <v>1875</v>
      </c>
      <c r="B449" s="114" t="s">
        <v>1873</v>
      </c>
      <c r="C449" s="136"/>
      <c r="D449" s="49" t="s">
        <v>76</v>
      </c>
      <c r="E449" s="50"/>
      <c r="F449" s="51"/>
      <c r="G449" s="63"/>
      <c r="H449" s="49" t="s">
        <v>75</v>
      </c>
      <c r="I449" s="133">
        <v>1</v>
      </c>
      <c r="J449" s="53"/>
      <c r="K449" s="53" t="s">
        <v>76</v>
      </c>
      <c r="L449" s="53" t="s">
        <v>77</v>
      </c>
      <c r="M449" s="54" t="s">
        <v>920</v>
      </c>
      <c r="N449" s="59" t="s">
        <v>76</v>
      </c>
      <c r="O449" s="49" t="s">
        <v>75</v>
      </c>
      <c r="P449" s="49" t="s">
        <v>76</v>
      </c>
      <c r="Q449" s="55" t="s">
        <v>76</v>
      </c>
      <c r="R449" s="56" t="s">
        <v>76</v>
      </c>
      <c r="S449" s="49" t="s">
        <v>76</v>
      </c>
      <c r="T449" s="122"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134"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2">
      <c r="A450" s="115" t="s">
        <v>1875</v>
      </c>
      <c r="B450" s="114" t="s">
        <v>1873</v>
      </c>
      <c r="C450" s="136"/>
      <c r="D450" s="49" t="s">
        <v>76</v>
      </c>
      <c r="E450" s="50"/>
      <c r="F450" s="51"/>
      <c r="G450" s="63"/>
      <c r="H450" s="49" t="s">
        <v>75</v>
      </c>
      <c r="I450" s="133">
        <v>1</v>
      </c>
      <c r="J450" s="53"/>
      <c r="K450" s="53" t="s">
        <v>76</v>
      </c>
      <c r="L450" s="53" t="s">
        <v>77</v>
      </c>
      <c r="M450" s="54" t="s">
        <v>920</v>
      </c>
      <c r="N450" s="59" t="s">
        <v>76</v>
      </c>
      <c r="O450" s="49" t="s">
        <v>75</v>
      </c>
      <c r="P450" s="49" t="s">
        <v>76</v>
      </c>
      <c r="Q450" s="55" t="s">
        <v>76</v>
      </c>
      <c r="R450" s="56" t="s">
        <v>76</v>
      </c>
      <c r="S450" s="49" t="s">
        <v>76</v>
      </c>
      <c r="T450" s="122"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134"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2">
      <c r="A451" s="115" t="s">
        <v>1875</v>
      </c>
      <c r="B451" s="114" t="s">
        <v>1873</v>
      </c>
      <c r="C451" s="136"/>
      <c r="D451" s="49" t="s">
        <v>76</v>
      </c>
      <c r="E451" s="50"/>
      <c r="F451" s="51"/>
      <c r="G451" s="63"/>
      <c r="H451" s="49" t="s">
        <v>75</v>
      </c>
      <c r="I451" s="133">
        <v>1</v>
      </c>
      <c r="J451" s="53"/>
      <c r="K451" s="53" t="s">
        <v>76</v>
      </c>
      <c r="L451" s="53" t="s">
        <v>77</v>
      </c>
      <c r="M451" s="54" t="s">
        <v>920</v>
      </c>
      <c r="N451" s="59" t="s">
        <v>76</v>
      </c>
      <c r="O451" s="49" t="s">
        <v>75</v>
      </c>
      <c r="P451" s="49" t="s">
        <v>76</v>
      </c>
      <c r="Q451" s="55" t="s">
        <v>76</v>
      </c>
      <c r="R451" s="56" t="s">
        <v>76</v>
      </c>
      <c r="S451" s="49" t="s">
        <v>76</v>
      </c>
      <c r="T451" s="122"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134"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2">
      <c r="A452" s="115" t="s">
        <v>1875</v>
      </c>
      <c r="B452" s="114" t="s">
        <v>1873</v>
      </c>
      <c r="C452" s="136"/>
      <c r="D452" s="49" t="s">
        <v>76</v>
      </c>
      <c r="E452" s="50"/>
      <c r="F452" s="51"/>
      <c r="G452" s="63"/>
      <c r="H452" s="49" t="s">
        <v>75</v>
      </c>
      <c r="I452" s="133">
        <v>1</v>
      </c>
      <c r="J452" s="53"/>
      <c r="K452" s="53" t="s">
        <v>76</v>
      </c>
      <c r="L452" s="53" t="s">
        <v>77</v>
      </c>
      <c r="M452" s="54" t="s">
        <v>920</v>
      </c>
      <c r="N452" s="59" t="s">
        <v>76</v>
      </c>
      <c r="O452" s="49" t="s">
        <v>75</v>
      </c>
      <c r="P452" s="49" t="s">
        <v>76</v>
      </c>
      <c r="Q452" s="55" t="s">
        <v>76</v>
      </c>
      <c r="R452" s="56" t="s">
        <v>76</v>
      </c>
      <c r="S452" s="49" t="s">
        <v>76</v>
      </c>
      <c r="T452" s="122"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134"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2">
      <c r="A453" s="115" t="s">
        <v>1875</v>
      </c>
      <c r="B453" s="114" t="s">
        <v>1873</v>
      </c>
      <c r="C453" s="136"/>
      <c r="D453" s="49" t="s">
        <v>76</v>
      </c>
      <c r="E453" s="50"/>
      <c r="F453" s="51"/>
      <c r="G453" s="63"/>
      <c r="H453" s="49" t="s">
        <v>75</v>
      </c>
      <c r="I453" s="133">
        <v>1</v>
      </c>
      <c r="J453" s="53"/>
      <c r="K453" s="53" t="s">
        <v>76</v>
      </c>
      <c r="L453" s="53" t="s">
        <v>77</v>
      </c>
      <c r="M453" s="54" t="s">
        <v>920</v>
      </c>
      <c r="N453" s="59" t="s">
        <v>76</v>
      </c>
      <c r="O453" s="49" t="s">
        <v>75</v>
      </c>
      <c r="P453" s="49" t="s">
        <v>76</v>
      </c>
      <c r="Q453" s="55" t="s">
        <v>76</v>
      </c>
      <c r="R453" s="56" t="s">
        <v>76</v>
      </c>
      <c r="S453" s="49" t="s">
        <v>76</v>
      </c>
      <c r="T453" s="122"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134"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2">
      <c r="A454" s="115" t="s">
        <v>1875</v>
      </c>
      <c r="B454" s="114" t="s">
        <v>1873</v>
      </c>
      <c r="C454" s="136"/>
      <c r="D454" s="49" t="s">
        <v>76</v>
      </c>
      <c r="E454" s="50"/>
      <c r="F454" s="51"/>
      <c r="G454" s="63"/>
      <c r="H454" s="49" t="s">
        <v>75</v>
      </c>
      <c r="I454" s="133">
        <v>1</v>
      </c>
      <c r="J454" s="53"/>
      <c r="K454" s="53" t="s">
        <v>76</v>
      </c>
      <c r="L454" s="53" t="s">
        <v>77</v>
      </c>
      <c r="M454" s="54" t="s">
        <v>920</v>
      </c>
      <c r="N454" s="59" t="s">
        <v>76</v>
      </c>
      <c r="O454" s="49" t="s">
        <v>75</v>
      </c>
      <c r="P454" s="49" t="s">
        <v>76</v>
      </c>
      <c r="Q454" s="55" t="s">
        <v>76</v>
      </c>
      <c r="R454" s="56" t="s">
        <v>76</v>
      </c>
      <c r="S454" s="49" t="s">
        <v>76</v>
      </c>
      <c r="T454" s="122"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134"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2">
      <c r="A455" s="115" t="s">
        <v>1875</v>
      </c>
      <c r="B455" s="114" t="s">
        <v>1873</v>
      </c>
      <c r="C455" s="136"/>
      <c r="D455" s="49" t="s">
        <v>76</v>
      </c>
      <c r="E455" s="50"/>
      <c r="F455" s="51"/>
      <c r="G455" s="63"/>
      <c r="H455" s="49" t="s">
        <v>75</v>
      </c>
      <c r="I455" s="133">
        <v>1</v>
      </c>
      <c r="J455" s="53"/>
      <c r="K455" s="53" t="s">
        <v>76</v>
      </c>
      <c r="L455" s="53" t="s">
        <v>77</v>
      </c>
      <c r="M455" s="54" t="s">
        <v>920</v>
      </c>
      <c r="N455" s="59" t="s">
        <v>76</v>
      </c>
      <c r="O455" s="49" t="s">
        <v>75</v>
      </c>
      <c r="P455" s="49" t="s">
        <v>76</v>
      </c>
      <c r="Q455" s="55" t="s">
        <v>76</v>
      </c>
      <c r="R455" s="56" t="s">
        <v>76</v>
      </c>
      <c r="S455" s="49" t="s">
        <v>76</v>
      </c>
      <c r="T455" s="122"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134"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15" t="s">
        <v>1875</v>
      </c>
      <c r="B456" s="114" t="s">
        <v>1873</v>
      </c>
      <c r="C456" s="50"/>
      <c r="D456" s="49" t="s">
        <v>76</v>
      </c>
      <c r="E456" s="50"/>
      <c r="F456" s="51"/>
      <c r="G456" s="63"/>
      <c r="H456" s="49" t="s">
        <v>75</v>
      </c>
      <c r="I456" s="133">
        <v>1</v>
      </c>
      <c r="J456" s="53"/>
      <c r="K456" s="53" t="s">
        <v>76</v>
      </c>
      <c r="L456" s="53" t="s">
        <v>77</v>
      </c>
      <c r="M456" s="54" t="s">
        <v>920</v>
      </c>
      <c r="N456" s="59" t="s">
        <v>76</v>
      </c>
      <c r="O456" s="49" t="s">
        <v>75</v>
      </c>
      <c r="P456" s="49" t="s">
        <v>76</v>
      </c>
      <c r="Q456" s="55" t="s">
        <v>76</v>
      </c>
      <c r="R456" s="56" t="s">
        <v>76</v>
      </c>
      <c r="S456" s="49" t="s">
        <v>76</v>
      </c>
      <c r="T456" s="122"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134"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15" t="s">
        <v>1875</v>
      </c>
      <c r="B457" s="114" t="s">
        <v>1873</v>
      </c>
      <c r="C457" s="50"/>
      <c r="D457" s="49" t="s">
        <v>76</v>
      </c>
      <c r="E457" s="50"/>
      <c r="F457" s="51"/>
      <c r="G457" s="63"/>
      <c r="H457" s="49" t="s">
        <v>75</v>
      </c>
      <c r="I457" s="133">
        <v>1</v>
      </c>
      <c r="J457" s="53"/>
      <c r="K457" s="53" t="s">
        <v>76</v>
      </c>
      <c r="L457" s="53" t="s">
        <v>77</v>
      </c>
      <c r="M457" s="54" t="s">
        <v>920</v>
      </c>
      <c r="N457" s="59" t="s">
        <v>76</v>
      </c>
      <c r="O457" s="49" t="s">
        <v>75</v>
      </c>
      <c r="P457" s="49" t="s">
        <v>76</v>
      </c>
      <c r="Q457" s="55" t="s">
        <v>76</v>
      </c>
      <c r="R457" s="56" t="s">
        <v>76</v>
      </c>
      <c r="S457" s="49" t="s">
        <v>76</v>
      </c>
      <c r="T457" s="122"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134"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15" t="s">
        <v>1875</v>
      </c>
      <c r="B458" s="114" t="s">
        <v>1873</v>
      </c>
      <c r="C458" s="50"/>
      <c r="D458" s="49" t="s">
        <v>76</v>
      </c>
      <c r="E458" s="50"/>
      <c r="F458" s="51"/>
      <c r="G458" s="63"/>
      <c r="H458" s="49" t="s">
        <v>75</v>
      </c>
      <c r="I458" s="133">
        <v>1</v>
      </c>
      <c r="J458" s="53"/>
      <c r="K458" s="53" t="s">
        <v>76</v>
      </c>
      <c r="L458" s="53" t="s">
        <v>77</v>
      </c>
      <c r="M458" s="54" t="s">
        <v>920</v>
      </c>
      <c r="N458" s="59" t="s">
        <v>76</v>
      </c>
      <c r="O458" s="49" t="s">
        <v>75</v>
      </c>
      <c r="P458" s="49" t="s">
        <v>76</v>
      </c>
      <c r="Q458" s="55" t="s">
        <v>76</v>
      </c>
      <c r="R458" s="56" t="s">
        <v>76</v>
      </c>
      <c r="S458" s="49" t="s">
        <v>76</v>
      </c>
      <c r="T458" s="122"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134"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15" t="s">
        <v>1875</v>
      </c>
      <c r="B459" s="114" t="s">
        <v>1873</v>
      </c>
      <c r="C459" s="50"/>
      <c r="D459" s="49" t="s">
        <v>76</v>
      </c>
      <c r="E459" s="50"/>
      <c r="F459" s="51"/>
      <c r="G459" s="63"/>
      <c r="H459" s="49" t="s">
        <v>75</v>
      </c>
      <c r="I459" s="133">
        <v>1</v>
      </c>
      <c r="J459" s="53"/>
      <c r="K459" s="53" t="s">
        <v>76</v>
      </c>
      <c r="L459" s="53" t="s">
        <v>77</v>
      </c>
      <c r="M459" s="54" t="s">
        <v>920</v>
      </c>
      <c r="N459" s="59" t="s">
        <v>76</v>
      </c>
      <c r="O459" s="49" t="s">
        <v>75</v>
      </c>
      <c r="P459" s="49" t="s">
        <v>76</v>
      </c>
      <c r="Q459" s="55" t="s">
        <v>76</v>
      </c>
      <c r="R459" s="56" t="s">
        <v>76</v>
      </c>
      <c r="S459" s="49" t="s">
        <v>76</v>
      </c>
      <c r="T459" s="122"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134"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15" t="s">
        <v>1875</v>
      </c>
      <c r="B460" s="114" t="s">
        <v>1873</v>
      </c>
      <c r="C460" s="50"/>
      <c r="D460" s="49" t="s">
        <v>76</v>
      </c>
      <c r="E460" s="50"/>
      <c r="F460" s="51"/>
      <c r="G460" s="63"/>
      <c r="H460" s="49" t="s">
        <v>75</v>
      </c>
      <c r="I460" s="133">
        <v>1</v>
      </c>
      <c r="J460" s="53"/>
      <c r="K460" s="53" t="s">
        <v>76</v>
      </c>
      <c r="L460" s="53" t="s">
        <v>77</v>
      </c>
      <c r="M460" s="54" t="s">
        <v>920</v>
      </c>
      <c r="N460" s="59" t="s">
        <v>76</v>
      </c>
      <c r="O460" s="49" t="s">
        <v>75</v>
      </c>
      <c r="P460" s="49" t="s">
        <v>76</v>
      </c>
      <c r="Q460" s="55" t="s">
        <v>76</v>
      </c>
      <c r="R460" s="56" t="s">
        <v>76</v>
      </c>
      <c r="S460" s="49" t="s">
        <v>76</v>
      </c>
      <c r="T460" s="122"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134"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15" t="s">
        <v>1875</v>
      </c>
      <c r="B461" s="114" t="s">
        <v>1873</v>
      </c>
      <c r="C461" s="50"/>
      <c r="D461" s="49" t="s">
        <v>76</v>
      </c>
      <c r="E461" s="50"/>
      <c r="F461" s="51"/>
      <c r="G461" s="63"/>
      <c r="H461" s="49" t="s">
        <v>75</v>
      </c>
      <c r="I461" s="133">
        <v>1</v>
      </c>
      <c r="J461" s="53"/>
      <c r="K461" s="53" t="s">
        <v>76</v>
      </c>
      <c r="L461" s="53" t="s">
        <v>77</v>
      </c>
      <c r="M461" s="54" t="s">
        <v>920</v>
      </c>
      <c r="N461" s="59" t="s">
        <v>76</v>
      </c>
      <c r="O461" s="49" t="s">
        <v>75</v>
      </c>
      <c r="P461" s="49" t="s">
        <v>76</v>
      </c>
      <c r="Q461" s="55" t="s">
        <v>76</v>
      </c>
      <c r="R461" s="56" t="s">
        <v>76</v>
      </c>
      <c r="S461" s="49" t="s">
        <v>76</v>
      </c>
      <c r="T461" s="122"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134"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15" t="s">
        <v>1875</v>
      </c>
      <c r="B462" s="114" t="s">
        <v>1873</v>
      </c>
      <c r="C462" s="50"/>
      <c r="D462" s="49" t="s">
        <v>76</v>
      </c>
      <c r="E462" s="50"/>
      <c r="F462" s="51"/>
      <c r="G462" s="63"/>
      <c r="H462" s="49" t="s">
        <v>75</v>
      </c>
      <c r="I462" s="133">
        <v>1</v>
      </c>
      <c r="J462" s="53"/>
      <c r="K462" s="53" t="s">
        <v>76</v>
      </c>
      <c r="L462" s="53" t="s">
        <v>77</v>
      </c>
      <c r="M462" s="54" t="s">
        <v>920</v>
      </c>
      <c r="N462" s="59" t="s">
        <v>76</v>
      </c>
      <c r="O462" s="49" t="s">
        <v>75</v>
      </c>
      <c r="P462" s="49" t="s">
        <v>76</v>
      </c>
      <c r="Q462" s="55" t="s">
        <v>76</v>
      </c>
      <c r="R462" s="56" t="s">
        <v>76</v>
      </c>
      <c r="S462" s="49" t="s">
        <v>76</v>
      </c>
      <c r="T462" s="122"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134"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15" t="s">
        <v>1875</v>
      </c>
      <c r="B463" s="114" t="s">
        <v>1873</v>
      </c>
      <c r="C463" s="50"/>
      <c r="D463" s="49" t="s">
        <v>76</v>
      </c>
      <c r="E463" s="50"/>
      <c r="F463" s="51"/>
      <c r="G463" s="63"/>
      <c r="H463" s="49" t="s">
        <v>75</v>
      </c>
      <c r="I463" s="133">
        <v>1</v>
      </c>
      <c r="J463" s="53"/>
      <c r="K463" s="53" t="s">
        <v>76</v>
      </c>
      <c r="L463" s="53" t="s">
        <v>77</v>
      </c>
      <c r="M463" s="54" t="s">
        <v>920</v>
      </c>
      <c r="N463" s="59" t="s">
        <v>76</v>
      </c>
      <c r="O463" s="49" t="s">
        <v>75</v>
      </c>
      <c r="P463" s="49" t="s">
        <v>76</v>
      </c>
      <c r="Q463" s="55" t="s">
        <v>76</v>
      </c>
      <c r="R463" s="56" t="s">
        <v>76</v>
      </c>
      <c r="S463" s="49" t="s">
        <v>76</v>
      </c>
      <c r="T463" s="122"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134"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15" t="s">
        <v>1875</v>
      </c>
      <c r="B464" s="114" t="s">
        <v>1873</v>
      </c>
      <c r="C464" s="50"/>
      <c r="D464" s="49" t="s">
        <v>76</v>
      </c>
      <c r="E464" s="50"/>
      <c r="F464" s="51"/>
      <c r="G464" s="63"/>
      <c r="H464" s="49" t="s">
        <v>75</v>
      </c>
      <c r="I464" s="133">
        <v>1</v>
      </c>
      <c r="J464" s="53"/>
      <c r="K464" s="53" t="s">
        <v>76</v>
      </c>
      <c r="L464" s="53" t="s">
        <v>77</v>
      </c>
      <c r="M464" s="54" t="s">
        <v>920</v>
      </c>
      <c r="N464" s="59" t="s">
        <v>76</v>
      </c>
      <c r="O464" s="49" t="s">
        <v>75</v>
      </c>
      <c r="P464" s="49" t="s">
        <v>76</v>
      </c>
      <c r="Q464" s="55" t="s">
        <v>76</v>
      </c>
      <c r="R464" s="56" t="s">
        <v>76</v>
      </c>
      <c r="S464" s="49" t="s">
        <v>76</v>
      </c>
      <c r="T464" s="122"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134"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15" t="s">
        <v>1875</v>
      </c>
      <c r="B465" s="114" t="s">
        <v>1873</v>
      </c>
      <c r="C465" s="50"/>
      <c r="D465" s="49" t="s">
        <v>76</v>
      </c>
      <c r="E465" s="50"/>
      <c r="F465" s="51"/>
      <c r="G465" s="63"/>
      <c r="H465" s="49" t="s">
        <v>75</v>
      </c>
      <c r="I465" s="133">
        <v>1</v>
      </c>
      <c r="J465" s="53"/>
      <c r="K465" s="53" t="s">
        <v>76</v>
      </c>
      <c r="L465" s="53" t="s">
        <v>77</v>
      </c>
      <c r="M465" s="54" t="s">
        <v>920</v>
      </c>
      <c r="N465" s="59" t="s">
        <v>76</v>
      </c>
      <c r="O465" s="49" t="s">
        <v>75</v>
      </c>
      <c r="P465" s="49" t="s">
        <v>76</v>
      </c>
      <c r="Q465" s="55" t="s">
        <v>76</v>
      </c>
      <c r="R465" s="56" t="s">
        <v>76</v>
      </c>
      <c r="S465" s="49" t="s">
        <v>76</v>
      </c>
      <c r="T465" s="122"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134"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15" t="s">
        <v>1875</v>
      </c>
      <c r="B466" s="114" t="s">
        <v>1873</v>
      </c>
      <c r="C466" s="50"/>
      <c r="D466" s="49" t="s">
        <v>76</v>
      </c>
      <c r="E466" s="50"/>
      <c r="F466" s="51"/>
      <c r="G466" s="63"/>
      <c r="H466" s="49" t="s">
        <v>75</v>
      </c>
      <c r="I466" s="133">
        <v>1</v>
      </c>
      <c r="J466" s="53"/>
      <c r="K466" s="53" t="s">
        <v>76</v>
      </c>
      <c r="L466" s="53" t="s">
        <v>77</v>
      </c>
      <c r="M466" s="54" t="s">
        <v>920</v>
      </c>
      <c r="N466" s="59" t="s">
        <v>76</v>
      </c>
      <c r="O466" s="49" t="s">
        <v>75</v>
      </c>
      <c r="P466" s="49" t="s">
        <v>76</v>
      </c>
      <c r="Q466" s="55" t="s">
        <v>76</v>
      </c>
      <c r="R466" s="56" t="s">
        <v>76</v>
      </c>
      <c r="S466" s="49" t="s">
        <v>76</v>
      </c>
      <c r="T466" s="122"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134"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15" t="s">
        <v>1875</v>
      </c>
      <c r="B467" s="114" t="s">
        <v>1873</v>
      </c>
      <c r="C467" s="50"/>
      <c r="D467" s="49" t="s">
        <v>76</v>
      </c>
      <c r="E467" s="50"/>
      <c r="F467" s="51"/>
      <c r="G467" s="63"/>
      <c r="H467" s="49" t="s">
        <v>75</v>
      </c>
      <c r="I467" s="133">
        <v>1</v>
      </c>
      <c r="J467" s="53"/>
      <c r="K467" s="53" t="s">
        <v>76</v>
      </c>
      <c r="L467" s="53" t="s">
        <v>77</v>
      </c>
      <c r="M467" s="54" t="s">
        <v>920</v>
      </c>
      <c r="N467" s="59" t="s">
        <v>76</v>
      </c>
      <c r="O467" s="49" t="s">
        <v>75</v>
      </c>
      <c r="P467" s="49" t="s">
        <v>76</v>
      </c>
      <c r="Q467" s="55" t="s">
        <v>76</v>
      </c>
      <c r="R467" s="56" t="s">
        <v>76</v>
      </c>
      <c r="S467" s="49" t="s">
        <v>76</v>
      </c>
      <c r="T467" s="122"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134"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15" t="s">
        <v>1875</v>
      </c>
      <c r="B468" s="114" t="s">
        <v>1873</v>
      </c>
      <c r="C468" s="50"/>
      <c r="D468" s="49" t="s">
        <v>76</v>
      </c>
      <c r="E468" s="50"/>
      <c r="F468" s="51"/>
      <c r="G468" s="63"/>
      <c r="H468" s="49" t="s">
        <v>75</v>
      </c>
      <c r="I468" s="133">
        <v>1</v>
      </c>
      <c r="J468" s="53"/>
      <c r="K468" s="53" t="s">
        <v>76</v>
      </c>
      <c r="L468" s="53" t="s">
        <v>77</v>
      </c>
      <c r="M468" s="54" t="s">
        <v>920</v>
      </c>
      <c r="N468" s="59" t="s">
        <v>76</v>
      </c>
      <c r="O468" s="49" t="s">
        <v>75</v>
      </c>
      <c r="P468" s="49" t="s">
        <v>76</v>
      </c>
      <c r="Q468" s="55" t="s">
        <v>76</v>
      </c>
      <c r="R468" s="56" t="s">
        <v>76</v>
      </c>
      <c r="S468" s="49" t="s">
        <v>76</v>
      </c>
      <c r="T468" s="122"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134"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15" t="s">
        <v>1875</v>
      </c>
      <c r="B469" s="114" t="s">
        <v>1873</v>
      </c>
      <c r="C469" s="50"/>
      <c r="D469" s="49" t="s">
        <v>76</v>
      </c>
      <c r="E469" s="50"/>
      <c r="F469" s="51"/>
      <c r="G469" s="63"/>
      <c r="H469" s="49" t="s">
        <v>75</v>
      </c>
      <c r="I469" s="133">
        <v>1</v>
      </c>
      <c r="J469" s="53"/>
      <c r="K469" s="53" t="s">
        <v>76</v>
      </c>
      <c r="L469" s="53" t="s">
        <v>77</v>
      </c>
      <c r="M469" s="54" t="s">
        <v>920</v>
      </c>
      <c r="N469" s="59" t="s">
        <v>76</v>
      </c>
      <c r="O469" s="49" t="s">
        <v>75</v>
      </c>
      <c r="P469" s="49" t="s">
        <v>76</v>
      </c>
      <c r="Q469" s="55" t="s">
        <v>76</v>
      </c>
      <c r="R469" s="56" t="s">
        <v>76</v>
      </c>
      <c r="S469" s="49" t="s">
        <v>76</v>
      </c>
      <c r="T469" s="122"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134"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15" t="s">
        <v>1875</v>
      </c>
      <c r="B470" s="114" t="s">
        <v>1873</v>
      </c>
      <c r="C470" s="50"/>
      <c r="D470" s="49" t="s">
        <v>76</v>
      </c>
      <c r="E470" s="50"/>
      <c r="F470" s="51"/>
      <c r="G470" s="63"/>
      <c r="H470" s="49" t="s">
        <v>75</v>
      </c>
      <c r="I470" s="133">
        <v>1</v>
      </c>
      <c r="J470" s="53"/>
      <c r="K470" s="53" t="s">
        <v>76</v>
      </c>
      <c r="L470" s="53" t="s">
        <v>77</v>
      </c>
      <c r="M470" s="54" t="s">
        <v>920</v>
      </c>
      <c r="N470" s="59" t="s">
        <v>76</v>
      </c>
      <c r="O470" s="49" t="s">
        <v>75</v>
      </c>
      <c r="P470" s="49" t="s">
        <v>76</v>
      </c>
      <c r="Q470" s="55" t="s">
        <v>76</v>
      </c>
      <c r="R470" s="56" t="s">
        <v>76</v>
      </c>
      <c r="S470" s="49" t="s">
        <v>76</v>
      </c>
      <c r="T470" s="122"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134"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15" t="s">
        <v>1875</v>
      </c>
      <c r="B471" s="114" t="s">
        <v>1873</v>
      </c>
      <c r="C471" s="50"/>
      <c r="D471" s="49" t="s">
        <v>76</v>
      </c>
      <c r="E471" s="50"/>
      <c r="F471" s="51"/>
      <c r="G471" s="63"/>
      <c r="H471" s="49" t="s">
        <v>75</v>
      </c>
      <c r="I471" s="133">
        <v>1</v>
      </c>
      <c r="J471" s="53"/>
      <c r="K471" s="53" t="s">
        <v>76</v>
      </c>
      <c r="L471" s="53" t="s">
        <v>77</v>
      </c>
      <c r="M471" s="54" t="s">
        <v>920</v>
      </c>
      <c r="N471" s="59" t="s">
        <v>76</v>
      </c>
      <c r="O471" s="49" t="s">
        <v>75</v>
      </c>
      <c r="P471" s="49" t="s">
        <v>76</v>
      </c>
      <c r="Q471" s="55" t="s">
        <v>76</v>
      </c>
      <c r="R471" s="56" t="s">
        <v>76</v>
      </c>
      <c r="S471" s="49" t="s">
        <v>76</v>
      </c>
      <c r="T471" s="122"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134"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15" t="s">
        <v>1875</v>
      </c>
      <c r="B472" s="114" t="s">
        <v>1873</v>
      </c>
      <c r="C472" s="50"/>
      <c r="D472" s="49" t="s">
        <v>76</v>
      </c>
      <c r="E472" s="50"/>
      <c r="F472" s="51"/>
      <c r="G472" s="63"/>
      <c r="H472" s="49" t="s">
        <v>75</v>
      </c>
      <c r="I472" s="133">
        <v>1</v>
      </c>
      <c r="J472" s="53"/>
      <c r="K472" s="53" t="s">
        <v>76</v>
      </c>
      <c r="L472" s="53" t="s">
        <v>77</v>
      </c>
      <c r="M472" s="54" t="s">
        <v>920</v>
      </c>
      <c r="N472" s="59" t="s">
        <v>76</v>
      </c>
      <c r="O472" s="49" t="s">
        <v>75</v>
      </c>
      <c r="P472" s="49" t="s">
        <v>76</v>
      </c>
      <c r="Q472" s="55" t="s">
        <v>76</v>
      </c>
      <c r="R472" s="56" t="s">
        <v>76</v>
      </c>
      <c r="S472" s="49" t="s">
        <v>76</v>
      </c>
      <c r="T472" s="122"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134"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15" t="s">
        <v>1875</v>
      </c>
      <c r="B473" s="114" t="s">
        <v>1873</v>
      </c>
      <c r="C473" s="50"/>
      <c r="D473" s="49" t="s">
        <v>76</v>
      </c>
      <c r="E473" s="50"/>
      <c r="F473" s="51"/>
      <c r="G473" s="63"/>
      <c r="H473" s="49" t="s">
        <v>75</v>
      </c>
      <c r="I473" s="133">
        <v>1</v>
      </c>
      <c r="J473" s="53"/>
      <c r="K473" s="53" t="s">
        <v>76</v>
      </c>
      <c r="L473" s="53" t="s">
        <v>77</v>
      </c>
      <c r="M473" s="54" t="s">
        <v>920</v>
      </c>
      <c r="N473" s="59" t="s">
        <v>76</v>
      </c>
      <c r="O473" s="49" t="s">
        <v>75</v>
      </c>
      <c r="P473" s="49" t="s">
        <v>76</v>
      </c>
      <c r="Q473" s="55" t="s">
        <v>76</v>
      </c>
      <c r="R473" s="56" t="s">
        <v>76</v>
      </c>
      <c r="S473" s="49" t="s">
        <v>76</v>
      </c>
      <c r="T473" s="122"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134"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15" t="s">
        <v>1875</v>
      </c>
      <c r="B474" s="114" t="s">
        <v>1873</v>
      </c>
      <c r="C474" s="50"/>
      <c r="D474" s="49" t="s">
        <v>76</v>
      </c>
      <c r="E474" s="50"/>
      <c r="F474" s="51"/>
      <c r="G474" s="63"/>
      <c r="H474" s="49" t="s">
        <v>75</v>
      </c>
      <c r="I474" s="133">
        <v>1</v>
      </c>
      <c r="J474" s="53"/>
      <c r="K474" s="53" t="s">
        <v>76</v>
      </c>
      <c r="L474" s="53" t="s">
        <v>77</v>
      </c>
      <c r="M474" s="54" t="s">
        <v>920</v>
      </c>
      <c r="N474" s="59" t="s">
        <v>76</v>
      </c>
      <c r="O474" s="49" t="s">
        <v>75</v>
      </c>
      <c r="P474" s="49" t="s">
        <v>76</v>
      </c>
      <c r="Q474" s="55" t="s">
        <v>76</v>
      </c>
      <c r="R474" s="56" t="s">
        <v>76</v>
      </c>
      <c r="S474" s="49" t="s">
        <v>76</v>
      </c>
      <c r="T474" s="122"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134"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15" t="s">
        <v>1875</v>
      </c>
      <c r="B475" s="114" t="s">
        <v>1873</v>
      </c>
      <c r="C475" s="50"/>
      <c r="D475" s="49" t="s">
        <v>76</v>
      </c>
      <c r="E475" s="50"/>
      <c r="F475" s="51"/>
      <c r="G475" s="63"/>
      <c r="H475" s="49" t="s">
        <v>75</v>
      </c>
      <c r="I475" s="133">
        <v>1</v>
      </c>
      <c r="J475" s="53"/>
      <c r="K475" s="53" t="s">
        <v>76</v>
      </c>
      <c r="L475" s="53" t="s">
        <v>77</v>
      </c>
      <c r="M475" s="54" t="s">
        <v>920</v>
      </c>
      <c r="N475" s="59" t="s">
        <v>76</v>
      </c>
      <c r="O475" s="49" t="s">
        <v>75</v>
      </c>
      <c r="P475" s="49" t="s">
        <v>76</v>
      </c>
      <c r="Q475" s="55" t="s">
        <v>76</v>
      </c>
      <c r="R475" s="56" t="s">
        <v>76</v>
      </c>
      <c r="S475" s="49" t="s">
        <v>76</v>
      </c>
      <c r="T475" s="122"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134"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15" t="s">
        <v>1875</v>
      </c>
      <c r="B476" s="114" t="s">
        <v>1873</v>
      </c>
      <c r="C476" s="50"/>
      <c r="D476" s="49" t="s">
        <v>76</v>
      </c>
      <c r="E476" s="50"/>
      <c r="F476" s="51"/>
      <c r="G476" s="63"/>
      <c r="H476" s="49" t="s">
        <v>75</v>
      </c>
      <c r="I476" s="133">
        <v>1</v>
      </c>
      <c r="J476" s="53"/>
      <c r="K476" s="53" t="s">
        <v>76</v>
      </c>
      <c r="L476" s="53" t="s">
        <v>77</v>
      </c>
      <c r="M476" s="54" t="s">
        <v>920</v>
      </c>
      <c r="N476" s="59" t="s">
        <v>76</v>
      </c>
      <c r="O476" s="49" t="s">
        <v>75</v>
      </c>
      <c r="P476" s="49" t="s">
        <v>76</v>
      </c>
      <c r="Q476" s="55" t="s">
        <v>76</v>
      </c>
      <c r="R476" s="56" t="s">
        <v>76</v>
      </c>
      <c r="S476" s="49" t="s">
        <v>76</v>
      </c>
      <c r="T476" s="122"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134"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15" t="s">
        <v>1875</v>
      </c>
      <c r="B477" s="114" t="s">
        <v>1873</v>
      </c>
      <c r="C477" s="50"/>
      <c r="D477" s="49" t="s">
        <v>76</v>
      </c>
      <c r="E477" s="50"/>
      <c r="F477" s="51"/>
      <c r="G477" s="63"/>
      <c r="H477" s="49" t="s">
        <v>75</v>
      </c>
      <c r="I477" s="133">
        <v>1</v>
      </c>
      <c r="J477" s="53"/>
      <c r="K477" s="53" t="s">
        <v>76</v>
      </c>
      <c r="L477" s="53" t="s">
        <v>77</v>
      </c>
      <c r="M477" s="54" t="s">
        <v>920</v>
      </c>
      <c r="N477" s="59" t="s">
        <v>76</v>
      </c>
      <c r="O477" s="49" t="s">
        <v>75</v>
      </c>
      <c r="P477" s="49" t="s">
        <v>76</v>
      </c>
      <c r="Q477" s="55" t="s">
        <v>76</v>
      </c>
      <c r="R477" s="56" t="s">
        <v>76</v>
      </c>
      <c r="S477" s="49" t="s">
        <v>76</v>
      </c>
      <c r="T477" s="122"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134"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15" t="s">
        <v>1875</v>
      </c>
      <c r="B478" s="114" t="s">
        <v>1873</v>
      </c>
      <c r="C478" s="50"/>
      <c r="D478" s="49" t="s">
        <v>76</v>
      </c>
      <c r="E478" s="50"/>
      <c r="F478" s="51"/>
      <c r="G478" s="63"/>
      <c r="H478" s="49" t="s">
        <v>75</v>
      </c>
      <c r="I478" s="133">
        <v>1</v>
      </c>
      <c r="J478" s="53"/>
      <c r="K478" s="53" t="s">
        <v>76</v>
      </c>
      <c r="L478" s="53" t="s">
        <v>77</v>
      </c>
      <c r="M478" s="54" t="s">
        <v>920</v>
      </c>
      <c r="N478" s="59" t="s">
        <v>76</v>
      </c>
      <c r="O478" s="49" t="s">
        <v>75</v>
      </c>
      <c r="P478" s="49" t="s">
        <v>76</v>
      </c>
      <c r="Q478" s="55" t="s">
        <v>76</v>
      </c>
      <c r="R478" s="56" t="s">
        <v>76</v>
      </c>
      <c r="S478" s="49" t="s">
        <v>76</v>
      </c>
      <c r="T478" s="122"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134"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15" t="s">
        <v>1875</v>
      </c>
      <c r="B479" s="114" t="s">
        <v>1873</v>
      </c>
      <c r="C479" s="50"/>
      <c r="D479" s="49" t="s">
        <v>76</v>
      </c>
      <c r="E479" s="50"/>
      <c r="F479" s="51"/>
      <c r="G479" s="63"/>
      <c r="H479" s="49" t="s">
        <v>75</v>
      </c>
      <c r="I479" s="133">
        <v>1</v>
      </c>
      <c r="J479" s="53"/>
      <c r="K479" s="53" t="s">
        <v>76</v>
      </c>
      <c r="L479" s="53" t="s">
        <v>77</v>
      </c>
      <c r="M479" s="54" t="s">
        <v>920</v>
      </c>
      <c r="N479" s="59" t="s">
        <v>76</v>
      </c>
      <c r="O479" s="49" t="s">
        <v>75</v>
      </c>
      <c r="P479" s="49" t="s">
        <v>76</v>
      </c>
      <c r="Q479" s="55" t="s">
        <v>76</v>
      </c>
      <c r="R479" s="56" t="s">
        <v>76</v>
      </c>
      <c r="S479" s="49" t="s">
        <v>76</v>
      </c>
      <c r="T479" s="122"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134"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15" t="s">
        <v>1875</v>
      </c>
      <c r="B480" s="114" t="s">
        <v>1873</v>
      </c>
      <c r="C480" s="50"/>
      <c r="D480" s="49" t="s">
        <v>76</v>
      </c>
      <c r="E480" s="50"/>
      <c r="F480" s="51"/>
      <c r="G480" s="63"/>
      <c r="H480" s="49" t="s">
        <v>75</v>
      </c>
      <c r="I480" s="133">
        <v>1</v>
      </c>
      <c r="J480" s="53"/>
      <c r="K480" s="53" t="s">
        <v>76</v>
      </c>
      <c r="L480" s="53" t="s">
        <v>77</v>
      </c>
      <c r="M480" s="54" t="s">
        <v>920</v>
      </c>
      <c r="N480" s="59" t="s">
        <v>76</v>
      </c>
      <c r="O480" s="49" t="s">
        <v>75</v>
      </c>
      <c r="P480" s="49" t="s">
        <v>76</v>
      </c>
      <c r="Q480" s="55" t="s">
        <v>76</v>
      </c>
      <c r="R480" s="56" t="s">
        <v>76</v>
      </c>
      <c r="S480" s="49" t="s">
        <v>76</v>
      </c>
      <c r="T480" s="122"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134"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15" t="s">
        <v>1875</v>
      </c>
      <c r="B481" s="114" t="s">
        <v>1873</v>
      </c>
      <c r="C481" s="50"/>
      <c r="D481" s="49" t="s">
        <v>76</v>
      </c>
      <c r="E481" s="50"/>
      <c r="F481" s="51"/>
      <c r="G481" s="63"/>
      <c r="H481" s="49" t="s">
        <v>75</v>
      </c>
      <c r="I481" s="133">
        <v>1</v>
      </c>
      <c r="J481" s="53"/>
      <c r="K481" s="53" t="s">
        <v>76</v>
      </c>
      <c r="L481" s="53" t="s">
        <v>77</v>
      </c>
      <c r="M481" s="54" t="s">
        <v>920</v>
      </c>
      <c r="N481" s="59" t="s">
        <v>76</v>
      </c>
      <c r="O481" s="49" t="s">
        <v>75</v>
      </c>
      <c r="P481" s="49" t="s">
        <v>76</v>
      </c>
      <c r="Q481" s="55" t="s">
        <v>76</v>
      </c>
      <c r="R481" s="56" t="s">
        <v>76</v>
      </c>
      <c r="S481" s="49" t="s">
        <v>76</v>
      </c>
      <c r="T481" s="122"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134"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15" t="s">
        <v>1875</v>
      </c>
      <c r="B482" s="114" t="s">
        <v>1873</v>
      </c>
      <c r="C482" s="50"/>
      <c r="D482" s="49" t="s">
        <v>76</v>
      </c>
      <c r="E482" s="50"/>
      <c r="F482" s="51"/>
      <c r="G482" s="63"/>
      <c r="H482" s="49" t="s">
        <v>75</v>
      </c>
      <c r="I482" s="133">
        <v>1</v>
      </c>
      <c r="J482" s="53"/>
      <c r="K482" s="53" t="s">
        <v>76</v>
      </c>
      <c r="L482" s="53" t="s">
        <v>77</v>
      </c>
      <c r="M482" s="54" t="s">
        <v>920</v>
      </c>
      <c r="N482" s="59" t="s">
        <v>76</v>
      </c>
      <c r="O482" s="49" t="s">
        <v>75</v>
      </c>
      <c r="P482" s="49" t="s">
        <v>76</v>
      </c>
      <c r="Q482" s="55" t="s">
        <v>76</v>
      </c>
      <c r="R482" s="56" t="s">
        <v>76</v>
      </c>
      <c r="S482" s="49" t="s">
        <v>76</v>
      </c>
      <c r="T482" s="122"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134"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15" t="s">
        <v>1875</v>
      </c>
      <c r="B483" s="114" t="s">
        <v>1873</v>
      </c>
      <c r="C483" s="50"/>
      <c r="D483" s="49" t="s">
        <v>76</v>
      </c>
      <c r="E483" s="50"/>
      <c r="F483" s="51"/>
      <c r="G483" s="63"/>
      <c r="H483" s="49" t="s">
        <v>75</v>
      </c>
      <c r="I483" s="133">
        <v>1</v>
      </c>
      <c r="J483" s="53"/>
      <c r="K483" s="53" t="s">
        <v>76</v>
      </c>
      <c r="L483" s="53" t="s">
        <v>77</v>
      </c>
      <c r="M483" s="54" t="s">
        <v>920</v>
      </c>
      <c r="N483" s="59" t="s">
        <v>76</v>
      </c>
      <c r="O483" s="49" t="s">
        <v>75</v>
      </c>
      <c r="P483" s="49" t="s">
        <v>76</v>
      </c>
      <c r="Q483" s="55" t="s">
        <v>76</v>
      </c>
      <c r="R483" s="56" t="s">
        <v>76</v>
      </c>
      <c r="S483" s="49" t="s">
        <v>76</v>
      </c>
      <c r="T483" s="122"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134"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15" t="s">
        <v>1875</v>
      </c>
      <c r="B484" s="114" t="s">
        <v>1873</v>
      </c>
      <c r="C484" s="50"/>
      <c r="D484" s="49" t="s">
        <v>76</v>
      </c>
      <c r="E484" s="50"/>
      <c r="F484" s="51"/>
      <c r="G484" s="63"/>
      <c r="H484" s="49" t="s">
        <v>75</v>
      </c>
      <c r="I484" s="133">
        <v>1</v>
      </c>
      <c r="J484" s="53"/>
      <c r="K484" s="53" t="s">
        <v>76</v>
      </c>
      <c r="L484" s="53" t="s">
        <v>77</v>
      </c>
      <c r="M484" s="54" t="s">
        <v>920</v>
      </c>
      <c r="N484" s="59" t="s">
        <v>76</v>
      </c>
      <c r="O484" s="49" t="s">
        <v>75</v>
      </c>
      <c r="P484" s="49" t="s">
        <v>76</v>
      </c>
      <c r="Q484" s="55" t="s">
        <v>76</v>
      </c>
      <c r="R484" s="56" t="s">
        <v>76</v>
      </c>
      <c r="S484" s="49" t="s">
        <v>76</v>
      </c>
      <c r="T484" s="122"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134"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15" t="s">
        <v>1875</v>
      </c>
      <c r="B485" s="114" t="s">
        <v>1873</v>
      </c>
      <c r="C485" s="50"/>
      <c r="D485" s="49" t="s">
        <v>76</v>
      </c>
      <c r="E485" s="50"/>
      <c r="F485" s="51"/>
      <c r="G485" s="63"/>
      <c r="H485" s="49" t="s">
        <v>75</v>
      </c>
      <c r="I485" s="133">
        <v>1</v>
      </c>
      <c r="J485" s="53"/>
      <c r="K485" s="53" t="s">
        <v>76</v>
      </c>
      <c r="L485" s="53" t="s">
        <v>77</v>
      </c>
      <c r="M485" s="54" t="s">
        <v>920</v>
      </c>
      <c r="N485" s="59" t="s">
        <v>76</v>
      </c>
      <c r="O485" s="49" t="s">
        <v>75</v>
      </c>
      <c r="P485" s="49" t="s">
        <v>76</v>
      </c>
      <c r="Q485" s="55" t="s">
        <v>76</v>
      </c>
      <c r="R485" s="56" t="s">
        <v>76</v>
      </c>
      <c r="S485" s="49" t="s">
        <v>76</v>
      </c>
      <c r="T485" s="122"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134"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15" t="s">
        <v>1875</v>
      </c>
      <c r="B486" s="114" t="s">
        <v>1873</v>
      </c>
      <c r="C486" s="50"/>
      <c r="D486" s="49" t="s">
        <v>76</v>
      </c>
      <c r="E486" s="50"/>
      <c r="F486" s="51"/>
      <c r="G486" s="63"/>
      <c r="H486" s="49" t="s">
        <v>75</v>
      </c>
      <c r="I486" s="133">
        <v>1</v>
      </c>
      <c r="J486" s="53"/>
      <c r="K486" s="53" t="s">
        <v>76</v>
      </c>
      <c r="L486" s="53" t="s">
        <v>77</v>
      </c>
      <c r="M486" s="54" t="s">
        <v>920</v>
      </c>
      <c r="N486" s="59" t="s">
        <v>76</v>
      </c>
      <c r="O486" s="49" t="s">
        <v>75</v>
      </c>
      <c r="P486" s="49" t="s">
        <v>76</v>
      </c>
      <c r="Q486" s="55" t="s">
        <v>76</v>
      </c>
      <c r="R486" s="56" t="s">
        <v>76</v>
      </c>
      <c r="S486" s="49" t="s">
        <v>76</v>
      </c>
      <c r="T486" s="122"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134"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15" t="s">
        <v>1875</v>
      </c>
      <c r="B487" s="114" t="s">
        <v>1873</v>
      </c>
      <c r="C487" s="50"/>
      <c r="D487" s="49" t="s">
        <v>76</v>
      </c>
      <c r="E487" s="50"/>
      <c r="F487" s="51"/>
      <c r="G487" s="63"/>
      <c r="H487" s="49" t="s">
        <v>75</v>
      </c>
      <c r="I487" s="133">
        <v>1</v>
      </c>
      <c r="J487" s="53"/>
      <c r="K487" s="53" t="s">
        <v>76</v>
      </c>
      <c r="L487" s="53" t="s">
        <v>77</v>
      </c>
      <c r="M487" s="54" t="s">
        <v>920</v>
      </c>
      <c r="N487" s="59" t="s">
        <v>76</v>
      </c>
      <c r="O487" s="49" t="s">
        <v>75</v>
      </c>
      <c r="P487" s="49" t="s">
        <v>76</v>
      </c>
      <c r="Q487" s="55" t="s">
        <v>76</v>
      </c>
      <c r="R487" s="56" t="s">
        <v>76</v>
      </c>
      <c r="S487" s="49" t="s">
        <v>76</v>
      </c>
      <c r="T487" s="122"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134"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15" t="s">
        <v>1875</v>
      </c>
      <c r="B488" s="114" t="s">
        <v>1873</v>
      </c>
      <c r="C488" s="50"/>
      <c r="D488" s="49" t="s">
        <v>76</v>
      </c>
      <c r="E488" s="50"/>
      <c r="F488" s="51"/>
      <c r="G488" s="63"/>
      <c r="H488" s="49" t="s">
        <v>75</v>
      </c>
      <c r="I488" s="133">
        <v>1</v>
      </c>
      <c r="J488" s="53"/>
      <c r="K488" s="53" t="s">
        <v>76</v>
      </c>
      <c r="L488" s="53" t="s">
        <v>77</v>
      </c>
      <c r="M488" s="54" t="s">
        <v>920</v>
      </c>
      <c r="N488" s="59" t="s">
        <v>76</v>
      </c>
      <c r="O488" s="49" t="s">
        <v>75</v>
      </c>
      <c r="P488" s="49" t="s">
        <v>76</v>
      </c>
      <c r="Q488" s="55" t="s">
        <v>76</v>
      </c>
      <c r="R488" s="56" t="s">
        <v>76</v>
      </c>
      <c r="S488" s="49" t="s">
        <v>76</v>
      </c>
      <c r="T488" s="122"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134"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15" t="s">
        <v>1875</v>
      </c>
      <c r="B489" s="114" t="s">
        <v>1873</v>
      </c>
      <c r="C489" s="50"/>
      <c r="D489" s="49" t="s">
        <v>76</v>
      </c>
      <c r="E489" s="50"/>
      <c r="F489" s="51"/>
      <c r="G489" s="63"/>
      <c r="H489" s="49" t="s">
        <v>75</v>
      </c>
      <c r="I489" s="133">
        <v>1</v>
      </c>
      <c r="J489" s="53"/>
      <c r="K489" s="53" t="s">
        <v>76</v>
      </c>
      <c r="L489" s="53" t="s">
        <v>77</v>
      </c>
      <c r="M489" s="54" t="s">
        <v>920</v>
      </c>
      <c r="N489" s="59" t="s">
        <v>76</v>
      </c>
      <c r="O489" s="49" t="s">
        <v>75</v>
      </c>
      <c r="P489" s="49" t="s">
        <v>76</v>
      </c>
      <c r="Q489" s="55" t="s">
        <v>76</v>
      </c>
      <c r="R489" s="56" t="s">
        <v>76</v>
      </c>
      <c r="S489" s="49" t="s">
        <v>76</v>
      </c>
      <c r="T489" s="122"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134"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15" t="s">
        <v>1875</v>
      </c>
      <c r="B490" s="114" t="s">
        <v>1873</v>
      </c>
      <c r="C490" s="50"/>
      <c r="D490" s="49" t="s">
        <v>76</v>
      </c>
      <c r="E490" s="50"/>
      <c r="F490" s="51"/>
      <c r="G490" s="63"/>
      <c r="H490" s="49" t="s">
        <v>75</v>
      </c>
      <c r="I490" s="133">
        <v>1</v>
      </c>
      <c r="J490" s="53"/>
      <c r="K490" s="53" t="s">
        <v>76</v>
      </c>
      <c r="L490" s="53" t="s">
        <v>77</v>
      </c>
      <c r="M490" s="54" t="s">
        <v>920</v>
      </c>
      <c r="N490" s="59" t="s">
        <v>76</v>
      </c>
      <c r="O490" s="49" t="s">
        <v>75</v>
      </c>
      <c r="P490" s="49" t="s">
        <v>76</v>
      </c>
      <c r="Q490" s="55" t="s">
        <v>76</v>
      </c>
      <c r="R490" s="56" t="s">
        <v>76</v>
      </c>
      <c r="S490" s="49" t="s">
        <v>76</v>
      </c>
      <c r="T490" s="122"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134"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15" t="s">
        <v>1875</v>
      </c>
      <c r="B491" s="114" t="s">
        <v>1873</v>
      </c>
      <c r="C491" s="50"/>
      <c r="D491" s="49" t="s">
        <v>76</v>
      </c>
      <c r="E491" s="50"/>
      <c r="F491" s="51"/>
      <c r="G491" s="63"/>
      <c r="H491" s="49" t="s">
        <v>75</v>
      </c>
      <c r="I491" s="133">
        <v>1</v>
      </c>
      <c r="J491" s="53"/>
      <c r="K491" s="53" t="s">
        <v>76</v>
      </c>
      <c r="L491" s="53" t="s">
        <v>77</v>
      </c>
      <c r="M491" s="54" t="s">
        <v>920</v>
      </c>
      <c r="N491" s="59" t="s">
        <v>76</v>
      </c>
      <c r="O491" s="49" t="s">
        <v>75</v>
      </c>
      <c r="P491" s="49" t="s">
        <v>76</v>
      </c>
      <c r="Q491" s="55" t="s">
        <v>76</v>
      </c>
      <c r="R491" s="56" t="s">
        <v>76</v>
      </c>
      <c r="S491" s="49" t="s">
        <v>76</v>
      </c>
      <c r="T491" s="122"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134"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15" t="s">
        <v>1875</v>
      </c>
      <c r="B492" s="114" t="s">
        <v>1873</v>
      </c>
      <c r="C492" s="50"/>
      <c r="D492" s="49" t="s">
        <v>76</v>
      </c>
      <c r="E492" s="50"/>
      <c r="F492" s="51"/>
      <c r="G492" s="63"/>
      <c r="H492" s="49" t="s">
        <v>75</v>
      </c>
      <c r="I492" s="133">
        <v>1</v>
      </c>
      <c r="J492" s="53"/>
      <c r="K492" s="53" t="s">
        <v>76</v>
      </c>
      <c r="L492" s="53" t="s">
        <v>77</v>
      </c>
      <c r="M492" s="54" t="s">
        <v>920</v>
      </c>
      <c r="N492" s="59" t="s">
        <v>76</v>
      </c>
      <c r="O492" s="49" t="s">
        <v>75</v>
      </c>
      <c r="P492" s="49" t="s">
        <v>76</v>
      </c>
      <c r="Q492" s="55" t="s">
        <v>76</v>
      </c>
      <c r="R492" s="56" t="s">
        <v>76</v>
      </c>
      <c r="S492" s="49" t="s">
        <v>76</v>
      </c>
      <c r="T492" s="122"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134"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15" t="s">
        <v>1875</v>
      </c>
      <c r="B493" s="114" t="s">
        <v>1873</v>
      </c>
      <c r="C493" s="50"/>
      <c r="D493" s="49" t="s">
        <v>76</v>
      </c>
      <c r="E493" s="50"/>
      <c r="F493" s="51"/>
      <c r="G493" s="63"/>
      <c r="H493" s="49" t="s">
        <v>75</v>
      </c>
      <c r="I493" s="133">
        <v>1</v>
      </c>
      <c r="J493" s="53"/>
      <c r="K493" s="53" t="s">
        <v>76</v>
      </c>
      <c r="L493" s="53" t="s">
        <v>77</v>
      </c>
      <c r="M493" s="54" t="s">
        <v>920</v>
      </c>
      <c r="N493" s="59" t="s">
        <v>76</v>
      </c>
      <c r="O493" s="49" t="s">
        <v>75</v>
      </c>
      <c r="P493" s="49" t="s">
        <v>76</v>
      </c>
      <c r="Q493" s="55" t="s">
        <v>76</v>
      </c>
      <c r="R493" s="56" t="s">
        <v>76</v>
      </c>
      <c r="S493" s="49" t="s">
        <v>76</v>
      </c>
      <c r="T493" s="122"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134"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15" t="s">
        <v>1875</v>
      </c>
      <c r="B494" s="114" t="s">
        <v>1873</v>
      </c>
      <c r="C494" s="50"/>
      <c r="D494" s="49" t="s">
        <v>76</v>
      </c>
      <c r="E494" s="50"/>
      <c r="F494" s="51"/>
      <c r="G494" s="63"/>
      <c r="H494" s="49" t="s">
        <v>75</v>
      </c>
      <c r="I494" s="133">
        <v>1</v>
      </c>
      <c r="J494" s="53"/>
      <c r="K494" s="53" t="s">
        <v>76</v>
      </c>
      <c r="L494" s="53" t="s">
        <v>77</v>
      </c>
      <c r="M494" s="54" t="s">
        <v>920</v>
      </c>
      <c r="N494" s="59" t="s">
        <v>76</v>
      </c>
      <c r="O494" s="49" t="s">
        <v>75</v>
      </c>
      <c r="P494" s="49" t="s">
        <v>76</v>
      </c>
      <c r="Q494" s="55" t="s">
        <v>76</v>
      </c>
      <c r="R494" s="56" t="s">
        <v>76</v>
      </c>
      <c r="S494" s="49" t="s">
        <v>76</v>
      </c>
      <c r="T494" s="122"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134"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15" t="s">
        <v>1875</v>
      </c>
      <c r="B495" s="114" t="s">
        <v>1873</v>
      </c>
      <c r="C495" s="50"/>
      <c r="D495" s="49" t="s">
        <v>76</v>
      </c>
      <c r="E495" s="50"/>
      <c r="F495" s="51"/>
      <c r="G495" s="63"/>
      <c r="H495" s="49" t="s">
        <v>75</v>
      </c>
      <c r="I495" s="133">
        <v>1</v>
      </c>
      <c r="J495" s="53"/>
      <c r="K495" s="53" t="s">
        <v>76</v>
      </c>
      <c r="L495" s="53" t="s">
        <v>77</v>
      </c>
      <c r="M495" s="54" t="s">
        <v>920</v>
      </c>
      <c r="N495" s="59" t="s">
        <v>76</v>
      </c>
      <c r="O495" s="49" t="s">
        <v>75</v>
      </c>
      <c r="P495" s="49" t="s">
        <v>76</v>
      </c>
      <c r="Q495" s="55" t="s">
        <v>76</v>
      </c>
      <c r="R495" s="56" t="s">
        <v>76</v>
      </c>
      <c r="S495" s="49" t="s">
        <v>76</v>
      </c>
      <c r="T495" s="122"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134"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15" t="s">
        <v>1875</v>
      </c>
      <c r="B496" s="114" t="s">
        <v>1873</v>
      </c>
      <c r="C496" s="50"/>
      <c r="D496" s="49" t="s">
        <v>76</v>
      </c>
      <c r="E496" s="50"/>
      <c r="F496" s="51"/>
      <c r="G496" s="63"/>
      <c r="H496" s="49" t="s">
        <v>75</v>
      </c>
      <c r="I496" s="133">
        <v>1</v>
      </c>
      <c r="J496" s="53"/>
      <c r="K496" s="53" t="s">
        <v>76</v>
      </c>
      <c r="L496" s="53" t="s">
        <v>77</v>
      </c>
      <c r="M496" s="54" t="s">
        <v>920</v>
      </c>
      <c r="N496" s="59" t="s">
        <v>76</v>
      </c>
      <c r="O496" s="49" t="s">
        <v>75</v>
      </c>
      <c r="P496" s="49" t="s">
        <v>76</v>
      </c>
      <c r="Q496" s="55" t="s">
        <v>76</v>
      </c>
      <c r="R496" s="56" t="s">
        <v>76</v>
      </c>
      <c r="S496" s="49" t="s">
        <v>76</v>
      </c>
      <c r="T496" s="122"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134"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15" t="s">
        <v>1875</v>
      </c>
      <c r="B497" s="114" t="s">
        <v>1873</v>
      </c>
      <c r="C497" s="50"/>
      <c r="D497" s="49" t="s">
        <v>76</v>
      </c>
      <c r="E497" s="50"/>
      <c r="F497" s="51"/>
      <c r="G497" s="63"/>
      <c r="H497" s="49" t="s">
        <v>75</v>
      </c>
      <c r="I497" s="133">
        <v>1</v>
      </c>
      <c r="J497" s="53"/>
      <c r="K497" s="53" t="s">
        <v>76</v>
      </c>
      <c r="L497" s="53" t="s">
        <v>77</v>
      </c>
      <c r="M497" s="54" t="s">
        <v>920</v>
      </c>
      <c r="N497" s="59" t="s">
        <v>76</v>
      </c>
      <c r="O497" s="49" t="s">
        <v>75</v>
      </c>
      <c r="P497" s="49" t="s">
        <v>76</v>
      </c>
      <c r="Q497" s="55" t="s">
        <v>76</v>
      </c>
      <c r="R497" s="56" t="s">
        <v>76</v>
      </c>
      <c r="S497" s="49" t="s">
        <v>76</v>
      </c>
      <c r="T497" s="122"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134"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15" t="s">
        <v>1875</v>
      </c>
      <c r="B498" s="114" t="s">
        <v>1873</v>
      </c>
      <c r="C498" s="50"/>
      <c r="D498" s="49" t="s">
        <v>76</v>
      </c>
      <c r="E498" s="50"/>
      <c r="F498" s="51"/>
      <c r="G498" s="63"/>
      <c r="H498" s="49" t="s">
        <v>75</v>
      </c>
      <c r="I498" s="133">
        <v>1</v>
      </c>
      <c r="J498" s="53"/>
      <c r="K498" s="53" t="s">
        <v>76</v>
      </c>
      <c r="L498" s="53" t="s">
        <v>77</v>
      </c>
      <c r="M498" s="54" t="s">
        <v>920</v>
      </c>
      <c r="N498" s="59" t="s">
        <v>76</v>
      </c>
      <c r="O498" s="49" t="s">
        <v>75</v>
      </c>
      <c r="P498" s="49" t="s">
        <v>76</v>
      </c>
      <c r="Q498" s="55" t="s">
        <v>76</v>
      </c>
      <c r="R498" s="56" t="s">
        <v>76</v>
      </c>
      <c r="S498" s="49" t="s">
        <v>76</v>
      </c>
      <c r="T498" s="122"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134"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15" t="s">
        <v>1875</v>
      </c>
      <c r="B499" s="114" t="s">
        <v>1873</v>
      </c>
      <c r="C499" s="50"/>
      <c r="D499" s="49" t="s">
        <v>76</v>
      </c>
      <c r="E499" s="50"/>
      <c r="F499" s="51"/>
      <c r="G499" s="63"/>
      <c r="H499" s="49" t="s">
        <v>75</v>
      </c>
      <c r="I499" s="133">
        <v>1</v>
      </c>
      <c r="J499" s="53"/>
      <c r="K499" s="53" t="s">
        <v>76</v>
      </c>
      <c r="L499" s="53" t="s">
        <v>77</v>
      </c>
      <c r="M499" s="54" t="s">
        <v>920</v>
      </c>
      <c r="N499" s="59" t="s">
        <v>76</v>
      </c>
      <c r="O499" s="49" t="s">
        <v>75</v>
      </c>
      <c r="P499" s="49" t="s">
        <v>76</v>
      </c>
      <c r="Q499" s="55" t="s">
        <v>76</v>
      </c>
      <c r="R499" s="56" t="s">
        <v>76</v>
      </c>
      <c r="S499" s="49" t="s">
        <v>76</v>
      </c>
      <c r="T499" s="122"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134"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15" t="s">
        <v>1875</v>
      </c>
      <c r="B500" s="114" t="s">
        <v>1873</v>
      </c>
      <c r="C500" s="50"/>
      <c r="D500" s="49" t="s">
        <v>76</v>
      </c>
      <c r="E500" s="50"/>
      <c r="F500" s="51"/>
      <c r="G500" s="63"/>
      <c r="H500" s="49" t="s">
        <v>75</v>
      </c>
      <c r="I500" s="133">
        <v>1</v>
      </c>
      <c r="J500" s="53"/>
      <c r="K500" s="53" t="s">
        <v>76</v>
      </c>
      <c r="L500" s="53" t="s">
        <v>77</v>
      </c>
      <c r="M500" s="54" t="s">
        <v>920</v>
      </c>
      <c r="N500" s="59" t="s">
        <v>76</v>
      </c>
      <c r="O500" s="49" t="s">
        <v>75</v>
      </c>
      <c r="P500" s="49" t="s">
        <v>76</v>
      </c>
      <c r="Q500" s="55" t="s">
        <v>76</v>
      </c>
      <c r="R500" s="56" t="s">
        <v>76</v>
      </c>
      <c r="S500" s="49" t="s">
        <v>76</v>
      </c>
      <c r="T500" s="122"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134"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15" t="s">
        <v>1875</v>
      </c>
      <c r="B501" s="114" t="s">
        <v>1873</v>
      </c>
      <c r="C501" s="50"/>
      <c r="D501" s="49" t="s">
        <v>76</v>
      </c>
      <c r="E501" s="50"/>
      <c r="F501" s="51"/>
      <c r="G501" s="63"/>
      <c r="H501" s="49" t="s">
        <v>75</v>
      </c>
      <c r="I501" s="133">
        <v>1</v>
      </c>
      <c r="J501" s="53"/>
      <c r="K501" s="53" t="s">
        <v>76</v>
      </c>
      <c r="L501" s="53" t="s">
        <v>77</v>
      </c>
      <c r="M501" s="54" t="s">
        <v>920</v>
      </c>
      <c r="N501" s="59" t="s">
        <v>76</v>
      </c>
      <c r="O501" s="49" t="s">
        <v>75</v>
      </c>
      <c r="P501" s="49" t="s">
        <v>76</v>
      </c>
      <c r="Q501" s="55" t="s">
        <v>76</v>
      </c>
      <c r="R501" s="56" t="s">
        <v>76</v>
      </c>
      <c r="S501" s="49" t="s">
        <v>76</v>
      </c>
      <c r="T501" s="122"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134"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15" t="s">
        <v>1875</v>
      </c>
      <c r="B502" s="114" t="s">
        <v>1873</v>
      </c>
      <c r="C502" s="50"/>
      <c r="D502" s="49" t="s">
        <v>76</v>
      </c>
      <c r="E502" s="50"/>
      <c r="F502" s="51"/>
      <c r="G502" s="63"/>
      <c r="H502" s="49" t="s">
        <v>75</v>
      </c>
      <c r="I502" s="133">
        <v>1</v>
      </c>
      <c r="J502" s="53"/>
      <c r="K502" s="53" t="s">
        <v>76</v>
      </c>
      <c r="L502" s="53" t="s">
        <v>77</v>
      </c>
      <c r="M502" s="54" t="s">
        <v>920</v>
      </c>
      <c r="N502" s="59" t="s">
        <v>76</v>
      </c>
      <c r="O502" s="49" t="s">
        <v>75</v>
      </c>
      <c r="P502" s="49" t="s">
        <v>76</v>
      </c>
      <c r="Q502" s="55" t="s">
        <v>76</v>
      </c>
      <c r="R502" s="56" t="s">
        <v>76</v>
      </c>
      <c r="S502" s="49" t="s">
        <v>76</v>
      </c>
      <c r="T502" s="122"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134"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15" t="s">
        <v>1875</v>
      </c>
      <c r="B503" s="114" t="s">
        <v>1873</v>
      </c>
      <c r="C503" s="50"/>
      <c r="D503" s="49" t="s">
        <v>76</v>
      </c>
      <c r="E503" s="50"/>
      <c r="F503" s="51"/>
      <c r="G503" s="63"/>
      <c r="H503" s="49" t="s">
        <v>75</v>
      </c>
      <c r="I503" s="133">
        <v>1</v>
      </c>
      <c r="J503" s="53"/>
      <c r="K503" s="53" t="s">
        <v>76</v>
      </c>
      <c r="L503" s="53" t="s">
        <v>77</v>
      </c>
      <c r="M503" s="54" t="s">
        <v>920</v>
      </c>
      <c r="N503" s="59" t="s">
        <v>76</v>
      </c>
      <c r="O503" s="49" t="s">
        <v>75</v>
      </c>
      <c r="P503" s="49" t="s">
        <v>76</v>
      </c>
      <c r="Q503" s="55" t="s">
        <v>76</v>
      </c>
      <c r="R503" s="56" t="s">
        <v>76</v>
      </c>
      <c r="S503" s="49" t="s">
        <v>76</v>
      </c>
      <c r="T503" s="122"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134"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15" t="s">
        <v>1875</v>
      </c>
      <c r="B504" s="114" t="s">
        <v>1873</v>
      </c>
      <c r="C504" s="50"/>
      <c r="D504" s="49" t="s">
        <v>76</v>
      </c>
      <c r="E504" s="50"/>
      <c r="F504" s="51"/>
      <c r="G504" s="63"/>
      <c r="H504" s="49" t="s">
        <v>75</v>
      </c>
      <c r="I504" s="133">
        <v>1</v>
      </c>
      <c r="J504" s="53"/>
      <c r="K504" s="53" t="s">
        <v>76</v>
      </c>
      <c r="L504" s="53" t="s">
        <v>77</v>
      </c>
      <c r="M504" s="54" t="s">
        <v>920</v>
      </c>
      <c r="N504" s="59" t="s">
        <v>76</v>
      </c>
      <c r="O504" s="49" t="s">
        <v>75</v>
      </c>
      <c r="P504" s="49" t="s">
        <v>76</v>
      </c>
      <c r="Q504" s="55" t="s">
        <v>76</v>
      </c>
      <c r="R504" s="56" t="s">
        <v>76</v>
      </c>
      <c r="S504" s="49" t="s">
        <v>76</v>
      </c>
      <c r="T504" s="122"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134"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15" t="s">
        <v>1875</v>
      </c>
      <c r="B505" s="114" t="s">
        <v>1873</v>
      </c>
      <c r="C505" s="50"/>
      <c r="D505" s="49" t="s">
        <v>76</v>
      </c>
      <c r="E505" s="50"/>
      <c r="F505" s="51"/>
      <c r="G505" s="63"/>
      <c r="H505" s="49" t="s">
        <v>75</v>
      </c>
      <c r="I505" s="133">
        <v>1</v>
      </c>
      <c r="J505" s="53"/>
      <c r="K505" s="53" t="s">
        <v>76</v>
      </c>
      <c r="L505" s="53" t="s">
        <v>77</v>
      </c>
      <c r="M505" s="54" t="s">
        <v>920</v>
      </c>
      <c r="N505" s="59" t="s">
        <v>76</v>
      </c>
      <c r="O505" s="49" t="s">
        <v>75</v>
      </c>
      <c r="P505" s="49" t="s">
        <v>76</v>
      </c>
      <c r="Q505" s="55" t="s">
        <v>76</v>
      </c>
      <c r="R505" s="56" t="s">
        <v>76</v>
      </c>
      <c r="S505" s="49" t="s">
        <v>76</v>
      </c>
      <c r="T505" s="122"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134"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15" t="s">
        <v>1875</v>
      </c>
      <c r="B506" s="114" t="s">
        <v>1873</v>
      </c>
      <c r="C506" s="50"/>
      <c r="D506" s="49" t="s">
        <v>76</v>
      </c>
      <c r="E506" s="50"/>
      <c r="F506" s="51"/>
      <c r="G506" s="63"/>
      <c r="H506" s="49" t="s">
        <v>75</v>
      </c>
      <c r="I506" s="133">
        <v>1</v>
      </c>
      <c r="J506" s="53"/>
      <c r="K506" s="53" t="s">
        <v>76</v>
      </c>
      <c r="L506" s="53" t="s">
        <v>77</v>
      </c>
      <c r="M506" s="54" t="s">
        <v>920</v>
      </c>
      <c r="N506" s="59" t="s">
        <v>76</v>
      </c>
      <c r="O506" s="49" t="s">
        <v>75</v>
      </c>
      <c r="P506" s="49" t="s">
        <v>76</v>
      </c>
      <c r="Q506" s="55" t="s">
        <v>76</v>
      </c>
      <c r="R506" s="56" t="s">
        <v>76</v>
      </c>
      <c r="S506" s="49" t="s">
        <v>76</v>
      </c>
      <c r="T506" s="122"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134"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15" t="s">
        <v>1875</v>
      </c>
      <c r="B507" s="114" t="s">
        <v>1873</v>
      </c>
      <c r="C507" s="50"/>
      <c r="D507" s="49" t="s">
        <v>76</v>
      </c>
      <c r="E507" s="50"/>
      <c r="F507" s="51"/>
      <c r="G507" s="63"/>
      <c r="H507" s="49" t="s">
        <v>75</v>
      </c>
      <c r="I507" s="133">
        <v>1</v>
      </c>
      <c r="J507" s="53"/>
      <c r="K507" s="53" t="s">
        <v>76</v>
      </c>
      <c r="L507" s="53" t="s">
        <v>77</v>
      </c>
      <c r="M507" s="54" t="s">
        <v>920</v>
      </c>
      <c r="N507" s="59" t="s">
        <v>76</v>
      </c>
      <c r="O507" s="49" t="s">
        <v>75</v>
      </c>
      <c r="P507" s="49" t="s">
        <v>76</v>
      </c>
      <c r="Q507" s="55" t="s">
        <v>76</v>
      </c>
      <c r="R507" s="56" t="s">
        <v>76</v>
      </c>
      <c r="S507" s="49" t="s">
        <v>76</v>
      </c>
      <c r="T507" s="122"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134"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15" t="s">
        <v>1875</v>
      </c>
      <c r="B508" s="114" t="s">
        <v>1873</v>
      </c>
      <c r="C508" s="50"/>
      <c r="D508" s="49" t="s">
        <v>76</v>
      </c>
      <c r="E508" s="50"/>
      <c r="F508" s="51"/>
      <c r="G508" s="63"/>
      <c r="H508" s="49" t="s">
        <v>75</v>
      </c>
      <c r="I508" s="133">
        <v>1</v>
      </c>
      <c r="J508" s="53"/>
      <c r="K508" s="53" t="s">
        <v>76</v>
      </c>
      <c r="L508" s="53" t="s">
        <v>77</v>
      </c>
      <c r="M508" s="54" t="s">
        <v>920</v>
      </c>
      <c r="N508" s="59" t="s">
        <v>76</v>
      </c>
      <c r="O508" s="49" t="s">
        <v>75</v>
      </c>
      <c r="P508" s="49" t="s">
        <v>76</v>
      </c>
      <c r="Q508" s="55" t="s">
        <v>76</v>
      </c>
      <c r="R508" s="56" t="s">
        <v>76</v>
      </c>
      <c r="S508" s="49" t="s">
        <v>76</v>
      </c>
      <c r="T508" s="122"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134"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BB6:BH6"/>
    <mergeCell ref="AI6:AL6"/>
    <mergeCell ref="AS6:BA6"/>
    <mergeCell ref="J3:M4"/>
    <mergeCell ref="AM6:AR6"/>
    <mergeCell ref="W6:AD6"/>
    <mergeCell ref="A2:H2"/>
    <mergeCell ref="Q3:S4"/>
    <mergeCell ref="AE6:AH6"/>
    <mergeCell ref="I6:M6"/>
    <mergeCell ref="C6:H6"/>
    <mergeCell ref="N6:T6"/>
    <mergeCell ref="A6:B6"/>
  </mergeCells>
  <conditionalFormatting sqref="G3">
    <cfRule type="expression" dxfId="8"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534C0FD3-6605-5F48-A5D9-684566632F78}">
          <x14:formula1>
            <xm:f>_xlfn.ANCHORARRAY(CAT_Procesos!$M$2)</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534"/>
  <sheetViews>
    <sheetView topLeftCell="B1" workbookViewId="0">
      <pane ySplit="1" topLeftCell="A115" activePane="bottomLeft" state="frozen"/>
      <selection pane="bottomLeft" activeCell="E1" sqref="E1:E1048576"/>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1434</v>
      </c>
    </row>
    <row r="2" spans="1:14" x14ac:dyDescent="0.2">
      <c r="A2" s="135" t="s">
        <v>76</v>
      </c>
      <c r="B2" s="135" t="s">
        <v>76</v>
      </c>
      <c r="C2" s="135" t="s">
        <v>76</v>
      </c>
      <c r="D2" s="135" t="s">
        <v>76</v>
      </c>
      <c r="E2" s="135" t="s">
        <v>76</v>
      </c>
      <c r="F2" s="135" t="s">
        <v>76</v>
      </c>
      <c r="G2" s="135" t="s">
        <v>76</v>
      </c>
      <c r="H2" s="135" t="s">
        <v>76</v>
      </c>
      <c r="I2" s="135" t="s">
        <v>75</v>
      </c>
      <c r="J2" s="135" t="s">
        <v>76</v>
      </c>
      <c r="K2" s="135" t="s">
        <v>76</v>
      </c>
      <c r="L2" s="135" t="s">
        <v>76</v>
      </c>
      <c r="M2" s="135" t="s">
        <v>75</v>
      </c>
      <c r="N2" s="135" t="s">
        <v>75</v>
      </c>
    </row>
    <row r="3" spans="1:14" x14ac:dyDescent="0.2">
      <c r="A3" s="135" t="s">
        <v>969</v>
      </c>
      <c r="B3" s="135" t="s">
        <v>969</v>
      </c>
      <c r="C3" s="135" t="s">
        <v>969</v>
      </c>
      <c r="D3" s="135" t="s">
        <v>969</v>
      </c>
      <c r="E3" s="135" t="s">
        <v>969</v>
      </c>
      <c r="F3" s="135" t="s">
        <v>969</v>
      </c>
      <c r="G3" s="135" t="s">
        <v>969</v>
      </c>
      <c r="H3" s="135" t="s">
        <v>969</v>
      </c>
      <c r="I3" s="135" t="s">
        <v>969</v>
      </c>
      <c r="J3" s="135" t="s">
        <v>969</v>
      </c>
      <c r="K3" s="135" t="s">
        <v>969</v>
      </c>
      <c r="L3" s="135" t="s">
        <v>969</v>
      </c>
      <c r="M3" s="135" t="s">
        <v>969</v>
      </c>
      <c r="N3" s="135" t="s">
        <v>969</v>
      </c>
    </row>
    <row r="4" spans="1:14" x14ac:dyDescent="0.2">
      <c r="A4" t="s">
        <v>973</v>
      </c>
      <c r="B4" t="s">
        <v>1905</v>
      </c>
      <c r="C4" t="s">
        <v>92</v>
      </c>
      <c r="D4" t="s">
        <v>93</v>
      </c>
      <c r="E4" t="s">
        <v>1237</v>
      </c>
      <c r="F4" t="s">
        <v>94</v>
      </c>
      <c r="G4" t="s">
        <v>95</v>
      </c>
      <c r="H4" t="s">
        <v>78</v>
      </c>
      <c r="I4" t="s">
        <v>96</v>
      </c>
      <c r="J4" t="s">
        <v>934</v>
      </c>
      <c r="K4" t="s">
        <v>97</v>
      </c>
      <c r="L4" t="s">
        <v>98</v>
      </c>
      <c r="M4" t="s">
        <v>1414</v>
      </c>
      <c r="N4" t="s">
        <v>1431</v>
      </c>
    </row>
    <row r="5" spans="1:14" x14ac:dyDescent="0.2">
      <c r="A5" t="s">
        <v>974</v>
      </c>
      <c r="B5" t="s">
        <v>148</v>
      </c>
      <c r="C5" t="s">
        <v>100</v>
      </c>
      <c r="D5" t="s">
        <v>101</v>
      </c>
      <c r="E5" t="s">
        <v>102</v>
      </c>
      <c r="F5" t="s">
        <v>103</v>
      </c>
      <c r="G5" t="s">
        <v>94</v>
      </c>
      <c r="H5" t="s">
        <v>104</v>
      </c>
      <c r="I5" t="s">
        <v>105</v>
      </c>
      <c r="J5" t="s">
        <v>935</v>
      </c>
      <c r="K5" t="s">
        <v>106</v>
      </c>
      <c r="L5" t="s">
        <v>107</v>
      </c>
      <c r="M5" t="s">
        <v>2064</v>
      </c>
      <c r="N5" t="s">
        <v>1426</v>
      </c>
    </row>
    <row r="6" spans="1:14" x14ac:dyDescent="0.2">
      <c r="A6" t="s">
        <v>1902</v>
      </c>
      <c r="B6" t="s">
        <v>1852</v>
      </c>
      <c r="C6" t="s">
        <v>109</v>
      </c>
      <c r="D6" t="s">
        <v>1225</v>
      </c>
      <c r="E6" t="s">
        <v>1238</v>
      </c>
      <c r="F6" t="s">
        <v>110</v>
      </c>
      <c r="G6" t="s">
        <v>103</v>
      </c>
      <c r="H6" t="s">
        <v>111</v>
      </c>
      <c r="I6" t="s">
        <v>112</v>
      </c>
      <c r="J6" t="s">
        <v>936</v>
      </c>
      <c r="K6" t="s">
        <v>113</v>
      </c>
      <c r="L6" t="s">
        <v>2111</v>
      </c>
      <c r="M6" t="s">
        <v>99</v>
      </c>
      <c r="N6" t="s">
        <v>1432</v>
      </c>
    </row>
    <row r="7" spans="1:14" x14ac:dyDescent="0.2">
      <c r="A7" t="s">
        <v>2473</v>
      </c>
      <c r="B7" t="s">
        <v>977</v>
      </c>
      <c r="C7" t="s">
        <v>931</v>
      </c>
      <c r="D7" t="s">
        <v>124</v>
      </c>
      <c r="E7" t="s">
        <v>1239</v>
      </c>
      <c r="F7" t="s">
        <v>117</v>
      </c>
      <c r="G7" t="s">
        <v>110</v>
      </c>
      <c r="H7" t="s">
        <v>118</v>
      </c>
      <c r="I7" t="s">
        <v>119</v>
      </c>
      <c r="J7" t="s">
        <v>937</v>
      </c>
      <c r="K7" t="s">
        <v>120</v>
      </c>
      <c r="L7" t="s">
        <v>114</v>
      </c>
      <c r="M7" t="s">
        <v>2119</v>
      </c>
      <c r="N7" t="s">
        <v>1421</v>
      </c>
    </row>
    <row r="8" spans="1:14" x14ac:dyDescent="0.2">
      <c r="A8" t="s">
        <v>2474</v>
      </c>
      <c r="B8" t="s">
        <v>978</v>
      </c>
      <c r="C8" t="s">
        <v>123</v>
      </c>
      <c r="D8" t="s">
        <v>1919</v>
      </c>
      <c r="E8" t="s">
        <v>1240</v>
      </c>
      <c r="F8" t="s">
        <v>1394</v>
      </c>
      <c r="G8" t="s">
        <v>126</v>
      </c>
      <c r="H8" t="s">
        <v>127</v>
      </c>
      <c r="I8" t="s">
        <v>128</v>
      </c>
      <c r="J8" t="s">
        <v>938</v>
      </c>
      <c r="K8" t="s">
        <v>129</v>
      </c>
      <c r="L8" t="s">
        <v>121</v>
      </c>
      <c r="M8" t="s">
        <v>2065</v>
      </c>
      <c r="N8" t="s">
        <v>1430</v>
      </c>
    </row>
    <row r="9" spans="1:14" x14ac:dyDescent="0.2">
      <c r="A9" t="s">
        <v>2475</v>
      </c>
      <c r="B9" t="s">
        <v>979</v>
      </c>
      <c r="C9" t="s">
        <v>2167</v>
      </c>
      <c r="D9" t="s">
        <v>133</v>
      </c>
      <c r="E9" t="s">
        <v>1241</v>
      </c>
      <c r="F9" t="s">
        <v>125</v>
      </c>
      <c r="G9" t="s">
        <v>135</v>
      </c>
      <c r="H9" t="s">
        <v>136</v>
      </c>
      <c r="I9" t="s">
        <v>137</v>
      </c>
      <c r="J9" t="s">
        <v>939</v>
      </c>
      <c r="K9" t="s">
        <v>138</v>
      </c>
      <c r="L9" t="s">
        <v>130</v>
      </c>
      <c r="M9" t="s">
        <v>2066</v>
      </c>
      <c r="N9" t="s">
        <v>1433</v>
      </c>
    </row>
    <row r="10" spans="1:14" x14ac:dyDescent="0.2">
      <c r="A10" t="s">
        <v>2476</v>
      </c>
      <c r="B10" t="s">
        <v>980</v>
      </c>
      <c r="C10" t="s">
        <v>132</v>
      </c>
      <c r="D10" t="s">
        <v>1920</v>
      </c>
      <c r="E10" t="s">
        <v>1242</v>
      </c>
      <c r="F10" t="s">
        <v>134</v>
      </c>
      <c r="G10" t="s">
        <v>143</v>
      </c>
      <c r="H10" t="s">
        <v>144</v>
      </c>
      <c r="I10" t="s">
        <v>99</v>
      </c>
      <c r="J10" t="s">
        <v>940</v>
      </c>
      <c r="K10" t="s">
        <v>145</v>
      </c>
      <c r="L10" t="s">
        <v>139</v>
      </c>
      <c r="M10" t="s">
        <v>1415</v>
      </c>
      <c r="N10" t="s">
        <v>1423</v>
      </c>
    </row>
    <row r="11" spans="1:14" x14ac:dyDescent="0.2">
      <c r="A11" t="s">
        <v>2477</v>
      </c>
      <c r="B11" t="s">
        <v>981</v>
      </c>
      <c r="C11" t="s">
        <v>2155</v>
      </c>
      <c r="D11" t="s">
        <v>1921</v>
      </c>
      <c r="E11" t="s">
        <v>1243</v>
      </c>
      <c r="F11" t="s">
        <v>1395</v>
      </c>
      <c r="G11" t="s">
        <v>152</v>
      </c>
      <c r="H11" t="s">
        <v>153</v>
      </c>
      <c r="I11" t="s">
        <v>966</v>
      </c>
      <c r="J11" t="s">
        <v>941</v>
      </c>
      <c r="K11" t="s">
        <v>154</v>
      </c>
      <c r="L11" t="s">
        <v>1970</v>
      </c>
      <c r="M11" t="s">
        <v>108</v>
      </c>
      <c r="N11" t="s">
        <v>1420</v>
      </c>
    </row>
    <row r="12" spans="1:14" x14ac:dyDescent="0.2">
      <c r="A12" t="s">
        <v>2478</v>
      </c>
      <c r="B12" t="s">
        <v>982</v>
      </c>
      <c r="C12" t="s">
        <v>140</v>
      </c>
      <c r="D12" t="s">
        <v>1922</v>
      </c>
      <c r="E12" t="s">
        <v>1244</v>
      </c>
      <c r="F12" t="s">
        <v>142</v>
      </c>
      <c r="G12" t="s">
        <v>159</v>
      </c>
      <c r="H12" t="s">
        <v>160</v>
      </c>
      <c r="I12" t="s">
        <v>967</v>
      </c>
      <c r="J12" t="s">
        <v>942</v>
      </c>
      <c r="K12" t="s">
        <v>960</v>
      </c>
      <c r="L12" t="s">
        <v>155</v>
      </c>
      <c r="M12" t="s">
        <v>2120</v>
      </c>
      <c r="N12" t="s">
        <v>1424</v>
      </c>
    </row>
    <row r="13" spans="1:14" x14ac:dyDescent="0.2">
      <c r="A13" t="s">
        <v>2479</v>
      </c>
      <c r="B13" t="s">
        <v>983</v>
      </c>
      <c r="C13" t="s">
        <v>149</v>
      </c>
      <c r="D13" t="s">
        <v>141</v>
      </c>
      <c r="E13" t="s">
        <v>1245</v>
      </c>
      <c r="F13" t="s">
        <v>151</v>
      </c>
      <c r="G13" t="s">
        <v>166</v>
      </c>
      <c r="H13" t="s">
        <v>965</v>
      </c>
      <c r="I13" t="s">
        <v>1396</v>
      </c>
      <c r="J13" t="s">
        <v>943</v>
      </c>
      <c r="K13" t="s">
        <v>161</v>
      </c>
      <c r="L13" t="s">
        <v>162</v>
      </c>
      <c r="M13" t="s">
        <v>115</v>
      </c>
      <c r="N13" t="s">
        <v>1428</v>
      </c>
    </row>
    <row r="14" spans="1:14" x14ac:dyDescent="0.2">
      <c r="A14" t="s">
        <v>147</v>
      </c>
      <c r="B14" t="s">
        <v>984</v>
      </c>
      <c r="C14" t="s">
        <v>157</v>
      </c>
      <c r="D14" t="s">
        <v>150</v>
      </c>
      <c r="E14" t="s">
        <v>2168</v>
      </c>
      <c r="F14" t="s">
        <v>158</v>
      </c>
      <c r="G14" t="s">
        <v>171</v>
      </c>
      <c r="J14" t="s">
        <v>944</v>
      </c>
      <c r="K14" t="s">
        <v>172</v>
      </c>
      <c r="L14" t="s">
        <v>167</v>
      </c>
      <c r="M14" t="s">
        <v>122</v>
      </c>
      <c r="N14" t="s">
        <v>1422</v>
      </c>
    </row>
    <row r="15" spans="1:14" x14ac:dyDescent="0.2">
      <c r="A15" t="s">
        <v>2480</v>
      </c>
      <c r="B15" t="s">
        <v>985</v>
      </c>
      <c r="C15" t="s">
        <v>164</v>
      </c>
      <c r="D15" t="s">
        <v>1817</v>
      </c>
      <c r="E15" t="s">
        <v>2169</v>
      </c>
      <c r="F15" t="s">
        <v>165</v>
      </c>
      <c r="G15" t="s">
        <v>178</v>
      </c>
      <c r="J15" t="s">
        <v>945</v>
      </c>
      <c r="K15" t="s">
        <v>961</v>
      </c>
      <c r="L15" t="s">
        <v>173</v>
      </c>
      <c r="M15" t="s">
        <v>131</v>
      </c>
      <c r="N15" t="s">
        <v>1425</v>
      </c>
    </row>
    <row r="16" spans="1:14" x14ac:dyDescent="0.2">
      <c r="A16" t="s">
        <v>2481</v>
      </c>
      <c r="B16" t="s">
        <v>986</v>
      </c>
      <c r="C16" t="s">
        <v>169</v>
      </c>
      <c r="D16" t="s">
        <v>1923</v>
      </c>
      <c r="E16" t="s">
        <v>2170</v>
      </c>
      <c r="F16" t="s">
        <v>170</v>
      </c>
      <c r="G16" t="s">
        <v>184</v>
      </c>
      <c r="J16" t="s">
        <v>946</v>
      </c>
      <c r="K16" t="s">
        <v>192</v>
      </c>
      <c r="L16" t="s">
        <v>179</v>
      </c>
      <c r="M16" t="s">
        <v>1939</v>
      </c>
      <c r="N16" t="s">
        <v>1427</v>
      </c>
    </row>
    <row r="17" spans="1:14" x14ac:dyDescent="0.2">
      <c r="A17" t="s">
        <v>2482</v>
      </c>
      <c r="B17" t="s">
        <v>987</v>
      </c>
      <c r="C17" t="s">
        <v>176</v>
      </c>
      <c r="D17" t="s">
        <v>96</v>
      </c>
      <c r="E17" t="s">
        <v>1246</v>
      </c>
      <c r="F17" t="s">
        <v>177</v>
      </c>
      <c r="G17" t="s">
        <v>191</v>
      </c>
      <c r="J17" t="s">
        <v>947</v>
      </c>
      <c r="K17" t="s">
        <v>200</v>
      </c>
      <c r="L17" t="s">
        <v>185</v>
      </c>
      <c r="M17" t="s">
        <v>2067</v>
      </c>
      <c r="N17" t="s">
        <v>1429</v>
      </c>
    </row>
    <row r="18" spans="1:14" x14ac:dyDescent="0.2">
      <c r="A18" t="s">
        <v>2483</v>
      </c>
      <c r="B18" t="s">
        <v>988</v>
      </c>
      <c r="C18" t="s">
        <v>182</v>
      </c>
      <c r="D18" t="s">
        <v>1226</v>
      </c>
      <c r="E18" t="s">
        <v>1247</v>
      </c>
      <c r="F18" t="s">
        <v>183</v>
      </c>
      <c r="G18" t="s">
        <v>199</v>
      </c>
      <c r="J18" t="s">
        <v>948</v>
      </c>
      <c r="K18" t="s">
        <v>962</v>
      </c>
      <c r="L18" t="s">
        <v>193</v>
      </c>
      <c r="M18" t="s">
        <v>146</v>
      </c>
    </row>
    <row r="19" spans="1:14" x14ac:dyDescent="0.2">
      <c r="A19" t="s">
        <v>2484</v>
      </c>
      <c r="B19" t="s">
        <v>989</v>
      </c>
      <c r="C19" t="s">
        <v>188</v>
      </c>
      <c r="D19" t="s">
        <v>189</v>
      </c>
      <c r="E19" t="s">
        <v>1248</v>
      </c>
      <c r="F19" t="s">
        <v>190</v>
      </c>
      <c r="G19" t="s">
        <v>205</v>
      </c>
      <c r="J19" t="s">
        <v>949</v>
      </c>
      <c r="K19" t="s">
        <v>963</v>
      </c>
      <c r="L19" t="s">
        <v>201</v>
      </c>
      <c r="M19" t="s">
        <v>156</v>
      </c>
    </row>
    <row r="20" spans="1:14" x14ac:dyDescent="0.2">
      <c r="A20" t="s">
        <v>2485</v>
      </c>
      <c r="B20" t="s">
        <v>990</v>
      </c>
      <c r="C20" t="s">
        <v>196</v>
      </c>
      <c r="D20" t="s">
        <v>1227</v>
      </c>
      <c r="E20" t="s">
        <v>2098</v>
      </c>
      <c r="F20" t="s">
        <v>198</v>
      </c>
      <c r="G20" t="s">
        <v>211</v>
      </c>
      <c r="J20" t="s">
        <v>950</v>
      </c>
      <c r="K20" t="s">
        <v>964</v>
      </c>
      <c r="L20" t="s">
        <v>206</v>
      </c>
      <c r="M20" t="s">
        <v>163</v>
      </c>
    </row>
    <row r="21" spans="1:14" x14ac:dyDescent="0.2">
      <c r="A21" t="s">
        <v>2486</v>
      </c>
      <c r="B21" t="s">
        <v>991</v>
      </c>
      <c r="C21" t="s">
        <v>203</v>
      </c>
      <c r="D21" t="s">
        <v>197</v>
      </c>
      <c r="E21" t="s">
        <v>1249</v>
      </c>
      <c r="F21" t="s">
        <v>204</v>
      </c>
      <c r="G21" t="s">
        <v>217</v>
      </c>
      <c r="J21" t="s">
        <v>951</v>
      </c>
      <c r="K21" t="s">
        <v>2110</v>
      </c>
      <c r="L21" t="s">
        <v>213</v>
      </c>
      <c r="M21" t="s">
        <v>168</v>
      </c>
    </row>
    <row r="22" spans="1:14" x14ac:dyDescent="0.2">
      <c r="A22" t="s">
        <v>2487</v>
      </c>
      <c r="B22" t="s">
        <v>992</v>
      </c>
      <c r="C22" t="s">
        <v>208</v>
      </c>
      <c r="D22" t="s">
        <v>209</v>
      </c>
      <c r="E22" t="s">
        <v>2156</v>
      </c>
      <c r="F22" t="s">
        <v>210</v>
      </c>
      <c r="G22" t="s">
        <v>223</v>
      </c>
      <c r="J22" t="s">
        <v>952</v>
      </c>
      <c r="K22" t="s">
        <v>212</v>
      </c>
      <c r="L22" t="s">
        <v>218</v>
      </c>
      <c r="M22" t="s">
        <v>174</v>
      </c>
    </row>
    <row r="23" spans="1:14" x14ac:dyDescent="0.2">
      <c r="A23" t="s">
        <v>2488</v>
      </c>
      <c r="B23" t="s">
        <v>993</v>
      </c>
      <c r="C23" t="s">
        <v>124</v>
      </c>
      <c r="D23" t="s">
        <v>215</v>
      </c>
      <c r="E23" t="s">
        <v>2099</v>
      </c>
      <c r="F23" t="s">
        <v>216</v>
      </c>
      <c r="G23" t="s">
        <v>229</v>
      </c>
      <c r="J23" t="s">
        <v>953</v>
      </c>
      <c r="L23" t="s">
        <v>230</v>
      </c>
      <c r="M23" t="s">
        <v>180</v>
      </c>
    </row>
    <row r="24" spans="1:14" x14ac:dyDescent="0.2">
      <c r="A24" t="s">
        <v>2489</v>
      </c>
      <c r="B24" t="s">
        <v>995</v>
      </c>
      <c r="C24" t="s">
        <v>220</v>
      </c>
      <c r="D24" t="s">
        <v>1924</v>
      </c>
      <c r="E24" t="s">
        <v>2171</v>
      </c>
      <c r="F24" t="s">
        <v>222</v>
      </c>
      <c r="G24" t="s">
        <v>234</v>
      </c>
      <c r="J24" t="s">
        <v>954</v>
      </c>
      <c r="L24" t="s">
        <v>1971</v>
      </c>
      <c r="M24" t="s">
        <v>186</v>
      </c>
    </row>
    <row r="25" spans="1:14" x14ac:dyDescent="0.2">
      <c r="A25" t="s">
        <v>2490</v>
      </c>
      <c r="B25" t="s">
        <v>996</v>
      </c>
      <c r="C25" t="s">
        <v>133</v>
      </c>
      <c r="D25" t="s">
        <v>221</v>
      </c>
      <c r="E25" t="s">
        <v>1250</v>
      </c>
      <c r="F25" t="s">
        <v>228</v>
      </c>
      <c r="G25" t="s">
        <v>239</v>
      </c>
      <c r="J25" t="s">
        <v>955</v>
      </c>
      <c r="L25" t="s">
        <v>235</v>
      </c>
      <c r="M25" t="s">
        <v>194</v>
      </c>
    </row>
    <row r="26" spans="1:14" x14ac:dyDescent="0.2">
      <c r="A26" t="s">
        <v>2491</v>
      </c>
      <c r="B26" t="s">
        <v>997</v>
      </c>
      <c r="C26" t="s">
        <v>225</v>
      </c>
      <c r="D26" t="s">
        <v>226</v>
      </c>
      <c r="E26" t="s">
        <v>2172</v>
      </c>
      <c r="F26" t="s">
        <v>233</v>
      </c>
      <c r="G26" t="s">
        <v>246</v>
      </c>
      <c r="J26" t="s">
        <v>956</v>
      </c>
      <c r="L26" t="s">
        <v>240</v>
      </c>
      <c r="M26" t="s">
        <v>2121</v>
      </c>
    </row>
    <row r="27" spans="1:14" x14ac:dyDescent="0.2">
      <c r="A27" t="s">
        <v>2492</v>
      </c>
      <c r="B27" t="s">
        <v>998</v>
      </c>
      <c r="C27" t="s">
        <v>141</v>
      </c>
      <c r="D27" t="s">
        <v>312</v>
      </c>
      <c r="E27" t="s">
        <v>2173</v>
      </c>
      <c r="F27" t="s">
        <v>238</v>
      </c>
      <c r="G27" t="s">
        <v>117</v>
      </c>
      <c r="J27" t="s">
        <v>957</v>
      </c>
      <c r="L27" t="s">
        <v>247</v>
      </c>
      <c r="M27" t="s">
        <v>1416</v>
      </c>
    </row>
    <row r="28" spans="1:14" x14ac:dyDescent="0.2">
      <c r="A28" t="s">
        <v>2493</v>
      </c>
      <c r="B28" t="s">
        <v>999</v>
      </c>
      <c r="C28" t="s">
        <v>237</v>
      </c>
      <c r="D28" t="s">
        <v>232</v>
      </c>
      <c r="E28" t="s">
        <v>2174</v>
      </c>
      <c r="F28" t="s">
        <v>245</v>
      </c>
      <c r="G28" t="s">
        <v>259</v>
      </c>
      <c r="J28" t="s">
        <v>1397</v>
      </c>
      <c r="L28" t="s">
        <v>253</v>
      </c>
      <c r="M28" t="s">
        <v>2122</v>
      </c>
    </row>
    <row r="29" spans="1:14" x14ac:dyDescent="0.2">
      <c r="A29" t="s">
        <v>2494</v>
      </c>
      <c r="B29" t="s">
        <v>1000</v>
      </c>
      <c r="C29" t="s">
        <v>242</v>
      </c>
      <c r="D29" t="s">
        <v>1925</v>
      </c>
      <c r="E29" t="s">
        <v>2175</v>
      </c>
      <c r="F29" t="s">
        <v>252</v>
      </c>
      <c r="G29" t="s">
        <v>266</v>
      </c>
      <c r="J29" t="s">
        <v>1398</v>
      </c>
      <c r="L29" t="s">
        <v>1854</v>
      </c>
      <c r="M29" t="s">
        <v>1417</v>
      </c>
    </row>
    <row r="30" spans="1:14" x14ac:dyDescent="0.2">
      <c r="A30" t="s">
        <v>2495</v>
      </c>
      <c r="B30" t="s">
        <v>1001</v>
      </c>
      <c r="C30" t="s">
        <v>249</v>
      </c>
      <c r="D30" t="s">
        <v>1926</v>
      </c>
      <c r="E30" t="s">
        <v>2176</v>
      </c>
      <c r="F30" t="s">
        <v>258</v>
      </c>
      <c r="G30" t="s">
        <v>1966</v>
      </c>
      <c r="J30" t="s">
        <v>958</v>
      </c>
      <c r="L30" t="s">
        <v>260</v>
      </c>
      <c r="M30" t="s">
        <v>2123</v>
      </c>
    </row>
    <row r="31" spans="1:14" x14ac:dyDescent="0.2">
      <c r="A31" t="s">
        <v>2496</v>
      </c>
      <c r="B31" t="s">
        <v>1002</v>
      </c>
      <c r="C31" t="s">
        <v>255</v>
      </c>
      <c r="D31" t="s">
        <v>1927</v>
      </c>
      <c r="E31" t="s">
        <v>2547</v>
      </c>
      <c r="F31" t="s">
        <v>265</v>
      </c>
      <c r="G31" t="s">
        <v>1394</v>
      </c>
      <c r="J31" t="s">
        <v>959</v>
      </c>
      <c r="L31" t="s">
        <v>267</v>
      </c>
    </row>
    <row r="32" spans="1:14" x14ac:dyDescent="0.2">
      <c r="A32" t="s">
        <v>2497</v>
      </c>
      <c r="B32" t="s">
        <v>1003</v>
      </c>
      <c r="C32" t="s">
        <v>1918</v>
      </c>
      <c r="D32" t="s">
        <v>243</v>
      </c>
      <c r="E32" t="s">
        <v>2177</v>
      </c>
      <c r="F32" t="s">
        <v>271</v>
      </c>
      <c r="G32" t="s">
        <v>1967</v>
      </c>
      <c r="J32" t="s">
        <v>1399</v>
      </c>
      <c r="L32" t="s">
        <v>272</v>
      </c>
    </row>
    <row r="33" spans="1:12" x14ac:dyDescent="0.2">
      <c r="A33" t="s">
        <v>2498</v>
      </c>
      <c r="B33" t="s">
        <v>175</v>
      </c>
      <c r="C33" t="s">
        <v>262</v>
      </c>
      <c r="D33" t="s">
        <v>250</v>
      </c>
      <c r="E33" t="s">
        <v>2178</v>
      </c>
      <c r="F33" t="s">
        <v>275</v>
      </c>
      <c r="G33" t="s">
        <v>125</v>
      </c>
      <c r="L33" t="s">
        <v>276</v>
      </c>
    </row>
    <row r="34" spans="1:12" x14ac:dyDescent="0.2">
      <c r="A34" t="s">
        <v>2499</v>
      </c>
      <c r="B34" t="s">
        <v>1004</v>
      </c>
      <c r="C34" t="s">
        <v>269</v>
      </c>
      <c r="D34" t="s">
        <v>256</v>
      </c>
      <c r="E34" t="s">
        <v>2179</v>
      </c>
      <c r="F34" t="s">
        <v>280</v>
      </c>
      <c r="G34" t="s">
        <v>134</v>
      </c>
      <c r="L34" t="s">
        <v>2112</v>
      </c>
    </row>
    <row r="35" spans="1:12" x14ac:dyDescent="0.2">
      <c r="A35" t="s">
        <v>2500</v>
      </c>
      <c r="B35" t="s">
        <v>181</v>
      </c>
      <c r="C35" t="s">
        <v>274</v>
      </c>
      <c r="D35" t="s">
        <v>932</v>
      </c>
      <c r="E35" t="s">
        <v>2180</v>
      </c>
      <c r="F35" t="s">
        <v>283</v>
      </c>
      <c r="G35" t="s">
        <v>1395</v>
      </c>
      <c r="L35" t="s">
        <v>285</v>
      </c>
    </row>
    <row r="36" spans="1:12" x14ac:dyDescent="0.2">
      <c r="A36" t="s">
        <v>291</v>
      </c>
      <c r="B36" t="s">
        <v>1005</v>
      </c>
      <c r="C36" t="s">
        <v>278</v>
      </c>
      <c r="D36" t="s">
        <v>331</v>
      </c>
      <c r="E36" t="s">
        <v>2181</v>
      </c>
      <c r="F36" t="s">
        <v>288</v>
      </c>
      <c r="G36" t="s">
        <v>1968</v>
      </c>
      <c r="L36" t="s">
        <v>1400</v>
      </c>
    </row>
    <row r="37" spans="1:12" x14ac:dyDescent="0.2">
      <c r="A37" t="s">
        <v>297</v>
      </c>
      <c r="B37" t="s">
        <v>187</v>
      </c>
      <c r="C37" t="s">
        <v>226</v>
      </c>
      <c r="D37" t="s">
        <v>263</v>
      </c>
      <c r="E37" t="s">
        <v>2182</v>
      </c>
      <c r="G37" t="s">
        <v>142</v>
      </c>
      <c r="L37" t="s">
        <v>290</v>
      </c>
    </row>
    <row r="38" spans="1:12" x14ac:dyDescent="0.2">
      <c r="A38" t="s">
        <v>1903</v>
      </c>
      <c r="B38" t="s">
        <v>1006</v>
      </c>
      <c r="C38" t="s">
        <v>287</v>
      </c>
      <c r="D38" t="s">
        <v>270</v>
      </c>
      <c r="E38" t="s">
        <v>2426</v>
      </c>
      <c r="G38" t="s">
        <v>284</v>
      </c>
      <c r="L38" t="s">
        <v>296</v>
      </c>
    </row>
    <row r="39" spans="1:12" x14ac:dyDescent="0.2">
      <c r="A39" t="s">
        <v>2501</v>
      </c>
      <c r="B39" t="s">
        <v>202</v>
      </c>
      <c r="C39" t="s">
        <v>293</v>
      </c>
      <c r="D39" t="s">
        <v>2094</v>
      </c>
      <c r="E39" t="s">
        <v>2427</v>
      </c>
      <c r="G39" t="s">
        <v>289</v>
      </c>
      <c r="L39" t="s">
        <v>302</v>
      </c>
    </row>
    <row r="40" spans="1:12" x14ac:dyDescent="0.2">
      <c r="A40" t="s">
        <v>2502</v>
      </c>
      <c r="B40" t="s">
        <v>1007</v>
      </c>
      <c r="C40" t="s">
        <v>299</v>
      </c>
      <c r="D40" t="s">
        <v>1228</v>
      </c>
      <c r="E40" t="s">
        <v>2428</v>
      </c>
      <c r="G40" t="s">
        <v>295</v>
      </c>
      <c r="L40" t="s">
        <v>306</v>
      </c>
    </row>
    <row r="41" spans="1:12" x14ac:dyDescent="0.2">
      <c r="A41" t="s">
        <v>2503</v>
      </c>
      <c r="B41" t="s">
        <v>207</v>
      </c>
      <c r="C41" t="s">
        <v>304</v>
      </c>
      <c r="D41" t="s">
        <v>279</v>
      </c>
      <c r="E41" t="s">
        <v>2429</v>
      </c>
      <c r="G41" t="s">
        <v>301</v>
      </c>
      <c r="L41" t="s">
        <v>311</v>
      </c>
    </row>
    <row r="42" spans="1:12" x14ac:dyDescent="0.2">
      <c r="A42" t="s">
        <v>2504</v>
      </c>
      <c r="B42" t="s">
        <v>214</v>
      </c>
      <c r="C42" t="s">
        <v>308</v>
      </c>
      <c r="D42" t="s">
        <v>2095</v>
      </c>
      <c r="E42" t="s">
        <v>2430</v>
      </c>
      <c r="G42" t="s">
        <v>305</v>
      </c>
      <c r="L42" t="s">
        <v>315</v>
      </c>
    </row>
    <row r="43" spans="1:12" x14ac:dyDescent="0.2">
      <c r="A43" t="s">
        <v>2505</v>
      </c>
      <c r="B43" t="s">
        <v>219</v>
      </c>
      <c r="C43" t="s">
        <v>312</v>
      </c>
      <c r="D43" t="s">
        <v>282</v>
      </c>
      <c r="E43" t="s">
        <v>2548</v>
      </c>
      <c r="G43" t="s">
        <v>310</v>
      </c>
      <c r="L43" t="s">
        <v>320</v>
      </c>
    </row>
    <row r="44" spans="1:12" x14ac:dyDescent="0.2">
      <c r="A44" t="s">
        <v>2506</v>
      </c>
      <c r="B44" t="s">
        <v>224</v>
      </c>
      <c r="C44" t="s">
        <v>317</v>
      </c>
      <c r="D44" t="s">
        <v>82</v>
      </c>
      <c r="E44" t="s">
        <v>2431</v>
      </c>
      <c r="G44" t="s">
        <v>314</v>
      </c>
      <c r="L44" t="s">
        <v>324</v>
      </c>
    </row>
    <row r="45" spans="1:12" x14ac:dyDescent="0.2">
      <c r="A45" t="s">
        <v>2507</v>
      </c>
      <c r="B45" t="s">
        <v>1008</v>
      </c>
      <c r="C45" t="s">
        <v>243</v>
      </c>
      <c r="D45" t="s">
        <v>294</v>
      </c>
      <c r="E45" t="s">
        <v>2432</v>
      </c>
      <c r="G45" t="s">
        <v>319</v>
      </c>
      <c r="L45" t="s">
        <v>329</v>
      </c>
    </row>
    <row r="46" spans="1:12" x14ac:dyDescent="0.2">
      <c r="A46" t="s">
        <v>2508</v>
      </c>
      <c r="B46" t="s">
        <v>1009</v>
      </c>
      <c r="C46" t="s">
        <v>326</v>
      </c>
      <c r="D46" t="s">
        <v>1928</v>
      </c>
      <c r="E46" t="s">
        <v>2433</v>
      </c>
      <c r="G46" t="s">
        <v>323</v>
      </c>
      <c r="L46" t="s">
        <v>334</v>
      </c>
    </row>
    <row r="47" spans="1:12" x14ac:dyDescent="0.2">
      <c r="A47" t="s">
        <v>2509</v>
      </c>
      <c r="B47" t="s">
        <v>1010</v>
      </c>
      <c r="C47" t="s">
        <v>331</v>
      </c>
      <c r="D47" t="s">
        <v>1929</v>
      </c>
      <c r="E47" t="s">
        <v>2434</v>
      </c>
      <c r="G47" t="s">
        <v>328</v>
      </c>
      <c r="L47" t="s">
        <v>337</v>
      </c>
    </row>
    <row r="48" spans="1:12" x14ac:dyDescent="0.2">
      <c r="A48" t="s">
        <v>2510</v>
      </c>
      <c r="B48" t="s">
        <v>1011</v>
      </c>
      <c r="C48" t="s">
        <v>335</v>
      </c>
      <c r="D48" t="s">
        <v>300</v>
      </c>
      <c r="E48" t="s">
        <v>2435</v>
      </c>
      <c r="G48" t="s">
        <v>333</v>
      </c>
      <c r="L48" t="s">
        <v>341</v>
      </c>
    </row>
    <row r="49" spans="1:12" x14ac:dyDescent="0.2">
      <c r="A49" t="s">
        <v>346</v>
      </c>
      <c r="B49" t="s">
        <v>1012</v>
      </c>
      <c r="C49" t="s">
        <v>339</v>
      </c>
      <c r="D49" t="s">
        <v>1540</v>
      </c>
      <c r="E49" t="s">
        <v>2436</v>
      </c>
      <c r="G49" t="s">
        <v>151</v>
      </c>
      <c r="L49" t="s">
        <v>345</v>
      </c>
    </row>
    <row r="50" spans="1:12" x14ac:dyDescent="0.2">
      <c r="A50" t="s">
        <v>1904</v>
      </c>
      <c r="B50" t="s">
        <v>1013</v>
      </c>
      <c r="C50" t="s">
        <v>343</v>
      </c>
      <c r="D50" t="s">
        <v>309</v>
      </c>
      <c r="E50" t="s">
        <v>2549</v>
      </c>
      <c r="G50" t="s">
        <v>158</v>
      </c>
      <c r="L50" t="s">
        <v>350</v>
      </c>
    </row>
    <row r="51" spans="1:12" x14ac:dyDescent="0.2">
      <c r="A51" t="s">
        <v>2511</v>
      </c>
      <c r="B51" t="s">
        <v>1014</v>
      </c>
      <c r="C51" t="s">
        <v>348</v>
      </c>
      <c r="D51" t="s">
        <v>313</v>
      </c>
      <c r="E51" t="s">
        <v>2550</v>
      </c>
      <c r="G51" t="s">
        <v>165</v>
      </c>
      <c r="L51" t="s">
        <v>355</v>
      </c>
    </row>
    <row r="52" spans="1:12" x14ac:dyDescent="0.2">
      <c r="A52" t="s">
        <v>2512</v>
      </c>
      <c r="B52" t="s">
        <v>1015</v>
      </c>
      <c r="C52" t="s">
        <v>352</v>
      </c>
      <c r="D52" t="s">
        <v>1930</v>
      </c>
      <c r="E52" t="s">
        <v>2551</v>
      </c>
      <c r="G52" t="s">
        <v>170</v>
      </c>
      <c r="L52" t="s">
        <v>362</v>
      </c>
    </row>
    <row r="53" spans="1:12" x14ac:dyDescent="0.2">
      <c r="A53" t="s">
        <v>2513</v>
      </c>
      <c r="B53" t="s">
        <v>231</v>
      </c>
      <c r="C53" t="s">
        <v>357</v>
      </c>
      <c r="D53" t="s">
        <v>318</v>
      </c>
      <c r="E53" t="s">
        <v>2552</v>
      </c>
      <c r="G53" t="s">
        <v>354</v>
      </c>
      <c r="L53" t="s">
        <v>365</v>
      </c>
    </row>
    <row r="54" spans="1:12" x14ac:dyDescent="0.2">
      <c r="A54" t="s">
        <v>975</v>
      </c>
      <c r="B54" t="s">
        <v>1017</v>
      </c>
      <c r="C54" t="s">
        <v>360</v>
      </c>
      <c r="D54" t="s">
        <v>1931</v>
      </c>
      <c r="E54" t="s">
        <v>2553</v>
      </c>
      <c r="G54" t="s">
        <v>177</v>
      </c>
      <c r="L54" t="s">
        <v>369</v>
      </c>
    </row>
    <row r="55" spans="1:12" x14ac:dyDescent="0.2">
      <c r="A55" t="s">
        <v>2514</v>
      </c>
      <c r="B55" t="s">
        <v>236</v>
      </c>
      <c r="C55" t="s">
        <v>363</v>
      </c>
      <c r="D55" t="s">
        <v>1932</v>
      </c>
      <c r="E55" t="s">
        <v>2554</v>
      </c>
      <c r="G55" t="s">
        <v>183</v>
      </c>
      <c r="L55" t="s">
        <v>373</v>
      </c>
    </row>
    <row r="56" spans="1:12" x14ac:dyDescent="0.2">
      <c r="A56" t="s">
        <v>2515</v>
      </c>
      <c r="B56" t="s">
        <v>1018</v>
      </c>
      <c r="C56" t="s">
        <v>367</v>
      </c>
      <c r="D56" t="s">
        <v>1933</v>
      </c>
      <c r="E56" t="s">
        <v>2555</v>
      </c>
      <c r="G56" t="s">
        <v>190</v>
      </c>
      <c r="L56" t="s">
        <v>375</v>
      </c>
    </row>
    <row r="57" spans="1:12" x14ac:dyDescent="0.2">
      <c r="A57" t="s">
        <v>976</v>
      </c>
      <c r="B57" t="s">
        <v>1019</v>
      </c>
      <c r="C57" t="s">
        <v>371</v>
      </c>
      <c r="D57" t="s">
        <v>1934</v>
      </c>
      <c r="E57" t="s">
        <v>2556</v>
      </c>
      <c r="G57" t="s">
        <v>198</v>
      </c>
      <c r="L57" t="s">
        <v>380</v>
      </c>
    </row>
    <row r="58" spans="1:12" x14ac:dyDescent="0.2">
      <c r="A58" t="s">
        <v>2516</v>
      </c>
      <c r="B58" t="s">
        <v>1020</v>
      </c>
      <c r="C58" t="s">
        <v>322</v>
      </c>
      <c r="D58" t="s">
        <v>1935</v>
      </c>
      <c r="E58" t="s">
        <v>2557</v>
      </c>
      <c r="G58" t="s">
        <v>204</v>
      </c>
      <c r="L58" t="s">
        <v>383</v>
      </c>
    </row>
    <row r="59" spans="1:12" x14ac:dyDescent="0.2">
      <c r="A59" t="s">
        <v>2068</v>
      </c>
      <c r="B59" t="s">
        <v>241</v>
      </c>
      <c r="C59" t="s">
        <v>377</v>
      </c>
      <c r="D59" t="s">
        <v>1229</v>
      </c>
      <c r="E59" t="s">
        <v>2558</v>
      </c>
      <c r="G59" t="s">
        <v>379</v>
      </c>
      <c r="L59" t="s">
        <v>388</v>
      </c>
    </row>
    <row r="60" spans="1:12" x14ac:dyDescent="0.2">
      <c r="A60" t="s">
        <v>2517</v>
      </c>
      <c r="B60" t="s">
        <v>248</v>
      </c>
      <c r="C60" t="s">
        <v>327</v>
      </c>
      <c r="D60" t="s">
        <v>327</v>
      </c>
      <c r="E60" t="s">
        <v>2559</v>
      </c>
      <c r="G60" t="s">
        <v>382</v>
      </c>
      <c r="L60" t="s">
        <v>392</v>
      </c>
    </row>
    <row r="61" spans="1:12" x14ac:dyDescent="0.2">
      <c r="A61" t="s">
        <v>2518</v>
      </c>
      <c r="B61" t="s">
        <v>1021</v>
      </c>
      <c r="C61" t="s">
        <v>385</v>
      </c>
      <c r="D61" t="s">
        <v>332</v>
      </c>
      <c r="E61" t="s">
        <v>2560</v>
      </c>
      <c r="G61" t="s">
        <v>387</v>
      </c>
      <c r="L61" t="s">
        <v>396</v>
      </c>
    </row>
    <row r="62" spans="1:12" x14ac:dyDescent="0.2">
      <c r="A62" t="s">
        <v>2519</v>
      </c>
      <c r="B62" t="s">
        <v>254</v>
      </c>
      <c r="C62" t="s">
        <v>389</v>
      </c>
      <c r="D62" t="s">
        <v>1230</v>
      </c>
      <c r="E62" t="s">
        <v>2561</v>
      </c>
      <c r="G62" t="s">
        <v>391</v>
      </c>
      <c r="L62" t="s">
        <v>1401</v>
      </c>
    </row>
    <row r="63" spans="1:12" x14ac:dyDescent="0.2">
      <c r="A63" t="s">
        <v>2520</v>
      </c>
      <c r="B63" t="s">
        <v>1022</v>
      </c>
      <c r="C63" t="s">
        <v>393</v>
      </c>
      <c r="D63" t="s">
        <v>336</v>
      </c>
      <c r="E63" t="s">
        <v>2562</v>
      </c>
      <c r="G63" t="s">
        <v>395</v>
      </c>
      <c r="L63" t="s">
        <v>400</v>
      </c>
    </row>
    <row r="64" spans="1:12" x14ac:dyDescent="0.2">
      <c r="A64" t="s">
        <v>2521</v>
      </c>
      <c r="B64" t="s">
        <v>261</v>
      </c>
      <c r="C64" t="s">
        <v>397</v>
      </c>
      <c r="D64" t="s">
        <v>340</v>
      </c>
      <c r="E64" t="s">
        <v>2563</v>
      </c>
      <c r="G64" t="s">
        <v>399</v>
      </c>
      <c r="L64" t="s">
        <v>404</v>
      </c>
    </row>
    <row r="65" spans="1:12" x14ac:dyDescent="0.2">
      <c r="A65" t="s">
        <v>2522</v>
      </c>
      <c r="B65" t="s">
        <v>268</v>
      </c>
      <c r="C65" t="s">
        <v>401</v>
      </c>
      <c r="D65" t="s">
        <v>344</v>
      </c>
      <c r="E65" t="s">
        <v>2564</v>
      </c>
      <c r="G65" t="s">
        <v>403</v>
      </c>
      <c r="L65" t="s">
        <v>408</v>
      </c>
    </row>
    <row r="66" spans="1:12" x14ac:dyDescent="0.2">
      <c r="A66" t="s">
        <v>2523</v>
      </c>
      <c r="B66" t="s">
        <v>273</v>
      </c>
      <c r="C66" t="s">
        <v>405</v>
      </c>
      <c r="D66" t="s">
        <v>52</v>
      </c>
      <c r="E66" t="s">
        <v>2565</v>
      </c>
      <c r="G66" t="s">
        <v>407</v>
      </c>
      <c r="L66" t="s">
        <v>411</v>
      </c>
    </row>
    <row r="67" spans="1:12" x14ac:dyDescent="0.2">
      <c r="A67" t="s">
        <v>2524</v>
      </c>
      <c r="B67" t="s">
        <v>1023</v>
      </c>
      <c r="C67" t="s">
        <v>409</v>
      </c>
      <c r="D67" t="s">
        <v>1231</v>
      </c>
      <c r="E67" t="s">
        <v>2566</v>
      </c>
      <c r="G67" t="s">
        <v>210</v>
      </c>
      <c r="L67" t="s">
        <v>413</v>
      </c>
    </row>
    <row r="68" spans="1:12" x14ac:dyDescent="0.2">
      <c r="A68" t="s">
        <v>2525</v>
      </c>
      <c r="B68" t="s">
        <v>277</v>
      </c>
      <c r="C68" t="s">
        <v>412</v>
      </c>
      <c r="D68" t="s">
        <v>1936</v>
      </c>
      <c r="E68" t="s">
        <v>2567</v>
      </c>
      <c r="G68" t="s">
        <v>216</v>
      </c>
      <c r="L68" t="s">
        <v>417</v>
      </c>
    </row>
    <row r="69" spans="1:12" x14ac:dyDescent="0.2">
      <c r="A69" t="s">
        <v>2526</v>
      </c>
      <c r="B69" t="s">
        <v>281</v>
      </c>
      <c r="C69" t="s">
        <v>414</v>
      </c>
      <c r="D69" t="s">
        <v>349</v>
      </c>
      <c r="E69" t="s">
        <v>2568</v>
      </c>
      <c r="G69" t="s">
        <v>416</v>
      </c>
      <c r="L69" t="s">
        <v>420</v>
      </c>
    </row>
    <row r="70" spans="1:12" x14ac:dyDescent="0.2">
      <c r="A70" t="s">
        <v>2527</v>
      </c>
      <c r="B70" t="s">
        <v>1024</v>
      </c>
      <c r="C70" t="s">
        <v>418</v>
      </c>
      <c r="D70" t="s">
        <v>353</v>
      </c>
      <c r="E70" t="s">
        <v>2569</v>
      </c>
      <c r="G70" t="s">
        <v>222</v>
      </c>
      <c r="L70" t="s">
        <v>422</v>
      </c>
    </row>
    <row r="71" spans="1:12" x14ac:dyDescent="0.2">
      <c r="A71" t="s">
        <v>2528</v>
      </c>
      <c r="B71" t="s">
        <v>1025</v>
      </c>
      <c r="C71" t="s">
        <v>381</v>
      </c>
      <c r="D71" t="s">
        <v>358</v>
      </c>
      <c r="E71" t="s">
        <v>2570</v>
      </c>
      <c r="G71" t="s">
        <v>228</v>
      </c>
      <c r="L71" t="s">
        <v>425</v>
      </c>
    </row>
    <row r="72" spans="1:12" x14ac:dyDescent="0.2">
      <c r="A72" t="s">
        <v>2529</v>
      </c>
      <c r="B72" t="s">
        <v>1026</v>
      </c>
      <c r="C72" t="s">
        <v>386</v>
      </c>
      <c r="D72" t="s">
        <v>361</v>
      </c>
      <c r="E72" t="s">
        <v>2571</v>
      </c>
      <c r="G72" t="s">
        <v>233</v>
      </c>
      <c r="L72" t="s">
        <v>427</v>
      </c>
    </row>
    <row r="73" spans="1:12" x14ac:dyDescent="0.2">
      <c r="A73" t="s">
        <v>2530</v>
      </c>
      <c r="B73" t="s">
        <v>1027</v>
      </c>
      <c r="C73" t="s">
        <v>423</v>
      </c>
      <c r="D73" t="s">
        <v>364</v>
      </c>
      <c r="E73" t="s">
        <v>2572</v>
      </c>
      <c r="G73" t="s">
        <v>238</v>
      </c>
      <c r="L73" t="s">
        <v>431</v>
      </c>
    </row>
    <row r="74" spans="1:12" x14ac:dyDescent="0.2">
      <c r="A74" t="s">
        <v>2531</v>
      </c>
      <c r="B74" t="s">
        <v>1028</v>
      </c>
      <c r="C74" t="s">
        <v>426</v>
      </c>
      <c r="D74" t="s">
        <v>1232</v>
      </c>
      <c r="E74" t="s">
        <v>1251</v>
      </c>
      <c r="G74" t="s">
        <v>245</v>
      </c>
      <c r="L74" t="s">
        <v>434</v>
      </c>
    </row>
    <row r="75" spans="1:12" x14ac:dyDescent="0.2">
      <c r="A75" t="s">
        <v>2532</v>
      </c>
      <c r="B75" t="s">
        <v>1029</v>
      </c>
      <c r="C75" t="s">
        <v>428</v>
      </c>
      <c r="D75" t="s">
        <v>368</v>
      </c>
      <c r="E75" t="s">
        <v>1252</v>
      </c>
      <c r="G75" t="s">
        <v>430</v>
      </c>
      <c r="L75" t="s">
        <v>437</v>
      </c>
    </row>
    <row r="76" spans="1:12" x14ac:dyDescent="0.2">
      <c r="A76" t="s">
        <v>2533</v>
      </c>
      <c r="B76" t="s">
        <v>1030</v>
      </c>
      <c r="C76" t="s">
        <v>432</v>
      </c>
      <c r="D76" t="s">
        <v>1233</v>
      </c>
      <c r="E76" t="s">
        <v>1253</v>
      </c>
      <c r="G76" t="s">
        <v>433</v>
      </c>
      <c r="L76" t="s">
        <v>440</v>
      </c>
    </row>
    <row r="77" spans="1:12" x14ac:dyDescent="0.2">
      <c r="A77" t="s">
        <v>2534</v>
      </c>
      <c r="B77" t="s">
        <v>1031</v>
      </c>
      <c r="C77" t="s">
        <v>435</v>
      </c>
      <c r="D77" t="s">
        <v>372</v>
      </c>
      <c r="E77" t="s">
        <v>1254</v>
      </c>
      <c r="G77" t="s">
        <v>252</v>
      </c>
      <c r="L77" t="s">
        <v>443</v>
      </c>
    </row>
    <row r="78" spans="1:12" x14ac:dyDescent="0.2">
      <c r="A78" t="s">
        <v>2535</v>
      </c>
      <c r="B78" t="s">
        <v>1032</v>
      </c>
      <c r="C78" t="s">
        <v>438</v>
      </c>
      <c r="D78" t="s">
        <v>374</v>
      </c>
      <c r="E78" t="s">
        <v>227</v>
      </c>
      <c r="G78" t="s">
        <v>258</v>
      </c>
      <c r="L78" t="s">
        <v>447</v>
      </c>
    </row>
    <row r="79" spans="1:12" x14ac:dyDescent="0.2">
      <c r="A79" t="s">
        <v>2536</v>
      </c>
      <c r="B79" t="s">
        <v>1033</v>
      </c>
      <c r="C79" t="s">
        <v>441</v>
      </c>
      <c r="D79" t="s">
        <v>378</v>
      </c>
      <c r="E79" t="s">
        <v>1255</v>
      </c>
      <c r="G79" t="s">
        <v>265</v>
      </c>
      <c r="L79" t="s">
        <v>451</v>
      </c>
    </row>
    <row r="80" spans="1:12" x14ac:dyDescent="0.2">
      <c r="A80" t="s">
        <v>2537</v>
      </c>
      <c r="B80" t="s">
        <v>1034</v>
      </c>
      <c r="C80" t="s">
        <v>444</v>
      </c>
      <c r="D80" t="s">
        <v>933</v>
      </c>
      <c r="E80" t="s">
        <v>2450</v>
      </c>
      <c r="G80" t="s">
        <v>446</v>
      </c>
      <c r="L80" t="s">
        <v>455</v>
      </c>
    </row>
    <row r="81" spans="1:12" x14ac:dyDescent="0.2">
      <c r="A81" t="s">
        <v>2538</v>
      </c>
      <c r="B81" t="s">
        <v>1035</v>
      </c>
      <c r="C81" t="s">
        <v>448</v>
      </c>
      <c r="D81" t="s">
        <v>1937</v>
      </c>
      <c r="E81" t="s">
        <v>1256</v>
      </c>
      <c r="G81" t="s">
        <v>450</v>
      </c>
      <c r="L81" t="s">
        <v>1402</v>
      </c>
    </row>
    <row r="82" spans="1:12" x14ac:dyDescent="0.2">
      <c r="A82" t="s">
        <v>2539</v>
      </c>
      <c r="B82" t="s">
        <v>1036</v>
      </c>
      <c r="C82" t="s">
        <v>452</v>
      </c>
      <c r="D82" t="s">
        <v>2425</v>
      </c>
      <c r="E82" t="s">
        <v>244</v>
      </c>
      <c r="G82" t="s">
        <v>454</v>
      </c>
      <c r="L82" t="s">
        <v>1855</v>
      </c>
    </row>
    <row r="83" spans="1:12" x14ac:dyDescent="0.2">
      <c r="A83" t="s">
        <v>2540</v>
      </c>
      <c r="B83" t="s">
        <v>1037</v>
      </c>
      <c r="C83" t="s">
        <v>456</v>
      </c>
      <c r="D83" t="s">
        <v>381</v>
      </c>
      <c r="E83" t="s">
        <v>251</v>
      </c>
      <c r="G83" t="s">
        <v>457</v>
      </c>
      <c r="L83" t="s">
        <v>458</v>
      </c>
    </row>
    <row r="84" spans="1:12" x14ac:dyDescent="0.2">
      <c r="A84" t="s">
        <v>2541</v>
      </c>
      <c r="B84" t="s">
        <v>1038</v>
      </c>
      <c r="C84" t="s">
        <v>459</v>
      </c>
      <c r="D84" t="s">
        <v>386</v>
      </c>
      <c r="E84" t="s">
        <v>257</v>
      </c>
      <c r="G84" t="s">
        <v>461</v>
      </c>
      <c r="L84" t="s">
        <v>462</v>
      </c>
    </row>
    <row r="85" spans="1:12" x14ac:dyDescent="0.2">
      <c r="A85" t="s">
        <v>2542</v>
      </c>
      <c r="B85" t="s">
        <v>1039</v>
      </c>
      <c r="C85" t="s">
        <v>463</v>
      </c>
      <c r="D85" t="s">
        <v>390</v>
      </c>
      <c r="E85" t="s">
        <v>264</v>
      </c>
      <c r="G85" t="s">
        <v>271</v>
      </c>
      <c r="L85" t="s">
        <v>1972</v>
      </c>
    </row>
    <row r="86" spans="1:12" x14ac:dyDescent="0.2">
      <c r="A86" t="s">
        <v>2543</v>
      </c>
      <c r="B86" t="s">
        <v>1040</v>
      </c>
      <c r="C86" t="s">
        <v>467</v>
      </c>
      <c r="D86" t="s">
        <v>2096</v>
      </c>
      <c r="E86" t="s">
        <v>1257</v>
      </c>
      <c r="G86" t="s">
        <v>468</v>
      </c>
      <c r="L86" t="s">
        <v>465</v>
      </c>
    </row>
    <row r="87" spans="1:12" x14ac:dyDescent="0.2">
      <c r="A87" t="s">
        <v>2544</v>
      </c>
      <c r="B87" t="s">
        <v>1041</v>
      </c>
      <c r="C87" t="s">
        <v>470</v>
      </c>
      <c r="D87" t="s">
        <v>394</v>
      </c>
      <c r="E87" t="s">
        <v>2157</v>
      </c>
      <c r="G87" t="s">
        <v>471</v>
      </c>
      <c r="L87" t="s">
        <v>469</v>
      </c>
    </row>
    <row r="88" spans="1:12" x14ac:dyDescent="0.2">
      <c r="A88" t="s">
        <v>2545</v>
      </c>
      <c r="B88" t="s">
        <v>1043</v>
      </c>
      <c r="D88" t="s">
        <v>398</v>
      </c>
      <c r="E88" t="s">
        <v>1258</v>
      </c>
      <c r="G88" t="s">
        <v>473</v>
      </c>
      <c r="L88" t="s">
        <v>472</v>
      </c>
    </row>
    <row r="89" spans="1:12" x14ac:dyDescent="0.2">
      <c r="A89" t="s">
        <v>2546</v>
      </c>
      <c r="B89" t="s">
        <v>1045</v>
      </c>
      <c r="D89" t="s">
        <v>402</v>
      </c>
      <c r="E89" t="s">
        <v>1259</v>
      </c>
      <c r="G89" t="s">
        <v>475</v>
      </c>
      <c r="L89" t="s">
        <v>1403</v>
      </c>
    </row>
    <row r="90" spans="1:12" x14ac:dyDescent="0.2">
      <c r="B90" t="s">
        <v>1047</v>
      </c>
      <c r="D90" t="s">
        <v>1938</v>
      </c>
      <c r="E90" t="s">
        <v>2183</v>
      </c>
      <c r="G90" t="s">
        <v>476</v>
      </c>
      <c r="L90" t="s">
        <v>1404</v>
      </c>
    </row>
    <row r="91" spans="1:12" x14ac:dyDescent="0.2">
      <c r="B91" t="s">
        <v>1049</v>
      </c>
      <c r="D91" t="s">
        <v>406</v>
      </c>
      <c r="E91" t="s">
        <v>1260</v>
      </c>
      <c r="G91" t="s">
        <v>478</v>
      </c>
      <c r="L91" t="s">
        <v>474</v>
      </c>
    </row>
    <row r="92" spans="1:12" x14ac:dyDescent="0.2">
      <c r="B92" t="s">
        <v>1050</v>
      </c>
      <c r="D92" t="s">
        <v>192</v>
      </c>
      <c r="E92" t="s">
        <v>2158</v>
      </c>
      <c r="G92" t="s">
        <v>481</v>
      </c>
      <c r="L92" t="s">
        <v>477</v>
      </c>
    </row>
    <row r="93" spans="1:12" x14ac:dyDescent="0.2">
      <c r="B93" t="s">
        <v>286</v>
      </c>
      <c r="D93" t="s">
        <v>1939</v>
      </c>
      <c r="E93" t="s">
        <v>1954</v>
      </c>
      <c r="G93" t="s">
        <v>484</v>
      </c>
      <c r="L93" t="s">
        <v>479</v>
      </c>
    </row>
    <row r="94" spans="1:12" x14ac:dyDescent="0.2">
      <c r="B94" t="s">
        <v>1051</v>
      </c>
      <c r="D94" t="s">
        <v>1940</v>
      </c>
      <c r="E94" t="s">
        <v>1261</v>
      </c>
      <c r="G94" t="s">
        <v>487</v>
      </c>
      <c r="L94" t="s">
        <v>482</v>
      </c>
    </row>
    <row r="95" spans="1:12" x14ac:dyDescent="0.2">
      <c r="B95" t="s">
        <v>292</v>
      </c>
      <c r="D95" t="s">
        <v>1941</v>
      </c>
      <c r="E95" t="s">
        <v>1262</v>
      </c>
      <c r="G95" t="s">
        <v>490</v>
      </c>
      <c r="L95" t="s">
        <v>485</v>
      </c>
    </row>
    <row r="96" spans="1:12" x14ac:dyDescent="0.2">
      <c r="B96" t="s">
        <v>298</v>
      </c>
      <c r="D96" t="s">
        <v>2097</v>
      </c>
      <c r="E96" t="s">
        <v>1263</v>
      </c>
      <c r="G96" t="s">
        <v>493</v>
      </c>
      <c r="L96" t="s">
        <v>488</v>
      </c>
    </row>
    <row r="97" spans="2:12" x14ac:dyDescent="0.2">
      <c r="B97" t="s">
        <v>303</v>
      </c>
      <c r="D97" t="s">
        <v>410</v>
      </c>
      <c r="E97" t="s">
        <v>1264</v>
      </c>
      <c r="G97" t="s">
        <v>496</v>
      </c>
      <c r="L97" t="s">
        <v>491</v>
      </c>
    </row>
    <row r="98" spans="2:12" x14ac:dyDescent="0.2">
      <c r="B98" t="s">
        <v>2069</v>
      </c>
      <c r="D98" t="s">
        <v>415</v>
      </c>
      <c r="E98" t="s">
        <v>1265</v>
      </c>
      <c r="G98" t="s">
        <v>275</v>
      </c>
      <c r="L98" t="s">
        <v>494</v>
      </c>
    </row>
    <row r="99" spans="2:12" x14ac:dyDescent="0.2">
      <c r="B99" t="s">
        <v>2070</v>
      </c>
      <c r="D99" t="s">
        <v>1942</v>
      </c>
      <c r="E99" t="s">
        <v>1266</v>
      </c>
      <c r="G99" t="s">
        <v>280</v>
      </c>
      <c r="L99" t="s">
        <v>497</v>
      </c>
    </row>
    <row r="100" spans="2:12" x14ac:dyDescent="0.2">
      <c r="B100" t="s">
        <v>925</v>
      </c>
      <c r="D100" t="s">
        <v>1943</v>
      </c>
      <c r="E100" t="s">
        <v>1267</v>
      </c>
      <c r="G100" t="s">
        <v>283</v>
      </c>
      <c r="L100" t="s">
        <v>499</v>
      </c>
    </row>
    <row r="101" spans="2:12" x14ac:dyDescent="0.2">
      <c r="B101" t="s">
        <v>316</v>
      </c>
      <c r="D101" t="s">
        <v>1944</v>
      </c>
      <c r="E101" t="s">
        <v>1268</v>
      </c>
      <c r="G101" t="s">
        <v>1969</v>
      </c>
      <c r="L101" t="s">
        <v>501</v>
      </c>
    </row>
    <row r="102" spans="2:12" x14ac:dyDescent="0.2">
      <c r="B102" t="s">
        <v>321</v>
      </c>
      <c r="D102" t="s">
        <v>419</v>
      </c>
      <c r="E102" t="s">
        <v>1269</v>
      </c>
      <c r="G102" t="s">
        <v>288</v>
      </c>
      <c r="L102" t="s">
        <v>503</v>
      </c>
    </row>
    <row r="103" spans="2:12" x14ac:dyDescent="0.2">
      <c r="B103" t="s">
        <v>325</v>
      </c>
      <c r="D103" t="s">
        <v>421</v>
      </c>
      <c r="E103" t="s">
        <v>1270</v>
      </c>
      <c r="L103" t="s">
        <v>505</v>
      </c>
    </row>
    <row r="104" spans="2:12" x14ac:dyDescent="0.2">
      <c r="B104" t="s">
        <v>330</v>
      </c>
      <c r="D104" t="s">
        <v>1945</v>
      </c>
      <c r="E104" t="s">
        <v>1271</v>
      </c>
      <c r="L104" t="s">
        <v>509</v>
      </c>
    </row>
    <row r="105" spans="2:12" x14ac:dyDescent="0.2">
      <c r="B105" t="s">
        <v>338</v>
      </c>
      <c r="D105" t="s">
        <v>424</v>
      </c>
      <c r="E105" t="s">
        <v>1272</v>
      </c>
      <c r="L105" t="s">
        <v>511</v>
      </c>
    </row>
    <row r="106" spans="2:12" x14ac:dyDescent="0.2">
      <c r="B106" t="s">
        <v>1052</v>
      </c>
      <c r="D106" t="s">
        <v>1946</v>
      </c>
      <c r="E106" t="s">
        <v>1273</v>
      </c>
      <c r="L106" t="s">
        <v>513</v>
      </c>
    </row>
    <row r="107" spans="2:12" x14ac:dyDescent="0.2">
      <c r="B107" t="s">
        <v>1053</v>
      </c>
      <c r="D107" t="s">
        <v>429</v>
      </c>
      <c r="E107" t="s">
        <v>1274</v>
      </c>
      <c r="L107" t="s">
        <v>514</v>
      </c>
    </row>
    <row r="108" spans="2:12" x14ac:dyDescent="0.2">
      <c r="B108" t="s">
        <v>342</v>
      </c>
      <c r="D108" t="s">
        <v>1416</v>
      </c>
      <c r="E108" t="s">
        <v>1275</v>
      </c>
      <c r="L108" t="s">
        <v>516</v>
      </c>
    </row>
    <row r="109" spans="2:12" x14ac:dyDescent="0.2">
      <c r="B109" t="s">
        <v>1054</v>
      </c>
      <c r="D109" t="s">
        <v>1882</v>
      </c>
      <c r="E109" t="s">
        <v>1276</v>
      </c>
      <c r="L109" t="s">
        <v>518</v>
      </c>
    </row>
    <row r="110" spans="2:12" x14ac:dyDescent="0.2">
      <c r="B110" t="s">
        <v>347</v>
      </c>
      <c r="D110" t="s">
        <v>1234</v>
      </c>
      <c r="E110" t="s">
        <v>1277</v>
      </c>
      <c r="L110" t="s">
        <v>520</v>
      </c>
    </row>
    <row r="111" spans="2:12" x14ac:dyDescent="0.2">
      <c r="B111" t="s">
        <v>351</v>
      </c>
      <c r="D111" t="s">
        <v>1947</v>
      </c>
      <c r="E111" t="s">
        <v>1278</v>
      </c>
      <c r="L111" t="s">
        <v>522</v>
      </c>
    </row>
    <row r="112" spans="2:12" x14ac:dyDescent="0.2">
      <c r="B112" t="s">
        <v>356</v>
      </c>
      <c r="D112" t="s">
        <v>436</v>
      </c>
      <c r="E112" t="s">
        <v>1279</v>
      </c>
      <c r="L112" t="s">
        <v>524</v>
      </c>
    </row>
    <row r="113" spans="2:12" x14ac:dyDescent="0.2">
      <c r="B113" t="s">
        <v>359</v>
      </c>
      <c r="D113" t="s">
        <v>439</v>
      </c>
      <c r="E113" t="s">
        <v>1280</v>
      </c>
      <c r="L113" t="s">
        <v>526</v>
      </c>
    </row>
    <row r="114" spans="2:12" x14ac:dyDescent="0.2">
      <c r="B114" t="s">
        <v>1055</v>
      </c>
      <c r="D114" t="s">
        <v>1235</v>
      </c>
      <c r="E114" t="s">
        <v>1281</v>
      </c>
      <c r="L114" t="s">
        <v>528</v>
      </c>
    </row>
    <row r="115" spans="2:12" x14ac:dyDescent="0.2">
      <c r="B115" t="s">
        <v>1056</v>
      </c>
      <c r="D115" t="s">
        <v>1948</v>
      </c>
      <c r="E115" t="s">
        <v>1282</v>
      </c>
      <c r="L115" t="s">
        <v>1856</v>
      </c>
    </row>
    <row r="116" spans="2:12" x14ac:dyDescent="0.2">
      <c r="B116" t="s">
        <v>1057</v>
      </c>
      <c r="D116" t="s">
        <v>442</v>
      </c>
      <c r="E116" t="s">
        <v>1283</v>
      </c>
      <c r="L116" t="s">
        <v>530</v>
      </c>
    </row>
    <row r="117" spans="2:12" x14ac:dyDescent="0.2">
      <c r="B117" t="s">
        <v>366</v>
      </c>
      <c r="D117" t="s">
        <v>445</v>
      </c>
      <c r="E117" t="s">
        <v>1284</v>
      </c>
      <c r="L117" t="s">
        <v>531</v>
      </c>
    </row>
    <row r="118" spans="2:12" x14ac:dyDescent="0.2">
      <c r="B118" t="s">
        <v>370</v>
      </c>
      <c r="D118" t="s">
        <v>449</v>
      </c>
      <c r="E118" t="s">
        <v>1285</v>
      </c>
      <c r="L118" t="s">
        <v>532</v>
      </c>
    </row>
    <row r="119" spans="2:12" x14ac:dyDescent="0.2">
      <c r="B119" t="s">
        <v>1058</v>
      </c>
      <c r="D119" t="s">
        <v>453</v>
      </c>
      <c r="E119" t="s">
        <v>1286</v>
      </c>
      <c r="L119" t="s">
        <v>533</v>
      </c>
    </row>
    <row r="120" spans="2:12" x14ac:dyDescent="0.2">
      <c r="B120" t="s">
        <v>1906</v>
      </c>
      <c r="D120" t="s">
        <v>1236</v>
      </c>
      <c r="E120" t="s">
        <v>2159</v>
      </c>
      <c r="L120" t="s">
        <v>534</v>
      </c>
    </row>
    <row r="121" spans="2:12" x14ac:dyDescent="0.2">
      <c r="B121" t="s">
        <v>1059</v>
      </c>
      <c r="D121" t="s">
        <v>460</v>
      </c>
      <c r="E121" t="s">
        <v>2437</v>
      </c>
      <c r="L121" t="s">
        <v>535</v>
      </c>
    </row>
    <row r="122" spans="2:12" x14ac:dyDescent="0.2">
      <c r="B122" t="s">
        <v>1060</v>
      </c>
      <c r="D122" t="s">
        <v>1949</v>
      </c>
      <c r="E122" t="s">
        <v>1287</v>
      </c>
      <c r="L122" t="s">
        <v>536</v>
      </c>
    </row>
    <row r="123" spans="2:12" x14ac:dyDescent="0.2">
      <c r="B123" t="s">
        <v>1061</v>
      </c>
      <c r="D123" t="s">
        <v>1950</v>
      </c>
      <c r="E123" t="s">
        <v>2184</v>
      </c>
      <c r="L123" t="s">
        <v>538</v>
      </c>
    </row>
    <row r="124" spans="2:12" x14ac:dyDescent="0.2">
      <c r="B124" t="s">
        <v>1062</v>
      </c>
      <c r="D124" t="s">
        <v>1951</v>
      </c>
      <c r="E124" t="s">
        <v>1955</v>
      </c>
      <c r="L124" t="s">
        <v>540</v>
      </c>
    </row>
    <row r="125" spans="2:12" x14ac:dyDescent="0.2">
      <c r="B125" t="s">
        <v>1063</v>
      </c>
      <c r="D125" t="s">
        <v>1952</v>
      </c>
      <c r="E125" t="s">
        <v>1288</v>
      </c>
      <c r="L125" t="s">
        <v>542</v>
      </c>
    </row>
    <row r="126" spans="2:12" x14ac:dyDescent="0.2">
      <c r="B126" t="s">
        <v>1064</v>
      </c>
      <c r="D126" t="s">
        <v>1953</v>
      </c>
      <c r="E126" t="s">
        <v>1289</v>
      </c>
      <c r="L126" t="s">
        <v>1405</v>
      </c>
    </row>
    <row r="127" spans="2:12" x14ac:dyDescent="0.2">
      <c r="B127" t="s">
        <v>376</v>
      </c>
      <c r="D127" t="s">
        <v>1716</v>
      </c>
      <c r="E127" t="s">
        <v>1290</v>
      </c>
      <c r="L127" t="s">
        <v>544</v>
      </c>
    </row>
    <row r="128" spans="2:12" x14ac:dyDescent="0.2">
      <c r="B128" t="s">
        <v>1065</v>
      </c>
      <c r="D128" t="s">
        <v>464</v>
      </c>
      <c r="E128" t="s">
        <v>1291</v>
      </c>
      <c r="L128" t="s">
        <v>546</v>
      </c>
    </row>
    <row r="129" spans="2:12" x14ac:dyDescent="0.2">
      <c r="B129" t="s">
        <v>1066</v>
      </c>
      <c r="D129" t="s">
        <v>467</v>
      </c>
      <c r="E129" t="s">
        <v>1292</v>
      </c>
      <c r="L129" t="s">
        <v>547</v>
      </c>
    </row>
    <row r="130" spans="2:12" x14ac:dyDescent="0.2">
      <c r="B130" t="s">
        <v>384</v>
      </c>
      <c r="D130" t="s">
        <v>1714</v>
      </c>
      <c r="E130" t="s">
        <v>2185</v>
      </c>
      <c r="L130" t="s">
        <v>1857</v>
      </c>
    </row>
    <row r="131" spans="2:12" x14ac:dyDescent="0.2">
      <c r="B131" t="s">
        <v>1068</v>
      </c>
      <c r="E131" t="s">
        <v>2186</v>
      </c>
      <c r="L131" t="s">
        <v>550</v>
      </c>
    </row>
    <row r="132" spans="2:12" x14ac:dyDescent="0.2">
      <c r="B132" t="s">
        <v>2153</v>
      </c>
      <c r="E132" t="s">
        <v>2100</v>
      </c>
      <c r="L132" t="s">
        <v>2113</v>
      </c>
    </row>
    <row r="133" spans="2:12" x14ac:dyDescent="0.2">
      <c r="B133" t="s">
        <v>1907</v>
      </c>
      <c r="E133" t="s">
        <v>2160</v>
      </c>
      <c r="L133" t="s">
        <v>552</v>
      </c>
    </row>
    <row r="134" spans="2:12" x14ac:dyDescent="0.2">
      <c r="B134" t="s">
        <v>1074</v>
      </c>
      <c r="E134" t="s">
        <v>2101</v>
      </c>
      <c r="L134" t="s">
        <v>554</v>
      </c>
    </row>
    <row r="135" spans="2:12" x14ac:dyDescent="0.2">
      <c r="B135" t="s">
        <v>1075</v>
      </c>
      <c r="E135" t="s">
        <v>2102</v>
      </c>
      <c r="L135" t="s">
        <v>1858</v>
      </c>
    </row>
    <row r="136" spans="2:12" x14ac:dyDescent="0.2">
      <c r="B136" t="s">
        <v>1853</v>
      </c>
      <c r="E136" t="s">
        <v>2103</v>
      </c>
      <c r="L136" t="s">
        <v>556</v>
      </c>
    </row>
    <row r="137" spans="2:12" x14ac:dyDescent="0.2">
      <c r="B137" t="s">
        <v>1077</v>
      </c>
      <c r="E137" t="s">
        <v>2104</v>
      </c>
      <c r="L137" t="s">
        <v>558</v>
      </c>
    </row>
    <row r="138" spans="2:12" x14ac:dyDescent="0.2">
      <c r="B138" t="s">
        <v>1078</v>
      </c>
      <c r="E138" t="s">
        <v>2105</v>
      </c>
      <c r="L138" t="s">
        <v>559</v>
      </c>
    </row>
    <row r="139" spans="2:12" x14ac:dyDescent="0.2">
      <c r="B139" t="s">
        <v>1079</v>
      </c>
      <c r="E139" t="s">
        <v>2106</v>
      </c>
      <c r="L139" t="s">
        <v>1406</v>
      </c>
    </row>
    <row r="140" spans="2:12" x14ac:dyDescent="0.2">
      <c r="B140" t="s">
        <v>1080</v>
      </c>
      <c r="E140" t="s">
        <v>1293</v>
      </c>
      <c r="L140" t="s">
        <v>560</v>
      </c>
    </row>
    <row r="141" spans="2:12" x14ac:dyDescent="0.2">
      <c r="B141" t="s">
        <v>1081</v>
      </c>
      <c r="E141" t="s">
        <v>1294</v>
      </c>
      <c r="L141" t="s">
        <v>562</v>
      </c>
    </row>
    <row r="142" spans="2:12" x14ac:dyDescent="0.2">
      <c r="B142" t="s">
        <v>1082</v>
      </c>
      <c r="E142" t="s">
        <v>1295</v>
      </c>
      <c r="L142" t="s">
        <v>564</v>
      </c>
    </row>
    <row r="143" spans="2:12" x14ac:dyDescent="0.2">
      <c r="B143" t="s">
        <v>1083</v>
      </c>
      <c r="E143" t="s">
        <v>1296</v>
      </c>
      <c r="L143" t="s">
        <v>566</v>
      </c>
    </row>
    <row r="144" spans="2:12" x14ac:dyDescent="0.2">
      <c r="B144" t="s">
        <v>1084</v>
      </c>
      <c r="E144" t="s">
        <v>1297</v>
      </c>
      <c r="L144" t="s">
        <v>567</v>
      </c>
    </row>
    <row r="145" spans="2:12" x14ac:dyDescent="0.2">
      <c r="B145" t="s">
        <v>1085</v>
      </c>
      <c r="E145" t="s">
        <v>1298</v>
      </c>
      <c r="L145" t="s">
        <v>568</v>
      </c>
    </row>
    <row r="146" spans="2:12" x14ac:dyDescent="0.2">
      <c r="B146" t="s">
        <v>1086</v>
      </c>
      <c r="E146" t="s">
        <v>1299</v>
      </c>
      <c r="L146" t="s">
        <v>569</v>
      </c>
    </row>
    <row r="147" spans="2:12" x14ac:dyDescent="0.2">
      <c r="B147" t="s">
        <v>1087</v>
      </c>
      <c r="E147" t="s">
        <v>1300</v>
      </c>
      <c r="L147" t="s">
        <v>571</v>
      </c>
    </row>
    <row r="148" spans="2:12" x14ac:dyDescent="0.2">
      <c r="B148" t="s">
        <v>1088</v>
      </c>
      <c r="E148" t="s">
        <v>1301</v>
      </c>
      <c r="L148" t="s">
        <v>572</v>
      </c>
    </row>
    <row r="149" spans="2:12" x14ac:dyDescent="0.2">
      <c r="B149" t="s">
        <v>1089</v>
      </c>
      <c r="E149" t="s">
        <v>2438</v>
      </c>
      <c r="L149" t="s">
        <v>574</v>
      </c>
    </row>
    <row r="150" spans="2:12" x14ac:dyDescent="0.2">
      <c r="B150" t="s">
        <v>1090</v>
      </c>
      <c r="E150" t="s">
        <v>1302</v>
      </c>
      <c r="L150" t="s">
        <v>576</v>
      </c>
    </row>
    <row r="151" spans="2:12" x14ac:dyDescent="0.2">
      <c r="B151" t="s">
        <v>1091</v>
      </c>
      <c r="E151" t="s">
        <v>1956</v>
      </c>
      <c r="L151" t="s">
        <v>577</v>
      </c>
    </row>
    <row r="152" spans="2:12" x14ac:dyDescent="0.2">
      <c r="B152" t="s">
        <v>1092</v>
      </c>
      <c r="E152" t="s">
        <v>1303</v>
      </c>
      <c r="L152" t="s">
        <v>578</v>
      </c>
    </row>
    <row r="153" spans="2:12" x14ac:dyDescent="0.2">
      <c r="B153" t="s">
        <v>1093</v>
      </c>
      <c r="E153" t="s">
        <v>1304</v>
      </c>
      <c r="L153" t="s">
        <v>1859</v>
      </c>
    </row>
    <row r="154" spans="2:12" x14ac:dyDescent="0.2">
      <c r="B154" t="s">
        <v>1094</v>
      </c>
      <c r="E154" t="s">
        <v>1305</v>
      </c>
      <c r="L154" t="s">
        <v>580</v>
      </c>
    </row>
    <row r="155" spans="2:12" x14ac:dyDescent="0.2">
      <c r="B155" t="s">
        <v>1095</v>
      </c>
      <c r="E155" t="s">
        <v>1306</v>
      </c>
      <c r="L155" t="s">
        <v>582</v>
      </c>
    </row>
    <row r="156" spans="2:12" x14ac:dyDescent="0.2">
      <c r="B156" t="s">
        <v>1096</v>
      </c>
      <c r="E156" t="s">
        <v>1307</v>
      </c>
      <c r="L156" t="s">
        <v>584</v>
      </c>
    </row>
    <row r="157" spans="2:12" x14ac:dyDescent="0.2">
      <c r="B157" t="s">
        <v>1097</v>
      </c>
      <c r="E157" t="s">
        <v>1308</v>
      </c>
      <c r="L157" t="s">
        <v>586</v>
      </c>
    </row>
    <row r="158" spans="2:12" x14ac:dyDescent="0.2">
      <c r="B158" t="s">
        <v>1098</v>
      </c>
      <c r="E158" t="s">
        <v>1309</v>
      </c>
      <c r="L158" t="s">
        <v>587</v>
      </c>
    </row>
    <row r="159" spans="2:12" x14ac:dyDescent="0.2">
      <c r="B159" t="s">
        <v>1908</v>
      </c>
      <c r="E159" t="s">
        <v>1310</v>
      </c>
      <c r="L159" t="s">
        <v>588</v>
      </c>
    </row>
    <row r="160" spans="2:12" x14ac:dyDescent="0.2">
      <c r="B160" t="s">
        <v>1099</v>
      </c>
      <c r="E160" t="s">
        <v>2573</v>
      </c>
      <c r="L160" t="s">
        <v>590</v>
      </c>
    </row>
    <row r="161" spans="2:12" x14ac:dyDescent="0.2">
      <c r="B161" t="s">
        <v>1100</v>
      </c>
      <c r="E161" t="s">
        <v>1311</v>
      </c>
      <c r="L161" t="s">
        <v>591</v>
      </c>
    </row>
    <row r="162" spans="2:12" x14ac:dyDescent="0.2">
      <c r="B162" t="s">
        <v>1101</v>
      </c>
      <c r="E162" t="s">
        <v>1312</v>
      </c>
      <c r="L162" t="s">
        <v>593</v>
      </c>
    </row>
    <row r="163" spans="2:12" x14ac:dyDescent="0.2">
      <c r="B163" t="s">
        <v>1102</v>
      </c>
      <c r="E163" t="s">
        <v>970</v>
      </c>
      <c r="L163" t="s">
        <v>594</v>
      </c>
    </row>
    <row r="164" spans="2:12" x14ac:dyDescent="0.2">
      <c r="B164" t="s">
        <v>1103</v>
      </c>
      <c r="E164" t="s">
        <v>2187</v>
      </c>
      <c r="L164" t="s">
        <v>596</v>
      </c>
    </row>
    <row r="165" spans="2:12" x14ac:dyDescent="0.2">
      <c r="B165" t="s">
        <v>1104</v>
      </c>
      <c r="E165" t="s">
        <v>2188</v>
      </c>
      <c r="L165" t="s">
        <v>597</v>
      </c>
    </row>
    <row r="166" spans="2:12" x14ac:dyDescent="0.2">
      <c r="B166" t="s">
        <v>1105</v>
      </c>
      <c r="E166" t="s">
        <v>2189</v>
      </c>
      <c r="L166" t="s">
        <v>599</v>
      </c>
    </row>
    <row r="167" spans="2:12" x14ac:dyDescent="0.2">
      <c r="B167" t="s">
        <v>1106</v>
      </c>
      <c r="E167" t="s">
        <v>2190</v>
      </c>
      <c r="L167" t="s">
        <v>600</v>
      </c>
    </row>
    <row r="168" spans="2:12" x14ac:dyDescent="0.2">
      <c r="B168" t="s">
        <v>1107</v>
      </c>
      <c r="E168" t="s">
        <v>2191</v>
      </c>
      <c r="L168" t="s">
        <v>601</v>
      </c>
    </row>
    <row r="169" spans="2:12" x14ac:dyDescent="0.2">
      <c r="B169" t="s">
        <v>1108</v>
      </c>
      <c r="E169" t="s">
        <v>2192</v>
      </c>
      <c r="L169" t="s">
        <v>603</v>
      </c>
    </row>
    <row r="170" spans="2:12" x14ac:dyDescent="0.2">
      <c r="B170" t="s">
        <v>1109</v>
      </c>
      <c r="E170" t="s">
        <v>2193</v>
      </c>
      <c r="L170" t="s">
        <v>605</v>
      </c>
    </row>
    <row r="171" spans="2:12" x14ac:dyDescent="0.2">
      <c r="B171" t="s">
        <v>1110</v>
      </c>
      <c r="E171" t="s">
        <v>2194</v>
      </c>
      <c r="L171" t="s">
        <v>606</v>
      </c>
    </row>
    <row r="172" spans="2:12" x14ac:dyDescent="0.2">
      <c r="B172" t="s">
        <v>1111</v>
      </c>
      <c r="E172" t="s">
        <v>2195</v>
      </c>
      <c r="L172" t="s">
        <v>2114</v>
      </c>
    </row>
    <row r="173" spans="2:12" x14ac:dyDescent="0.2">
      <c r="B173" t="s">
        <v>1112</v>
      </c>
      <c r="E173" t="s">
        <v>2196</v>
      </c>
      <c r="L173" t="s">
        <v>607</v>
      </c>
    </row>
    <row r="174" spans="2:12" x14ac:dyDescent="0.2">
      <c r="B174" t="s">
        <v>1113</v>
      </c>
      <c r="E174" t="s">
        <v>2197</v>
      </c>
      <c r="L174" t="s">
        <v>608</v>
      </c>
    </row>
    <row r="175" spans="2:12" x14ac:dyDescent="0.2">
      <c r="B175" t="s">
        <v>1114</v>
      </c>
      <c r="E175" t="s">
        <v>2451</v>
      </c>
      <c r="L175" t="s">
        <v>609</v>
      </c>
    </row>
    <row r="176" spans="2:12" x14ac:dyDescent="0.2">
      <c r="B176" t="s">
        <v>1116</v>
      </c>
      <c r="E176" t="s">
        <v>2452</v>
      </c>
      <c r="L176" t="s">
        <v>610</v>
      </c>
    </row>
    <row r="177" spans="2:12" x14ac:dyDescent="0.2">
      <c r="B177" t="s">
        <v>1117</v>
      </c>
      <c r="E177" t="s">
        <v>2453</v>
      </c>
      <c r="L177" t="s">
        <v>611</v>
      </c>
    </row>
    <row r="178" spans="2:12" x14ac:dyDescent="0.2">
      <c r="B178" t="s">
        <v>1118</v>
      </c>
      <c r="E178" t="s">
        <v>2454</v>
      </c>
      <c r="L178" t="s">
        <v>612</v>
      </c>
    </row>
    <row r="179" spans="2:12" x14ac:dyDescent="0.2">
      <c r="B179" t="s">
        <v>1119</v>
      </c>
      <c r="E179" t="s">
        <v>2455</v>
      </c>
      <c r="L179" t="s">
        <v>613</v>
      </c>
    </row>
    <row r="180" spans="2:12" x14ac:dyDescent="0.2">
      <c r="B180" t="s">
        <v>466</v>
      </c>
      <c r="E180" t="s">
        <v>2456</v>
      </c>
      <c r="L180" t="s">
        <v>614</v>
      </c>
    </row>
    <row r="181" spans="2:12" x14ac:dyDescent="0.2">
      <c r="B181" t="s">
        <v>1120</v>
      </c>
      <c r="E181" t="s">
        <v>2457</v>
      </c>
      <c r="L181" t="s">
        <v>615</v>
      </c>
    </row>
    <row r="182" spans="2:12" x14ac:dyDescent="0.2">
      <c r="B182" t="s">
        <v>1121</v>
      </c>
      <c r="E182" t="s">
        <v>2458</v>
      </c>
      <c r="L182" t="s">
        <v>616</v>
      </c>
    </row>
    <row r="183" spans="2:12" x14ac:dyDescent="0.2">
      <c r="B183" t="s">
        <v>1122</v>
      </c>
      <c r="E183" t="s">
        <v>2459</v>
      </c>
      <c r="L183" t="s">
        <v>617</v>
      </c>
    </row>
    <row r="184" spans="2:12" x14ac:dyDescent="0.2">
      <c r="B184" t="s">
        <v>1123</v>
      </c>
      <c r="E184" t="s">
        <v>2460</v>
      </c>
      <c r="L184" t="s">
        <v>618</v>
      </c>
    </row>
    <row r="185" spans="2:12" x14ac:dyDescent="0.2">
      <c r="B185" t="s">
        <v>1909</v>
      </c>
      <c r="E185" t="s">
        <v>2461</v>
      </c>
      <c r="L185" t="s">
        <v>619</v>
      </c>
    </row>
    <row r="186" spans="2:12" x14ac:dyDescent="0.2">
      <c r="B186" t="s">
        <v>1127</v>
      </c>
      <c r="E186" t="s">
        <v>2439</v>
      </c>
      <c r="L186" t="s">
        <v>620</v>
      </c>
    </row>
    <row r="187" spans="2:12" x14ac:dyDescent="0.2">
      <c r="B187" t="s">
        <v>1910</v>
      </c>
      <c r="E187" t="s">
        <v>2440</v>
      </c>
      <c r="L187" t="s">
        <v>621</v>
      </c>
    </row>
    <row r="188" spans="2:12" x14ac:dyDescent="0.2">
      <c r="B188" t="s">
        <v>926</v>
      </c>
      <c r="E188" t="s">
        <v>2441</v>
      </c>
      <c r="L188" t="s">
        <v>622</v>
      </c>
    </row>
    <row r="189" spans="2:12" x14ac:dyDescent="0.2">
      <c r="B189" t="s">
        <v>480</v>
      </c>
      <c r="E189" t="s">
        <v>2442</v>
      </c>
      <c r="L189" t="s">
        <v>623</v>
      </c>
    </row>
    <row r="190" spans="2:12" x14ac:dyDescent="0.2">
      <c r="B190" t="s">
        <v>483</v>
      </c>
      <c r="E190" t="s">
        <v>2443</v>
      </c>
      <c r="L190" t="s">
        <v>624</v>
      </c>
    </row>
    <row r="191" spans="2:12" x14ac:dyDescent="0.2">
      <c r="B191" t="s">
        <v>1129</v>
      </c>
      <c r="E191" t="s">
        <v>2444</v>
      </c>
      <c r="L191" t="s">
        <v>1973</v>
      </c>
    </row>
    <row r="192" spans="2:12" x14ac:dyDescent="0.2">
      <c r="B192" t="s">
        <v>486</v>
      </c>
      <c r="E192" t="s">
        <v>2445</v>
      </c>
      <c r="L192" t="s">
        <v>625</v>
      </c>
    </row>
    <row r="193" spans="2:12" x14ac:dyDescent="0.2">
      <c r="B193" t="s">
        <v>489</v>
      </c>
      <c r="E193" t="s">
        <v>2446</v>
      </c>
      <c r="L193" t="s">
        <v>626</v>
      </c>
    </row>
    <row r="194" spans="2:12" x14ac:dyDescent="0.2">
      <c r="B194" t="s">
        <v>492</v>
      </c>
      <c r="E194" t="s">
        <v>2447</v>
      </c>
      <c r="L194" t="s">
        <v>1407</v>
      </c>
    </row>
    <row r="195" spans="2:12" x14ac:dyDescent="0.2">
      <c r="B195" t="s">
        <v>1130</v>
      </c>
      <c r="E195" t="s">
        <v>2448</v>
      </c>
      <c r="L195" t="s">
        <v>627</v>
      </c>
    </row>
    <row r="196" spans="2:12" x14ac:dyDescent="0.2">
      <c r="B196" t="s">
        <v>495</v>
      </c>
      <c r="E196" t="s">
        <v>2449</v>
      </c>
      <c r="L196" t="s">
        <v>628</v>
      </c>
    </row>
    <row r="197" spans="2:12" x14ac:dyDescent="0.2">
      <c r="B197" t="s">
        <v>1911</v>
      </c>
      <c r="E197" t="s">
        <v>2462</v>
      </c>
      <c r="L197" t="s">
        <v>629</v>
      </c>
    </row>
    <row r="198" spans="2:12" x14ac:dyDescent="0.2">
      <c r="B198" t="s">
        <v>1131</v>
      </c>
      <c r="E198" t="s">
        <v>2463</v>
      </c>
      <c r="L198" t="s">
        <v>630</v>
      </c>
    </row>
    <row r="199" spans="2:12" x14ac:dyDescent="0.2">
      <c r="B199" t="s">
        <v>2071</v>
      </c>
      <c r="E199" t="s">
        <v>2464</v>
      </c>
      <c r="L199" t="s">
        <v>631</v>
      </c>
    </row>
    <row r="200" spans="2:12" x14ac:dyDescent="0.2">
      <c r="B200" t="s">
        <v>1133</v>
      </c>
      <c r="E200" t="s">
        <v>2465</v>
      </c>
      <c r="L200" t="s">
        <v>632</v>
      </c>
    </row>
    <row r="201" spans="2:12" x14ac:dyDescent="0.2">
      <c r="B201" t="s">
        <v>2072</v>
      </c>
      <c r="E201" t="s">
        <v>2466</v>
      </c>
      <c r="L201" t="s">
        <v>633</v>
      </c>
    </row>
    <row r="202" spans="2:12" x14ac:dyDescent="0.2">
      <c r="B202" t="s">
        <v>500</v>
      </c>
      <c r="E202" t="s">
        <v>2467</v>
      </c>
      <c r="L202" t="s">
        <v>634</v>
      </c>
    </row>
    <row r="203" spans="2:12" x14ac:dyDescent="0.2">
      <c r="B203" t="s">
        <v>502</v>
      </c>
      <c r="E203" t="s">
        <v>2468</v>
      </c>
      <c r="L203" t="s">
        <v>635</v>
      </c>
    </row>
    <row r="204" spans="2:12" x14ac:dyDescent="0.2">
      <c r="B204" t="s">
        <v>504</v>
      </c>
      <c r="E204" t="s">
        <v>2469</v>
      </c>
      <c r="L204" t="s">
        <v>636</v>
      </c>
    </row>
    <row r="205" spans="2:12" x14ac:dyDescent="0.2">
      <c r="B205" t="s">
        <v>1135</v>
      </c>
      <c r="E205" t="s">
        <v>2470</v>
      </c>
      <c r="L205" t="s">
        <v>637</v>
      </c>
    </row>
    <row r="206" spans="2:12" x14ac:dyDescent="0.2">
      <c r="B206" t="s">
        <v>1136</v>
      </c>
      <c r="E206" t="s">
        <v>2471</v>
      </c>
      <c r="L206" t="s">
        <v>638</v>
      </c>
    </row>
    <row r="207" spans="2:12" x14ac:dyDescent="0.2">
      <c r="B207" t="s">
        <v>506</v>
      </c>
      <c r="E207" t="s">
        <v>2472</v>
      </c>
      <c r="L207" t="s">
        <v>639</v>
      </c>
    </row>
    <row r="208" spans="2:12" x14ac:dyDescent="0.2">
      <c r="B208" t="s">
        <v>507</v>
      </c>
      <c r="E208" t="s">
        <v>1313</v>
      </c>
      <c r="L208" t="s">
        <v>640</v>
      </c>
    </row>
    <row r="209" spans="2:12" x14ac:dyDescent="0.2">
      <c r="B209" t="s">
        <v>508</v>
      </c>
      <c r="E209" t="s">
        <v>1314</v>
      </c>
      <c r="L209" t="s">
        <v>2115</v>
      </c>
    </row>
    <row r="210" spans="2:12" x14ac:dyDescent="0.2">
      <c r="B210" t="s">
        <v>510</v>
      </c>
      <c r="E210" t="s">
        <v>2107</v>
      </c>
      <c r="L210" t="s">
        <v>641</v>
      </c>
    </row>
    <row r="211" spans="2:12" x14ac:dyDescent="0.2">
      <c r="B211" t="s">
        <v>512</v>
      </c>
      <c r="E211" t="s">
        <v>1315</v>
      </c>
      <c r="L211" t="s">
        <v>642</v>
      </c>
    </row>
    <row r="212" spans="2:12" x14ac:dyDescent="0.2">
      <c r="B212" t="s">
        <v>515</v>
      </c>
      <c r="E212" t="s">
        <v>2198</v>
      </c>
      <c r="L212" t="s">
        <v>643</v>
      </c>
    </row>
    <row r="213" spans="2:12" x14ac:dyDescent="0.2">
      <c r="B213" t="s">
        <v>521</v>
      </c>
      <c r="E213" t="s">
        <v>971</v>
      </c>
      <c r="L213" t="s">
        <v>1408</v>
      </c>
    </row>
    <row r="214" spans="2:12" x14ac:dyDescent="0.2">
      <c r="B214" t="s">
        <v>523</v>
      </c>
      <c r="E214" t="s">
        <v>1316</v>
      </c>
      <c r="L214" t="s">
        <v>644</v>
      </c>
    </row>
    <row r="215" spans="2:12" x14ac:dyDescent="0.2">
      <c r="B215" t="s">
        <v>525</v>
      </c>
      <c r="E215" t="s">
        <v>2199</v>
      </c>
      <c r="L215" t="s">
        <v>1860</v>
      </c>
    </row>
    <row r="216" spans="2:12" x14ac:dyDescent="0.2">
      <c r="B216" t="s">
        <v>527</v>
      </c>
      <c r="E216" t="s">
        <v>2200</v>
      </c>
      <c r="L216" t="s">
        <v>1974</v>
      </c>
    </row>
    <row r="217" spans="2:12" x14ac:dyDescent="0.2">
      <c r="B217" t="s">
        <v>529</v>
      </c>
      <c r="E217" t="s">
        <v>2201</v>
      </c>
      <c r="L217" t="s">
        <v>645</v>
      </c>
    </row>
    <row r="218" spans="2:12" x14ac:dyDescent="0.2">
      <c r="B218" t="s">
        <v>1138</v>
      </c>
      <c r="E218" t="s">
        <v>2574</v>
      </c>
      <c r="L218" t="s">
        <v>646</v>
      </c>
    </row>
    <row r="219" spans="2:12" x14ac:dyDescent="0.2">
      <c r="B219" t="s">
        <v>1139</v>
      </c>
      <c r="E219" t="s">
        <v>1317</v>
      </c>
      <c r="L219" t="s">
        <v>647</v>
      </c>
    </row>
    <row r="220" spans="2:12" x14ac:dyDescent="0.2">
      <c r="B220" t="s">
        <v>1140</v>
      </c>
      <c r="E220" t="s">
        <v>2202</v>
      </c>
      <c r="L220" t="s">
        <v>648</v>
      </c>
    </row>
    <row r="221" spans="2:12" x14ac:dyDescent="0.2">
      <c r="B221" t="s">
        <v>1141</v>
      </c>
      <c r="E221" t="s">
        <v>1318</v>
      </c>
      <c r="L221" t="s">
        <v>1861</v>
      </c>
    </row>
    <row r="222" spans="2:12" x14ac:dyDescent="0.2">
      <c r="B222" t="s">
        <v>1142</v>
      </c>
      <c r="E222" t="s">
        <v>2108</v>
      </c>
      <c r="L222" t="s">
        <v>649</v>
      </c>
    </row>
    <row r="223" spans="2:12" x14ac:dyDescent="0.2">
      <c r="B223" t="s">
        <v>1143</v>
      </c>
      <c r="E223" t="s">
        <v>1319</v>
      </c>
      <c r="L223" t="s">
        <v>1862</v>
      </c>
    </row>
    <row r="224" spans="2:12" x14ac:dyDescent="0.2">
      <c r="B224" t="s">
        <v>1144</v>
      </c>
      <c r="E224" t="s">
        <v>1320</v>
      </c>
      <c r="L224" t="s">
        <v>650</v>
      </c>
    </row>
    <row r="225" spans="2:12" x14ac:dyDescent="0.2">
      <c r="B225" t="s">
        <v>1912</v>
      </c>
      <c r="E225" t="s">
        <v>1321</v>
      </c>
      <c r="L225" t="s">
        <v>1409</v>
      </c>
    </row>
    <row r="226" spans="2:12" x14ac:dyDescent="0.2">
      <c r="B226" t="s">
        <v>537</v>
      </c>
      <c r="E226" t="s">
        <v>1322</v>
      </c>
      <c r="L226" t="s">
        <v>651</v>
      </c>
    </row>
    <row r="227" spans="2:12" x14ac:dyDescent="0.2">
      <c r="B227" t="s">
        <v>539</v>
      </c>
      <c r="E227" t="s">
        <v>1323</v>
      </c>
      <c r="L227" t="s">
        <v>652</v>
      </c>
    </row>
    <row r="228" spans="2:12" x14ac:dyDescent="0.2">
      <c r="B228" t="s">
        <v>541</v>
      </c>
      <c r="E228" t="s">
        <v>1324</v>
      </c>
      <c r="L228" t="s">
        <v>653</v>
      </c>
    </row>
    <row r="229" spans="2:12" x14ac:dyDescent="0.2">
      <c r="B229" t="s">
        <v>543</v>
      </c>
      <c r="E229" t="s">
        <v>1325</v>
      </c>
      <c r="L229" t="s">
        <v>654</v>
      </c>
    </row>
    <row r="230" spans="2:12" x14ac:dyDescent="0.2">
      <c r="B230" t="s">
        <v>1145</v>
      </c>
      <c r="E230" t="s">
        <v>1326</v>
      </c>
      <c r="L230" t="s">
        <v>655</v>
      </c>
    </row>
    <row r="231" spans="2:12" x14ac:dyDescent="0.2">
      <c r="B231" t="s">
        <v>545</v>
      </c>
      <c r="E231" t="s">
        <v>1327</v>
      </c>
      <c r="L231" t="s">
        <v>656</v>
      </c>
    </row>
    <row r="232" spans="2:12" x14ac:dyDescent="0.2">
      <c r="B232" t="s">
        <v>1146</v>
      </c>
      <c r="E232" t="s">
        <v>2203</v>
      </c>
      <c r="L232" t="s">
        <v>657</v>
      </c>
    </row>
    <row r="233" spans="2:12" x14ac:dyDescent="0.2">
      <c r="B233" t="s">
        <v>927</v>
      </c>
      <c r="E233" t="s">
        <v>1328</v>
      </c>
      <c r="L233" t="s">
        <v>658</v>
      </c>
    </row>
    <row r="234" spans="2:12" x14ac:dyDescent="0.2">
      <c r="B234" t="s">
        <v>928</v>
      </c>
      <c r="E234" t="s">
        <v>1329</v>
      </c>
      <c r="L234" t="s">
        <v>1410</v>
      </c>
    </row>
    <row r="235" spans="2:12" x14ac:dyDescent="0.2">
      <c r="B235" t="s">
        <v>929</v>
      </c>
      <c r="E235" t="s">
        <v>2109</v>
      </c>
      <c r="L235" t="s">
        <v>659</v>
      </c>
    </row>
    <row r="236" spans="2:12" x14ac:dyDescent="0.2">
      <c r="B236" t="s">
        <v>548</v>
      </c>
      <c r="E236" t="s">
        <v>1957</v>
      </c>
      <c r="L236" t="s">
        <v>660</v>
      </c>
    </row>
    <row r="237" spans="2:12" x14ac:dyDescent="0.2">
      <c r="B237" t="s">
        <v>549</v>
      </c>
      <c r="E237" t="s">
        <v>1330</v>
      </c>
      <c r="L237" t="s">
        <v>661</v>
      </c>
    </row>
    <row r="238" spans="2:12" x14ac:dyDescent="0.2">
      <c r="B238" t="s">
        <v>551</v>
      </c>
      <c r="E238" t="s">
        <v>1331</v>
      </c>
      <c r="L238" t="s">
        <v>662</v>
      </c>
    </row>
    <row r="239" spans="2:12" x14ac:dyDescent="0.2">
      <c r="B239" t="s">
        <v>553</v>
      </c>
      <c r="E239" t="s">
        <v>1332</v>
      </c>
      <c r="L239" t="s">
        <v>1863</v>
      </c>
    </row>
    <row r="240" spans="2:12" x14ac:dyDescent="0.2">
      <c r="B240" t="s">
        <v>1147</v>
      </c>
      <c r="E240" t="s">
        <v>1958</v>
      </c>
      <c r="L240" t="s">
        <v>663</v>
      </c>
    </row>
    <row r="241" spans="2:12" x14ac:dyDescent="0.2">
      <c r="B241" t="s">
        <v>555</v>
      </c>
      <c r="E241" t="s">
        <v>1333</v>
      </c>
      <c r="L241" t="s">
        <v>664</v>
      </c>
    </row>
    <row r="242" spans="2:12" x14ac:dyDescent="0.2">
      <c r="B242" t="s">
        <v>557</v>
      </c>
      <c r="E242" t="s">
        <v>1334</v>
      </c>
      <c r="L242" t="s">
        <v>665</v>
      </c>
    </row>
    <row r="243" spans="2:12" x14ac:dyDescent="0.2">
      <c r="B243" t="s">
        <v>2073</v>
      </c>
      <c r="E243" t="s">
        <v>1335</v>
      </c>
      <c r="L243" t="s">
        <v>666</v>
      </c>
    </row>
    <row r="244" spans="2:12" x14ac:dyDescent="0.2">
      <c r="B244" t="s">
        <v>1148</v>
      </c>
      <c r="E244" t="s">
        <v>1336</v>
      </c>
      <c r="L244" t="s">
        <v>667</v>
      </c>
    </row>
    <row r="245" spans="2:12" x14ac:dyDescent="0.2">
      <c r="B245" t="s">
        <v>2074</v>
      </c>
      <c r="E245" t="s">
        <v>2204</v>
      </c>
      <c r="L245" t="s">
        <v>668</v>
      </c>
    </row>
    <row r="246" spans="2:12" x14ac:dyDescent="0.2">
      <c r="B246" t="s">
        <v>1150</v>
      </c>
      <c r="E246" t="s">
        <v>2205</v>
      </c>
      <c r="L246" t="s">
        <v>669</v>
      </c>
    </row>
    <row r="247" spans="2:12" x14ac:dyDescent="0.2">
      <c r="B247" t="s">
        <v>2075</v>
      </c>
      <c r="E247" t="s">
        <v>2206</v>
      </c>
      <c r="L247" t="s">
        <v>2164</v>
      </c>
    </row>
    <row r="248" spans="2:12" x14ac:dyDescent="0.2">
      <c r="B248" t="s">
        <v>1152</v>
      </c>
      <c r="E248" t="s">
        <v>2207</v>
      </c>
      <c r="L248" t="s">
        <v>1864</v>
      </c>
    </row>
    <row r="249" spans="2:12" x14ac:dyDescent="0.2">
      <c r="B249" t="s">
        <v>1153</v>
      </c>
      <c r="E249" t="s">
        <v>2208</v>
      </c>
      <c r="L249" t="s">
        <v>1865</v>
      </c>
    </row>
    <row r="250" spans="2:12" x14ac:dyDescent="0.2">
      <c r="B250" t="s">
        <v>2076</v>
      </c>
      <c r="E250" t="s">
        <v>2209</v>
      </c>
      <c r="L250" t="s">
        <v>2116</v>
      </c>
    </row>
    <row r="251" spans="2:12" x14ac:dyDescent="0.2">
      <c r="B251" t="s">
        <v>1155</v>
      </c>
      <c r="E251" t="s">
        <v>2210</v>
      </c>
      <c r="L251" t="s">
        <v>670</v>
      </c>
    </row>
    <row r="252" spans="2:12" x14ac:dyDescent="0.2">
      <c r="B252" t="s">
        <v>2077</v>
      </c>
      <c r="E252" t="s">
        <v>2211</v>
      </c>
      <c r="L252" t="s">
        <v>671</v>
      </c>
    </row>
    <row r="253" spans="2:12" x14ac:dyDescent="0.2">
      <c r="B253" t="s">
        <v>561</v>
      </c>
      <c r="E253" t="s">
        <v>2212</v>
      </c>
      <c r="L253" t="s">
        <v>672</v>
      </c>
    </row>
    <row r="254" spans="2:12" x14ac:dyDescent="0.2">
      <c r="B254" t="s">
        <v>1157</v>
      </c>
      <c r="E254" t="s">
        <v>2213</v>
      </c>
      <c r="L254" t="s">
        <v>673</v>
      </c>
    </row>
    <row r="255" spans="2:12" x14ac:dyDescent="0.2">
      <c r="B255" t="s">
        <v>1158</v>
      </c>
      <c r="E255" t="s">
        <v>2214</v>
      </c>
      <c r="L255" t="s">
        <v>674</v>
      </c>
    </row>
    <row r="256" spans="2:12" x14ac:dyDescent="0.2">
      <c r="B256" t="s">
        <v>1159</v>
      </c>
      <c r="E256" t="s">
        <v>2215</v>
      </c>
      <c r="L256" t="s">
        <v>675</v>
      </c>
    </row>
    <row r="257" spans="2:12" x14ac:dyDescent="0.2">
      <c r="B257" t="s">
        <v>1160</v>
      </c>
      <c r="E257" t="s">
        <v>2216</v>
      </c>
      <c r="L257" t="s">
        <v>676</v>
      </c>
    </row>
    <row r="258" spans="2:12" x14ac:dyDescent="0.2">
      <c r="B258" t="s">
        <v>1161</v>
      </c>
      <c r="E258" t="s">
        <v>2217</v>
      </c>
      <c r="L258" t="s">
        <v>1975</v>
      </c>
    </row>
    <row r="259" spans="2:12" x14ac:dyDescent="0.2">
      <c r="B259" t="s">
        <v>1162</v>
      </c>
      <c r="E259" t="s">
        <v>2218</v>
      </c>
      <c r="L259" t="s">
        <v>1976</v>
      </c>
    </row>
    <row r="260" spans="2:12" x14ac:dyDescent="0.2">
      <c r="B260" t="s">
        <v>1163</v>
      </c>
      <c r="E260" t="s">
        <v>2219</v>
      </c>
      <c r="L260" t="s">
        <v>1977</v>
      </c>
    </row>
    <row r="261" spans="2:12" x14ac:dyDescent="0.2">
      <c r="B261" t="s">
        <v>1164</v>
      </c>
      <c r="E261" t="s">
        <v>2220</v>
      </c>
      <c r="L261" t="s">
        <v>1978</v>
      </c>
    </row>
    <row r="262" spans="2:12" x14ac:dyDescent="0.2">
      <c r="B262" t="s">
        <v>1165</v>
      </c>
      <c r="E262" t="s">
        <v>2221</v>
      </c>
      <c r="L262" t="s">
        <v>1979</v>
      </c>
    </row>
    <row r="263" spans="2:12" x14ac:dyDescent="0.2">
      <c r="B263" t="s">
        <v>1166</v>
      </c>
      <c r="E263" t="s">
        <v>2222</v>
      </c>
      <c r="L263" t="s">
        <v>1980</v>
      </c>
    </row>
    <row r="264" spans="2:12" x14ac:dyDescent="0.2">
      <c r="B264" t="s">
        <v>1167</v>
      </c>
      <c r="E264" t="s">
        <v>2223</v>
      </c>
      <c r="L264" t="s">
        <v>1981</v>
      </c>
    </row>
    <row r="265" spans="2:12" x14ac:dyDescent="0.2">
      <c r="B265" t="s">
        <v>1168</v>
      </c>
      <c r="E265" t="s">
        <v>2224</v>
      </c>
      <c r="L265" t="s">
        <v>1982</v>
      </c>
    </row>
    <row r="266" spans="2:12" x14ac:dyDescent="0.2">
      <c r="B266" t="s">
        <v>2078</v>
      </c>
      <c r="E266" t="s">
        <v>2225</v>
      </c>
      <c r="L266" t="s">
        <v>2165</v>
      </c>
    </row>
    <row r="267" spans="2:12" x14ac:dyDescent="0.2">
      <c r="B267" t="s">
        <v>1169</v>
      </c>
      <c r="E267" t="s">
        <v>2226</v>
      </c>
      <c r="L267" t="s">
        <v>1983</v>
      </c>
    </row>
    <row r="268" spans="2:12" x14ac:dyDescent="0.2">
      <c r="B268" t="s">
        <v>1171</v>
      </c>
      <c r="E268" t="s">
        <v>2227</v>
      </c>
      <c r="L268" t="s">
        <v>1984</v>
      </c>
    </row>
    <row r="269" spans="2:12" x14ac:dyDescent="0.2">
      <c r="B269" t="s">
        <v>2079</v>
      </c>
      <c r="E269" t="s">
        <v>2228</v>
      </c>
      <c r="L269" t="s">
        <v>1985</v>
      </c>
    </row>
    <row r="270" spans="2:12" x14ac:dyDescent="0.2">
      <c r="B270" t="s">
        <v>563</v>
      </c>
      <c r="E270" t="s">
        <v>2229</v>
      </c>
      <c r="L270" t="s">
        <v>1986</v>
      </c>
    </row>
    <row r="271" spans="2:12" x14ac:dyDescent="0.2">
      <c r="B271" t="s">
        <v>1174</v>
      </c>
      <c r="E271" t="s">
        <v>2230</v>
      </c>
      <c r="L271" t="s">
        <v>1987</v>
      </c>
    </row>
    <row r="272" spans="2:12" x14ac:dyDescent="0.2">
      <c r="B272" t="s">
        <v>1175</v>
      </c>
      <c r="E272" t="s">
        <v>2231</v>
      </c>
      <c r="L272" t="s">
        <v>1988</v>
      </c>
    </row>
    <row r="273" spans="2:12" x14ac:dyDescent="0.2">
      <c r="B273" t="s">
        <v>565</v>
      </c>
      <c r="E273" t="s">
        <v>2232</v>
      </c>
      <c r="L273" t="s">
        <v>1989</v>
      </c>
    </row>
    <row r="274" spans="2:12" x14ac:dyDescent="0.2">
      <c r="B274" t="s">
        <v>1176</v>
      </c>
      <c r="E274" t="s">
        <v>2233</v>
      </c>
      <c r="L274" t="s">
        <v>1990</v>
      </c>
    </row>
    <row r="275" spans="2:12" x14ac:dyDescent="0.2">
      <c r="B275" t="s">
        <v>1177</v>
      </c>
      <c r="E275" t="s">
        <v>2234</v>
      </c>
      <c r="L275" t="s">
        <v>1991</v>
      </c>
    </row>
    <row r="276" spans="2:12" x14ac:dyDescent="0.2">
      <c r="B276" t="s">
        <v>2080</v>
      </c>
      <c r="E276" t="s">
        <v>2235</v>
      </c>
      <c r="L276" t="s">
        <v>1992</v>
      </c>
    </row>
    <row r="277" spans="2:12" x14ac:dyDescent="0.2">
      <c r="B277" t="s">
        <v>1178</v>
      </c>
      <c r="E277" t="s">
        <v>2236</v>
      </c>
      <c r="L277" t="s">
        <v>1993</v>
      </c>
    </row>
    <row r="278" spans="2:12" x14ac:dyDescent="0.2">
      <c r="B278" t="s">
        <v>570</v>
      </c>
      <c r="E278" t="s">
        <v>2237</v>
      </c>
      <c r="L278" t="s">
        <v>1994</v>
      </c>
    </row>
    <row r="279" spans="2:12" x14ac:dyDescent="0.2">
      <c r="B279" t="s">
        <v>1179</v>
      </c>
      <c r="E279" t="s">
        <v>2238</v>
      </c>
      <c r="L279" t="s">
        <v>1995</v>
      </c>
    </row>
    <row r="280" spans="2:12" x14ac:dyDescent="0.2">
      <c r="B280" t="s">
        <v>1180</v>
      </c>
      <c r="E280" t="s">
        <v>2239</v>
      </c>
      <c r="L280" t="s">
        <v>1996</v>
      </c>
    </row>
    <row r="281" spans="2:12" x14ac:dyDescent="0.2">
      <c r="B281" t="s">
        <v>1181</v>
      </c>
      <c r="E281" t="s">
        <v>2240</v>
      </c>
      <c r="L281" t="s">
        <v>1997</v>
      </c>
    </row>
    <row r="282" spans="2:12" x14ac:dyDescent="0.2">
      <c r="B282" t="s">
        <v>1182</v>
      </c>
      <c r="E282" t="s">
        <v>2241</v>
      </c>
      <c r="L282" t="s">
        <v>1998</v>
      </c>
    </row>
    <row r="283" spans="2:12" x14ac:dyDescent="0.2">
      <c r="B283" t="s">
        <v>930</v>
      </c>
      <c r="E283" t="s">
        <v>2242</v>
      </c>
      <c r="L283" t="s">
        <v>1999</v>
      </c>
    </row>
    <row r="284" spans="2:12" x14ac:dyDescent="0.2">
      <c r="B284" t="s">
        <v>573</v>
      </c>
      <c r="E284" t="s">
        <v>2243</v>
      </c>
      <c r="L284" t="s">
        <v>2000</v>
      </c>
    </row>
    <row r="285" spans="2:12" x14ac:dyDescent="0.2">
      <c r="B285" t="s">
        <v>575</v>
      </c>
      <c r="E285" t="s">
        <v>2244</v>
      </c>
      <c r="L285" t="s">
        <v>2001</v>
      </c>
    </row>
    <row r="286" spans="2:12" x14ac:dyDescent="0.2">
      <c r="B286" t="s">
        <v>1183</v>
      </c>
      <c r="E286" t="s">
        <v>2245</v>
      </c>
      <c r="L286" t="s">
        <v>2002</v>
      </c>
    </row>
    <row r="287" spans="2:12" x14ac:dyDescent="0.2">
      <c r="B287" t="s">
        <v>1184</v>
      </c>
      <c r="E287" t="s">
        <v>2246</v>
      </c>
      <c r="L287" t="s">
        <v>2003</v>
      </c>
    </row>
    <row r="288" spans="2:12" x14ac:dyDescent="0.2">
      <c r="B288" t="s">
        <v>2081</v>
      </c>
      <c r="E288" t="s">
        <v>2247</v>
      </c>
      <c r="L288" t="s">
        <v>2004</v>
      </c>
    </row>
    <row r="289" spans="2:12" x14ac:dyDescent="0.2">
      <c r="B289" t="s">
        <v>1186</v>
      </c>
      <c r="E289" t="s">
        <v>2248</v>
      </c>
      <c r="L289" t="s">
        <v>2005</v>
      </c>
    </row>
    <row r="290" spans="2:12" x14ac:dyDescent="0.2">
      <c r="B290" t="s">
        <v>579</v>
      </c>
      <c r="E290" t="s">
        <v>2249</v>
      </c>
      <c r="L290" t="s">
        <v>2006</v>
      </c>
    </row>
    <row r="291" spans="2:12" x14ac:dyDescent="0.2">
      <c r="B291" t="s">
        <v>581</v>
      </c>
      <c r="E291" t="s">
        <v>2250</v>
      </c>
      <c r="L291" t="s">
        <v>2007</v>
      </c>
    </row>
    <row r="292" spans="2:12" x14ac:dyDescent="0.2">
      <c r="B292" t="s">
        <v>1187</v>
      </c>
      <c r="E292" t="s">
        <v>2251</v>
      </c>
      <c r="L292" t="s">
        <v>2008</v>
      </c>
    </row>
    <row r="293" spans="2:12" x14ac:dyDescent="0.2">
      <c r="B293" t="s">
        <v>1188</v>
      </c>
      <c r="E293" t="s">
        <v>2252</v>
      </c>
      <c r="L293" t="s">
        <v>2009</v>
      </c>
    </row>
    <row r="294" spans="2:12" x14ac:dyDescent="0.2">
      <c r="B294" t="s">
        <v>1189</v>
      </c>
      <c r="E294" t="s">
        <v>2253</v>
      </c>
      <c r="L294" t="s">
        <v>2010</v>
      </c>
    </row>
    <row r="295" spans="2:12" x14ac:dyDescent="0.2">
      <c r="B295" t="s">
        <v>583</v>
      </c>
      <c r="E295" t="s">
        <v>2254</v>
      </c>
      <c r="L295" t="s">
        <v>2011</v>
      </c>
    </row>
    <row r="296" spans="2:12" x14ac:dyDescent="0.2">
      <c r="B296" t="s">
        <v>585</v>
      </c>
      <c r="E296" t="s">
        <v>2255</v>
      </c>
      <c r="L296" t="s">
        <v>2012</v>
      </c>
    </row>
    <row r="297" spans="2:12" x14ac:dyDescent="0.2">
      <c r="B297" t="s">
        <v>1190</v>
      </c>
      <c r="E297" t="s">
        <v>2256</v>
      </c>
      <c r="L297" t="s">
        <v>2013</v>
      </c>
    </row>
    <row r="298" spans="2:12" x14ac:dyDescent="0.2">
      <c r="B298" t="s">
        <v>2082</v>
      </c>
      <c r="E298" t="s">
        <v>2257</v>
      </c>
      <c r="L298" t="s">
        <v>2014</v>
      </c>
    </row>
    <row r="299" spans="2:12" x14ac:dyDescent="0.2">
      <c r="B299" t="s">
        <v>1192</v>
      </c>
      <c r="E299" t="s">
        <v>2258</v>
      </c>
      <c r="L299" t="s">
        <v>2015</v>
      </c>
    </row>
    <row r="300" spans="2:12" x14ac:dyDescent="0.2">
      <c r="B300" t="s">
        <v>589</v>
      </c>
      <c r="E300" t="s">
        <v>2259</v>
      </c>
      <c r="L300" t="s">
        <v>2016</v>
      </c>
    </row>
    <row r="301" spans="2:12" x14ac:dyDescent="0.2">
      <c r="B301" t="s">
        <v>1193</v>
      </c>
      <c r="E301" t="s">
        <v>2260</v>
      </c>
      <c r="L301" t="s">
        <v>2017</v>
      </c>
    </row>
    <row r="302" spans="2:12" x14ac:dyDescent="0.2">
      <c r="B302" t="s">
        <v>2083</v>
      </c>
      <c r="E302" t="s">
        <v>2261</v>
      </c>
      <c r="L302" t="s">
        <v>2018</v>
      </c>
    </row>
    <row r="303" spans="2:12" x14ac:dyDescent="0.2">
      <c r="B303" t="s">
        <v>1194</v>
      </c>
      <c r="E303" t="s">
        <v>2262</v>
      </c>
      <c r="L303" t="s">
        <v>2019</v>
      </c>
    </row>
    <row r="304" spans="2:12" x14ac:dyDescent="0.2">
      <c r="B304" t="s">
        <v>2084</v>
      </c>
      <c r="E304" t="s">
        <v>2263</v>
      </c>
      <c r="L304" t="s">
        <v>2020</v>
      </c>
    </row>
    <row r="305" spans="2:12" x14ac:dyDescent="0.2">
      <c r="B305" t="s">
        <v>1196</v>
      </c>
      <c r="E305" t="s">
        <v>2264</v>
      </c>
      <c r="L305" t="s">
        <v>2021</v>
      </c>
    </row>
    <row r="306" spans="2:12" x14ac:dyDescent="0.2">
      <c r="B306" t="s">
        <v>1197</v>
      </c>
      <c r="E306" t="s">
        <v>2265</v>
      </c>
      <c r="L306" t="s">
        <v>2022</v>
      </c>
    </row>
    <row r="307" spans="2:12" x14ac:dyDescent="0.2">
      <c r="B307" t="s">
        <v>1198</v>
      </c>
      <c r="E307" t="s">
        <v>2266</v>
      </c>
      <c r="L307" t="s">
        <v>2023</v>
      </c>
    </row>
    <row r="308" spans="2:12" x14ac:dyDescent="0.2">
      <c r="B308" t="s">
        <v>1199</v>
      </c>
      <c r="E308" t="s">
        <v>2267</v>
      </c>
      <c r="L308" t="s">
        <v>2024</v>
      </c>
    </row>
    <row r="309" spans="2:12" x14ac:dyDescent="0.2">
      <c r="B309" t="s">
        <v>1200</v>
      </c>
      <c r="E309" t="s">
        <v>2268</v>
      </c>
      <c r="L309" t="s">
        <v>2025</v>
      </c>
    </row>
    <row r="310" spans="2:12" x14ac:dyDescent="0.2">
      <c r="B310" t="s">
        <v>2085</v>
      </c>
      <c r="E310" t="s">
        <v>2269</v>
      </c>
      <c r="L310" t="s">
        <v>2117</v>
      </c>
    </row>
    <row r="311" spans="2:12" x14ac:dyDescent="0.2">
      <c r="B311" t="s">
        <v>1202</v>
      </c>
      <c r="E311" t="s">
        <v>2270</v>
      </c>
      <c r="L311" t="s">
        <v>2026</v>
      </c>
    </row>
    <row r="312" spans="2:12" x14ac:dyDescent="0.2">
      <c r="B312" t="s">
        <v>1913</v>
      </c>
      <c r="E312" t="s">
        <v>2271</v>
      </c>
      <c r="L312" t="s">
        <v>2027</v>
      </c>
    </row>
    <row r="313" spans="2:12" x14ac:dyDescent="0.2">
      <c r="B313" t="s">
        <v>1914</v>
      </c>
      <c r="E313" t="s">
        <v>2272</v>
      </c>
      <c r="L313" t="s">
        <v>2028</v>
      </c>
    </row>
    <row r="314" spans="2:12" x14ac:dyDescent="0.2">
      <c r="B314" t="s">
        <v>1915</v>
      </c>
      <c r="E314" t="s">
        <v>2273</v>
      </c>
      <c r="L314" t="s">
        <v>2029</v>
      </c>
    </row>
    <row r="315" spans="2:12" x14ac:dyDescent="0.2">
      <c r="B315" t="s">
        <v>1916</v>
      </c>
      <c r="E315" t="s">
        <v>2274</v>
      </c>
      <c r="L315" t="s">
        <v>2030</v>
      </c>
    </row>
    <row r="316" spans="2:12" x14ac:dyDescent="0.2">
      <c r="B316" t="s">
        <v>595</v>
      </c>
      <c r="E316" t="s">
        <v>2275</v>
      </c>
      <c r="L316" t="s">
        <v>2031</v>
      </c>
    </row>
    <row r="317" spans="2:12" x14ac:dyDescent="0.2">
      <c r="B317" t="s">
        <v>1207</v>
      </c>
      <c r="E317" t="s">
        <v>2276</v>
      </c>
      <c r="L317" t="s">
        <v>2032</v>
      </c>
    </row>
    <row r="318" spans="2:12" x14ac:dyDescent="0.2">
      <c r="B318" t="s">
        <v>1208</v>
      </c>
      <c r="E318" t="s">
        <v>2277</v>
      </c>
      <c r="L318" t="s">
        <v>2033</v>
      </c>
    </row>
    <row r="319" spans="2:12" x14ac:dyDescent="0.2">
      <c r="B319" t="s">
        <v>598</v>
      </c>
      <c r="E319" t="s">
        <v>2278</v>
      </c>
      <c r="L319" t="s">
        <v>2034</v>
      </c>
    </row>
    <row r="320" spans="2:12" x14ac:dyDescent="0.2">
      <c r="B320" t="s">
        <v>2086</v>
      </c>
      <c r="E320" t="s">
        <v>2279</v>
      </c>
      <c r="L320" t="s">
        <v>2035</v>
      </c>
    </row>
    <row r="321" spans="2:12" x14ac:dyDescent="0.2">
      <c r="B321" t="s">
        <v>2087</v>
      </c>
      <c r="E321" t="s">
        <v>2280</v>
      </c>
      <c r="L321" t="s">
        <v>2036</v>
      </c>
    </row>
    <row r="322" spans="2:12" x14ac:dyDescent="0.2">
      <c r="B322" t="s">
        <v>2088</v>
      </c>
      <c r="E322" t="s">
        <v>2281</v>
      </c>
      <c r="L322" t="s">
        <v>2037</v>
      </c>
    </row>
    <row r="323" spans="2:12" x14ac:dyDescent="0.2">
      <c r="B323" t="s">
        <v>2089</v>
      </c>
      <c r="E323" t="s">
        <v>2282</v>
      </c>
      <c r="L323" t="s">
        <v>2038</v>
      </c>
    </row>
    <row r="324" spans="2:12" x14ac:dyDescent="0.2">
      <c r="B324" t="s">
        <v>1213</v>
      </c>
      <c r="E324" t="s">
        <v>2283</v>
      </c>
      <c r="L324" t="s">
        <v>2039</v>
      </c>
    </row>
    <row r="325" spans="2:12" x14ac:dyDescent="0.2">
      <c r="B325" t="s">
        <v>1214</v>
      </c>
      <c r="E325" t="s">
        <v>2284</v>
      </c>
      <c r="L325" t="s">
        <v>2040</v>
      </c>
    </row>
    <row r="326" spans="2:12" x14ac:dyDescent="0.2">
      <c r="B326" t="s">
        <v>602</v>
      </c>
      <c r="E326" t="s">
        <v>2285</v>
      </c>
      <c r="L326" t="s">
        <v>2041</v>
      </c>
    </row>
    <row r="327" spans="2:12" x14ac:dyDescent="0.2">
      <c r="B327" t="s">
        <v>604</v>
      </c>
      <c r="E327" t="s">
        <v>2286</v>
      </c>
      <c r="L327" t="s">
        <v>2042</v>
      </c>
    </row>
    <row r="328" spans="2:12" x14ac:dyDescent="0.2">
      <c r="B328" t="s">
        <v>2090</v>
      </c>
      <c r="E328" t="s">
        <v>2287</v>
      </c>
      <c r="L328" t="s">
        <v>2043</v>
      </c>
    </row>
    <row r="329" spans="2:12" x14ac:dyDescent="0.2">
      <c r="B329" t="s">
        <v>2091</v>
      </c>
      <c r="E329" t="s">
        <v>2288</v>
      </c>
      <c r="L329" t="s">
        <v>2044</v>
      </c>
    </row>
    <row r="330" spans="2:12" x14ac:dyDescent="0.2">
      <c r="B330" t="s">
        <v>1217</v>
      </c>
      <c r="E330" t="s">
        <v>2289</v>
      </c>
      <c r="L330" t="s">
        <v>2045</v>
      </c>
    </row>
    <row r="331" spans="2:12" x14ac:dyDescent="0.2">
      <c r="B331" t="s">
        <v>1218</v>
      </c>
      <c r="E331" t="s">
        <v>2290</v>
      </c>
      <c r="L331" t="s">
        <v>2046</v>
      </c>
    </row>
    <row r="332" spans="2:12" x14ac:dyDescent="0.2">
      <c r="B332" t="s">
        <v>2092</v>
      </c>
      <c r="E332" t="s">
        <v>2291</v>
      </c>
      <c r="L332" t="s">
        <v>2047</v>
      </c>
    </row>
    <row r="333" spans="2:12" x14ac:dyDescent="0.2">
      <c r="B333" t="s">
        <v>2093</v>
      </c>
      <c r="E333" t="s">
        <v>2292</v>
      </c>
      <c r="L333" t="s">
        <v>2048</v>
      </c>
    </row>
    <row r="334" spans="2:12" x14ac:dyDescent="0.2">
      <c r="B334" t="s">
        <v>1221</v>
      </c>
      <c r="E334" t="s">
        <v>2293</v>
      </c>
      <c r="L334" t="s">
        <v>2049</v>
      </c>
    </row>
    <row r="335" spans="2:12" x14ac:dyDescent="0.2">
      <c r="B335" t="s">
        <v>1222</v>
      </c>
      <c r="E335" t="s">
        <v>2294</v>
      </c>
      <c r="L335" t="s">
        <v>2050</v>
      </c>
    </row>
    <row r="336" spans="2:12" x14ac:dyDescent="0.2">
      <c r="B336" t="s">
        <v>1223</v>
      </c>
      <c r="E336" t="s">
        <v>2295</v>
      </c>
      <c r="L336" t="s">
        <v>2118</v>
      </c>
    </row>
    <row r="337" spans="2:12" x14ac:dyDescent="0.2">
      <c r="B337" t="s">
        <v>2154</v>
      </c>
      <c r="E337" t="s">
        <v>2296</v>
      </c>
      <c r="L337" t="s">
        <v>2051</v>
      </c>
    </row>
    <row r="338" spans="2:12" x14ac:dyDescent="0.2">
      <c r="B338" t="s">
        <v>1917</v>
      </c>
      <c r="E338" t="s">
        <v>2297</v>
      </c>
      <c r="L338" t="s">
        <v>2052</v>
      </c>
    </row>
    <row r="339" spans="2:12" x14ac:dyDescent="0.2">
      <c r="B339" t="s">
        <v>1224</v>
      </c>
      <c r="E339" t="s">
        <v>2298</v>
      </c>
      <c r="L339" t="s">
        <v>2053</v>
      </c>
    </row>
    <row r="340" spans="2:12" x14ac:dyDescent="0.2">
      <c r="B340" t="s">
        <v>2166</v>
      </c>
      <c r="E340" t="s">
        <v>2299</v>
      </c>
      <c r="L340" t="s">
        <v>2054</v>
      </c>
    </row>
    <row r="341" spans="2:12" x14ac:dyDescent="0.2">
      <c r="E341" t="s">
        <v>2300</v>
      </c>
      <c r="L341" t="s">
        <v>2055</v>
      </c>
    </row>
    <row r="342" spans="2:12" x14ac:dyDescent="0.2">
      <c r="E342" t="s">
        <v>2301</v>
      </c>
      <c r="L342" t="s">
        <v>2056</v>
      </c>
    </row>
    <row r="343" spans="2:12" x14ac:dyDescent="0.2">
      <c r="E343" t="s">
        <v>2302</v>
      </c>
      <c r="L343" t="s">
        <v>2057</v>
      </c>
    </row>
    <row r="344" spans="2:12" x14ac:dyDescent="0.2">
      <c r="E344" t="s">
        <v>2303</v>
      </c>
      <c r="L344" t="s">
        <v>2058</v>
      </c>
    </row>
    <row r="345" spans="2:12" x14ac:dyDescent="0.2">
      <c r="E345" t="s">
        <v>2304</v>
      </c>
      <c r="L345" t="s">
        <v>2059</v>
      </c>
    </row>
    <row r="346" spans="2:12" x14ac:dyDescent="0.2">
      <c r="E346" t="s">
        <v>2305</v>
      </c>
      <c r="L346" t="s">
        <v>2060</v>
      </c>
    </row>
    <row r="347" spans="2:12" x14ac:dyDescent="0.2">
      <c r="E347" t="s">
        <v>2306</v>
      </c>
      <c r="L347" t="s">
        <v>2061</v>
      </c>
    </row>
    <row r="348" spans="2:12" x14ac:dyDescent="0.2">
      <c r="E348" t="s">
        <v>2307</v>
      </c>
      <c r="L348" t="s">
        <v>2062</v>
      </c>
    </row>
    <row r="349" spans="2:12" x14ac:dyDescent="0.2">
      <c r="E349" t="s">
        <v>2308</v>
      </c>
      <c r="L349" t="s">
        <v>8</v>
      </c>
    </row>
    <row r="350" spans="2:12" x14ac:dyDescent="0.2">
      <c r="E350" t="s">
        <v>2309</v>
      </c>
      <c r="L350" t="s">
        <v>677</v>
      </c>
    </row>
    <row r="351" spans="2:12" x14ac:dyDescent="0.2">
      <c r="E351" t="s">
        <v>2310</v>
      </c>
      <c r="L351" t="s">
        <v>678</v>
      </c>
    </row>
    <row r="352" spans="2:12" x14ac:dyDescent="0.2">
      <c r="E352" t="s">
        <v>2311</v>
      </c>
      <c r="L352" t="s">
        <v>679</v>
      </c>
    </row>
    <row r="353" spans="5:12" x14ac:dyDescent="0.2">
      <c r="E353" t="s">
        <v>2312</v>
      </c>
      <c r="L353" t="s">
        <v>680</v>
      </c>
    </row>
    <row r="354" spans="5:12" x14ac:dyDescent="0.2">
      <c r="E354" t="s">
        <v>2313</v>
      </c>
      <c r="L354" t="s">
        <v>681</v>
      </c>
    </row>
    <row r="355" spans="5:12" x14ac:dyDescent="0.2">
      <c r="E355" t="s">
        <v>2314</v>
      </c>
      <c r="L355" t="s">
        <v>682</v>
      </c>
    </row>
    <row r="356" spans="5:12" x14ac:dyDescent="0.2">
      <c r="E356" t="s">
        <v>2315</v>
      </c>
      <c r="L356" t="s">
        <v>683</v>
      </c>
    </row>
    <row r="357" spans="5:12" x14ac:dyDescent="0.2">
      <c r="E357" t="s">
        <v>2316</v>
      </c>
      <c r="L357" t="s">
        <v>684</v>
      </c>
    </row>
    <row r="358" spans="5:12" x14ac:dyDescent="0.2">
      <c r="E358" t="s">
        <v>2317</v>
      </c>
      <c r="L358" t="s">
        <v>685</v>
      </c>
    </row>
    <row r="359" spans="5:12" x14ac:dyDescent="0.2">
      <c r="E359" t="s">
        <v>2318</v>
      </c>
      <c r="L359" t="s">
        <v>686</v>
      </c>
    </row>
    <row r="360" spans="5:12" x14ac:dyDescent="0.2">
      <c r="E360" t="s">
        <v>2319</v>
      </c>
      <c r="L360" t="s">
        <v>687</v>
      </c>
    </row>
    <row r="361" spans="5:12" x14ac:dyDescent="0.2">
      <c r="E361" t="s">
        <v>2320</v>
      </c>
      <c r="L361" t="s">
        <v>688</v>
      </c>
    </row>
    <row r="362" spans="5:12" x14ac:dyDescent="0.2">
      <c r="E362" t="s">
        <v>2321</v>
      </c>
      <c r="L362" t="s">
        <v>689</v>
      </c>
    </row>
    <row r="363" spans="5:12" x14ac:dyDescent="0.2">
      <c r="E363" t="s">
        <v>2322</v>
      </c>
      <c r="L363" t="s">
        <v>690</v>
      </c>
    </row>
    <row r="364" spans="5:12" x14ac:dyDescent="0.2">
      <c r="E364" t="s">
        <v>2323</v>
      </c>
      <c r="L364" t="s">
        <v>691</v>
      </c>
    </row>
    <row r="365" spans="5:12" x14ac:dyDescent="0.2">
      <c r="E365" t="s">
        <v>2324</v>
      </c>
      <c r="L365" t="s">
        <v>692</v>
      </c>
    </row>
    <row r="366" spans="5:12" x14ac:dyDescent="0.2">
      <c r="E366" t="s">
        <v>2325</v>
      </c>
      <c r="L366" t="s">
        <v>693</v>
      </c>
    </row>
    <row r="367" spans="5:12" x14ac:dyDescent="0.2">
      <c r="E367" t="s">
        <v>2326</v>
      </c>
      <c r="L367" t="s">
        <v>694</v>
      </c>
    </row>
    <row r="368" spans="5:12" x14ac:dyDescent="0.2">
      <c r="E368" t="s">
        <v>2327</v>
      </c>
      <c r="L368" t="s">
        <v>1866</v>
      </c>
    </row>
    <row r="369" spans="5:12" x14ac:dyDescent="0.2">
      <c r="E369" t="s">
        <v>2328</v>
      </c>
      <c r="L369" t="s">
        <v>695</v>
      </c>
    </row>
    <row r="370" spans="5:12" x14ac:dyDescent="0.2">
      <c r="E370" t="s">
        <v>2329</v>
      </c>
      <c r="L370" t="s">
        <v>1411</v>
      </c>
    </row>
    <row r="371" spans="5:12" x14ac:dyDescent="0.2">
      <c r="E371" t="s">
        <v>2330</v>
      </c>
      <c r="L371" t="s">
        <v>696</v>
      </c>
    </row>
    <row r="372" spans="5:12" x14ac:dyDescent="0.2">
      <c r="E372" t="s">
        <v>2331</v>
      </c>
      <c r="L372" t="s">
        <v>697</v>
      </c>
    </row>
    <row r="373" spans="5:12" x14ac:dyDescent="0.2">
      <c r="E373" t="s">
        <v>2332</v>
      </c>
      <c r="L373" t="s">
        <v>698</v>
      </c>
    </row>
    <row r="374" spans="5:12" x14ac:dyDescent="0.2">
      <c r="E374" t="s">
        <v>2333</v>
      </c>
      <c r="L374" t="s">
        <v>699</v>
      </c>
    </row>
    <row r="375" spans="5:12" x14ac:dyDescent="0.2">
      <c r="E375" t="s">
        <v>2334</v>
      </c>
      <c r="L375" t="s">
        <v>700</v>
      </c>
    </row>
    <row r="376" spans="5:12" x14ac:dyDescent="0.2">
      <c r="E376" t="s">
        <v>2335</v>
      </c>
      <c r="L376" t="s">
        <v>701</v>
      </c>
    </row>
    <row r="377" spans="5:12" x14ac:dyDescent="0.2">
      <c r="E377" t="s">
        <v>2336</v>
      </c>
      <c r="L377" t="s">
        <v>702</v>
      </c>
    </row>
    <row r="378" spans="5:12" x14ac:dyDescent="0.2">
      <c r="E378" t="s">
        <v>2337</v>
      </c>
      <c r="L378" t="s">
        <v>703</v>
      </c>
    </row>
    <row r="379" spans="5:12" x14ac:dyDescent="0.2">
      <c r="E379" t="s">
        <v>2338</v>
      </c>
      <c r="L379" t="s">
        <v>704</v>
      </c>
    </row>
    <row r="380" spans="5:12" x14ac:dyDescent="0.2">
      <c r="E380" t="s">
        <v>2339</v>
      </c>
      <c r="L380" t="s">
        <v>705</v>
      </c>
    </row>
    <row r="381" spans="5:12" x14ac:dyDescent="0.2">
      <c r="E381" t="s">
        <v>2340</v>
      </c>
      <c r="L381" t="s">
        <v>706</v>
      </c>
    </row>
    <row r="382" spans="5:12" x14ac:dyDescent="0.2">
      <c r="E382" t="s">
        <v>2341</v>
      </c>
      <c r="L382" t="s">
        <v>707</v>
      </c>
    </row>
    <row r="383" spans="5:12" x14ac:dyDescent="0.2">
      <c r="E383" t="s">
        <v>2342</v>
      </c>
      <c r="L383" t="s">
        <v>1867</v>
      </c>
    </row>
    <row r="384" spans="5:12" x14ac:dyDescent="0.2">
      <c r="E384" t="s">
        <v>2343</v>
      </c>
      <c r="L384" t="s">
        <v>708</v>
      </c>
    </row>
    <row r="385" spans="5:12" x14ac:dyDescent="0.2">
      <c r="E385" t="s">
        <v>2344</v>
      </c>
      <c r="L385" t="s">
        <v>1412</v>
      </c>
    </row>
    <row r="386" spans="5:12" x14ac:dyDescent="0.2">
      <c r="E386" t="s">
        <v>2345</v>
      </c>
      <c r="L386" t="s">
        <v>709</v>
      </c>
    </row>
    <row r="387" spans="5:12" x14ac:dyDescent="0.2">
      <c r="E387" t="s">
        <v>2346</v>
      </c>
      <c r="L387" t="s">
        <v>710</v>
      </c>
    </row>
    <row r="388" spans="5:12" x14ac:dyDescent="0.2">
      <c r="E388" t="s">
        <v>2347</v>
      </c>
      <c r="L388" t="s">
        <v>711</v>
      </c>
    </row>
    <row r="389" spans="5:12" x14ac:dyDescent="0.2">
      <c r="E389" t="s">
        <v>2348</v>
      </c>
      <c r="L389" t="s">
        <v>712</v>
      </c>
    </row>
    <row r="390" spans="5:12" x14ac:dyDescent="0.2">
      <c r="E390" t="s">
        <v>2349</v>
      </c>
      <c r="L390" t="s">
        <v>2063</v>
      </c>
    </row>
    <row r="391" spans="5:12" x14ac:dyDescent="0.2">
      <c r="E391" t="s">
        <v>2350</v>
      </c>
      <c r="L391" t="s">
        <v>713</v>
      </c>
    </row>
    <row r="392" spans="5:12" x14ac:dyDescent="0.2">
      <c r="E392" t="s">
        <v>2351</v>
      </c>
      <c r="L392" t="s">
        <v>714</v>
      </c>
    </row>
    <row r="393" spans="5:12" x14ac:dyDescent="0.2">
      <c r="E393" t="s">
        <v>2352</v>
      </c>
      <c r="L393" t="s">
        <v>715</v>
      </c>
    </row>
    <row r="394" spans="5:12" x14ac:dyDescent="0.2">
      <c r="E394" t="s">
        <v>2353</v>
      </c>
      <c r="L394" t="s">
        <v>716</v>
      </c>
    </row>
    <row r="395" spans="5:12" x14ac:dyDescent="0.2">
      <c r="E395" t="s">
        <v>2354</v>
      </c>
      <c r="L395" t="s">
        <v>717</v>
      </c>
    </row>
    <row r="396" spans="5:12" x14ac:dyDescent="0.2">
      <c r="E396" t="s">
        <v>2355</v>
      </c>
      <c r="L396" t="s">
        <v>718</v>
      </c>
    </row>
    <row r="397" spans="5:12" x14ac:dyDescent="0.2">
      <c r="E397" t="s">
        <v>2356</v>
      </c>
      <c r="L397" t="s">
        <v>1868</v>
      </c>
    </row>
    <row r="398" spans="5:12" x14ac:dyDescent="0.2">
      <c r="E398" t="s">
        <v>2357</v>
      </c>
      <c r="L398" t="s">
        <v>1413</v>
      </c>
    </row>
    <row r="399" spans="5:12" x14ac:dyDescent="0.2">
      <c r="E399" t="s">
        <v>2358</v>
      </c>
      <c r="L399" t="s">
        <v>719</v>
      </c>
    </row>
    <row r="400" spans="5:12" x14ac:dyDescent="0.2">
      <c r="E400" t="s">
        <v>2359</v>
      </c>
    </row>
    <row r="401" spans="5:5" x14ac:dyDescent="0.2">
      <c r="E401" t="s">
        <v>2360</v>
      </c>
    </row>
    <row r="402" spans="5:5" x14ac:dyDescent="0.2">
      <c r="E402" t="s">
        <v>2361</v>
      </c>
    </row>
    <row r="403" spans="5:5" x14ac:dyDescent="0.2">
      <c r="E403" t="s">
        <v>2362</v>
      </c>
    </row>
    <row r="404" spans="5:5" x14ac:dyDescent="0.2">
      <c r="E404" t="s">
        <v>2363</v>
      </c>
    </row>
    <row r="405" spans="5:5" x14ac:dyDescent="0.2">
      <c r="E405" t="s">
        <v>2364</v>
      </c>
    </row>
    <row r="406" spans="5:5" x14ac:dyDescent="0.2">
      <c r="E406" t="s">
        <v>2365</v>
      </c>
    </row>
    <row r="407" spans="5:5" x14ac:dyDescent="0.2">
      <c r="E407" t="s">
        <v>2366</v>
      </c>
    </row>
    <row r="408" spans="5:5" x14ac:dyDescent="0.2">
      <c r="E408" t="s">
        <v>2367</v>
      </c>
    </row>
    <row r="409" spans="5:5" x14ac:dyDescent="0.2">
      <c r="E409" t="s">
        <v>2368</v>
      </c>
    </row>
    <row r="410" spans="5:5" x14ac:dyDescent="0.2">
      <c r="E410" t="s">
        <v>2369</v>
      </c>
    </row>
    <row r="411" spans="5:5" x14ac:dyDescent="0.2">
      <c r="E411" t="s">
        <v>2370</v>
      </c>
    </row>
    <row r="412" spans="5:5" x14ac:dyDescent="0.2">
      <c r="E412" t="s">
        <v>2371</v>
      </c>
    </row>
    <row r="413" spans="5:5" x14ac:dyDescent="0.2">
      <c r="E413" t="s">
        <v>2372</v>
      </c>
    </row>
    <row r="414" spans="5:5" x14ac:dyDescent="0.2">
      <c r="E414" t="s">
        <v>2373</v>
      </c>
    </row>
    <row r="415" spans="5:5" x14ac:dyDescent="0.2">
      <c r="E415" t="s">
        <v>2374</v>
      </c>
    </row>
    <row r="416" spans="5:5" x14ac:dyDescent="0.2">
      <c r="E416" t="s">
        <v>2375</v>
      </c>
    </row>
    <row r="417" spans="5:5" x14ac:dyDescent="0.2">
      <c r="E417" t="s">
        <v>2376</v>
      </c>
    </row>
    <row r="418" spans="5:5" x14ac:dyDescent="0.2">
      <c r="E418" t="s">
        <v>2377</v>
      </c>
    </row>
    <row r="419" spans="5:5" x14ac:dyDescent="0.2">
      <c r="E419" t="s">
        <v>2378</v>
      </c>
    </row>
    <row r="420" spans="5:5" x14ac:dyDescent="0.2">
      <c r="E420" t="s">
        <v>2379</v>
      </c>
    </row>
    <row r="421" spans="5:5" x14ac:dyDescent="0.2">
      <c r="E421" t="s">
        <v>2380</v>
      </c>
    </row>
    <row r="422" spans="5:5" x14ac:dyDescent="0.2">
      <c r="E422" t="s">
        <v>2381</v>
      </c>
    </row>
    <row r="423" spans="5:5" x14ac:dyDescent="0.2">
      <c r="E423" t="s">
        <v>2382</v>
      </c>
    </row>
    <row r="424" spans="5:5" x14ac:dyDescent="0.2">
      <c r="E424" t="s">
        <v>2383</v>
      </c>
    </row>
    <row r="425" spans="5:5" x14ac:dyDescent="0.2">
      <c r="E425" t="s">
        <v>2384</v>
      </c>
    </row>
    <row r="426" spans="5:5" x14ac:dyDescent="0.2">
      <c r="E426" t="s">
        <v>2385</v>
      </c>
    </row>
    <row r="427" spans="5:5" x14ac:dyDescent="0.2">
      <c r="E427" t="s">
        <v>2386</v>
      </c>
    </row>
    <row r="428" spans="5:5" x14ac:dyDescent="0.2">
      <c r="E428" t="s">
        <v>2387</v>
      </c>
    </row>
    <row r="429" spans="5:5" x14ac:dyDescent="0.2">
      <c r="E429" t="s">
        <v>2388</v>
      </c>
    </row>
    <row r="430" spans="5:5" x14ac:dyDescent="0.2">
      <c r="E430" t="s">
        <v>2389</v>
      </c>
    </row>
    <row r="431" spans="5:5" x14ac:dyDescent="0.2">
      <c r="E431" t="s">
        <v>2390</v>
      </c>
    </row>
    <row r="432" spans="5:5" x14ac:dyDescent="0.2">
      <c r="E432" t="s">
        <v>2391</v>
      </c>
    </row>
    <row r="433" spans="5:5" x14ac:dyDescent="0.2">
      <c r="E433" t="s">
        <v>2392</v>
      </c>
    </row>
    <row r="434" spans="5:5" x14ac:dyDescent="0.2">
      <c r="E434" t="s">
        <v>2393</v>
      </c>
    </row>
    <row r="435" spans="5:5" x14ac:dyDescent="0.2">
      <c r="E435" t="s">
        <v>2394</v>
      </c>
    </row>
    <row r="436" spans="5:5" x14ac:dyDescent="0.2">
      <c r="E436" t="s">
        <v>2395</v>
      </c>
    </row>
    <row r="437" spans="5:5" x14ac:dyDescent="0.2">
      <c r="E437" t="s">
        <v>2396</v>
      </c>
    </row>
    <row r="438" spans="5:5" x14ac:dyDescent="0.2">
      <c r="E438" t="s">
        <v>2397</v>
      </c>
    </row>
    <row r="439" spans="5:5" x14ac:dyDescent="0.2">
      <c r="E439" t="s">
        <v>2398</v>
      </c>
    </row>
    <row r="440" spans="5:5" x14ac:dyDescent="0.2">
      <c r="E440" t="s">
        <v>2399</v>
      </c>
    </row>
    <row r="441" spans="5:5" x14ac:dyDescent="0.2">
      <c r="E441" t="s">
        <v>2400</v>
      </c>
    </row>
    <row r="442" spans="5:5" x14ac:dyDescent="0.2">
      <c r="E442" t="s">
        <v>2401</v>
      </c>
    </row>
    <row r="443" spans="5:5" x14ac:dyDescent="0.2">
      <c r="E443" t="s">
        <v>2402</v>
      </c>
    </row>
    <row r="444" spans="5:5" x14ac:dyDescent="0.2">
      <c r="E444" t="s">
        <v>2403</v>
      </c>
    </row>
    <row r="445" spans="5:5" x14ac:dyDescent="0.2">
      <c r="E445" t="s">
        <v>2404</v>
      </c>
    </row>
    <row r="446" spans="5:5" x14ac:dyDescent="0.2">
      <c r="E446" t="s">
        <v>2405</v>
      </c>
    </row>
    <row r="447" spans="5:5" x14ac:dyDescent="0.2">
      <c r="E447" t="s">
        <v>2406</v>
      </c>
    </row>
    <row r="448" spans="5:5" x14ac:dyDescent="0.2">
      <c r="E448" t="s">
        <v>2407</v>
      </c>
    </row>
    <row r="449" spans="5:5" x14ac:dyDescent="0.2">
      <c r="E449" t="s">
        <v>2408</v>
      </c>
    </row>
    <row r="450" spans="5:5" x14ac:dyDescent="0.2">
      <c r="E450" t="s">
        <v>2409</v>
      </c>
    </row>
    <row r="451" spans="5:5" x14ac:dyDescent="0.2">
      <c r="E451" t="s">
        <v>2410</v>
      </c>
    </row>
    <row r="452" spans="5:5" x14ac:dyDescent="0.2">
      <c r="E452" t="s">
        <v>2411</v>
      </c>
    </row>
    <row r="453" spans="5:5" x14ac:dyDescent="0.2">
      <c r="E453" t="s">
        <v>2412</v>
      </c>
    </row>
    <row r="454" spans="5:5" x14ac:dyDescent="0.2">
      <c r="E454" t="s">
        <v>2413</v>
      </c>
    </row>
    <row r="455" spans="5:5" x14ac:dyDescent="0.2">
      <c r="E455" t="s">
        <v>2414</v>
      </c>
    </row>
    <row r="456" spans="5:5" x14ac:dyDescent="0.2">
      <c r="E456" t="s">
        <v>2415</v>
      </c>
    </row>
    <row r="457" spans="5:5" x14ac:dyDescent="0.2">
      <c r="E457" t="s">
        <v>2416</v>
      </c>
    </row>
    <row r="458" spans="5:5" x14ac:dyDescent="0.2">
      <c r="E458" t="s">
        <v>2417</v>
      </c>
    </row>
    <row r="459" spans="5:5" x14ac:dyDescent="0.2">
      <c r="E459" t="s">
        <v>2418</v>
      </c>
    </row>
    <row r="460" spans="5:5" x14ac:dyDescent="0.2">
      <c r="E460" t="s">
        <v>2419</v>
      </c>
    </row>
    <row r="461" spans="5:5" x14ac:dyDescent="0.2">
      <c r="E461" t="s">
        <v>2420</v>
      </c>
    </row>
    <row r="462" spans="5:5" x14ac:dyDescent="0.2">
      <c r="E462" t="s">
        <v>2421</v>
      </c>
    </row>
    <row r="463" spans="5:5" x14ac:dyDescent="0.2">
      <c r="E463" t="s">
        <v>2422</v>
      </c>
    </row>
    <row r="464" spans="5:5" x14ac:dyDescent="0.2">
      <c r="E464" t="s">
        <v>2423</v>
      </c>
    </row>
    <row r="465" spans="5:5" x14ac:dyDescent="0.2">
      <c r="E465" t="s">
        <v>2424</v>
      </c>
    </row>
    <row r="466" spans="5:5" x14ac:dyDescent="0.2">
      <c r="E466" t="s">
        <v>1337</v>
      </c>
    </row>
    <row r="467" spans="5:5" x14ac:dyDescent="0.2">
      <c r="E467" t="s">
        <v>1959</v>
      </c>
    </row>
    <row r="468" spans="5:5" x14ac:dyDescent="0.2">
      <c r="E468" t="s">
        <v>1338</v>
      </c>
    </row>
    <row r="469" spans="5:5" x14ac:dyDescent="0.2">
      <c r="E469" t="s">
        <v>1339</v>
      </c>
    </row>
    <row r="470" spans="5:5" x14ac:dyDescent="0.2">
      <c r="E470" t="s">
        <v>1340</v>
      </c>
    </row>
    <row r="471" spans="5:5" x14ac:dyDescent="0.2">
      <c r="E471" t="s">
        <v>1341</v>
      </c>
    </row>
    <row r="472" spans="5:5" x14ac:dyDescent="0.2">
      <c r="E472" t="s">
        <v>1342</v>
      </c>
    </row>
    <row r="473" spans="5:5" x14ac:dyDescent="0.2">
      <c r="E473" t="s">
        <v>1343</v>
      </c>
    </row>
    <row r="474" spans="5:5" x14ac:dyDescent="0.2">
      <c r="E474" t="s">
        <v>1960</v>
      </c>
    </row>
    <row r="475" spans="5:5" x14ac:dyDescent="0.2">
      <c r="E475" t="s">
        <v>1344</v>
      </c>
    </row>
    <row r="476" spans="5:5" x14ac:dyDescent="0.2">
      <c r="E476" t="s">
        <v>1345</v>
      </c>
    </row>
    <row r="477" spans="5:5" x14ac:dyDescent="0.2">
      <c r="E477" t="s">
        <v>1346</v>
      </c>
    </row>
    <row r="478" spans="5:5" x14ac:dyDescent="0.2">
      <c r="E478" t="s">
        <v>1347</v>
      </c>
    </row>
    <row r="479" spans="5:5" x14ac:dyDescent="0.2">
      <c r="E479" t="s">
        <v>1348</v>
      </c>
    </row>
    <row r="480" spans="5:5" x14ac:dyDescent="0.2">
      <c r="E480" t="s">
        <v>2575</v>
      </c>
    </row>
    <row r="481" spans="5:5" x14ac:dyDescent="0.2">
      <c r="E481" t="s">
        <v>2576</v>
      </c>
    </row>
    <row r="482" spans="5:5" x14ac:dyDescent="0.2">
      <c r="E482" t="s">
        <v>1349</v>
      </c>
    </row>
    <row r="483" spans="5:5" x14ac:dyDescent="0.2">
      <c r="E483" t="s">
        <v>1350</v>
      </c>
    </row>
    <row r="484" spans="5:5" x14ac:dyDescent="0.2">
      <c r="E484" t="s">
        <v>1961</v>
      </c>
    </row>
    <row r="485" spans="5:5" x14ac:dyDescent="0.2">
      <c r="E485" t="s">
        <v>1351</v>
      </c>
    </row>
    <row r="486" spans="5:5" x14ac:dyDescent="0.2">
      <c r="E486" t="s">
        <v>1352</v>
      </c>
    </row>
    <row r="487" spans="5:5" x14ac:dyDescent="0.2">
      <c r="E487" t="s">
        <v>1353</v>
      </c>
    </row>
    <row r="488" spans="5:5" x14ac:dyDescent="0.2">
      <c r="E488" t="s">
        <v>1354</v>
      </c>
    </row>
    <row r="489" spans="5:5" x14ac:dyDescent="0.2">
      <c r="E489" t="s">
        <v>1355</v>
      </c>
    </row>
    <row r="490" spans="5:5" x14ac:dyDescent="0.2">
      <c r="E490" t="s">
        <v>1356</v>
      </c>
    </row>
    <row r="491" spans="5:5" x14ac:dyDescent="0.2">
      <c r="E491" t="s">
        <v>1357</v>
      </c>
    </row>
    <row r="492" spans="5:5" x14ac:dyDescent="0.2">
      <c r="E492" t="s">
        <v>1358</v>
      </c>
    </row>
    <row r="493" spans="5:5" x14ac:dyDescent="0.2">
      <c r="E493" t="s">
        <v>1359</v>
      </c>
    </row>
    <row r="494" spans="5:5" x14ac:dyDescent="0.2">
      <c r="E494" t="s">
        <v>1360</v>
      </c>
    </row>
    <row r="495" spans="5:5" x14ac:dyDescent="0.2">
      <c r="E495" t="s">
        <v>1361</v>
      </c>
    </row>
    <row r="496" spans="5:5" x14ac:dyDescent="0.2">
      <c r="E496" t="s">
        <v>1362</v>
      </c>
    </row>
    <row r="497" spans="5:5" x14ac:dyDescent="0.2">
      <c r="E497" t="s">
        <v>1363</v>
      </c>
    </row>
    <row r="498" spans="5:5" x14ac:dyDescent="0.2">
      <c r="E498" t="s">
        <v>1364</v>
      </c>
    </row>
    <row r="499" spans="5:5" x14ac:dyDescent="0.2">
      <c r="E499" t="s">
        <v>1365</v>
      </c>
    </row>
    <row r="500" spans="5:5" x14ac:dyDescent="0.2">
      <c r="E500" t="s">
        <v>1366</v>
      </c>
    </row>
    <row r="501" spans="5:5" x14ac:dyDescent="0.2">
      <c r="E501" t="s">
        <v>1367</v>
      </c>
    </row>
    <row r="502" spans="5:5" x14ac:dyDescent="0.2">
      <c r="E502" t="s">
        <v>1368</v>
      </c>
    </row>
    <row r="503" spans="5:5" x14ac:dyDescent="0.2">
      <c r="E503" t="s">
        <v>1369</v>
      </c>
    </row>
    <row r="504" spans="5:5" x14ac:dyDescent="0.2">
      <c r="E504" t="s">
        <v>1370</v>
      </c>
    </row>
    <row r="505" spans="5:5" x14ac:dyDescent="0.2">
      <c r="E505" t="s">
        <v>1371</v>
      </c>
    </row>
    <row r="506" spans="5:5" x14ac:dyDescent="0.2">
      <c r="E506" t="s">
        <v>1962</v>
      </c>
    </row>
    <row r="507" spans="5:5" x14ac:dyDescent="0.2">
      <c r="E507" t="s">
        <v>1372</v>
      </c>
    </row>
    <row r="508" spans="5:5" x14ac:dyDescent="0.2">
      <c r="E508" t="s">
        <v>1373</v>
      </c>
    </row>
    <row r="509" spans="5:5" x14ac:dyDescent="0.2">
      <c r="E509" t="s">
        <v>1963</v>
      </c>
    </row>
    <row r="510" spans="5:5" x14ac:dyDescent="0.2">
      <c r="E510" t="s">
        <v>1374</v>
      </c>
    </row>
    <row r="511" spans="5:5" x14ac:dyDescent="0.2">
      <c r="E511" t="s">
        <v>1375</v>
      </c>
    </row>
    <row r="512" spans="5:5" x14ac:dyDescent="0.2">
      <c r="E512" t="s">
        <v>2161</v>
      </c>
    </row>
    <row r="513" spans="5:5" x14ac:dyDescent="0.2">
      <c r="E513" t="s">
        <v>1964</v>
      </c>
    </row>
    <row r="514" spans="5:5" x14ac:dyDescent="0.2">
      <c r="E514" t="s">
        <v>1376</v>
      </c>
    </row>
    <row r="515" spans="5:5" x14ac:dyDescent="0.2">
      <c r="E515" t="s">
        <v>1377</v>
      </c>
    </row>
    <row r="516" spans="5:5" x14ac:dyDescent="0.2">
      <c r="E516" t="s">
        <v>1378</v>
      </c>
    </row>
    <row r="517" spans="5:5" x14ac:dyDescent="0.2">
      <c r="E517" t="s">
        <v>1379</v>
      </c>
    </row>
    <row r="518" spans="5:5" x14ac:dyDescent="0.2">
      <c r="E518" t="s">
        <v>1380</v>
      </c>
    </row>
    <row r="519" spans="5:5" x14ac:dyDescent="0.2">
      <c r="E519" t="s">
        <v>1381</v>
      </c>
    </row>
    <row r="520" spans="5:5" x14ac:dyDescent="0.2">
      <c r="E520" t="s">
        <v>1382</v>
      </c>
    </row>
    <row r="521" spans="5:5" x14ac:dyDescent="0.2">
      <c r="E521" t="s">
        <v>1383</v>
      </c>
    </row>
    <row r="522" spans="5:5" x14ac:dyDescent="0.2">
      <c r="E522" t="s">
        <v>1384</v>
      </c>
    </row>
    <row r="523" spans="5:5" x14ac:dyDescent="0.2">
      <c r="E523" t="s">
        <v>1385</v>
      </c>
    </row>
    <row r="524" spans="5:5" x14ac:dyDescent="0.2">
      <c r="E524" t="s">
        <v>1386</v>
      </c>
    </row>
    <row r="525" spans="5:5" x14ac:dyDescent="0.2">
      <c r="E525" t="s">
        <v>1387</v>
      </c>
    </row>
    <row r="526" spans="5:5" x14ac:dyDescent="0.2">
      <c r="E526" t="s">
        <v>2162</v>
      </c>
    </row>
    <row r="527" spans="5:5" x14ac:dyDescent="0.2">
      <c r="E527" t="s">
        <v>1388</v>
      </c>
    </row>
    <row r="528" spans="5:5" x14ac:dyDescent="0.2">
      <c r="E528" t="s">
        <v>1965</v>
      </c>
    </row>
    <row r="529" spans="5:5" x14ac:dyDescent="0.2">
      <c r="E529" t="s">
        <v>2163</v>
      </c>
    </row>
    <row r="530" spans="5:5" x14ac:dyDescent="0.2">
      <c r="E530" t="s">
        <v>1389</v>
      </c>
    </row>
    <row r="531" spans="5:5" x14ac:dyDescent="0.2">
      <c r="E531" t="s">
        <v>1390</v>
      </c>
    </row>
    <row r="532" spans="5:5" x14ac:dyDescent="0.2">
      <c r="E532" t="s">
        <v>1391</v>
      </c>
    </row>
    <row r="533" spans="5:5" x14ac:dyDescent="0.2">
      <c r="E533" t="s">
        <v>1392</v>
      </c>
    </row>
    <row r="534" spans="5:5" x14ac:dyDescent="0.2">
      <c r="E534" t="s">
        <v>1393</v>
      </c>
    </row>
  </sheetData>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7" t="s">
        <v>720</v>
      </c>
      <c r="B1" s="178"/>
      <c r="C1" s="178"/>
      <c r="D1" s="178"/>
      <c r="E1" s="178"/>
      <c r="F1" s="178"/>
      <c r="G1" s="178"/>
      <c r="H1" s="178"/>
      <c r="I1" s="178"/>
      <c r="J1" s="178"/>
      <c r="K1" s="178"/>
      <c r="L1" s="178"/>
      <c r="M1" s="178"/>
      <c r="N1" s="178"/>
      <c r="O1" s="178"/>
    </row>
    <row r="2" spans="1:15" x14ac:dyDescent="0.2">
      <c r="A2" s="7" t="s">
        <v>721</v>
      </c>
    </row>
    <row r="3" spans="1:15" x14ac:dyDescent="0.2">
      <c r="A3" s="7" t="s">
        <v>722</v>
      </c>
    </row>
    <row r="5" spans="1:15" ht="28" customHeight="1" x14ac:dyDescent="0.2">
      <c r="A5" s="10" t="s">
        <v>71</v>
      </c>
      <c r="B5" s="10" t="s">
        <v>723</v>
      </c>
      <c r="C5" s="10" t="s">
        <v>724</v>
      </c>
      <c r="D5" s="10" t="s">
        <v>725</v>
      </c>
      <c r="E5" s="10" t="s">
        <v>726</v>
      </c>
      <c r="F5" s="10" t="s">
        <v>727</v>
      </c>
      <c r="G5" s="10" t="s">
        <v>728</v>
      </c>
      <c r="H5" s="10" t="s">
        <v>729</v>
      </c>
    </row>
    <row r="6" spans="1:15" x14ac:dyDescent="0.2">
      <c r="A6" s="11">
        <v>1</v>
      </c>
      <c r="B6" s="11" t="s">
        <v>390</v>
      </c>
      <c r="C6" s="11" t="s">
        <v>730</v>
      </c>
      <c r="D6" s="12">
        <v>10.5</v>
      </c>
      <c r="E6" s="11">
        <v>364506</v>
      </c>
      <c r="F6" s="11" t="s">
        <v>731</v>
      </c>
      <c r="G6" s="11" t="s">
        <v>732</v>
      </c>
      <c r="H6" s="11" t="s">
        <v>390</v>
      </c>
    </row>
    <row r="7" spans="1:15" x14ac:dyDescent="0.2">
      <c r="A7" s="11">
        <v>2</v>
      </c>
      <c r="B7" s="11" t="s">
        <v>279</v>
      </c>
      <c r="C7" s="11" t="s">
        <v>733</v>
      </c>
      <c r="D7" s="12">
        <v>7.3</v>
      </c>
      <c r="E7" s="11">
        <v>397490</v>
      </c>
      <c r="F7" s="11" t="s">
        <v>734</v>
      </c>
      <c r="G7" s="11" t="s">
        <v>732</v>
      </c>
      <c r="H7" s="11" t="s">
        <v>279</v>
      </c>
    </row>
    <row r="8" spans="1:15" x14ac:dyDescent="0.2">
      <c r="A8" s="11">
        <v>3</v>
      </c>
      <c r="B8" s="11" t="s">
        <v>735</v>
      </c>
      <c r="C8" s="11" t="s">
        <v>736</v>
      </c>
      <c r="D8" s="12">
        <v>8.9</v>
      </c>
      <c r="E8" s="11">
        <v>412305</v>
      </c>
      <c r="F8" s="11" t="s">
        <v>737</v>
      </c>
      <c r="G8" s="11" t="s">
        <v>732</v>
      </c>
      <c r="H8" s="11" t="s">
        <v>735</v>
      </c>
    </row>
    <row r="9" spans="1:15" x14ac:dyDescent="0.2">
      <c r="A9" s="11">
        <v>4</v>
      </c>
      <c r="B9" s="11" t="s">
        <v>464</v>
      </c>
      <c r="C9" s="11" t="s">
        <v>738</v>
      </c>
      <c r="D9" s="12">
        <v>7.13</v>
      </c>
      <c r="E9" s="11">
        <v>412805</v>
      </c>
      <c r="F9" s="11" t="s">
        <v>739</v>
      </c>
      <c r="G9" s="11" t="s">
        <v>732</v>
      </c>
      <c r="H9" s="11" t="s">
        <v>464</v>
      </c>
    </row>
    <row r="10" spans="1:15" x14ac:dyDescent="0.2">
      <c r="A10" s="11">
        <v>5</v>
      </c>
      <c r="B10" s="11" t="s">
        <v>96</v>
      </c>
      <c r="C10" s="11" t="s">
        <v>740</v>
      </c>
      <c r="D10" s="12">
        <v>8.9600000000000009</v>
      </c>
      <c r="E10" s="11">
        <v>412479</v>
      </c>
      <c r="F10" s="11" t="s">
        <v>741</v>
      </c>
      <c r="G10" s="11" t="s">
        <v>732</v>
      </c>
      <c r="H10" s="11" t="s">
        <v>96</v>
      </c>
    </row>
    <row r="11" spans="1:15" x14ac:dyDescent="0.2">
      <c r="A11" s="11">
        <v>6</v>
      </c>
      <c r="B11" s="11" t="s">
        <v>124</v>
      </c>
      <c r="C11" s="11" t="s">
        <v>742</v>
      </c>
      <c r="D11" s="12"/>
      <c r="E11" s="11">
        <v>412723</v>
      </c>
      <c r="F11" s="11" t="s">
        <v>743</v>
      </c>
      <c r="G11" s="11" t="s">
        <v>744</v>
      </c>
      <c r="H11" s="11" t="s">
        <v>124</v>
      </c>
    </row>
    <row r="12" spans="1:15" x14ac:dyDescent="0.2">
      <c r="A12" s="11">
        <v>7</v>
      </c>
      <c r="B12" s="11" t="s">
        <v>745</v>
      </c>
      <c r="C12" s="11" t="s">
        <v>742</v>
      </c>
      <c r="D12" s="12"/>
      <c r="E12" s="11">
        <v>702767</v>
      </c>
      <c r="F12" s="11" t="s">
        <v>746</v>
      </c>
      <c r="G12" s="11" t="s">
        <v>747</v>
      </c>
      <c r="H12" s="11" t="s">
        <v>748</v>
      </c>
    </row>
    <row r="13" spans="1:15" x14ac:dyDescent="0.2">
      <c r="A13" s="11">
        <v>8</v>
      </c>
      <c r="B13" s="11" t="s">
        <v>749</v>
      </c>
      <c r="C13" s="11" t="s">
        <v>742</v>
      </c>
      <c r="D13" s="12"/>
      <c r="E13" s="11">
        <v>702769</v>
      </c>
      <c r="F13" s="11" t="s">
        <v>750</v>
      </c>
      <c r="G13" s="11" t="s">
        <v>747</v>
      </c>
      <c r="H13" s="11" t="s">
        <v>748</v>
      </c>
    </row>
    <row r="14" spans="1:15" x14ac:dyDescent="0.2">
      <c r="A14" s="11">
        <v>9</v>
      </c>
      <c r="B14" s="11" t="s">
        <v>751</v>
      </c>
      <c r="C14" s="11" t="s">
        <v>742</v>
      </c>
      <c r="D14" s="12"/>
      <c r="E14" s="11">
        <v>702768</v>
      </c>
      <c r="F14" s="11" t="s">
        <v>752</v>
      </c>
      <c r="G14" s="11" t="s">
        <v>747</v>
      </c>
      <c r="H14" s="11" t="s">
        <v>748</v>
      </c>
    </row>
    <row r="16" spans="1:15" x14ac:dyDescent="0.2">
      <c r="A16" s="13" t="s">
        <v>753</v>
      </c>
    </row>
    <row r="17" spans="1:19" ht="28" customHeight="1" x14ac:dyDescent="0.2">
      <c r="A17" s="10" t="s">
        <v>71</v>
      </c>
      <c r="B17" s="10" t="s">
        <v>754</v>
      </c>
      <c r="C17" s="10" t="s">
        <v>968</v>
      </c>
      <c r="D17" s="10" t="s">
        <v>755</v>
      </c>
      <c r="E17" s="10" t="s">
        <v>43</v>
      </c>
      <c r="F17" s="10" t="s">
        <v>756</v>
      </c>
      <c r="G17" s="10" t="s">
        <v>757</v>
      </c>
      <c r="H17" s="10" t="s">
        <v>758</v>
      </c>
      <c r="I17" s="10" t="s">
        <v>759</v>
      </c>
      <c r="J17" s="8"/>
      <c r="K17" s="8" t="s">
        <v>760</v>
      </c>
      <c r="L17" s="8" t="s">
        <v>761</v>
      </c>
      <c r="M17" s="8" t="s">
        <v>762</v>
      </c>
      <c r="N17" s="8" t="s">
        <v>763</v>
      </c>
      <c r="O17" s="8" t="s">
        <v>764</v>
      </c>
      <c r="P17" s="8" t="s">
        <v>765</v>
      </c>
      <c r="Q17" s="8" t="s">
        <v>766</v>
      </c>
      <c r="R17" s="8" t="s">
        <v>767</v>
      </c>
      <c r="S17" s="8" t="s">
        <v>768</v>
      </c>
    </row>
    <row r="18" spans="1:19" x14ac:dyDescent="0.2">
      <c r="A18" s="14" t="s">
        <v>769</v>
      </c>
      <c r="B18" s="14" t="s">
        <v>769</v>
      </c>
      <c r="C18" s="14" t="s">
        <v>769</v>
      </c>
      <c r="D18" s="14" t="s">
        <v>769</v>
      </c>
      <c r="E18" s="14" t="s">
        <v>769</v>
      </c>
      <c r="F18" s="14" t="s">
        <v>769</v>
      </c>
      <c r="G18" s="14" t="s">
        <v>769</v>
      </c>
      <c r="H18" s="14" t="s">
        <v>769</v>
      </c>
      <c r="I18" s="14" t="s">
        <v>769</v>
      </c>
      <c r="J18" s="14"/>
      <c r="K18" s="14" t="s">
        <v>770</v>
      </c>
      <c r="L18" s="14" t="s">
        <v>770</v>
      </c>
      <c r="M18" s="14" t="s">
        <v>770</v>
      </c>
      <c r="N18" s="14" t="s">
        <v>770</v>
      </c>
      <c r="O18" s="14" t="s">
        <v>770</v>
      </c>
      <c r="P18" s="14" t="s">
        <v>770</v>
      </c>
      <c r="Q18" s="14" t="s">
        <v>770</v>
      </c>
      <c r="R18" s="14" t="s">
        <v>770</v>
      </c>
      <c r="S18" s="14" t="s">
        <v>770</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771</v>
      </c>
    </row>
    <row r="2" spans="1:1" x14ac:dyDescent="0.2">
      <c r="A2" s="4"/>
    </row>
    <row r="3" spans="1:1" ht="17" customHeight="1" x14ac:dyDescent="0.2">
      <c r="A3" s="5" t="s">
        <v>772</v>
      </c>
    </row>
    <row r="4" spans="1:1" x14ac:dyDescent="0.2">
      <c r="A4" s="5" t="s">
        <v>773</v>
      </c>
    </row>
    <row r="5" spans="1:1" x14ac:dyDescent="0.2">
      <c r="A5" s="5" t="s">
        <v>774</v>
      </c>
    </row>
    <row r="6" spans="1:1" x14ac:dyDescent="0.2">
      <c r="A6" s="4" t="s">
        <v>775</v>
      </c>
    </row>
    <row r="7" spans="1:1" x14ac:dyDescent="0.2">
      <c r="A7" s="2"/>
    </row>
    <row r="8" spans="1:1" ht="17" customHeight="1" x14ac:dyDescent="0.2">
      <c r="A8" s="3" t="s">
        <v>776</v>
      </c>
    </row>
    <row r="9" spans="1:1" x14ac:dyDescent="0.2">
      <c r="A9" s="4" t="s">
        <v>777</v>
      </c>
    </row>
    <row r="10" spans="1:1" x14ac:dyDescent="0.2">
      <c r="A10" s="4" t="s">
        <v>778</v>
      </c>
    </row>
    <row r="11" spans="1:1" ht="17" customHeight="1" x14ac:dyDescent="0.2">
      <c r="A11" s="4" t="s">
        <v>779</v>
      </c>
    </row>
    <row r="12" spans="1:1" x14ac:dyDescent="0.2">
      <c r="A12" s="4"/>
    </row>
    <row r="13" spans="1:1" x14ac:dyDescent="0.2">
      <c r="A13" s="4" t="s">
        <v>780</v>
      </c>
    </row>
    <row r="14" spans="1:1" ht="16" customHeight="1" x14ac:dyDescent="0.2">
      <c r="A14" s="2" t="s">
        <v>781</v>
      </c>
    </row>
    <row r="15" spans="1:1" ht="17" customHeight="1" x14ac:dyDescent="0.2">
      <c r="A15" s="3" t="s">
        <v>782</v>
      </c>
    </row>
    <row r="16" spans="1:1" x14ac:dyDescent="0.2">
      <c r="A16" s="4" t="s">
        <v>783</v>
      </c>
    </row>
    <row r="17" spans="1:1" x14ac:dyDescent="0.2">
      <c r="A17" s="4" t="s">
        <v>784</v>
      </c>
    </row>
    <row r="18" spans="1:1" ht="17" customHeight="1" x14ac:dyDescent="0.2">
      <c r="A18" s="4" t="s">
        <v>785</v>
      </c>
    </row>
    <row r="19" spans="1:1" x14ac:dyDescent="0.2">
      <c r="A19" s="4" t="s">
        <v>786</v>
      </c>
    </row>
    <row r="20" spans="1:1" x14ac:dyDescent="0.2">
      <c r="A20" s="4"/>
    </row>
    <row r="21" spans="1:1" x14ac:dyDescent="0.2">
      <c r="A21" s="4" t="s">
        <v>787</v>
      </c>
    </row>
    <row r="22" spans="1:1" x14ac:dyDescent="0.2">
      <c r="A22" s="4" t="s">
        <v>788</v>
      </c>
    </row>
    <row r="23" spans="1:1" ht="16" x14ac:dyDescent="0.2">
      <c r="A23" s="2" t="s">
        <v>789</v>
      </c>
    </row>
    <row r="24" spans="1:1" ht="17" customHeight="1" x14ac:dyDescent="0.2">
      <c r="A24" s="3"/>
    </row>
    <row r="25" spans="1:1" x14ac:dyDescent="0.2">
      <c r="A25" s="4" t="s">
        <v>790</v>
      </c>
    </row>
    <row r="26" spans="1:1" x14ac:dyDescent="0.2">
      <c r="A26" s="4" t="s">
        <v>791</v>
      </c>
    </row>
    <row r="27" spans="1:1" ht="17" customHeight="1" x14ac:dyDescent="0.2">
      <c r="A27" s="4" t="s">
        <v>792</v>
      </c>
    </row>
    <row r="28" spans="1:1" x14ac:dyDescent="0.2">
      <c r="A28" s="4" t="s">
        <v>793</v>
      </c>
    </row>
    <row r="29" spans="1:1" x14ac:dyDescent="0.2">
      <c r="A29" s="4" t="s">
        <v>794</v>
      </c>
    </row>
    <row r="30" spans="1:1" ht="16" customHeight="1" x14ac:dyDescent="0.2">
      <c r="A30" s="2" t="s">
        <v>795</v>
      </c>
    </row>
    <row r="31" spans="1:1" ht="17" customHeight="1" x14ac:dyDescent="0.2">
      <c r="A31" s="3" t="s">
        <v>796</v>
      </c>
    </row>
    <row r="32" spans="1:1" x14ac:dyDescent="0.2">
      <c r="A32" s="4" t="s">
        <v>797</v>
      </c>
    </row>
    <row r="33" spans="1:1" x14ac:dyDescent="0.2">
      <c r="A33" s="4" t="s">
        <v>798</v>
      </c>
    </row>
    <row r="34" spans="1:1" ht="17" customHeight="1" x14ac:dyDescent="0.2">
      <c r="A34" s="4"/>
    </row>
    <row r="35" spans="1:1" x14ac:dyDescent="0.2">
      <c r="A35" t="s">
        <v>799</v>
      </c>
    </row>
    <row r="36" spans="1:1" x14ac:dyDescent="0.2">
      <c r="A36" t="s">
        <v>800</v>
      </c>
    </row>
    <row r="37" spans="1:1" x14ac:dyDescent="0.2">
      <c r="A37" t="s">
        <v>801</v>
      </c>
    </row>
    <row r="38" spans="1:1" x14ac:dyDescent="0.2">
      <c r="A38" t="s">
        <v>802</v>
      </c>
    </row>
    <row r="39" spans="1:1" x14ac:dyDescent="0.2">
      <c r="A39" t="s">
        <v>803</v>
      </c>
    </row>
    <row r="40" spans="1:1" x14ac:dyDescent="0.2">
      <c r="A40" t="s">
        <v>804</v>
      </c>
    </row>
    <row r="41" spans="1:1" x14ac:dyDescent="0.2">
      <c r="A41" t="s">
        <v>805</v>
      </c>
    </row>
    <row r="42" spans="1:1" x14ac:dyDescent="0.2">
      <c r="A42" t="s">
        <v>806</v>
      </c>
    </row>
    <row r="44" spans="1:1" x14ac:dyDescent="0.2">
      <c r="A44" t="s">
        <v>807</v>
      </c>
    </row>
    <row r="45" spans="1:1" x14ac:dyDescent="0.2">
      <c r="A45" t="s">
        <v>808</v>
      </c>
    </row>
    <row r="46" spans="1:1" x14ac:dyDescent="0.2">
      <c r="A46" t="s">
        <v>809</v>
      </c>
    </row>
    <row r="48" spans="1:1" x14ac:dyDescent="0.2">
      <c r="A48" t="s">
        <v>810</v>
      </c>
    </row>
    <row r="49" spans="1:1" x14ac:dyDescent="0.2">
      <c r="A49" t="s">
        <v>811</v>
      </c>
    </row>
    <row r="50" spans="1:1" x14ac:dyDescent="0.2">
      <c r="A50" t="s">
        <v>812</v>
      </c>
    </row>
    <row r="52" spans="1:1" x14ac:dyDescent="0.2">
      <c r="A52" t="s">
        <v>813</v>
      </c>
    </row>
    <row r="53" spans="1:1" x14ac:dyDescent="0.2">
      <c r="A53" t="s">
        <v>814</v>
      </c>
    </row>
    <row r="54" spans="1:1" x14ac:dyDescent="0.2">
      <c r="A54" t="s">
        <v>815</v>
      </c>
    </row>
    <row r="55" spans="1:1" x14ac:dyDescent="0.2">
      <c r="A55" t="s">
        <v>921</v>
      </c>
    </row>
    <row r="57" spans="1:1" x14ac:dyDescent="0.2">
      <c r="A57" t="s">
        <v>816</v>
      </c>
    </row>
    <row r="58" spans="1:1" x14ac:dyDescent="0.2">
      <c r="A58" t="s">
        <v>817</v>
      </c>
    </row>
    <row r="59" spans="1:1" x14ac:dyDescent="0.2">
      <c r="A59" t="s">
        <v>818</v>
      </c>
    </row>
    <row r="60" spans="1:1" x14ac:dyDescent="0.2">
      <c r="A60" t="s">
        <v>819</v>
      </c>
    </row>
    <row r="61" spans="1:1" x14ac:dyDescent="0.2">
      <c r="A61" t="s">
        <v>820</v>
      </c>
    </row>
    <row r="62" spans="1:1" x14ac:dyDescent="0.2">
      <c r="A62" t="s">
        <v>821</v>
      </c>
    </row>
    <row r="64" spans="1:1" x14ac:dyDescent="0.2">
      <c r="A64" t="s">
        <v>822</v>
      </c>
    </row>
    <row r="65" spans="1:1" x14ac:dyDescent="0.2">
      <c r="A65" t="s">
        <v>823</v>
      </c>
    </row>
    <row r="66" spans="1:1" x14ac:dyDescent="0.2">
      <c r="A66" t="s">
        <v>824</v>
      </c>
    </row>
    <row r="67" spans="1:1" x14ac:dyDescent="0.2">
      <c r="A67" t="s">
        <v>825</v>
      </c>
    </row>
    <row r="68" spans="1:1" x14ac:dyDescent="0.2">
      <c r="A68" t="s">
        <v>826</v>
      </c>
    </row>
    <row r="69" spans="1:1" x14ac:dyDescent="0.2">
      <c r="A69" t="s">
        <v>827</v>
      </c>
    </row>
    <row r="71" spans="1:1" x14ac:dyDescent="0.2">
      <c r="A71" t="s">
        <v>828</v>
      </c>
    </row>
    <row r="72" spans="1:1" x14ac:dyDescent="0.2">
      <c r="A72" t="s">
        <v>829</v>
      </c>
    </row>
    <row r="73" spans="1:1" x14ac:dyDescent="0.2">
      <c r="A73" t="s">
        <v>830</v>
      </c>
    </row>
    <row r="74" spans="1:1" x14ac:dyDescent="0.2">
      <c r="A74" t="s">
        <v>831</v>
      </c>
    </row>
    <row r="75" spans="1:1" x14ac:dyDescent="0.2">
      <c r="A75" t="s">
        <v>832</v>
      </c>
    </row>
    <row r="76" spans="1:1" x14ac:dyDescent="0.2">
      <c r="A76" t="s">
        <v>833</v>
      </c>
    </row>
    <row r="78" spans="1:1" x14ac:dyDescent="0.2">
      <c r="A78" t="s">
        <v>834</v>
      </c>
    </row>
    <row r="79" spans="1:1" x14ac:dyDescent="0.2">
      <c r="A79" t="s">
        <v>835</v>
      </c>
    </row>
    <row r="80" spans="1:1" x14ac:dyDescent="0.2">
      <c r="A80" t="s">
        <v>836</v>
      </c>
    </row>
    <row r="81" spans="1:1" x14ac:dyDescent="0.2">
      <c r="A81" t="s">
        <v>837</v>
      </c>
    </row>
    <row r="82" spans="1:1" x14ac:dyDescent="0.2">
      <c r="A82" t="s">
        <v>838</v>
      </c>
    </row>
    <row r="83" spans="1:1" x14ac:dyDescent="0.2">
      <c r="A83" t="s">
        <v>839</v>
      </c>
    </row>
    <row r="84" spans="1:1" x14ac:dyDescent="0.2">
      <c r="A84" t="s">
        <v>840</v>
      </c>
    </row>
    <row r="86" spans="1:1" x14ac:dyDescent="0.2">
      <c r="A86" t="s">
        <v>841</v>
      </c>
    </row>
    <row r="87" spans="1:1" x14ac:dyDescent="0.2">
      <c r="A87" t="s">
        <v>842</v>
      </c>
    </row>
    <row r="89" spans="1:1" x14ac:dyDescent="0.2">
      <c r="A89" t="s">
        <v>843</v>
      </c>
    </row>
    <row r="90" spans="1:1" x14ac:dyDescent="0.2">
      <c r="A90" t="s">
        <v>844</v>
      </c>
    </row>
    <row r="91" spans="1:1" x14ac:dyDescent="0.2">
      <c r="A91" t="s">
        <v>845</v>
      </c>
    </row>
    <row r="92" spans="1:1" x14ac:dyDescent="0.2">
      <c r="A92" t="s">
        <v>846</v>
      </c>
    </row>
    <row r="93" spans="1:1" x14ac:dyDescent="0.2">
      <c r="A93" t="s">
        <v>847</v>
      </c>
    </row>
    <row r="95" spans="1:1" x14ac:dyDescent="0.2">
      <c r="A95" t="s">
        <v>848</v>
      </c>
    </row>
    <row r="96" spans="1:1" x14ac:dyDescent="0.2">
      <c r="A96" t="s">
        <v>849</v>
      </c>
    </row>
    <row r="97" spans="1:1" x14ac:dyDescent="0.2">
      <c r="A97" t="s">
        <v>850</v>
      </c>
    </row>
    <row r="98" spans="1:1" x14ac:dyDescent="0.2">
      <c r="A98" t="s">
        <v>851</v>
      </c>
    </row>
    <row r="99" spans="1:1" x14ac:dyDescent="0.2">
      <c r="A99" t="s">
        <v>852</v>
      </c>
    </row>
    <row r="101" spans="1:1" x14ac:dyDescent="0.2">
      <c r="A101" t="s">
        <v>853</v>
      </c>
    </row>
    <row r="102" spans="1:1" x14ac:dyDescent="0.2">
      <c r="A102" t="s">
        <v>854</v>
      </c>
    </row>
    <row r="103" spans="1:1" x14ac:dyDescent="0.2">
      <c r="A103" t="s">
        <v>855</v>
      </c>
    </row>
    <row r="104" spans="1:1" x14ac:dyDescent="0.2">
      <c r="A104" t="s">
        <v>856</v>
      </c>
    </row>
    <row r="105" spans="1:1" x14ac:dyDescent="0.2">
      <c r="A105" t="s">
        <v>857</v>
      </c>
    </row>
    <row r="107" spans="1:1" x14ac:dyDescent="0.2">
      <c r="A107" t="s">
        <v>858</v>
      </c>
    </row>
    <row r="108" spans="1:1" x14ac:dyDescent="0.2">
      <c r="A108" t="s">
        <v>859</v>
      </c>
    </row>
    <row r="109" spans="1:1" x14ac:dyDescent="0.2">
      <c r="A109" t="s">
        <v>860</v>
      </c>
    </row>
    <row r="110" spans="1:1" x14ac:dyDescent="0.2">
      <c r="A110" t="s">
        <v>861</v>
      </c>
    </row>
    <row r="111" spans="1:1" x14ac:dyDescent="0.2">
      <c r="A111" t="s">
        <v>862</v>
      </c>
    </row>
    <row r="113" spans="1:1" x14ac:dyDescent="0.2">
      <c r="A113" t="s">
        <v>863</v>
      </c>
    </row>
    <row r="114" spans="1:1" x14ac:dyDescent="0.2">
      <c r="A114" t="s">
        <v>864</v>
      </c>
    </row>
    <row r="115" spans="1:1" x14ac:dyDescent="0.2">
      <c r="A115" t="s">
        <v>865</v>
      </c>
    </row>
    <row r="116" spans="1:1" x14ac:dyDescent="0.2">
      <c r="A116" t="s">
        <v>866</v>
      </c>
    </row>
    <row r="117" spans="1:1" x14ac:dyDescent="0.2">
      <c r="A117" t="s">
        <v>867</v>
      </c>
    </row>
    <row r="118" spans="1:1" x14ac:dyDescent="0.2">
      <c r="A118" t="s">
        <v>868</v>
      </c>
    </row>
    <row r="120" spans="1:1" x14ac:dyDescent="0.2">
      <c r="A120" t="s">
        <v>869</v>
      </c>
    </row>
    <row r="121" spans="1:1" x14ac:dyDescent="0.2">
      <c r="A121" t="s">
        <v>870</v>
      </c>
    </row>
    <row r="122" spans="1:1" x14ac:dyDescent="0.2">
      <c r="A122" t="s">
        <v>871</v>
      </c>
    </row>
    <row r="123" spans="1:1" x14ac:dyDescent="0.2">
      <c r="A123" t="s">
        <v>872</v>
      </c>
    </row>
    <row r="125" spans="1:1" x14ac:dyDescent="0.2">
      <c r="A125" t="s">
        <v>873</v>
      </c>
    </row>
    <row r="126" spans="1:1" x14ac:dyDescent="0.2">
      <c r="A126" t="s">
        <v>874</v>
      </c>
    </row>
    <row r="127" spans="1:1" x14ac:dyDescent="0.2">
      <c r="A127" t="s">
        <v>875</v>
      </c>
    </row>
    <row r="128" spans="1:1" x14ac:dyDescent="0.2">
      <c r="A128" t="s">
        <v>876</v>
      </c>
    </row>
    <row r="129" spans="1:1" x14ac:dyDescent="0.2">
      <c r="A129" t="s">
        <v>877</v>
      </c>
    </row>
    <row r="130" spans="1:1" x14ac:dyDescent="0.2">
      <c r="A130" t="s">
        <v>878</v>
      </c>
    </row>
    <row r="131" spans="1:1" x14ac:dyDescent="0.2">
      <c r="A131" t="s">
        <v>879</v>
      </c>
    </row>
    <row r="132" spans="1:1" x14ac:dyDescent="0.2">
      <c r="A132" t="s">
        <v>880</v>
      </c>
    </row>
    <row r="133" spans="1:1" x14ac:dyDescent="0.2">
      <c r="A133" t="s">
        <v>881</v>
      </c>
    </row>
    <row r="134" spans="1:1" x14ac:dyDescent="0.2">
      <c r="A134" t="s">
        <v>882</v>
      </c>
    </row>
    <row r="136" spans="1:1" x14ac:dyDescent="0.2">
      <c r="A136" t="s">
        <v>883</v>
      </c>
    </row>
    <row r="137" spans="1:1" x14ac:dyDescent="0.2">
      <c r="A137" t="s">
        <v>884</v>
      </c>
    </row>
    <row r="138" spans="1:1" x14ac:dyDescent="0.2">
      <c r="A138" t="s">
        <v>885</v>
      </c>
    </row>
    <row r="139" spans="1:1" x14ac:dyDescent="0.2">
      <c r="A139" t="s">
        <v>886</v>
      </c>
    </row>
    <row r="140" spans="1:1" x14ac:dyDescent="0.2">
      <c r="A140" t="s">
        <v>887</v>
      </c>
    </row>
    <row r="141" spans="1:1" x14ac:dyDescent="0.2">
      <c r="A141" t="s">
        <v>888</v>
      </c>
    </row>
    <row r="142" spans="1:1" x14ac:dyDescent="0.2">
      <c r="A142" t="s">
        <v>889</v>
      </c>
    </row>
    <row r="143" spans="1:1" x14ac:dyDescent="0.2">
      <c r="A143" t="s">
        <v>890</v>
      </c>
    </row>
    <row r="145" spans="1:1" x14ac:dyDescent="0.2">
      <c r="A145" t="s">
        <v>891</v>
      </c>
    </row>
    <row r="146" spans="1:1" x14ac:dyDescent="0.2">
      <c r="A146" t="s">
        <v>892</v>
      </c>
    </row>
    <row r="147" spans="1:1" x14ac:dyDescent="0.2">
      <c r="A147" t="s">
        <v>893</v>
      </c>
    </row>
    <row r="148" spans="1:1" x14ac:dyDescent="0.2">
      <c r="A148" t="s">
        <v>894</v>
      </c>
    </row>
    <row r="149" spans="1:1" x14ac:dyDescent="0.2">
      <c r="A149" t="s">
        <v>895</v>
      </c>
    </row>
    <row r="151" spans="1:1" x14ac:dyDescent="0.2">
      <c r="A151" t="s">
        <v>896</v>
      </c>
    </row>
    <row r="152" spans="1:1" x14ac:dyDescent="0.2">
      <c r="A152" t="s">
        <v>897</v>
      </c>
    </row>
    <row r="153" spans="1:1" x14ac:dyDescent="0.2">
      <c r="A153" t="s">
        <v>898</v>
      </c>
    </row>
    <row r="154" spans="1:1" x14ac:dyDescent="0.2">
      <c r="A154" t="s">
        <v>899</v>
      </c>
    </row>
    <row r="155" spans="1:1" x14ac:dyDescent="0.2">
      <c r="A155" t="s">
        <v>900</v>
      </c>
    </row>
    <row r="156" spans="1:1" x14ac:dyDescent="0.2">
      <c r="A156" t="s">
        <v>901</v>
      </c>
    </row>
    <row r="157" spans="1:1" x14ac:dyDescent="0.2">
      <c r="A157" t="s">
        <v>902</v>
      </c>
    </row>
    <row r="158" spans="1:1" x14ac:dyDescent="0.2">
      <c r="A158" t="s">
        <v>903</v>
      </c>
    </row>
    <row r="159" spans="1:1" x14ac:dyDescent="0.2">
      <c r="A159" t="s">
        <v>904</v>
      </c>
    </row>
    <row r="160" spans="1:1" x14ac:dyDescent="0.2">
      <c r="A160" t="s">
        <v>905</v>
      </c>
    </row>
    <row r="161" spans="1:1" x14ac:dyDescent="0.2">
      <c r="A161" t="s">
        <v>906</v>
      </c>
    </row>
    <row r="162" spans="1:1" x14ac:dyDescent="0.2">
      <c r="A162" t="s">
        <v>907</v>
      </c>
    </row>
    <row r="163" spans="1:1" x14ac:dyDescent="0.2">
      <c r="A163" t="s">
        <v>908</v>
      </c>
    </row>
    <row r="164" spans="1:1" x14ac:dyDescent="0.2">
      <c r="A164" t="s">
        <v>909</v>
      </c>
    </row>
    <row r="166" spans="1:1" x14ac:dyDescent="0.2">
      <c r="A166" t="s">
        <v>910</v>
      </c>
    </row>
    <row r="167" spans="1:1" x14ac:dyDescent="0.2">
      <c r="A167" t="s">
        <v>911</v>
      </c>
    </row>
    <row r="168" spans="1:1" x14ac:dyDescent="0.2">
      <c r="A168" t="s">
        <v>912</v>
      </c>
    </row>
    <row r="169" spans="1:1" x14ac:dyDescent="0.2">
      <c r="A169" t="s">
        <v>913</v>
      </c>
    </row>
    <row r="170" spans="1:1" x14ac:dyDescent="0.2">
      <c r="A170" t="s">
        <v>914</v>
      </c>
    </row>
    <row r="171" spans="1:1" x14ac:dyDescent="0.2">
      <c r="A171" t="s">
        <v>915</v>
      </c>
    </row>
    <row r="172" spans="1:1" x14ac:dyDescent="0.2">
      <c r="A172" t="s">
        <v>916</v>
      </c>
    </row>
    <row r="174" spans="1:1" x14ac:dyDescent="0.2">
      <c r="A174" t="s">
        <v>917</v>
      </c>
    </row>
    <row r="175" spans="1:1" x14ac:dyDescent="0.2">
      <c r="A175" t="s">
        <v>918</v>
      </c>
    </row>
    <row r="176" spans="1:1" x14ac:dyDescent="0.2">
      <c r="A176" t="s">
        <v>919</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6.5" style="70" customWidth="1"/>
    <col min="14" max="16384" width="10.83203125" style="70"/>
  </cols>
  <sheetData>
    <row r="1" spans="1:23" x14ac:dyDescent="0.2">
      <c r="A1" s="65" t="s">
        <v>22</v>
      </c>
      <c r="B1" s="68" t="s">
        <v>1438</v>
      </c>
      <c r="C1" s="66" t="s">
        <v>52</v>
      </c>
      <c r="D1" s="66" t="s">
        <v>1437</v>
      </c>
      <c r="E1" s="69" t="s">
        <v>1439</v>
      </c>
      <c r="F1" s="67" t="s">
        <v>82</v>
      </c>
      <c r="G1" s="67" t="s">
        <v>33</v>
      </c>
      <c r="H1" s="70"/>
      <c r="I1" s="71" t="s">
        <v>1440</v>
      </c>
      <c r="J1" s="72" t="s">
        <v>52</v>
      </c>
      <c r="K1" s="72" t="s">
        <v>1844</v>
      </c>
      <c r="L1" s="72" t="s">
        <v>1843</v>
      </c>
      <c r="M1" s="71" t="s">
        <v>1441</v>
      </c>
      <c r="N1" s="98" t="s">
        <v>1847</v>
      </c>
      <c r="O1" s="98" t="s">
        <v>1848</v>
      </c>
    </row>
    <row r="2" spans="1:23" ht="16" x14ac:dyDescent="0.2">
      <c r="A2" s="73"/>
      <c r="B2" s="77"/>
      <c r="C2" s="74"/>
      <c r="D2" s="74" t="s">
        <v>934</v>
      </c>
      <c r="E2" s="78" t="s">
        <v>96</v>
      </c>
      <c r="F2" s="76" t="s">
        <v>141</v>
      </c>
      <c r="G2" s="75" t="s">
        <v>181</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cm="1">
        <f t="array" aca="1" ref="M2" ca="1">IFERROR(_xlfn.UNIQUE(_xlfn._xlws.FILTER(OFFSET($G$2,0,0,COUNTA($G:$G)-1,1),IF(TRIM(J2&amp;"")="",1,IFERROR(LEFT(OFFSET($D$2,0,0,COUNTA($D:$D)-1,1),LEN(J2))=J2,FALSE))*IF(TRIM(K2&amp;"")="",1,OFFSET($E$2,0,0,COUNTA($E:$E)-1,1)=K2)*IF(L2="",1,OFFSET($F$2,0,0,COUNTA($F:$F)-1,1)=L2))),"")</f>
        <v/>
      </c>
      <c r="N2" s="70"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70" t="str" cm="1">
        <f t="array" ref="O2:O98">IFERROR(_xlfn._xlws.FILTER(CAT_Specs!$A$9:$A$197,(CAT_Specs!$B$9:$B$197&lt;&gt;"")*(ISNUMBER(SEARCH(IF(N2="Otros","Otros",IF(ISNUMBER(SEARCH("+",N2)),"|",N2)),CAT_Specs!$B$9:$B$197)))),"(sin matches)")</f>
        <v>1.28.003 (Pavonado)</v>
      </c>
      <c r="W2" s="70">
        <v>11</v>
      </c>
    </row>
    <row r="3" spans="1:23" ht="16" x14ac:dyDescent="0.2">
      <c r="A3" s="73"/>
      <c r="B3" s="77"/>
      <c r="C3" s="74"/>
      <c r="D3" s="74" t="s">
        <v>934</v>
      </c>
      <c r="E3" s="78" t="s">
        <v>96</v>
      </c>
      <c r="F3" s="76" t="s">
        <v>1442</v>
      </c>
      <c r="G3" s="75" t="s">
        <v>181</v>
      </c>
      <c r="H3" s="70"/>
      <c r="J3" s="79"/>
      <c r="K3" s="79"/>
      <c r="L3" s="79"/>
      <c r="O3" s="70" t="str">
        <v>48053-001-01 (Deshidrogenado / Endurecido) | 176 - 204 °C (375 ± 25 °F) | 302 - 329 °C (600 ± 25 °F) | &gt;= 0.5 hrs.</v>
      </c>
    </row>
    <row r="4" spans="1:23" ht="16" x14ac:dyDescent="0.2">
      <c r="A4" s="73"/>
      <c r="B4" s="77"/>
      <c r="C4" s="74"/>
      <c r="D4" s="74" t="s">
        <v>934</v>
      </c>
      <c r="E4" s="78" t="s">
        <v>96</v>
      </c>
      <c r="F4" s="76" t="s">
        <v>1443</v>
      </c>
      <c r="G4" s="75" t="s">
        <v>181</v>
      </c>
      <c r="H4" s="70"/>
      <c r="J4" s="79"/>
      <c r="K4" s="79"/>
      <c r="L4" s="79"/>
      <c r="O4" s="70" t="str">
        <v>48053-001-01 (Deshidrogenado / Endurecido) | 176 - 204 °C (375 ± 25 °F) | 302 - 329 °C (600 ± 25 °F) | &gt;= 1 hrs.</v>
      </c>
    </row>
    <row r="5" spans="1:23" x14ac:dyDescent="0.2">
      <c r="A5" s="73"/>
      <c r="B5" s="77"/>
      <c r="C5" s="74"/>
      <c r="D5" s="74" t="s">
        <v>934</v>
      </c>
      <c r="E5" s="78" t="s">
        <v>119</v>
      </c>
      <c r="F5" s="76" t="s">
        <v>141</v>
      </c>
      <c r="G5" s="76" t="s">
        <v>1005</v>
      </c>
      <c r="H5" s="70"/>
      <c r="O5" s="70" t="str">
        <v>48053-001-01 (Deshidrogenado / Endurecido) | 176 - 204 °C (375 ± 25 °F) | 302 - 329 °C (600 ± 25 °F) | &gt;= 10 hrs.</v>
      </c>
    </row>
    <row r="6" spans="1:23" x14ac:dyDescent="0.2">
      <c r="A6" s="73"/>
      <c r="B6" s="77"/>
      <c r="C6" s="74"/>
      <c r="D6" s="74" t="s">
        <v>934</v>
      </c>
      <c r="E6" s="78" t="s">
        <v>119</v>
      </c>
      <c r="F6" s="76" t="s">
        <v>1442</v>
      </c>
      <c r="G6" s="76" t="s">
        <v>1005</v>
      </c>
      <c r="H6" s="70"/>
      <c r="O6" s="70" t="str">
        <v>48053-001-01 (Deshidrogenado / Endurecido) | 176 - 204 °C (375 ± 25 °F) | 302 - 329 °C (600 ± 25 °F) | &gt;= 14 hrs.</v>
      </c>
    </row>
    <row r="7" spans="1:23" x14ac:dyDescent="0.2">
      <c r="A7" s="73"/>
      <c r="B7" s="77"/>
      <c r="C7" s="74"/>
      <c r="D7" s="74" t="s">
        <v>934</v>
      </c>
      <c r="E7" s="78" t="s">
        <v>966</v>
      </c>
      <c r="F7" s="76" t="s">
        <v>141</v>
      </c>
      <c r="G7" s="76" t="s">
        <v>1004</v>
      </c>
      <c r="H7" s="70"/>
      <c r="O7" s="70" t="str">
        <v>48053-001-01 (Deshidrogenado / Endurecido) | 176 - 204 °C (375 ± 25 °F) | 302 - 329 °C (600 ± 25 °F) | &gt;= 2 hrs.</v>
      </c>
    </row>
    <row r="8" spans="1:23" x14ac:dyDescent="0.2">
      <c r="A8" s="73"/>
      <c r="B8" s="77"/>
      <c r="C8" s="74"/>
      <c r="D8" s="74" t="s">
        <v>934</v>
      </c>
      <c r="E8" s="78" t="s">
        <v>966</v>
      </c>
      <c r="F8" s="76" t="s">
        <v>1442</v>
      </c>
      <c r="G8" s="76" t="s">
        <v>1004</v>
      </c>
      <c r="H8" s="70"/>
      <c r="O8" s="70" t="str">
        <v>48053-001-01 (Deshidrogenado / Endurecido) | 176 - 204 °C (375 ± 25 °F) | 302 - 329 °C (600 ± 25 °F) | &gt;= 20 hrs.</v>
      </c>
    </row>
    <row r="9" spans="1:23" ht="16" x14ac:dyDescent="0.2">
      <c r="A9" s="73"/>
      <c r="B9" s="77"/>
      <c r="C9" s="74"/>
      <c r="D9" s="74" t="s">
        <v>934</v>
      </c>
      <c r="E9" s="78" t="s">
        <v>96</v>
      </c>
      <c r="F9" s="76" t="s">
        <v>150</v>
      </c>
      <c r="G9" s="75" t="s">
        <v>187</v>
      </c>
      <c r="H9" s="70"/>
      <c r="O9" s="70" t="str">
        <v>48053-001-01 (Deshidrogenado / Endurecido) | 176 - 204 °C (375 ± 25 °F) | 302 - 329 °C (600 ± 25 °F) | &gt;= 24 hrs.</v>
      </c>
    </row>
    <row r="10" spans="1:23" ht="16" x14ac:dyDescent="0.2">
      <c r="A10" s="80"/>
      <c r="B10" s="83"/>
      <c r="C10" s="74"/>
      <c r="D10" s="74" t="s">
        <v>934</v>
      </c>
      <c r="E10" s="84" t="s">
        <v>105</v>
      </c>
      <c r="F10" s="82" t="s">
        <v>278</v>
      </c>
      <c r="G10" s="81" t="s">
        <v>195</v>
      </c>
      <c r="H10" s="70"/>
      <c r="O10" s="70" t="str">
        <v>48053-001-01 (Deshidrogenado / Endurecido) | 176 - 204 °C (375 ± 25 °F) | 302 - 329 °C (600 ± 25 °F) | &gt;= 3 hrs.</v>
      </c>
    </row>
    <row r="11" spans="1:23" ht="16" x14ac:dyDescent="0.2">
      <c r="A11" s="73"/>
      <c r="B11" s="77"/>
      <c r="C11" s="74"/>
      <c r="D11" s="74" t="s">
        <v>934</v>
      </c>
      <c r="E11" s="78" t="s">
        <v>119</v>
      </c>
      <c r="F11" s="76" t="s">
        <v>226</v>
      </c>
      <c r="G11" s="75" t="s">
        <v>224</v>
      </c>
      <c r="H11" s="70"/>
      <c r="O11" s="70" t="str">
        <v>48053-001-01 (Deshidrogenado / Endurecido) | 176 - 204 °C (375 ± 25 °F) | 302 - 329 °C (600 ± 25 °F) | &gt;= 4 hrs.</v>
      </c>
    </row>
    <row r="12" spans="1:23" ht="16" x14ac:dyDescent="0.2">
      <c r="A12" s="73"/>
      <c r="B12" s="77"/>
      <c r="C12" s="74"/>
      <c r="D12" s="74" t="s">
        <v>934</v>
      </c>
      <c r="E12" s="78" t="s">
        <v>112</v>
      </c>
      <c r="F12" s="76" t="s">
        <v>226</v>
      </c>
      <c r="G12" s="75" t="s">
        <v>214</v>
      </c>
      <c r="H12" s="70"/>
      <c r="O12" s="70" t="str">
        <v>48053-001-01 (Deshidrogenado / Endurecido) | 176 - 204 °C (375 ± 25 °F) | 302 - 329 °C (600 ± 25 °F) | &gt;= 5 hrs.</v>
      </c>
    </row>
    <row r="13" spans="1:23" ht="16" x14ac:dyDescent="0.2">
      <c r="A13" s="73"/>
      <c r="B13" s="77"/>
      <c r="C13" s="74"/>
      <c r="D13" s="74" t="s">
        <v>934</v>
      </c>
      <c r="E13" s="78" t="s">
        <v>96</v>
      </c>
      <c r="F13" s="76" t="s">
        <v>226</v>
      </c>
      <c r="G13" s="75" t="s">
        <v>207</v>
      </c>
      <c r="H13" s="70"/>
      <c r="O13" s="70" t="str">
        <v>48053-001-01 (Deshidrogenado / Endurecido) | 176 - 204 °C (375 ± 25 °F) | 302 - 329 °C (600 ± 25 °F) | &gt;= 6 hrs.</v>
      </c>
    </row>
    <row r="14" spans="1:23" ht="16" x14ac:dyDescent="0.2">
      <c r="A14" s="73"/>
      <c r="B14" s="77"/>
      <c r="C14" s="74"/>
      <c r="D14" s="74" t="s">
        <v>934</v>
      </c>
      <c r="E14" s="78" t="s">
        <v>105</v>
      </c>
      <c r="F14" s="76" t="s">
        <v>226</v>
      </c>
      <c r="G14" s="75" t="s">
        <v>202</v>
      </c>
      <c r="H14" s="70"/>
      <c r="O14" s="70" t="str">
        <v>48053-001-01 (Deshidrogenado / Endurecido) | 176 - 204 °C (375 ± 25 °F) | 302 - 329 °C (600 ± 25 °F) | &gt;= 8 hrs.</v>
      </c>
    </row>
    <row r="15" spans="1:23" ht="16" x14ac:dyDescent="0.2">
      <c r="A15" s="73"/>
      <c r="B15" s="77"/>
      <c r="C15" s="74"/>
      <c r="D15" s="74" t="s">
        <v>934</v>
      </c>
      <c r="E15" s="78" t="s">
        <v>128</v>
      </c>
      <c r="F15" s="76" t="s">
        <v>226</v>
      </c>
      <c r="G15" s="75" t="s">
        <v>219</v>
      </c>
      <c r="H15" s="70"/>
      <c r="O15" s="70" t="str">
        <v>48053-001-01 (Deshidrogenado / Endurecido) | 176 - 204 °C (375 ± 25 °F) | No aplica | &gt;= 0.5 hrs.</v>
      </c>
    </row>
    <row r="16" spans="1:23" x14ac:dyDescent="0.2">
      <c r="A16" s="73"/>
      <c r="B16" s="77"/>
      <c r="C16" s="74"/>
      <c r="D16" s="74" t="s">
        <v>934</v>
      </c>
      <c r="E16" s="78" t="s">
        <v>966</v>
      </c>
      <c r="F16" s="76" t="s">
        <v>226</v>
      </c>
      <c r="G16" s="76" t="s">
        <v>1006</v>
      </c>
      <c r="H16" s="70"/>
      <c r="O16" s="70" t="str">
        <v>48053-001-01 (Deshidrogenado / Endurecido) | 176 - 204 °C (375 ± 25 °F) | No aplica | &gt;= 1 hrs.</v>
      </c>
    </row>
    <row r="17" spans="1:15" x14ac:dyDescent="0.2">
      <c r="A17" s="73"/>
      <c r="B17" s="85"/>
      <c r="C17" s="74"/>
      <c r="D17" s="74" t="s">
        <v>934</v>
      </c>
      <c r="E17" s="78" t="s">
        <v>96</v>
      </c>
      <c r="F17" s="76" t="s">
        <v>226</v>
      </c>
      <c r="G17" s="76" t="s">
        <v>1007</v>
      </c>
      <c r="H17" s="70"/>
      <c r="O17" s="70" t="str">
        <v>48053-001-01 (Deshidrogenado / Endurecido) | 176 - 204 °C (375 ± 25 °F) | No aplica | &gt;= 10 hrs.</v>
      </c>
    </row>
    <row r="18" spans="1:15" ht="16" x14ac:dyDescent="0.2">
      <c r="A18" s="73"/>
      <c r="B18" s="77"/>
      <c r="C18" s="74"/>
      <c r="D18" s="74" t="s">
        <v>934</v>
      </c>
      <c r="E18" s="78" t="s">
        <v>119</v>
      </c>
      <c r="F18" s="76" t="s">
        <v>1444</v>
      </c>
      <c r="G18" s="75" t="s">
        <v>1015</v>
      </c>
      <c r="H18" s="70"/>
      <c r="O18" s="70" t="str">
        <v>48053-001-01 (Deshidrogenado / Endurecido) | 176 - 204 °C (375 ± 25 °F) | No aplica | &gt;= 14 hrs.</v>
      </c>
    </row>
    <row r="19" spans="1:15" ht="16" x14ac:dyDescent="0.2">
      <c r="A19" s="73"/>
      <c r="B19" s="77"/>
      <c r="C19" s="74"/>
      <c r="D19" s="74" t="s">
        <v>934</v>
      </c>
      <c r="E19" s="78" t="s">
        <v>112</v>
      </c>
      <c r="F19" s="76" t="s">
        <v>1444</v>
      </c>
      <c r="G19" s="75" t="s">
        <v>1013</v>
      </c>
      <c r="H19" s="70"/>
      <c r="O19" s="70" t="str">
        <v>48053-001-01 (Deshidrogenado / Endurecido) | 176 - 204 °C (375 ± 25 °F) | No aplica | &gt;= 2 hrs.</v>
      </c>
    </row>
    <row r="20" spans="1:15" ht="16" x14ac:dyDescent="0.2">
      <c r="A20" s="73"/>
      <c r="B20" s="77"/>
      <c r="C20" s="74"/>
      <c r="D20" s="74" t="s">
        <v>934</v>
      </c>
      <c r="E20" s="78" t="s">
        <v>96</v>
      </c>
      <c r="F20" s="76" t="s">
        <v>1444</v>
      </c>
      <c r="G20" s="75" t="s">
        <v>1012</v>
      </c>
      <c r="H20" s="70"/>
      <c r="O20" s="70" t="str">
        <v>48053-001-01 (Deshidrogenado / Endurecido) | 176 - 204 °C (375 ± 25 °F) | No aplica | &gt;= 20 hrs.</v>
      </c>
    </row>
    <row r="21" spans="1:15" ht="16" x14ac:dyDescent="0.2">
      <c r="A21" s="73"/>
      <c r="B21" s="77"/>
      <c r="C21" s="74"/>
      <c r="D21" s="74" t="s">
        <v>934</v>
      </c>
      <c r="E21" s="78" t="s">
        <v>105</v>
      </c>
      <c r="F21" s="76" t="s">
        <v>1444</v>
      </c>
      <c r="G21" s="75" t="s">
        <v>1011</v>
      </c>
      <c r="H21" s="70"/>
      <c r="O21" s="70" t="str">
        <v>48053-001-01 (Deshidrogenado / Endurecido) | 176 - 204 °C (375 ± 25 °F) | No aplica | &gt;= 24 hrs.</v>
      </c>
    </row>
    <row r="22" spans="1:15" ht="16" x14ac:dyDescent="0.2">
      <c r="A22" s="73"/>
      <c r="B22" s="77"/>
      <c r="C22" s="74"/>
      <c r="D22" s="74" t="s">
        <v>934</v>
      </c>
      <c r="E22" s="78" t="s">
        <v>128</v>
      </c>
      <c r="F22" s="76" t="s">
        <v>1444</v>
      </c>
      <c r="G22" s="75" t="s">
        <v>1014</v>
      </c>
      <c r="H22" s="70"/>
      <c r="O22" s="70" t="str">
        <v>48053-001-01 (Deshidrogenado / Endurecido) | 176 - 204 °C (375 ± 25 °F) | No aplica | &gt;= 3 hrs.</v>
      </c>
    </row>
    <row r="23" spans="1:15" x14ac:dyDescent="0.2">
      <c r="A23" s="73"/>
      <c r="B23" s="77"/>
      <c r="C23" s="74"/>
      <c r="D23" s="74" t="s">
        <v>934</v>
      </c>
      <c r="E23" s="78" t="s">
        <v>966</v>
      </c>
      <c r="F23" s="76" t="s">
        <v>1444</v>
      </c>
      <c r="G23" s="76" t="s">
        <v>1010</v>
      </c>
      <c r="H23" s="70"/>
      <c r="O23" s="70" t="str">
        <v>48053-001-01 (Deshidrogenado / Endurecido) | 176 - 204 °C (375 ± 25 °F) | No aplica | &gt;= 4 hrs.</v>
      </c>
    </row>
    <row r="24" spans="1:15" x14ac:dyDescent="0.2">
      <c r="A24" s="73"/>
      <c r="B24" s="77"/>
      <c r="C24" s="74"/>
      <c r="D24" s="74" t="s">
        <v>934</v>
      </c>
      <c r="E24" s="78" t="s">
        <v>112</v>
      </c>
      <c r="F24" s="76" t="s">
        <v>1445</v>
      </c>
      <c r="G24" s="76" t="s">
        <v>1008</v>
      </c>
      <c r="H24" s="70"/>
      <c r="O24" s="70" t="str">
        <v>48053-001-01 (Deshidrogenado / Endurecido) | 176 - 204 °C (375 ± 25 °F) | No aplica | &gt;= 5 hrs.</v>
      </c>
    </row>
    <row r="25" spans="1:15" x14ac:dyDescent="0.2">
      <c r="A25" s="73"/>
      <c r="B25" s="77"/>
      <c r="C25" s="74"/>
      <c r="D25" s="74" t="s">
        <v>934</v>
      </c>
      <c r="E25" s="78" t="s">
        <v>112</v>
      </c>
      <c r="F25" s="76" t="s">
        <v>1446</v>
      </c>
      <c r="G25" s="76" t="s">
        <v>1008</v>
      </c>
      <c r="H25" s="70"/>
      <c r="O25" s="70" t="str">
        <v>48053-001-01 (Deshidrogenado / Endurecido) | 176 - 204 °C (375 ± 25 °F) | No aplica | &gt;= 6 hrs.</v>
      </c>
    </row>
    <row r="26" spans="1:15" ht="16" x14ac:dyDescent="0.2">
      <c r="A26" s="73"/>
      <c r="B26" s="77"/>
      <c r="C26" s="74"/>
      <c r="D26" s="74" t="s">
        <v>934</v>
      </c>
      <c r="E26" s="78" t="s">
        <v>128</v>
      </c>
      <c r="F26" s="76" t="s">
        <v>327</v>
      </c>
      <c r="G26" s="75" t="s">
        <v>241</v>
      </c>
      <c r="H26" s="70"/>
      <c r="O26" s="70" t="str">
        <v>48053-001-01 (Deshidrogenado / Endurecido) | 176 - 204 °C (375 ± 25 °F) | No aplica | &gt;= 8 hrs.</v>
      </c>
    </row>
    <row r="27" spans="1:15" ht="16" x14ac:dyDescent="0.2">
      <c r="A27" s="73"/>
      <c r="B27" s="77"/>
      <c r="C27" s="74"/>
      <c r="D27" s="74" t="s">
        <v>934</v>
      </c>
      <c r="E27" s="78" t="s">
        <v>96</v>
      </c>
      <c r="F27" s="76" t="s">
        <v>327</v>
      </c>
      <c r="G27" s="75" t="s">
        <v>241</v>
      </c>
      <c r="H27" s="70"/>
      <c r="O27" s="70" t="str">
        <v>48053-001-01 (Deshidrogenado / Endurecido) | No aplica | 302 - 329 °C (600 ± 25 °F) | &gt;= 0.5 hrs.</v>
      </c>
    </row>
    <row r="28" spans="1:15" x14ac:dyDescent="0.2">
      <c r="A28" s="73"/>
      <c r="B28" s="77"/>
      <c r="C28" s="74"/>
      <c r="D28" s="74" t="s">
        <v>934</v>
      </c>
      <c r="E28" s="78" t="s">
        <v>1396</v>
      </c>
      <c r="F28" s="76" t="s">
        <v>327</v>
      </c>
      <c r="G28" s="76" t="s">
        <v>1020</v>
      </c>
      <c r="H28" s="70"/>
      <c r="O28" s="70" t="str">
        <v>48053-001-01 (Deshidrogenado / Endurecido) | No aplica | 302 - 329 °C (600 ± 25 °F) | &gt;= 1 hrs.</v>
      </c>
    </row>
    <row r="29" spans="1:15" x14ac:dyDescent="0.2">
      <c r="A29" s="73"/>
      <c r="B29" s="77"/>
      <c r="C29" s="74"/>
      <c r="D29" s="74" t="s">
        <v>934</v>
      </c>
      <c r="E29" s="78" t="s">
        <v>966</v>
      </c>
      <c r="F29" s="76" t="s">
        <v>327</v>
      </c>
      <c r="G29" s="76" t="s">
        <v>1019</v>
      </c>
      <c r="H29" s="70"/>
      <c r="O29" s="70" t="str">
        <v>48053-001-01 (Deshidrogenado / Endurecido) | No aplica | 302 - 329 °C (600 ± 25 °F) | &gt;= 10 hrs.</v>
      </c>
    </row>
    <row r="30" spans="1:15" ht="16" x14ac:dyDescent="0.2">
      <c r="A30" s="73"/>
      <c r="B30" s="77"/>
      <c r="C30" s="74"/>
      <c r="D30" s="74" t="s">
        <v>934</v>
      </c>
      <c r="E30" s="78" t="s">
        <v>99</v>
      </c>
      <c r="F30" s="76" t="s">
        <v>327</v>
      </c>
      <c r="G30" s="75" t="s">
        <v>1022</v>
      </c>
      <c r="H30" s="70"/>
      <c r="O30" s="70" t="str">
        <v>48053-001-01 (Deshidrogenado / Endurecido) | No aplica | 302 - 329 °C (600 ± 25 °F) | &gt;= 14 hrs.</v>
      </c>
    </row>
    <row r="31" spans="1:15" ht="16" x14ac:dyDescent="0.2">
      <c r="A31" s="73"/>
      <c r="B31" s="77"/>
      <c r="C31" s="74"/>
      <c r="D31" s="74" t="s">
        <v>934</v>
      </c>
      <c r="E31" s="78" t="s">
        <v>99</v>
      </c>
      <c r="F31" s="76" t="s">
        <v>1447</v>
      </c>
      <c r="G31" s="75" t="s">
        <v>1022</v>
      </c>
      <c r="H31" s="70"/>
      <c r="O31" s="70" t="str">
        <v>48053-001-01 (Deshidrogenado / Endurecido) | No aplica | 302 - 329 °C (600 ± 25 °F) | &gt;= 2 hrs.</v>
      </c>
    </row>
    <row r="32" spans="1:15" ht="16" x14ac:dyDescent="0.2">
      <c r="A32" s="73"/>
      <c r="B32" s="77"/>
      <c r="C32" s="74"/>
      <c r="D32" s="74" t="s">
        <v>934</v>
      </c>
      <c r="E32" s="78" t="s">
        <v>119</v>
      </c>
      <c r="F32" s="76" t="s">
        <v>327</v>
      </c>
      <c r="G32" s="75" t="s">
        <v>281</v>
      </c>
      <c r="H32" s="70"/>
      <c r="O32" s="70" t="str">
        <v>48053-001-01 (Deshidrogenado / Endurecido) | No aplica | 302 - 329 °C (600 ± 25 °F) | &gt;= 20 hrs.</v>
      </c>
    </row>
    <row r="33" spans="1:15" ht="16" x14ac:dyDescent="0.2">
      <c r="A33" s="73"/>
      <c r="B33" s="77"/>
      <c r="C33" s="74"/>
      <c r="D33" s="74" t="s">
        <v>934</v>
      </c>
      <c r="E33" s="78" t="s">
        <v>119</v>
      </c>
      <c r="F33" s="76" t="s">
        <v>1447</v>
      </c>
      <c r="G33" s="75" t="s">
        <v>281</v>
      </c>
      <c r="H33" s="70"/>
      <c r="O33" s="70" t="str">
        <v>48053-001-01 (Deshidrogenado / Endurecido) | No aplica | 302 - 329 °C (600 ± 25 °F) | &gt;= 24 hrs.</v>
      </c>
    </row>
    <row r="34" spans="1:15" ht="16" x14ac:dyDescent="0.2">
      <c r="A34" s="73"/>
      <c r="B34" s="77"/>
      <c r="C34" s="74"/>
      <c r="D34" s="74" t="s">
        <v>934</v>
      </c>
      <c r="E34" s="78" t="s">
        <v>112</v>
      </c>
      <c r="F34" s="76" t="s">
        <v>327</v>
      </c>
      <c r="G34" s="75" t="s">
        <v>273</v>
      </c>
      <c r="H34" s="70"/>
      <c r="O34" s="70" t="str">
        <v>48053-001-01 (Deshidrogenado / Endurecido) | No aplica | 302 - 329 °C (600 ± 25 °F) | &gt;= 3 hrs.</v>
      </c>
    </row>
    <row r="35" spans="1:15" ht="16" x14ac:dyDescent="0.2">
      <c r="A35" s="73"/>
      <c r="B35" s="77"/>
      <c r="C35" s="74"/>
      <c r="D35" s="74" t="s">
        <v>934</v>
      </c>
      <c r="E35" s="78" t="s">
        <v>112</v>
      </c>
      <c r="F35" s="76" t="s">
        <v>1447</v>
      </c>
      <c r="G35" s="75" t="s">
        <v>273</v>
      </c>
      <c r="H35" s="70"/>
      <c r="O35" s="70" t="str">
        <v>48053-001-01 (Deshidrogenado / Endurecido) | No aplica | 302 - 329 °C (600 ± 25 °F) | &gt;= 4 hrs.</v>
      </c>
    </row>
    <row r="36" spans="1:15" ht="16" x14ac:dyDescent="0.2">
      <c r="A36" s="73"/>
      <c r="B36" s="77"/>
      <c r="C36" s="74"/>
      <c r="D36" s="74" t="s">
        <v>934</v>
      </c>
      <c r="E36" s="78" t="s">
        <v>96</v>
      </c>
      <c r="F36" s="76" t="s">
        <v>327</v>
      </c>
      <c r="G36" s="75" t="s">
        <v>261</v>
      </c>
      <c r="H36" s="70"/>
      <c r="O36" s="70" t="str">
        <v>48053-001-01 (Deshidrogenado / Endurecido) | No aplica | 302 - 329 °C (600 ± 25 °F) | &gt;= 5 hrs.</v>
      </c>
    </row>
    <row r="37" spans="1:15" ht="16" x14ac:dyDescent="0.2">
      <c r="A37" s="73"/>
      <c r="B37" s="77"/>
      <c r="C37" s="74"/>
      <c r="D37" s="74" t="s">
        <v>934</v>
      </c>
      <c r="E37" s="78" t="s">
        <v>96</v>
      </c>
      <c r="F37" s="76" t="s">
        <v>1447</v>
      </c>
      <c r="G37" s="75" t="s">
        <v>261</v>
      </c>
      <c r="H37" s="70"/>
      <c r="O37" s="70" t="str">
        <v>48053-001-01 (Deshidrogenado / Endurecido) | No aplica | 302 - 329 °C (600 ± 25 °F) | &gt;= 6 hrs.</v>
      </c>
    </row>
    <row r="38" spans="1:15" ht="16" x14ac:dyDescent="0.2">
      <c r="A38" s="73"/>
      <c r="B38" s="77"/>
      <c r="C38" s="74"/>
      <c r="D38" s="74" t="s">
        <v>934</v>
      </c>
      <c r="E38" s="78" t="s">
        <v>105</v>
      </c>
      <c r="F38" s="76" t="s">
        <v>327</v>
      </c>
      <c r="G38" s="75" t="s">
        <v>254</v>
      </c>
      <c r="H38" s="70"/>
      <c r="O38" s="70" t="str">
        <v>48053-001-01 (Deshidrogenado / Endurecido) | No aplica | 302 - 329 °C (600 ± 25 °F) | &gt;= 8 hrs.</v>
      </c>
    </row>
    <row r="39" spans="1:15" ht="16" x14ac:dyDescent="0.2">
      <c r="A39" s="73"/>
      <c r="B39" s="77"/>
      <c r="C39" s="74"/>
      <c r="D39" s="74" t="s">
        <v>934</v>
      </c>
      <c r="E39" s="78" t="s">
        <v>105</v>
      </c>
      <c r="F39" s="76" t="s">
        <v>1447</v>
      </c>
      <c r="G39" s="75" t="s">
        <v>254</v>
      </c>
      <c r="H39" s="70"/>
      <c r="O39" s="70" t="str">
        <v>48053-001-01 (Deshidrogenado / Endurecido) | No aplica | No aplica | &gt;= 0.5 hrs.</v>
      </c>
    </row>
    <row r="40" spans="1:15" ht="16" x14ac:dyDescent="0.2">
      <c r="A40" s="73"/>
      <c r="B40" s="77"/>
      <c r="C40" s="74"/>
      <c r="D40" s="74" t="s">
        <v>934</v>
      </c>
      <c r="E40" s="78" t="s">
        <v>128</v>
      </c>
      <c r="F40" s="76" t="s">
        <v>327</v>
      </c>
      <c r="G40" s="75" t="s">
        <v>277</v>
      </c>
      <c r="H40" s="70"/>
      <c r="O40" s="70" t="str">
        <v>48053-001-01 (Deshidrogenado / Endurecido) | No aplica | No aplica | &gt;= 1 hrs.</v>
      </c>
    </row>
    <row r="41" spans="1:15" ht="16" x14ac:dyDescent="0.2">
      <c r="A41" s="73"/>
      <c r="B41" s="77"/>
      <c r="C41" s="74"/>
      <c r="D41" s="74" t="s">
        <v>934</v>
      </c>
      <c r="E41" s="78" t="s">
        <v>128</v>
      </c>
      <c r="F41" s="76" t="s">
        <v>1447</v>
      </c>
      <c r="G41" s="75" t="s">
        <v>277</v>
      </c>
      <c r="H41" s="70"/>
      <c r="O41" s="70" t="str">
        <v>48053-001-01 (Deshidrogenado / Endurecido) | No aplica | No aplica | &gt;= 10 hrs.</v>
      </c>
    </row>
    <row r="42" spans="1:15" ht="16" x14ac:dyDescent="0.2">
      <c r="A42" s="73"/>
      <c r="B42" s="77"/>
      <c r="C42" s="74"/>
      <c r="D42" s="74" t="s">
        <v>934</v>
      </c>
      <c r="E42" s="78" t="s">
        <v>1396</v>
      </c>
      <c r="F42" s="76" t="s">
        <v>1230</v>
      </c>
      <c r="G42" s="75" t="s">
        <v>1050</v>
      </c>
      <c r="H42" s="70"/>
      <c r="O42" s="70" t="str">
        <v>48053-001-01 (Deshidrogenado / Endurecido) | No aplica | No aplica | &gt;= 14 hrs.</v>
      </c>
    </row>
    <row r="43" spans="1:15" ht="16" x14ac:dyDescent="0.2">
      <c r="A43" s="73"/>
      <c r="B43" s="77"/>
      <c r="C43" s="74"/>
      <c r="D43" s="74" t="s">
        <v>934</v>
      </c>
      <c r="E43" s="78" t="s">
        <v>1396</v>
      </c>
      <c r="F43" s="76" t="s">
        <v>1448</v>
      </c>
      <c r="G43" s="75" t="s">
        <v>1050</v>
      </c>
      <c r="H43" s="70"/>
      <c r="O43" s="70" t="str">
        <v>48053-001-01 (Deshidrogenado / Endurecido) | No aplica | No aplica | &gt;= 2 hrs.</v>
      </c>
    </row>
    <row r="44" spans="1:15" ht="16" x14ac:dyDescent="0.2">
      <c r="A44" s="73"/>
      <c r="B44" s="85"/>
      <c r="C44" s="74"/>
      <c r="D44" s="74" t="s">
        <v>934</v>
      </c>
      <c r="E44" s="78" t="s">
        <v>96</v>
      </c>
      <c r="F44" s="76" t="s">
        <v>327</v>
      </c>
      <c r="G44" s="75" t="s">
        <v>268</v>
      </c>
      <c r="H44" s="70"/>
      <c r="O44" s="70" t="str">
        <v>48053-001-01 (Deshidrogenado / Endurecido) | No aplica | No aplica | &gt;= 20 hrs.</v>
      </c>
    </row>
    <row r="45" spans="1:15" ht="16" x14ac:dyDescent="0.2">
      <c r="A45" s="73"/>
      <c r="B45" s="85"/>
      <c r="C45" s="74"/>
      <c r="D45" s="74" t="s">
        <v>934</v>
      </c>
      <c r="E45" s="78" t="s">
        <v>137</v>
      </c>
      <c r="F45" s="76" t="s">
        <v>327</v>
      </c>
      <c r="G45" s="75" t="s">
        <v>268</v>
      </c>
      <c r="H45" s="70"/>
      <c r="O45" s="70" t="str">
        <v>48053-001-01 (Deshidrogenado / Endurecido) | No aplica | No aplica | &gt;= 24 hrs.</v>
      </c>
    </row>
    <row r="46" spans="1:15" ht="16" x14ac:dyDescent="0.2">
      <c r="A46" s="73"/>
      <c r="B46" s="85"/>
      <c r="C46" s="74"/>
      <c r="D46" s="74" t="s">
        <v>934</v>
      </c>
      <c r="E46" s="78" t="s">
        <v>96</v>
      </c>
      <c r="F46" s="76" t="s">
        <v>1447</v>
      </c>
      <c r="G46" s="75" t="s">
        <v>268</v>
      </c>
      <c r="H46" s="70"/>
      <c r="O46" s="70" t="str">
        <v>48053-001-01 (Deshidrogenado / Endurecido) | No aplica | No aplica | &gt;= 3 hrs.</v>
      </c>
    </row>
    <row r="47" spans="1:15" ht="16" x14ac:dyDescent="0.2">
      <c r="A47" s="73"/>
      <c r="B47" s="85"/>
      <c r="C47" s="74"/>
      <c r="D47" s="74" t="s">
        <v>934</v>
      </c>
      <c r="E47" s="78" t="s">
        <v>137</v>
      </c>
      <c r="F47" s="76" t="s">
        <v>1447</v>
      </c>
      <c r="G47" s="75" t="s">
        <v>268</v>
      </c>
      <c r="H47" s="70"/>
      <c r="O47" s="70" t="str">
        <v>48053-001-01 (Deshidrogenado / Endurecido) | No aplica | No aplica | &gt;= 4 hrs.</v>
      </c>
    </row>
    <row r="48" spans="1:15" x14ac:dyDescent="0.2">
      <c r="A48" s="73"/>
      <c r="B48" s="77"/>
      <c r="C48" s="74"/>
      <c r="D48" s="74" t="s">
        <v>934</v>
      </c>
      <c r="E48" s="78" t="s">
        <v>1396</v>
      </c>
      <c r="F48" s="76" t="s">
        <v>327</v>
      </c>
      <c r="G48" s="76" t="s">
        <v>1023</v>
      </c>
      <c r="H48" s="70"/>
      <c r="O48" s="70" t="str">
        <v>48053-001-01 (Deshidrogenado / Endurecido) | No aplica | No aplica | &gt;= 5 hrs.</v>
      </c>
    </row>
    <row r="49" spans="1:15" x14ac:dyDescent="0.2">
      <c r="A49" s="73"/>
      <c r="B49" s="77"/>
      <c r="C49" s="74"/>
      <c r="D49" s="74" t="s">
        <v>934</v>
      </c>
      <c r="E49" s="78" t="s">
        <v>1396</v>
      </c>
      <c r="F49" s="76" t="s">
        <v>1447</v>
      </c>
      <c r="G49" s="76" t="s">
        <v>1023</v>
      </c>
      <c r="H49" s="70"/>
      <c r="O49" s="70" t="str">
        <v>48053-001-01 (Deshidrogenado / Endurecido) | No aplica | No aplica | &gt;= 6 hrs.</v>
      </c>
    </row>
    <row r="50" spans="1:15" x14ac:dyDescent="0.2">
      <c r="A50" s="73"/>
      <c r="B50" s="77"/>
      <c r="C50" s="74"/>
      <c r="D50" s="74" t="s">
        <v>934</v>
      </c>
      <c r="E50" s="78" t="s">
        <v>966</v>
      </c>
      <c r="F50" s="76" t="s">
        <v>327</v>
      </c>
      <c r="G50" s="76" t="s">
        <v>1021</v>
      </c>
      <c r="H50" s="70"/>
      <c r="O50" s="70" t="str">
        <v>48053-001-01 (Deshidrogenado / Endurecido) | No aplica | No aplica | &gt;= 8 hrs.</v>
      </c>
    </row>
    <row r="51" spans="1:15" x14ac:dyDescent="0.2">
      <c r="A51" s="73"/>
      <c r="B51" s="77"/>
      <c r="C51" s="74"/>
      <c r="D51" s="74" t="s">
        <v>934</v>
      </c>
      <c r="E51" s="78" t="s">
        <v>966</v>
      </c>
      <c r="F51" s="76" t="s">
        <v>1447</v>
      </c>
      <c r="G51" s="76" t="s">
        <v>1021</v>
      </c>
      <c r="H51" s="70"/>
      <c r="O51" s="70" t="str">
        <v>48053-005-01 (Lavado - Tratamiento Térmico - Bimetales)</v>
      </c>
    </row>
    <row r="52" spans="1:15" x14ac:dyDescent="0.2">
      <c r="A52" s="73"/>
      <c r="B52" s="77"/>
      <c r="C52" s="74"/>
      <c r="D52" s="74" t="s">
        <v>934</v>
      </c>
      <c r="E52" s="78" t="s">
        <v>96</v>
      </c>
      <c r="F52" s="76" t="s">
        <v>1449</v>
      </c>
      <c r="G52" s="76" t="s">
        <v>1045</v>
      </c>
      <c r="H52" s="70"/>
      <c r="O52" s="70" t="str">
        <v>48057-004-01 (Bright Dip)</v>
      </c>
    </row>
    <row r="53" spans="1:15" x14ac:dyDescent="0.2">
      <c r="A53" s="73"/>
      <c r="B53" s="77"/>
      <c r="C53" s="74"/>
      <c r="D53" s="74" t="s">
        <v>934</v>
      </c>
      <c r="E53" s="78" t="s">
        <v>105</v>
      </c>
      <c r="F53" s="76" t="s">
        <v>1449</v>
      </c>
      <c r="G53" s="76" t="s">
        <v>1043</v>
      </c>
      <c r="H53" s="70"/>
      <c r="O53" s="70" t="str">
        <v>48860-031-01 (Lavado)</v>
      </c>
    </row>
    <row r="54" spans="1:15" x14ac:dyDescent="0.2">
      <c r="A54" s="73"/>
      <c r="B54" s="77"/>
      <c r="C54" s="74"/>
      <c r="D54" s="74" t="s">
        <v>934</v>
      </c>
      <c r="E54" s="78" t="s">
        <v>96</v>
      </c>
      <c r="F54" s="76" t="s">
        <v>1449</v>
      </c>
      <c r="G54" s="76" t="s">
        <v>1049</v>
      </c>
      <c r="H54" s="70"/>
      <c r="O54" s="70" t="str">
        <v>48951-001-01 (Rebabeo)</v>
      </c>
    </row>
    <row r="55" spans="1:15" x14ac:dyDescent="0.2">
      <c r="A55" s="73"/>
      <c r="B55" s="77"/>
      <c r="C55" s="74"/>
      <c r="D55" s="74" t="s">
        <v>934</v>
      </c>
      <c r="E55" s="78" t="s">
        <v>105</v>
      </c>
      <c r="F55" s="76" t="s">
        <v>1449</v>
      </c>
      <c r="G55" s="76" t="s">
        <v>1047</v>
      </c>
      <c r="H55" s="70"/>
      <c r="O55" s="70" t="str">
        <v>48951-001-02 (Rebabeo)</v>
      </c>
    </row>
    <row r="56" spans="1:15" x14ac:dyDescent="0.2">
      <c r="A56" s="73"/>
      <c r="B56" s="77"/>
      <c r="C56" s="74"/>
      <c r="D56" s="74" t="s">
        <v>934</v>
      </c>
      <c r="E56" s="78" t="s">
        <v>128</v>
      </c>
      <c r="F56" s="76" t="s">
        <v>1450</v>
      </c>
      <c r="G56" s="76" t="s">
        <v>1030</v>
      </c>
      <c r="H56" s="70"/>
      <c r="O56" s="70" t="str">
        <v>48951-008-01 (Desengrase)</v>
      </c>
    </row>
    <row r="57" spans="1:15" x14ac:dyDescent="0.2">
      <c r="A57" s="73"/>
      <c r="B57" s="77"/>
      <c r="C57" s="74"/>
      <c r="D57" s="74" t="s">
        <v>934</v>
      </c>
      <c r="E57" s="78" t="s">
        <v>966</v>
      </c>
      <c r="F57" s="76" t="s">
        <v>1450</v>
      </c>
      <c r="G57" s="76" t="s">
        <v>1029</v>
      </c>
      <c r="H57" s="70"/>
      <c r="O57" s="70" t="str">
        <v>DIN 50967 | 5 - 8 µm</v>
      </c>
    </row>
    <row r="58" spans="1:15" x14ac:dyDescent="0.2">
      <c r="A58" s="73"/>
      <c r="B58" s="77"/>
      <c r="C58" s="74"/>
      <c r="D58" s="74" t="s">
        <v>934</v>
      </c>
      <c r="E58" s="78" t="s">
        <v>96</v>
      </c>
      <c r="F58" s="76" t="s">
        <v>1451</v>
      </c>
      <c r="G58" s="76" t="s">
        <v>1032</v>
      </c>
      <c r="H58" s="70"/>
      <c r="O58" s="70" t="str">
        <v>DYM Pendiente (Deshidrogenado) | 130 - 150 °C | &gt;= 5 hrs.</v>
      </c>
    </row>
    <row r="59" spans="1:15" x14ac:dyDescent="0.2">
      <c r="A59" s="73"/>
      <c r="B59" s="77"/>
      <c r="C59" s="74"/>
      <c r="D59" s="74" t="s">
        <v>934</v>
      </c>
      <c r="E59" s="78" t="s">
        <v>137</v>
      </c>
      <c r="F59" s="76" t="s">
        <v>1451</v>
      </c>
      <c r="G59" s="76" t="s">
        <v>1032</v>
      </c>
      <c r="H59" s="70"/>
      <c r="O59" s="70" t="str">
        <v>F50HD3S (Deshidrogenado) | 115 - 121 °C | &gt;= 6 hrs.</v>
      </c>
    </row>
    <row r="60" spans="1:15" x14ac:dyDescent="0.2">
      <c r="A60" s="73"/>
      <c r="B60" s="77"/>
      <c r="C60" s="74"/>
      <c r="D60" s="74" t="s">
        <v>934</v>
      </c>
      <c r="E60" s="78" t="s">
        <v>966</v>
      </c>
      <c r="F60" s="76" t="s">
        <v>1451</v>
      </c>
      <c r="G60" s="76" t="s">
        <v>1031</v>
      </c>
      <c r="H60" s="70"/>
      <c r="O60" s="70" t="str">
        <v>F50KD12 | 0.254 - 2.5 µm</v>
      </c>
    </row>
    <row r="61" spans="1:15" x14ac:dyDescent="0.2">
      <c r="A61" s="73"/>
      <c r="B61" s="77"/>
      <c r="C61" s="74"/>
      <c r="D61" s="74" t="s">
        <v>934</v>
      </c>
      <c r="E61" s="78" t="s">
        <v>96</v>
      </c>
      <c r="F61" s="76" t="s">
        <v>1452</v>
      </c>
      <c r="G61" s="76" t="s">
        <v>1035</v>
      </c>
      <c r="H61" s="70"/>
      <c r="O61" s="70" t="str">
        <v>FC-F01 | 8.0 - 12.5 µm</v>
      </c>
    </row>
    <row r="62" spans="1:15" x14ac:dyDescent="0.2">
      <c r="A62" s="73"/>
      <c r="B62" s="77"/>
      <c r="C62" s="74"/>
      <c r="D62" s="74" t="s">
        <v>934</v>
      </c>
      <c r="E62" s="78" t="s">
        <v>96</v>
      </c>
      <c r="F62" s="76" t="s">
        <v>1453</v>
      </c>
      <c r="G62" s="76" t="s">
        <v>1034</v>
      </c>
      <c r="H62" s="70"/>
      <c r="O62" s="70" t="str">
        <v>FFS-2E3 (Cromo Duro) | 12.7 - 17.78 µm</v>
      </c>
    </row>
    <row r="63" spans="1:15" x14ac:dyDescent="0.2">
      <c r="A63" s="73"/>
      <c r="B63" s="77"/>
      <c r="C63" s="74"/>
      <c r="D63" s="74" t="s">
        <v>934</v>
      </c>
      <c r="E63" s="78" t="s">
        <v>96</v>
      </c>
      <c r="F63" s="76" t="s">
        <v>1454</v>
      </c>
      <c r="G63" s="76" t="s">
        <v>1034</v>
      </c>
      <c r="H63" s="70"/>
      <c r="O63" s="70" t="str">
        <v>FFS-2E3 (Cromo Duro) | 19.05 - 31.75 µm</v>
      </c>
    </row>
    <row r="64" spans="1:15" x14ac:dyDescent="0.2">
      <c r="A64" s="73"/>
      <c r="B64" s="77"/>
      <c r="C64" s="74"/>
      <c r="D64" s="74" t="s">
        <v>934</v>
      </c>
      <c r="E64" s="78" t="s">
        <v>137</v>
      </c>
      <c r="F64" s="76" t="s">
        <v>1453</v>
      </c>
      <c r="G64" s="76" t="s">
        <v>1034</v>
      </c>
      <c r="H64" s="70"/>
      <c r="O64" s="70" t="str">
        <v>FFS-2E3 (Cromo Duro) | 25 - 38 µm</v>
      </c>
    </row>
    <row r="65" spans="1:15" x14ac:dyDescent="0.2">
      <c r="A65" s="73"/>
      <c r="B65" s="77"/>
      <c r="C65" s="74"/>
      <c r="D65" s="74" t="s">
        <v>934</v>
      </c>
      <c r="E65" s="78" t="s">
        <v>137</v>
      </c>
      <c r="F65" s="76" t="s">
        <v>1454</v>
      </c>
      <c r="G65" s="76" t="s">
        <v>1034</v>
      </c>
      <c r="H65" s="70"/>
      <c r="O65" s="70" t="str">
        <v>FFS-2E3 (Cromo Duro) | 38.5 - 63.5 µm</v>
      </c>
    </row>
    <row r="66" spans="1:15" x14ac:dyDescent="0.2">
      <c r="A66" s="73"/>
      <c r="B66" s="77"/>
      <c r="C66" s="74"/>
      <c r="D66" s="74" t="s">
        <v>934</v>
      </c>
      <c r="E66" s="78" t="s">
        <v>966</v>
      </c>
      <c r="F66" s="76" t="s">
        <v>1454</v>
      </c>
      <c r="G66" s="76" t="s">
        <v>1033</v>
      </c>
      <c r="H66" s="70"/>
      <c r="O66" s="70" t="str">
        <v>FFS-2E3 (Cromo Duro) | 5.08 - 7.62 µm</v>
      </c>
    </row>
    <row r="67" spans="1:15" x14ac:dyDescent="0.2">
      <c r="A67" s="73"/>
      <c r="B67" s="77"/>
      <c r="C67" s="74"/>
      <c r="D67" s="74" t="s">
        <v>934</v>
      </c>
      <c r="E67" s="78" t="s">
        <v>966</v>
      </c>
      <c r="F67" s="76" t="s">
        <v>1453</v>
      </c>
      <c r="G67" s="76" t="s">
        <v>1033</v>
      </c>
      <c r="H67" s="70"/>
      <c r="O67" s="70" t="str">
        <v>FFS-2E3 (Cromo Duro) | 63.5 - 88.9 µm</v>
      </c>
    </row>
    <row r="68" spans="1:15" x14ac:dyDescent="0.2">
      <c r="A68" s="73"/>
      <c r="B68" s="77"/>
      <c r="C68" s="74"/>
      <c r="D68" s="74" t="s">
        <v>934</v>
      </c>
      <c r="E68" s="78" t="s">
        <v>96</v>
      </c>
      <c r="F68" s="76" t="s">
        <v>1455</v>
      </c>
      <c r="G68" s="76" t="s">
        <v>1027</v>
      </c>
      <c r="H68" s="70"/>
      <c r="O68" s="70" t="str">
        <v>FFS-2E3 (Cromo Duro) | 7.62 - 12.7 µm</v>
      </c>
    </row>
    <row r="69" spans="1:15" x14ac:dyDescent="0.2">
      <c r="A69" s="73"/>
      <c r="B69" s="77"/>
      <c r="C69" s="74"/>
      <c r="D69" s="74" t="s">
        <v>934</v>
      </c>
      <c r="E69" s="78" t="s">
        <v>137</v>
      </c>
      <c r="F69" s="76" t="s">
        <v>1455</v>
      </c>
      <c r="G69" s="76" t="s">
        <v>1026</v>
      </c>
      <c r="H69" s="70"/>
      <c r="O69" s="70" t="str">
        <v>FFS-3A9 (Iridizado)</v>
      </c>
    </row>
    <row r="70" spans="1:15" x14ac:dyDescent="0.2">
      <c r="A70" s="73"/>
      <c r="B70" s="77"/>
      <c r="C70" s="74"/>
      <c r="D70" s="74" t="s">
        <v>934</v>
      </c>
      <c r="E70" s="78" t="s">
        <v>966</v>
      </c>
      <c r="F70" s="76" t="s">
        <v>1455</v>
      </c>
      <c r="G70" s="76" t="s">
        <v>1025</v>
      </c>
      <c r="H70" s="70"/>
      <c r="O70" s="70" t="str">
        <v>FGS-8B7 (Deshidrogenado / Horneado) | 190 - 204 °C (375 - 400 °F) | 337 - 349 (650 ± 10 °F) | &gt;= 0.5 hrs.</v>
      </c>
    </row>
    <row r="71" spans="1:15" x14ac:dyDescent="0.2">
      <c r="A71" s="73"/>
      <c r="B71" s="77"/>
      <c r="C71" s="74"/>
      <c r="D71" s="74" t="s">
        <v>934</v>
      </c>
      <c r="E71" s="78" t="s">
        <v>966</v>
      </c>
      <c r="F71" s="76" t="s">
        <v>1456</v>
      </c>
      <c r="G71" s="76" t="s">
        <v>1024</v>
      </c>
      <c r="H71" s="70"/>
      <c r="O71" s="70" t="str">
        <v>FGS-8B7 (Deshidrogenado / Horneado) | 190 - 204 °C (375 - 400 °F) | 337 - 349 (650 ± 10 °F) | &gt;= 1 hrs.</v>
      </c>
    </row>
    <row r="72" spans="1:15" x14ac:dyDescent="0.2">
      <c r="A72" s="73"/>
      <c r="B72" s="77"/>
      <c r="C72" s="74"/>
      <c r="D72" s="74" t="s">
        <v>934</v>
      </c>
      <c r="E72" s="78" t="s">
        <v>966</v>
      </c>
      <c r="F72" s="76" t="s">
        <v>1457</v>
      </c>
      <c r="G72" s="76" t="s">
        <v>1024</v>
      </c>
      <c r="H72" s="70"/>
      <c r="O72" s="70" t="str">
        <v>FGS-8B7 (Deshidrogenado / Horneado) | 190 - 204 °C (375 - 400 °F) | 337 - 349 (650 ± 10 °F) | &gt;= 10 hrs.</v>
      </c>
    </row>
    <row r="73" spans="1:15" x14ac:dyDescent="0.2">
      <c r="A73" s="73"/>
      <c r="B73" s="77"/>
      <c r="C73" s="74"/>
      <c r="D73" s="74" t="s">
        <v>934</v>
      </c>
      <c r="E73" s="78" t="s">
        <v>966</v>
      </c>
      <c r="F73" s="76" t="s">
        <v>1458</v>
      </c>
      <c r="G73" s="76" t="s">
        <v>1036</v>
      </c>
      <c r="H73" s="70"/>
      <c r="O73" s="70" t="str">
        <v>FGS-8B7 (Deshidrogenado / Horneado) | 190 - 204 °C (375 - 400 °F) | 337 - 349 (650 ± 10 °F) | &gt;= 14 hrs.</v>
      </c>
    </row>
    <row r="74" spans="1:15" x14ac:dyDescent="0.2">
      <c r="A74" s="73"/>
      <c r="B74" s="77"/>
      <c r="C74" s="74"/>
      <c r="D74" s="74" t="s">
        <v>934</v>
      </c>
      <c r="E74" s="78" t="s">
        <v>112</v>
      </c>
      <c r="F74" s="76" t="s">
        <v>1458</v>
      </c>
      <c r="G74" s="76" t="s">
        <v>1039</v>
      </c>
      <c r="H74" s="70"/>
      <c r="O74" s="70" t="str">
        <v>FGS-8B7 (Deshidrogenado / Horneado) | 190 - 204 °C (375 - 400 °F) | 337 - 349 (650 ± 10 °F) | &gt;= 2 hrs.</v>
      </c>
    </row>
    <row r="75" spans="1:15" x14ac:dyDescent="0.2">
      <c r="A75" s="73"/>
      <c r="B75" s="77"/>
      <c r="C75" s="74"/>
      <c r="D75" s="74" t="s">
        <v>934</v>
      </c>
      <c r="E75" s="78" t="s">
        <v>128</v>
      </c>
      <c r="F75" s="76" t="s">
        <v>1458</v>
      </c>
      <c r="G75" s="76" t="s">
        <v>1040</v>
      </c>
      <c r="H75" s="70"/>
      <c r="O75" s="70" t="str">
        <v>FGS-8B7 (Deshidrogenado / Horneado) | 190 - 204 °C (375 - 400 °F) | 337 - 349 (650 ± 10 °F) | &gt;= 24 hrs.</v>
      </c>
    </row>
    <row r="76" spans="1:15" x14ac:dyDescent="0.2">
      <c r="A76" s="73"/>
      <c r="B76" s="77"/>
      <c r="C76" s="74"/>
      <c r="D76" s="74" t="s">
        <v>934</v>
      </c>
      <c r="E76" s="78" t="s">
        <v>96</v>
      </c>
      <c r="F76" s="76" t="s">
        <v>1458</v>
      </c>
      <c r="G76" s="76" t="s">
        <v>1038</v>
      </c>
      <c r="H76" s="70"/>
      <c r="O76" s="70" t="str">
        <v>FGS-8B7 (Deshidrogenado / Horneado) | 190 - 204 °C (375 - 400 °F) | 337 - 349 (650 ± 10 °F) | &gt;= 3 hrs.</v>
      </c>
    </row>
    <row r="77" spans="1:15" x14ac:dyDescent="0.2">
      <c r="A77" s="73"/>
      <c r="B77" s="77"/>
      <c r="C77" s="74"/>
      <c r="D77" s="74" t="s">
        <v>934</v>
      </c>
      <c r="E77" s="78" t="s">
        <v>119</v>
      </c>
      <c r="F77" s="76" t="s">
        <v>1458</v>
      </c>
      <c r="G77" s="76" t="s">
        <v>1041</v>
      </c>
      <c r="H77" s="70"/>
      <c r="O77" s="70" t="str">
        <v>FGS-8B7 (Deshidrogenado / Horneado) | 190 - 204 °C (375 - 400 °F) | 337 - 349 (650 ± 10 °F) | &gt;= 4 hrs.</v>
      </c>
    </row>
    <row r="78" spans="1:15" x14ac:dyDescent="0.2">
      <c r="A78" s="73"/>
      <c r="B78" s="77"/>
      <c r="C78" s="74"/>
      <c r="D78" s="74" t="s">
        <v>934</v>
      </c>
      <c r="E78" s="78" t="s">
        <v>105</v>
      </c>
      <c r="F78" s="76" t="s">
        <v>1458</v>
      </c>
      <c r="G78" s="76" t="s">
        <v>1037</v>
      </c>
      <c r="H78" s="70"/>
      <c r="O78" s="70" t="str">
        <v>FGS-8B7 (Deshidrogenado / Horneado) | 190 - 204 °C (375 - 400 °F) | 337 - 349 (650 ± 10 °F) | &gt;= 5 hrs.</v>
      </c>
    </row>
    <row r="79" spans="1:15" x14ac:dyDescent="0.2">
      <c r="A79" s="73"/>
      <c r="B79" s="77"/>
      <c r="C79" s="74"/>
      <c r="D79" s="74" t="s">
        <v>934</v>
      </c>
      <c r="E79" s="78" t="s">
        <v>128</v>
      </c>
      <c r="F79" s="76" t="s">
        <v>1459</v>
      </c>
      <c r="G79" s="76" t="s">
        <v>1028</v>
      </c>
      <c r="H79" s="70"/>
      <c r="O79" s="70" t="str">
        <v>FGS-8B7 (Deshidrogenado / Horneado) | 190 - 204 °C (375 - 400 °F) | 337 - 349 (650 ± 10 °F) | &gt;= 6 hrs.</v>
      </c>
    </row>
    <row r="80" spans="1:15" x14ac:dyDescent="0.2">
      <c r="A80" s="73"/>
      <c r="B80" s="77"/>
      <c r="C80" s="74"/>
      <c r="D80" s="74" t="s">
        <v>934</v>
      </c>
      <c r="E80" s="78" t="s">
        <v>96</v>
      </c>
      <c r="F80" s="76" t="s">
        <v>344</v>
      </c>
      <c r="G80" s="76" t="s">
        <v>989</v>
      </c>
      <c r="H80" s="70"/>
      <c r="O80" s="70" t="str">
        <v>FGS-8B7 (Deshidrogenado / Horneado) | 190 - 204 °C (375 - 400 °F) | 337 - 349 (650 ± 10 °F) | &gt;= 8 hrs.</v>
      </c>
    </row>
    <row r="81" spans="1:15" x14ac:dyDescent="0.2">
      <c r="A81" s="73"/>
      <c r="B81" s="77"/>
      <c r="C81" s="74"/>
      <c r="D81" s="74" t="s">
        <v>934</v>
      </c>
      <c r="E81" s="78" t="s">
        <v>137</v>
      </c>
      <c r="F81" s="76" t="s">
        <v>344</v>
      </c>
      <c r="G81" s="76" t="s">
        <v>989</v>
      </c>
      <c r="H81" s="70"/>
      <c r="O81" s="70" t="str">
        <v>FGS-8B7 (Deshidrogenado / Horneado) | 190 - 204 °C (375 - 400 °F) | No aplica | &gt;= 0.5 hrs.</v>
      </c>
    </row>
    <row r="82" spans="1:15" ht="16" x14ac:dyDescent="0.2">
      <c r="A82" s="73"/>
      <c r="B82" s="77"/>
      <c r="C82" s="74"/>
      <c r="D82" s="74" t="s">
        <v>934</v>
      </c>
      <c r="E82" s="78" t="s">
        <v>105</v>
      </c>
      <c r="F82" s="76" t="s">
        <v>372</v>
      </c>
      <c r="G82" s="75" t="s">
        <v>286</v>
      </c>
      <c r="H82" s="70"/>
      <c r="O82" s="70" t="str">
        <v>FGS-8B7 (Deshidrogenado / Horneado) | 190 - 204 °C (375 - 400 °F) | No aplica | &gt;= 1 hrs.</v>
      </c>
    </row>
    <row r="83" spans="1:15" ht="16" x14ac:dyDescent="0.2">
      <c r="A83" s="73"/>
      <c r="B83" s="77"/>
      <c r="C83" s="74"/>
      <c r="D83" s="74" t="s">
        <v>934</v>
      </c>
      <c r="E83" s="78" t="s">
        <v>112</v>
      </c>
      <c r="F83" s="76" t="s">
        <v>381</v>
      </c>
      <c r="G83" s="75" t="s">
        <v>298</v>
      </c>
      <c r="H83" s="70"/>
      <c r="O83" s="70" t="str">
        <v>FGS-8B7 (Deshidrogenado / Horneado) | 190 - 204 °C (375 - 400 °F) | No aplica | &gt;= 10 hrs.</v>
      </c>
    </row>
    <row r="84" spans="1:15" ht="16" x14ac:dyDescent="0.2">
      <c r="A84" s="73"/>
      <c r="B84" s="77"/>
      <c r="C84" s="74"/>
      <c r="D84" s="74" t="s">
        <v>934</v>
      </c>
      <c r="E84" s="78" t="s">
        <v>96</v>
      </c>
      <c r="F84" s="76" t="s">
        <v>381</v>
      </c>
      <c r="G84" s="75" t="s">
        <v>292</v>
      </c>
      <c r="H84" s="70"/>
      <c r="O84" s="70" t="str">
        <v>FGS-8B7 (Deshidrogenado / Horneado) | 190 - 204 °C (375 - 400 °F) | No aplica | &gt;= 14 hrs.</v>
      </c>
    </row>
    <row r="85" spans="1:15" ht="16" x14ac:dyDescent="0.2">
      <c r="A85" s="73"/>
      <c r="B85" s="77"/>
      <c r="C85" s="74"/>
      <c r="D85" s="74" t="s">
        <v>934</v>
      </c>
      <c r="E85" s="78" t="s">
        <v>128</v>
      </c>
      <c r="F85" s="76" t="s">
        <v>381</v>
      </c>
      <c r="G85" s="75" t="s">
        <v>303</v>
      </c>
      <c r="H85" s="70"/>
      <c r="O85" s="70" t="str">
        <v>FGS-8B7 (Deshidrogenado / Horneado) | 190 - 204 °C (375 - 400 °F) | No aplica | &gt;= 2 hrs.</v>
      </c>
    </row>
    <row r="86" spans="1:15" x14ac:dyDescent="0.2">
      <c r="A86" s="73"/>
      <c r="B86" s="77"/>
      <c r="C86" s="74"/>
      <c r="D86" s="74" t="s">
        <v>934</v>
      </c>
      <c r="E86" s="78" t="s">
        <v>966</v>
      </c>
      <c r="F86" s="76" t="s">
        <v>381</v>
      </c>
      <c r="G86" s="76" t="s">
        <v>1051</v>
      </c>
      <c r="H86" s="70"/>
      <c r="O86" s="70" t="str">
        <v>FGS-8B7 (Deshidrogenado / Horneado) | 190 - 204 °C (375 - 400 °F) | No aplica | &gt;= 24 hrs.</v>
      </c>
    </row>
    <row r="87" spans="1:15" x14ac:dyDescent="0.2">
      <c r="A87" s="73"/>
      <c r="B87" s="77"/>
      <c r="C87" s="74"/>
      <c r="D87" s="74" t="s">
        <v>934</v>
      </c>
      <c r="E87" s="78" t="s">
        <v>112</v>
      </c>
      <c r="F87" s="76" t="s">
        <v>415</v>
      </c>
      <c r="G87" s="76" t="s">
        <v>996</v>
      </c>
      <c r="H87" s="70"/>
      <c r="O87" s="70" t="str">
        <v>FGS-8B7 (Deshidrogenado / Horneado) | 190 - 204 °C (375 - 400 °F) | No aplica | &gt;= 3 hrs.</v>
      </c>
    </row>
    <row r="88" spans="1:15" x14ac:dyDescent="0.2">
      <c r="A88" s="73"/>
      <c r="B88" s="77"/>
      <c r="C88" s="74"/>
      <c r="D88" s="74" t="s">
        <v>934</v>
      </c>
      <c r="E88" s="78" t="s">
        <v>966</v>
      </c>
      <c r="F88" s="76" t="s">
        <v>415</v>
      </c>
      <c r="G88" s="76" t="s">
        <v>996</v>
      </c>
      <c r="H88" s="70"/>
      <c r="O88" s="70" t="str">
        <v>FGS-8B7 (Deshidrogenado / Horneado) | 190 - 204 °C (375 - 400 °F) | No aplica | &gt;= 4 hrs.</v>
      </c>
    </row>
    <row r="89" spans="1:15" x14ac:dyDescent="0.2">
      <c r="A89" s="73"/>
      <c r="B89" s="77"/>
      <c r="C89" s="74"/>
      <c r="D89" s="74" t="s">
        <v>934</v>
      </c>
      <c r="E89" s="78" t="s">
        <v>96</v>
      </c>
      <c r="F89" s="76" t="s">
        <v>415</v>
      </c>
      <c r="G89" s="76" t="s">
        <v>996</v>
      </c>
      <c r="H89" s="70"/>
      <c r="O89" s="70" t="str">
        <v>FGS-8B7 (Deshidrogenado / Horneado) | 190 - 204 °C (375 - 400 °F) | No aplica | &gt;= 5 hrs.</v>
      </c>
    </row>
    <row r="90" spans="1:15" x14ac:dyDescent="0.2">
      <c r="A90" s="73"/>
      <c r="B90" s="77"/>
      <c r="C90" s="74"/>
      <c r="D90" s="74" t="s">
        <v>934</v>
      </c>
      <c r="E90" s="78" t="s">
        <v>128</v>
      </c>
      <c r="F90" s="76" t="s">
        <v>415</v>
      </c>
      <c r="G90" s="76" t="s">
        <v>996</v>
      </c>
      <c r="H90" s="70"/>
      <c r="O90" s="70" t="str">
        <v>FGS-8B7 (Deshidrogenado / Horneado) | 190 - 204 °C (375 - 400 °F) | No aplica | &gt;= 6 hrs.</v>
      </c>
    </row>
    <row r="91" spans="1:15" ht="16" x14ac:dyDescent="0.2">
      <c r="A91" s="73"/>
      <c r="B91" s="77"/>
      <c r="C91" s="74"/>
      <c r="D91" s="74" t="s">
        <v>934</v>
      </c>
      <c r="E91" s="78" t="s">
        <v>105</v>
      </c>
      <c r="F91" s="76" t="s">
        <v>1460</v>
      </c>
      <c r="G91" s="75" t="s">
        <v>1009</v>
      </c>
      <c r="H91" s="70"/>
      <c r="O91" s="70" t="str">
        <v>FGS-8B7 (Deshidrogenado / Horneado) | 190 - 204 °C (375 - 400 °F) | No aplica | &gt;= 8 hrs.</v>
      </c>
    </row>
    <row r="92" spans="1:15" ht="16" x14ac:dyDescent="0.2">
      <c r="A92" s="73"/>
      <c r="B92" s="77"/>
      <c r="C92" s="74"/>
      <c r="D92" s="74" t="s">
        <v>934</v>
      </c>
      <c r="E92" s="78" t="s">
        <v>105</v>
      </c>
      <c r="F92" s="76" t="s">
        <v>322</v>
      </c>
      <c r="G92" s="75" t="s">
        <v>248</v>
      </c>
      <c r="H92" s="70"/>
      <c r="O92" s="70" t="str">
        <v>FGS-8B7 (Deshidrogenado / Horneado) | No aplica | 337 - 349 (650 ± 10 °F) | &gt;= 0.5 hrs.</v>
      </c>
    </row>
    <row r="93" spans="1:15" ht="16" x14ac:dyDescent="0.2">
      <c r="A93" s="73"/>
      <c r="B93" s="77"/>
      <c r="C93" s="74"/>
      <c r="D93" s="74" t="s">
        <v>937</v>
      </c>
      <c r="E93" s="78" t="s">
        <v>112</v>
      </c>
      <c r="F93" s="76" t="s">
        <v>1461</v>
      </c>
      <c r="G93" s="75" t="s">
        <v>1086</v>
      </c>
      <c r="H93" s="70"/>
      <c r="O93" s="70" t="str">
        <v>FGS-8B7 (Deshidrogenado / Horneado) | No aplica | 337 - 349 (650 ± 10 °F) | &gt;= 1 hrs.</v>
      </c>
    </row>
    <row r="94" spans="1:15" ht="16" x14ac:dyDescent="0.2">
      <c r="A94" s="73"/>
      <c r="B94" s="77"/>
      <c r="C94" s="74"/>
      <c r="D94" s="74" t="s">
        <v>937</v>
      </c>
      <c r="E94" s="78" t="s">
        <v>966</v>
      </c>
      <c r="F94" s="76" t="s">
        <v>1461</v>
      </c>
      <c r="G94" s="75" t="s">
        <v>1086</v>
      </c>
      <c r="H94" s="70"/>
      <c r="O94" s="70" t="str">
        <v>FGS-8B7 (Deshidrogenado / Horneado) | No aplica | 337 - 349 (650 ± 10 °F) | &gt;= 10 hrs.</v>
      </c>
    </row>
    <row r="95" spans="1:15" ht="16" x14ac:dyDescent="0.2">
      <c r="A95" s="73"/>
      <c r="B95" s="77"/>
      <c r="C95" s="74"/>
      <c r="D95" s="74" t="s">
        <v>937</v>
      </c>
      <c r="E95" s="78" t="s">
        <v>112</v>
      </c>
      <c r="F95" s="76" t="s">
        <v>1462</v>
      </c>
      <c r="G95" s="75" t="s">
        <v>1082</v>
      </c>
      <c r="H95" s="70"/>
      <c r="O95" s="70" t="str">
        <v>FGS-8B7 (Deshidrogenado / Horneado) | No aplica | 337 - 349 (650 ± 10 °F) | &gt;= 14 hrs.</v>
      </c>
    </row>
    <row r="96" spans="1:15" ht="16" x14ac:dyDescent="0.2">
      <c r="A96" s="73"/>
      <c r="B96" s="77"/>
      <c r="C96" s="74"/>
      <c r="D96" s="74" t="s">
        <v>937</v>
      </c>
      <c r="E96" s="78" t="s">
        <v>966</v>
      </c>
      <c r="F96" s="76" t="s">
        <v>1462</v>
      </c>
      <c r="G96" s="75" t="s">
        <v>1082</v>
      </c>
      <c r="H96" s="70"/>
      <c r="O96" s="70" t="str">
        <v>FGS-8B7 (Deshidrogenado / Horneado) | No aplica | 337 - 349 (650 ± 10 °F) | &gt;= 2 hrs.</v>
      </c>
    </row>
    <row r="97" spans="1:15" ht="16" x14ac:dyDescent="0.2">
      <c r="A97" s="73"/>
      <c r="B97" s="77"/>
      <c r="C97" s="74"/>
      <c r="D97" s="74" t="s">
        <v>937</v>
      </c>
      <c r="E97" s="78" t="s">
        <v>112</v>
      </c>
      <c r="F97" s="76" t="s">
        <v>1463</v>
      </c>
      <c r="G97" s="75" t="s">
        <v>1082</v>
      </c>
      <c r="H97" s="70"/>
      <c r="O97" s="70" t="str">
        <v>FGS-8B7 (Deshidrogenado / Horneado) | No aplica | 337 - 349 (650 ± 10 °F) | &gt;= 24 hrs.</v>
      </c>
    </row>
    <row r="98" spans="1:15" ht="16" x14ac:dyDescent="0.2">
      <c r="A98" s="73"/>
      <c r="B98" s="77"/>
      <c r="C98" s="74"/>
      <c r="D98" s="74" t="s">
        <v>937</v>
      </c>
      <c r="E98" s="78" t="s">
        <v>966</v>
      </c>
      <c r="F98" s="76" t="s">
        <v>1463</v>
      </c>
      <c r="G98" s="75" t="s">
        <v>1082</v>
      </c>
      <c r="H98" s="70"/>
      <c r="O98" s="70" t="str">
        <v>FGS-8B7 (Deshidrogenado / Horneado) | No aplica | 337 - 349 (650 ± 10 °F) | &gt;= 3 hrs.</v>
      </c>
    </row>
    <row r="99" spans="1:15" ht="16" x14ac:dyDescent="0.2">
      <c r="A99" s="73"/>
      <c r="B99" s="77"/>
      <c r="C99" s="74"/>
      <c r="D99" s="74" t="s">
        <v>937</v>
      </c>
      <c r="E99" s="78" t="s">
        <v>112</v>
      </c>
      <c r="F99" s="76" t="s">
        <v>1464</v>
      </c>
      <c r="G99" s="75" t="s">
        <v>1082</v>
      </c>
      <c r="H99" s="70"/>
    </row>
    <row r="100" spans="1:15" ht="16" x14ac:dyDescent="0.2">
      <c r="A100" s="73"/>
      <c r="B100" s="77"/>
      <c r="C100" s="74"/>
      <c r="D100" s="74" t="s">
        <v>937</v>
      </c>
      <c r="E100" s="78" t="s">
        <v>966</v>
      </c>
      <c r="F100" s="76" t="s">
        <v>1464</v>
      </c>
      <c r="G100" s="75" t="s">
        <v>1082</v>
      </c>
      <c r="H100" s="70"/>
    </row>
    <row r="101" spans="1:15" ht="16" x14ac:dyDescent="0.2">
      <c r="A101" s="73"/>
      <c r="B101" s="77"/>
      <c r="C101" s="74"/>
      <c r="D101" s="74" t="s">
        <v>937</v>
      </c>
      <c r="E101" s="78" t="s">
        <v>112</v>
      </c>
      <c r="F101" s="76" t="s">
        <v>1465</v>
      </c>
      <c r="G101" s="75" t="s">
        <v>1085</v>
      </c>
      <c r="H101" s="70"/>
    </row>
    <row r="102" spans="1:15" ht="16" x14ac:dyDescent="0.2">
      <c r="A102" s="73"/>
      <c r="B102" s="77"/>
      <c r="C102" s="74"/>
      <c r="D102" s="74" t="s">
        <v>937</v>
      </c>
      <c r="E102" s="78" t="s">
        <v>966</v>
      </c>
      <c r="F102" s="76" t="s">
        <v>1465</v>
      </c>
      <c r="G102" s="75" t="s">
        <v>1085</v>
      </c>
      <c r="H102" s="70"/>
    </row>
    <row r="103" spans="1:15" x14ac:dyDescent="0.2">
      <c r="A103" s="73"/>
      <c r="B103" s="77"/>
      <c r="C103" s="74"/>
      <c r="D103" s="74" t="s">
        <v>937</v>
      </c>
      <c r="E103" s="78" t="s">
        <v>112</v>
      </c>
      <c r="F103" s="76" t="s">
        <v>1466</v>
      </c>
      <c r="G103" s="76" t="s">
        <v>1083</v>
      </c>
      <c r="H103" s="70"/>
    </row>
    <row r="104" spans="1:15" x14ac:dyDescent="0.2">
      <c r="A104" s="73"/>
      <c r="B104" s="77"/>
      <c r="C104" s="74"/>
      <c r="D104" s="74" t="s">
        <v>937</v>
      </c>
      <c r="E104" s="78" t="s">
        <v>966</v>
      </c>
      <c r="F104" s="76" t="s">
        <v>1466</v>
      </c>
      <c r="G104" s="76" t="s">
        <v>1083</v>
      </c>
      <c r="H104" s="70"/>
    </row>
    <row r="105" spans="1:15" x14ac:dyDescent="0.2">
      <c r="A105" s="73"/>
      <c r="B105" s="77"/>
      <c r="C105" s="74"/>
      <c r="D105" s="74" t="s">
        <v>937</v>
      </c>
      <c r="E105" s="78" t="s">
        <v>112</v>
      </c>
      <c r="F105" s="76" t="s">
        <v>1467</v>
      </c>
      <c r="G105" s="76" t="s">
        <v>1083</v>
      </c>
      <c r="H105" s="70"/>
    </row>
    <row r="106" spans="1:15" x14ac:dyDescent="0.2">
      <c r="A106" s="73"/>
      <c r="B106" s="77"/>
      <c r="C106" s="74"/>
      <c r="D106" s="74" t="s">
        <v>937</v>
      </c>
      <c r="E106" s="78" t="s">
        <v>966</v>
      </c>
      <c r="F106" s="76" t="s">
        <v>1467</v>
      </c>
      <c r="G106" s="76" t="s">
        <v>1083</v>
      </c>
      <c r="H106" s="70"/>
    </row>
    <row r="107" spans="1:15" x14ac:dyDescent="0.2">
      <c r="A107" s="73"/>
      <c r="B107" s="77"/>
      <c r="C107" s="74"/>
      <c r="D107" s="74" t="s">
        <v>937</v>
      </c>
      <c r="E107" s="78" t="s">
        <v>112</v>
      </c>
      <c r="F107" s="76" t="s">
        <v>1468</v>
      </c>
      <c r="G107" s="76" t="s">
        <v>1083</v>
      </c>
      <c r="H107" s="70"/>
    </row>
    <row r="108" spans="1:15" x14ac:dyDescent="0.2">
      <c r="A108" s="73"/>
      <c r="B108" s="77"/>
      <c r="C108" s="74"/>
      <c r="D108" s="74" t="s">
        <v>937</v>
      </c>
      <c r="E108" s="78" t="s">
        <v>966</v>
      </c>
      <c r="F108" s="76" t="s">
        <v>1468</v>
      </c>
      <c r="G108" s="76" t="s">
        <v>1083</v>
      </c>
      <c r="H108" s="70"/>
    </row>
    <row r="109" spans="1:15" x14ac:dyDescent="0.2">
      <c r="A109" s="73"/>
      <c r="B109" s="77"/>
      <c r="C109" s="74"/>
      <c r="D109" s="74" t="s">
        <v>937</v>
      </c>
      <c r="E109" s="78" t="s">
        <v>112</v>
      </c>
      <c r="F109" s="76" t="s">
        <v>1469</v>
      </c>
      <c r="G109" s="76" t="s">
        <v>1083</v>
      </c>
      <c r="H109" s="70"/>
    </row>
    <row r="110" spans="1:15" x14ac:dyDescent="0.2">
      <c r="A110" s="73"/>
      <c r="B110" s="77"/>
      <c r="C110" s="74"/>
      <c r="D110" s="74" t="s">
        <v>937</v>
      </c>
      <c r="E110" s="78" t="s">
        <v>966</v>
      </c>
      <c r="F110" s="76" t="s">
        <v>1469</v>
      </c>
      <c r="G110" s="76" t="s">
        <v>1083</v>
      </c>
      <c r="H110" s="70"/>
    </row>
    <row r="111" spans="1:15" x14ac:dyDescent="0.2">
      <c r="A111" s="73"/>
      <c r="B111" s="77"/>
      <c r="C111" s="74"/>
      <c r="D111" s="74" t="s">
        <v>937</v>
      </c>
      <c r="E111" s="78" t="s">
        <v>112</v>
      </c>
      <c r="F111" s="76" t="s">
        <v>1470</v>
      </c>
      <c r="G111" s="76" t="s">
        <v>1084</v>
      </c>
      <c r="H111" s="70"/>
    </row>
    <row r="112" spans="1:15" x14ac:dyDescent="0.2">
      <c r="A112" s="73"/>
      <c r="B112" s="77"/>
      <c r="C112" s="74"/>
      <c r="D112" s="74" t="s">
        <v>937</v>
      </c>
      <c r="E112" s="78" t="s">
        <v>966</v>
      </c>
      <c r="F112" s="76" t="s">
        <v>1470</v>
      </c>
      <c r="G112" s="76" t="s">
        <v>1084</v>
      </c>
      <c r="H112" s="70"/>
    </row>
    <row r="113" spans="1:8" x14ac:dyDescent="0.2">
      <c r="A113" s="73"/>
      <c r="B113" s="77"/>
      <c r="C113" s="74"/>
      <c r="D113" s="74" t="s">
        <v>937</v>
      </c>
      <c r="E113" s="78" t="s">
        <v>112</v>
      </c>
      <c r="F113" s="76" t="s">
        <v>1471</v>
      </c>
      <c r="G113" s="76" t="s">
        <v>1084</v>
      </c>
      <c r="H113" s="70"/>
    </row>
    <row r="114" spans="1:8" x14ac:dyDescent="0.2">
      <c r="A114" s="73"/>
      <c r="B114" s="77"/>
      <c r="C114" s="74"/>
      <c r="D114" s="74" t="s">
        <v>937</v>
      </c>
      <c r="E114" s="78" t="s">
        <v>966</v>
      </c>
      <c r="F114" s="76" t="s">
        <v>1471</v>
      </c>
      <c r="G114" s="76" t="s">
        <v>1084</v>
      </c>
      <c r="H114" s="70"/>
    </row>
    <row r="115" spans="1:8" ht="16" x14ac:dyDescent="0.2">
      <c r="A115" s="73"/>
      <c r="B115" s="77"/>
      <c r="C115" s="74"/>
      <c r="D115" s="74" t="s">
        <v>937</v>
      </c>
      <c r="E115" s="78" t="s">
        <v>112</v>
      </c>
      <c r="F115" s="76" t="s">
        <v>1472</v>
      </c>
      <c r="G115" s="75" t="s">
        <v>1079</v>
      </c>
      <c r="H115" s="70"/>
    </row>
    <row r="116" spans="1:8" ht="16" x14ac:dyDescent="0.2">
      <c r="A116" s="73"/>
      <c r="B116" s="77"/>
      <c r="C116" s="74"/>
      <c r="D116" s="74" t="s">
        <v>937</v>
      </c>
      <c r="E116" s="78" t="s">
        <v>966</v>
      </c>
      <c r="F116" s="76" t="s">
        <v>1472</v>
      </c>
      <c r="G116" s="75" t="s">
        <v>1079</v>
      </c>
      <c r="H116" s="70"/>
    </row>
    <row r="117" spans="1:8" ht="16" x14ac:dyDescent="0.2">
      <c r="A117" s="73"/>
      <c r="B117" s="77"/>
      <c r="C117" s="74"/>
      <c r="D117" s="74" t="s">
        <v>937</v>
      </c>
      <c r="E117" s="78" t="s">
        <v>112</v>
      </c>
      <c r="F117" s="76" t="s">
        <v>1473</v>
      </c>
      <c r="G117" s="75" t="s">
        <v>1079</v>
      </c>
      <c r="H117" s="70"/>
    </row>
    <row r="118" spans="1:8" ht="16" x14ac:dyDescent="0.2">
      <c r="A118" s="73"/>
      <c r="B118" s="77"/>
      <c r="C118" s="74"/>
      <c r="D118" s="74" t="s">
        <v>937</v>
      </c>
      <c r="E118" s="78" t="s">
        <v>966</v>
      </c>
      <c r="F118" s="76" t="s">
        <v>1473</v>
      </c>
      <c r="G118" s="75" t="s">
        <v>1079</v>
      </c>
      <c r="H118" s="70"/>
    </row>
    <row r="119" spans="1:8" ht="16" x14ac:dyDescent="0.2">
      <c r="A119" s="73"/>
      <c r="B119" s="77"/>
      <c r="C119" s="74"/>
      <c r="D119" s="74" t="s">
        <v>937</v>
      </c>
      <c r="E119" s="78" t="s">
        <v>112</v>
      </c>
      <c r="F119" s="76" t="s">
        <v>1474</v>
      </c>
      <c r="G119" s="75" t="s">
        <v>1079</v>
      </c>
      <c r="H119" s="70"/>
    </row>
    <row r="120" spans="1:8" ht="16" x14ac:dyDescent="0.2">
      <c r="A120" s="73"/>
      <c r="B120" s="77"/>
      <c r="C120" s="74"/>
      <c r="D120" s="74" t="s">
        <v>937</v>
      </c>
      <c r="E120" s="78" t="s">
        <v>966</v>
      </c>
      <c r="F120" s="76" t="s">
        <v>1474</v>
      </c>
      <c r="G120" s="75" t="s">
        <v>1079</v>
      </c>
      <c r="H120" s="70"/>
    </row>
    <row r="121" spans="1:8" ht="16" x14ac:dyDescent="0.2">
      <c r="A121" s="73"/>
      <c r="B121" s="77"/>
      <c r="C121" s="74"/>
      <c r="D121" s="74" t="s">
        <v>937</v>
      </c>
      <c r="E121" s="78" t="s">
        <v>112</v>
      </c>
      <c r="F121" s="76" t="s">
        <v>1475</v>
      </c>
      <c r="G121" s="75" t="s">
        <v>1079</v>
      </c>
      <c r="H121" s="70"/>
    </row>
    <row r="122" spans="1:8" ht="16" x14ac:dyDescent="0.2">
      <c r="A122" s="73"/>
      <c r="B122" s="77"/>
      <c r="C122" s="74"/>
      <c r="D122" s="74" t="s">
        <v>937</v>
      </c>
      <c r="E122" s="78" t="s">
        <v>966</v>
      </c>
      <c r="F122" s="76" t="s">
        <v>1475</v>
      </c>
      <c r="G122" s="75" t="s">
        <v>1079</v>
      </c>
      <c r="H122" s="70"/>
    </row>
    <row r="123" spans="1:8" ht="16" x14ac:dyDescent="0.2">
      <c r="A123" s="73"/>
      <c r="B123" s="77"/>
      <c r="C123" s="74"/>
      <c r="D123" s="74" t="s">
        <v>937</v>
      </c>
      <c r="E123" s="78" t="s">
        <v>112</v>
      </c>
      <c r="F123" s="76" t="s">
        <v>1476</v>
      </c>
      <c r="G123" s="75" t="s">
        <v>1079</v>
      </c>
      <c r="H123" s="70"/>
    </row>
    <row r="124" spans="1:8" ht="16" x14ac:dyDescent="0.2">
      <c r="A124" s="73"/>
      <c r="B124" s="77"/>
      <c r="C124" s="74"/>
      <c r="D124" s="74" t="s">
        <v>937</v>
      </c>
      <c r="E124" s="78" t="s">
        <v>966</v>
      </c>
      <c r="F124" s="76" t="s">
        <v>1476</v>
      </c>
      <c r="G124" s="75" t="s">
        <v>1079</v>
      </c>
      <c r="H124" s="70"/>
    </row>
    <row r="125" spans="1:8" ht="16" x14ac:dyDescent="0.2">
      <c r="A125" s="73"/>
      <c r="B125" s="77"/>
      <c r="C125" s="74"/>
      <c r="D125" s="74" t="s">
        <v>937</v>
      </c>
      <c r="E125" s="78" t="s">
        <v>112</v>
      </c>
      <c r="F125" s="76" t="s">
        <v>1477</v>
      </c>
      <c r="G125" s="75" t="s">
        <v>1080</v>
      </c>
      <c r="H125" s="70"/>
    </row>
    <row r="126" spans="1:8" ht="16" x14ac:dyDescent="0.2">
      <c r="A126" s="73"/>
      <c r="B126" s="77"/>
      <c r="C126" s="74"/>
      <c r="D126" s="74" t="s">
        <v>937</v>
      </c>
      <c r="E126" s="78" t="s">
        <v>966</v>
      </c>
      <c r="F126" s="76" t="s">
        <v>1477</v>
      </c>
      <c r="G126" s="75" t="s">
        <v>1080</v>
      </c>
      <c r="H126" s="70"/>
    </row>
    <row r="127" spans="1:8" ht="16" x14ac:dyDescent="0.2">
      <c r="A127" s="73"/>
      <c r="B127" s="77"/>
      <c r="C127" s="74"/>
      <c r="D127" s="74" t="s">
        <v>937</v>
      </c>
      <c r="E127" s="78" t="s">
        <v>112</v>
      </c>
      <c r="F127" s="76" t="s">
        <v>1478</v>
      </c>
      <c r="G127" s="75" t="s">
        <v>1080</v>
      </c>
      <c r="H127" s="70"/>
    </row>
    <row r="128" spans="1:8" ht="16" x14ac:dyDescent="0.2">
      <c r="A128" s="73"/>
      <c r="B128" s="77"/>
      <c r="C128" s="74"/>
      <c r="D128" s="74" t="s">
        <v>937</v>
      </c>
      <c r="E128" s="78" t="s">
        <v>966</v>
      </c>
      <c r="F128" s="76" t="s">
        <v>1478</v>
      </c>
      <c r="G128" s="75" t="s">
        <v>1080</v>
      </c>
      <c r="H128" s="70"/>
    </row>
    <row r="129" spans="1:8" ht="16" x14ac:dyDescent="0.2">
      <c r="A129" s="73"/>
      <c r="B129" s="77"/>
      <c r="C129" s="74"/>
      <c r="D129" s="74" t="s">
        <v>937</v>
      </c>
      <c r="E129" s="78" t="s">
        <v>112</v>
      </c>
      <c r="F129" s="76" t="s">
        <v>1479</v>
      </c>
      <c r="G129" s="75" t="s">
        <v>1081</v>
      </c>
      <c r="H129" s="70"/>
    </row>
    <row r="130" spans="1:8" ht="16" x14ac:dyDescent="0.2">
      <c r="A130" s="73"/>
      <c r="B130" s="77"/>
      <c r="C130" s="74"/>
      <c r="D130" s="74" t="s">
        <v>937</v>
      </c>
      <c r="E130" s="78" t="s">
        <v>966</v>
      </c>
      <c r="F130" s="76" t="s">
        <v>1479</v>
      </c>
      <c r="G130" s="75" t="s">
        <v>1081</v>
      </c>
      <c r="H130" s="70"/>
    </row>
    <row r="131" spans="1:8" ht="16" x14ac:dyDescent="0.2">
      <c r="A131" s="73"/>
      <c r="B131" s="77"/>
      <c r="C131" s="74"/>
      <c r="D131" s="74" t="s">
        <v>937</v>
      </c>
      <c r="E131" s="78" t="s">
        <v>112</v>
      </c>
      <c r="F131" s="76" t="s">
        <v>1480</v>
      </c>
      <c r="G131" s="75" t="s">
        <v>1081</v>
      </c>
      <c r="H131" s="70"/>
    </row>
    <row r="132" spans="1:8" ht="16" x14ac:dyDescent="0.2">
      <c r="A132" s="73"/>
      <c r="B132" s="77"/>
      <c r="C132" s="74"/>
      <c r="D132" s="74" t="s">
        <v>937</v>
      </c>
      <c r="E132" s="78" t="s">
        <v>966</v>
      </c>
      <c r="F132" s="76" t="s">
        <v>1480</v>
      </c>
      <c r="G132" s="75" t="s">
        <v>1081</v>
      </c>
      <c r="H132" s="70"/>
    </row>
    <row r="133" spans="1:8" x14ac:dyDescent="0.2">
      <c r="A133" s="73"/>
      <c r="B133" s="77"/>
      <c r="C133" s="74"/>
      <c r="D133" s="74" t="s">
        <v>937</v>
      </c>
      <c r="E133" s="78" t="s">
        <v>112</v>
      </c>
      <c r="F133" s="76" t="s">
        <v>1481</v>
      </c>
      <c r="G133" s="76" t="s">
        <v>998</v>
      </c>
      <c r="H133" s="70"/>
    </row>
    <row r="134" spans="1:8" x14ac:dyDescent="0.2">
      <c r="A134" s="73"/>
      <c r="B134" s="77"/>
      <c r="C134" s="74"/>
      <c r="D134" s="74" t="s">
        <v>937</v>
      </c>
      <c r="E134" s="78" t="s">
        <v>966</v>
      </c>
      <c r="F134" s="76" t="s">
        <v>1481</v>
      </c>
      <c r="G134" s="76" t="s">
        <v>998</v>
      </c>
      <c r="H134" s="70"/>
    </row>
    <row r="135" spans="1:8" x14ac:dyDescent="0.2">
      <c r="A135" s="73"/>
      <c r="B135" s="77"/>
      <c r="C135" s="74"/>
      <c r="D135" s="74" t="s">
        <v>937</v>
      </c>
      <c r="E135" s="78" t="s">
        <v>112</v>
      </c>
      <c r="F135" s="76" t="s">
        <v>1482</v>
      </c>
      <c r="G135" s="76" t="s">
        <v>999</v>
      </c>
      <c r="H135" s="70"/>
    </row>
    <row r="136" spans="1:8" x14ac:dyDescent="0.2">
      <c r="A136" s="73"/>
      <c r="B136" s="77"/>
      <c r="C136" s="74"/>
      <c r="D136" s="74" t="s">
        <v>937</v>
      </c>
      <c r="E136" s="78" t="s">
        <v>966</v>
      </c>
      <c r="F136" s="76" t="s">
        <v>1482</v>
      </c>
      <c r="G136" s="76" t="s">
        <v>999</v>
      </c>
      <c r="H136" s="70"/>
    </row>
    <row r="137" spans="1:8" x14ac:dyDescent="0.2">
      <c r="A137" s="73"/>
      <c r="B137" s="77"/>
      <c r="C137" s="74"/>
      <c r="D137" s="74" t="s">
        <v>937</v>
      </c>
      <c r="E137" s="78" t="s">
        <v>966</v>
      </c>
      <c r="F137" s="76" t="s">
        <v>1483</v>
      </c>
      <c r="G137" s="76" t="s">
        <v>997</v>
      </c>
      <c r="H137" s="70"/>
    </row>
    <row r="138" spans="1:8" x14ac:dyDescent="0.2">
      <c r="A138" s="73"/>
      <c r="B138" s="77"/>
      <c r="C138" s="74"/>
      <c r="D138" s="74" t="s">
        <v>937</v>
      </c>
      <c r="E138" s="78" t="s">
        <v>112</v>
      </c>
      <c r="F138" s="76" t="s">
        <v>1483</v>
      </c>
      <c r="G138" s="76" t="s">
        <v>997</v>
      </c>
      <c r="H138" s="70"/>
    </row>
    <row r="139" spans="1:8" x14ac:dyDescent="0.2">
      <c r="A139" s="73"/>
      <c r="B139" s="77"/>
      <c r="C139" s="74"/>
      <c r="D139" s="74" t="s">
        <v>937</v>
      </c>
      <c r="E139" s="78" t="s">
        <v>112</v>
      </c>
      <c r="F139" s="76" t="s">
        <v>1484</v>
      </c>
      <c r="G139" s="76" t="s">
        <v>1076</v>
      </c>
      <c r="H139" s="70"/>
    </row>
    <row r="140" spans="1:8" x14ac:dyDescent="0.2">
      <c r="A140" s="73"/>
      <c r="B140" s="77"/>
      <c r="C140" s="74"/>
      <c r="D140" s="74" t="s">
        <v>937</v>
      </c>
      <c r="E140" s="78" t="s">
        <v>966</v>
      </c>
      <c r="F140" s="76" t="s">
        <v>1484</v>
      </c>
      <c r="G140" s="76" t="s">
        <v>1076</v>
      </c>
      <c r="H140" s="70"/>
    </row>
    <row r="141" spans="1:8" x14ac:dyDescent="0.2">
      <c r="A141" s="73"/>
      <c r="B141" s="77"/>
      <c r="C141" s="74"/>
      <c r="D141" s="74" t="s">
        <v>937</v>
      </c>
      <c r="E141" s="78" t="s">
        <v>112</v>
      </c>
      <c r="F141" s="76" t="s">
        <v>1485</v>
      </c>
      <c r="G141" s="76" t="s">
        <v>1077</v>
      </c>
      <c r="H141" s="70"/>
    </row>
    <row r="142" spans="1:8" x14ac:dyDescent="0.2">
      <c r="A142" s="73"/>
      <c r="B142" s="77"/>
      <c r="C142" s="74"/>
      <c r="D142" s="74" t="s">
        <v>937</v>
      </c>
      <c r="E142" s="78" t="s">
        <v>966</v>
      </c>
      <c r="F142" s="76" t="s">
        <v>1485</v>
      </c>
      <c r="G142" s="76" t="s">
        <v>1077</v>
      </c>
      <c r="H142" s="70"/>
    </row>
    <row r="143" spans="1:8" x14ac:dyDescent="0.2">
      <c r="A143" s="73"/>
      <c r="B143" s="77"/>
      <c r="C143" s="74"/>
      <c r="D143" s="74" t="s">
        <v>937</v>
      </c>
      <c r="E143" s="78" t="s">
        <v>966</v>
      </c>
      <c r="F143" s="76" t="s">
        <v>1486</v>
      </c>
      <c r="G143" s="76" t="s">
        <v>1075</v>
      </c>
      <c r="H143" s="70"/>
    </row>
    <row r="144" spans="1:8" x14ac:dyDescent="0.2">
      <c r="A144" s="73"/>
      <c r="B144" s="77"/>
      <c r="C144" s="74"/>
      <c r="D144" s="74" t="s">
        <v>937</v>
      </c>
      <c r="E144" s="78" t="s">
        <v>112</v>
      </c>
      <c r="F144" s="76" t="s">
        <v>1486</v>
      </c>
      <c r="G144" s="76" t="s">
        <v>1075</v>
      </c>
      <c r="H144" s="70"/>
    </row>
    <row r="145" spans="1:8" x14ac:dyDescent="0.2">
      <c r="A145" s="73"/>
      <c r="B145" s="77"/>
      <c r="C145" s="74"/>
      <c r="D145" s="74" t="s">
        <v>937</v>
      </c>
      <c r="E145" s="78" t="s">
        <v>966</v>
      </c>
      <c r="F145" s="76" t="s">
        <v>1487</v>
      </c>
      <c r="G145" s="76" t="s">
        <v>1074</v>
      </c>
      <c r="H145" s="70"/>
    </row>
    <row r="146" spans="1:8" x14ac:dyDescent="0.2">
      <c r="A146" s="73"/>
      <c r="B146" s="77"/>
      <c r="C146" s="74"/>
      <c r="D146" s="74" t="s">
        <v>937</v>
      </c>
      <c r="E146" s="78" t="s">
        <v>112</v>
      </c>
      <c r="F146" s="76" t="s">
        <v>1487</v>
      </c>
      <c r="G146" s="76" t="s">
        <v>1074</v>
      </c>
      <c r="H146" s="70"/>
    </row>
    <row r="147" spans="1:8" x14ac:dyDescent="0.2">
      <c r="A147" s="73"/>
      <c r="B147" s="77"/>
      <c r="C147" s="74"/>
      <c r="D147" s="74" t="s">
        <v>937</v>
      </c>
      <c r="E147" s="78" t="s">
        <v>966</v>
      </c>
      <c r="F147" s="76" t="s">
        <v>1488</v>
      </c>
      <c r="G147" s="76" t="s">
        <v>1074</v>
      </c>
      <c r="H147" s="70"/>
    </row>
    <row r="148" spans="1:8" x14ac:dyDescent="0.2">
      <c r="A148" s="73"/>
      <c r="B148" s="77"/>
      <c r="C148" s="74"/>
      <c r="D148" s="74" t="s">
        <v>937</v>
      </c>
      <c r="E148" s="78" t="s">
        <v>112</v>
      </c>
      <c r="F148" s="76" t="s">
        <v>1488</v>
      </c>
      <c r="G148" s="76" t="s">
        <v>1074</v>
      </c>
      <c r="H148" s="70"/>
    </row>
    <row r="149" spans="1:8" x14ac:dyDescent="0.2">
      <c r="A149" s="73"/>
      <c r="B149" s="77"/>
      <c r="C149" s="74"/>
      <c r="D149" s="74" t="s">
        <v>937</v>
      </c>
      <c r="E149" s="78" t="s">
        <v>112</v>
      </c>
      <c r="F149" s="76" t="s">
        <v>1483</v>
      </c>
      <c r="G149" s="76" t="s">
        <v>997</v>
      </c>
      <c r="H149" s="70"/>
    </row>
    <row r="150" spans="1:8" x14ac:dyDescent="0.2">
      <c r="A150" s="73"/>
      <c r="B150" s="77"/>
      <c r="C150" s="74"/>
      <c r="D150" s="74" t="s">
        <v>937</v>
      </c>
      <c r="E150" s="78" t="s">
        <v>966</v>
      </c>
      <c r="F150" s="76" t="s">
        <v>1483</v>
      </c>
      <c r="G150" s="76" t="s">
        <v>997</v>
      </c>
      <c r="H150" s="70"/>
    </row>
    <row r="151" spans="1:8" x14ac:dyDescent="0.2">
      <c r="A151" s="73"/>
      <c r="B151" s="77"/>
      <c r="C151" s="74"/>
      <c r="D151" s="74" t="s">
        <v>937</v>
      </c>
      <c r="E151" s="78" t="s">
        <v>112</v>
      </c>
      <c r="F151" s="76" t="s">
        <v>1481</v>
      </c>
      <c r="G151" s="76" t="s">
        <v>998</v>
      </c>
      <c r="H151" s="70"/>
    </row>
    <row r="152" spans="1:8" x14ac:dyDescent="0.2">
      <c r="A152" s="73"/>
      <c r="B152" s="77"/>
      <c r="C152" s="74"/>
      <c r="D152" s="74" t="s">
        <v>937</v>
      </c>
      <c r="E152" s="78" t="s">
        <v>966</v>
      </c>
      <c r="F152" s="76" t="s">
        <v>1481</v>
      </c>
      <c r="G152" s="76" t="s">
        <v>998</v>
      </c>
      <c r="H152" s="70"/>
    </row>
    <row r="153" spans="1:8" ht="16" x14ac:dyDescent="0.2">
      <c r="A153" s="73"/>
      <c r="B153" s="77"/>
      <c r="C153" s="74"/>
      <c r="D153" s="74" t="s">
        <v>937</v>
      </c>
      <c r="E153" s="78" t="s">
        <v>96</v>
      </c>
      <c r="F153" s="76" t="s">
        <v>2095</v>
      </c>
      <c r="G153" s="75" t="s">
        <v>1078</v>
      </c>
      <c r="H153" s="70"/>
    </row>
    <row r="154" spans="1:8" ht="16" x14ac:dyDescent="0.2">
      <c r="A154" s="73"/>
      <c r="B154" s="77"/>
      <c r="C154" s="74"/>
      <c r="D154" s="74" t="s">
        <v>937</v>
      </c>
      <c r="E154" s="78" t="s">
        <v>137</v>
      </c>
      <c r="F154" s="76" t="s">
        <v>2095</v>
      </c>
      <c r="G154" s="75" t="s">
        <v>1078</v>
      </c>
      <c r="H154" s="70"/>
    </row>
    <row r="155" spans="1:8" ht="16" x14ac:dyDescent="0.2">
      <c r="A155" s="73"/>
      <c r="B155" s="77"/>
      <c r="C155" s="74"/>
      <c r="D155" s="74" t="s">
        <v>937</v>
      </c>
      <c r="E155" s="78" t="s">
        <v>96</v>
      </c>
      <c r="F155" s="76" t="s">
        <v>282</v>
      </c>
      <c r="G155" s="75" t="s">
        <v>1078</v>
      </c>
      <c r="H155" s="70"/>
    </row>
    <row r="156" spans="1:8" ht="16" x14ac:dyDescent="0.2">
      <c r="A156" s="73"/>
      <c r="B156" s="77"/>
      <c r="C156" s="74"/>
      <c r="D156" s="74" t="s">
        <v>937</v>
      </c>
      <c r="E156" s="78" t="s">
        <v>137</v>
      </c>
      <c r="F156" s="76" t="s">
        <v>282</v>
      </c>
      <c r="G156" s="75" t="s">
        <v>1078</v>
      </c>
      <c r="H156" s="70"/>
    </row>
    <row r="157" spans="1:8" ht="16" x14ac:dyDescent="0.2">
      <c r="A157" s="73"/>
      <c r="B157" s="77"/>
      <c r="C157" s="74"/>
      <c r="D157" s="74" t="s">
        <v>937</v>
      </c>
      <c r="E157" s="78" t="s">
        <v>96</v>
      </c>
      <c r="F157" s="76" t="s">
        <v>2124</v>
      </c>
      <c r="G157" s="75" t="s">
        <v>1078</v>
      </c>
      <c r="H157" s="70"/>
    </row>
    <row r="158" spans="1:8" ht="16" x14ac:dyDescent="0.2">
      <c r="A158" s="73"/>
      <c r="B158" s="77"/>
      <c r="C158" s="74"/>
      <c r="D158" s="74" t="s">
        <v>937</v>
      </c>
      <c r="E158" s="78" t="s">
        <v>137</v>
      </c>
      <c r="F158" s="76" t="s">
        <v>2124</v>
      </c>
      <c r="G158" s="75" t="s">
        <v>1078</v>
      </c>
      <c r="H158" s="70"/>
    </row>
    <row r="159" spans="1:8" ht="16" x14ac:dyDescent="0.2">
      <c r="A159" s="73"/>
      <c r="B159" s="77"/>
      <c r="C159" s="74"/>
      <c r="D159" s="74" t="s">
        <v>937</v>
      </c>
      <c r="E159" s="78" t="s">
        <v>96</v>
      </c>
      <c r="F159" s="76" t="s">
        <v>2125</v>
      </c>
      <c r="G159" s="75" t="s">
        <v>1078</v>
      </c>
      <c r="H159" s="70"/>
    </row>
    <row r="160" spans="1:8" ht="16" x14ac:dyDescent="0.2">
      <c r="A160" s="73"/>
      <c r="B160" s="77"/>
      <c r="C160" s="74"/>
      <c r="D160" s="74" t="s">
        <v>937</v>
      </c>
      <c r="E160" s="78" t="s">
        <v>137</v>
      </c>
      <c r="F160" s="76" t="s">
        <v>2125</v>
      </c>
      <c r="G160" s="75" t="s">
        <v>1078</v>
      </c>
      <c r="H160" s="70"/>
    </row>
    <row r="161" spans="1:8" ht="16" x14ac:dyDescent="0.2">
      <c r="A161" s="73"/>
      <c r="B161" s="77"/>
      <c r="C161" s="74"/>
      <c r="D161" s="74" t="s">
        <v>937</v>
      </c>
      <c r="E161" s="78" t="s">
        <v>96</v>
      </c>
      <c r="F161" s="76" t="s">
        <v>2126</v>
      </c>
      <c r="G161" s="75" t="s">
        <v>1078</v>
      </c>
      <c r="H161" s="70"/>
    </row>
    <row r="162" spans="1:8" ht="16" x14ac:dyDescent="0.2">
      <c r="A162" s="73"/>
      <c r="B162" s="77"/>
      <c r="C162" s="74"/>
      <c r="D162" s="74" t="s">
        <v>937</v>
      </c>
      <c r="E162" s="78" t="s">
        <v>137</v>
      </c>
      <c r="F162" s="76" t="s">
        <v>2126</v>
      </c>
      <c r="G162" s="75" t="s">
        <v>1078</v>
      </c>
      <c r="H162" s="70"/>
    </row>
    <row r="163" spans="1:8" x14ac:dyDescent="0.2">
      <c r="A163" s="73"/>
      <c r="B163" s="77"/>
      <c r="C163" s="74"/>
      <c r="D163" s="74" t="s">
        <v>937</v>
      </c>
      <c r="E163" s="78" t="s">
        <v>96</v>
      </c>
      <c r="F163" s="76" t="s">
        <v>2127</v>
      </c>
      <c r="G163" s="76" t="s">
        <v>1016</v>
      </c>
      <c r="H163" s="70"/>
    </row>
    <row r="164" spans="1:8" x14ac:dyDescent="0.2">
      <c r="A164" s="73"/>
      <c r="B164" s="77"/>
      <c r="C164" s="74"/>
      <c r="D164" s="74" t="s">
        <v>937</v>
      </c>
      <c r="E164" s="78" t="s">
        <v>137</v>
      </c>
      <c r="F164" s="76" t="s">
        <v>2127</v>
      </c>
      <c r="G164" s="76" t="s">
        <v>1016</v>
      </c>
      <c r="H164" s="70"/>
    </row>
    <row r="165" spans="1:8" x14ac:dyDescent="0.2">
      <c r="A165" s="73"/>
      <c r="B165" s="77"/>
      <c r="C165" s="74"/>
      <c r="D165" s="74" t="s">
        <v>937</v>
      </c>
      <c r="E165" s="78" t="s">
        <v>96</v>
      </c>
      <c r="F165" s="76" t="s">
        <v>2128</v>
      </c>
      <c r="G165" s="76" t="s">
        <v>1016</v>
      </c>
      <c r="H165" s="70"/>
    </row>
    <row r="166" spans="1:8" x14ac:dyDescent="0.2">
      <c r="A166" s="73"/>
      <c r="B166" s="77"/>
      <c r="C166" s="74"/>
      <c r="D166" s="74" t="s">
        <v>937</v>
      </c>
      <c r="E166" s="78" t="s">
        <v>137</v>
      </c>
      <c r="F166" s="76" t="s">
        <v>2128</v>
      </c>
      <c r="G166" s="76" t="s">
        <v>1016</v>
      </c>
      <c r="H166" s="70"/>
    </row>
    <row r="167" spans="1:8" ht="16" x14ac:dyDescent="0.2">
      <c r="A167" s="73"/>
      <c r="B167" s="85"/>
      <c r="C167" s="74"/>
      <c r="D167" s="74" t="s">
        <v>937</v>
      </c>
      <c r="E167" s="78" t="s">
        <v>96</v>
      </c>
      <c r="F167" s="76" t="s">
        <v>2129</v>
      </c>
      <c r="G167" s="75" t="s">
        <v>992</v>
      </c>
      <c r="H167" s="70"/>
    </row>
    <row r="168" spans="1:8" ht="16" x14ac:dyDescent="0.2">
      <c r="A168" s="73"/>
      <c r="B168" s="85"/>
      <c r="C168" s="74"/>
      <c r="D168" s="74" t="s">
        <v>937</v>
      </c>
      <c r="E168" s="78" t="s">
        <v>137</v>
      </c>
      <c r="F168" s="76" t="s">
        <v>2129</v>
      </c>
      <c r="G168" s="75" t="s">
        <v>992</v>
      </c>
      <c r="H168" s="70"/>
    </row>
    <row r="169" spans="1:8" x14ac:dyDescent="0.2">
      <c r="A169" s="73"/>
      <c r="B169" s="85"/>
      <c r="C169" s="74"/>
      <c r="D169" s="74" t="s">
        <v>937</v>
      </c>
      <c r="E169" s="78" t="s">
        <v>96</v>
      </c>
      <c r="F169" s="76" t="s">
        <v>2130</v>
      </c>
      <c r="G169" s="76" t="s">
        <v>990</v>
      </c>
      <c r="H169" s="70"/>
    </row>
    <row r="170" spans="1:8" x14ac:dyDescent="0.2">
      <c r="A170" s="73"/>
      <c r="B170" s="85"/>
      <c r="C170" s="74"/>
      <c r="D170" s="74" t="s">
        <v>937</v>
      </c>
      <c r="E170" s="78" t="s">
        <v>137</v>
      </c>
      <c r="F170" s="76" t="s">
        <v>2130</v>
      </c>
      <c r="G170" s="76" t="s">
        <v>990</v>
      </c>
      <c r="H170" s="70"/>
    </row>
    <row r="171" spans="1:8" x14ac:dyDescent="0.2">
      <c r="A171" s="73"/>
      <c r="B171" s="85"/>
      <c r="C171" s="74"/>
      <c r="D171" s="74" t="s">
        <v>937</v>
      </c>
      <c r="E171" s="78" t="s">
        <v>96</v>
      </c>
      <c r="F171" s="76" t="s">
        <v>2131</v>
      </c>
      <c r="G171" s="76" t="s">
        <v>990</v>
      </c>
      <c r="H171" s="70"/>
    </row>
    <row r="172" spans="1:8" x14ac:dyDescent="0.2">
      <c r="A172" s="73"/>
      <c r="B172" s="85"/>
      <c r="C172" s="74"/>
      <c r="D172" s="74" t="s">
        <v>937</v>
      </c>
      <c r="E172" s="78" t="s">
        <v>137</v>
      </c>
      <c r="F172" s="76" t="s">
        <v>2131</v>
      </c>
      <c r="G172" s="76" t="s">
        <v>990</v>
      </c>
      <c r="H172" s="70"/>
    </row>
    <row r="173" spans="1:8" x14ac:dyDescent="0.2">
      <c r="A173" s="73"/>
      <c r="B173" s="77"/>
      <c r="C173" s="74"/>
      <c r="D173" s="74" t="s">
        <v>938</v>
      </c>
      <c r="E173" s="78" t="s">
        <v>112</v>
      </c>
      <c r="F173" s="76" t="s">
        <v>1462</v>
      </c>
      <c r="G173" s="86" t="s">
        <v>1091</v>
      </c>
      <c r="H173" s="70"/>
    </row>
    <row r="174" spans="1:8" x14ac:dyDescent="0.2">
      <c r="A174" s="73"/>
      <c r="B174" s="77"/>
      <c r="C174" s="74"/>
      <c r="D174" s="74" t="s">
        <v>938</v>
      </c>
      <c r="E174" s="78" t="s">
        <v>966</v>
      </c>
      <c r="F174" s="76" t="s">
        <v>1462</v>
      </c>
      <c r="G174" s="86" t="s">
        <v>1091</v>
      </c>
      <c r="H174" s="70"/>
    </row>
    <row r="175" spans="1:8" x14ac:dyDescent="0.2">
      <c r="A175" s="73"/>
      <c r="B175" s="77"/>
      <c r="C175" s="74"/>
      <c r="D175" s="74" t="s">
        <v>938</v>
      </c>
      <c r="E175" s="78" t="s">
        <v>119</v>
      </c>
      <c r="F175" s="76" t="s">
        <v>1462</v>
      </c>
      <c r="G175" s="86" t="s">
        <v>1091</v>
      </c>
      <c r="H175" s="70"/>
    </row>
    <row r="176" spans="1:8" x14ac:dyDescent="0.2">
      <c r="A176" s="73"/>
      <c r="B176" s="77"/>
      <c r="C176" s="74"/>
      <c r="D176" s="74" t="s">
        <v>938</v>
      </c>
      <c r="E176" s="78" t="s">
        <v>112</v>
      </c>
      <c r="F176" s="76" t="s">
        <v>1464</v>
      </c>
      <c r="G176" s="86" t="s">
        <v>1091</v>
      </c>
      <c r="H176" s="70"/>
    </row>
    <row r="177" spans="1:8" x14ac:dyDescent="0.2">
      <c r="A177" s="73"/>
      <c r="B177" s="77"/>
      <c r="C177" s="74"/>
      <c r="D177" s="74" t="s">
        <v>938</v>
      </c>
      <c r="E177" s="78" t="s">
        <v>966</v>
      </c>
      <c r="F177" s="76" t="s">
        <v>1464</v>
      </c>
      <c r="G177" s="86" t="s">
        <v>1091</v>
      </c>
      <c r="H177" s="70"/>
    </row>
    <row r="178" spans="1:8" x14ac:dyDescent="0.2">
      <c r="A178" s="73"/>
      <c r="B178" s="77"/>
      <c r="C178" s="74"/>
      <c r="D178" s="74" t="s">
        <v>938</v>
      </c>
      <c r="E178" s="78" t="s">
        <v>119</v>
      </c>
      <c r="F178" s="76" t="s">
        <v>1464</v>
      </c>
      <c r="G178" s="86" t="s">
        <v>1091</v>
      </c>
      <c r="H178" s="70"/>
    </row>
    <row r="179" spans="1:8" x14ac:dyDescent="0.2">
      <c r="A179" s="73"/>
      <c r="B179" s="77"/>
      <c r="C179" s="74"/>
      <c r="D179" s="74" t="s">
        <v>938</v>
      </c>
      <c r="E179" s="78" t="s">
        <v>112</v>
      </c>
      <c r="F179" s="76" t="s">
        <v>1465</v>
      </c>
      <c r="G179" s="86" t="s">
        <v>1092</v>
      </c>
      <c r="H179" s="70"/>
    </row>
    <row r="180" spans="1:8" x14ac:dyDescent="0.2">
      <c r="A180" s="73"/>
      <c r="B180" s="77"/>
      <c r="C180" s="74"/>
      <c r="D180" s="74" t="s">
        <v>938</v>
      </c>
      <c r="E180" s="78" t="s">
        <v>966</v>
      </c>
      <c r="F180" s="76" t="s">
        <v>1465</v>
      </c>
      <c r="G180" s="86" t="s">
        <v>1092</v>
      </c>
      <c r="H180" s="70"/>
    </row>
    <row r="181" spans="1:8" x14ac:dyDescent="0.2">
      <c r="A181" s="73"/>
      <c r="B181" s="77"/>
      <c r="C181" s="74"/>
      <c r="D181" s="74" t="s">
        <v>938</v>
      </c>
      <c r="E181" s="78" t="s">
        <v>119</v>
      </c>
      <c r="F181" s="76" t="s">
        <v>1465</v>
      </c>
      <c r="G181" s="86" t="s">
        <v>1092</v>
      </c>
      <c r="H181" s="70"/>
    </row>
    <row r="182" spans="1:8" x14ac:dyDescent="0.2">
      <c r="A182" s="73"/>
      <c r="B182" s="77"/>
      <c r="C182" s="74"/>
      <c r="D182" s="74" t="s">
        <v>938</v>
      </c>
      <c r="E182" s="78" t="s">
        <v>112</v>
      </c>
      <c r="F182" s="76" t="s">
        <v>1461</v>
      </c>
      <c r="G182" s="86" t="s">
        <v>1093</v>
      </c>
      <c r="H182" s="70"/>
    </row>
    <row r="183" spans="1:8" x14ac:dyDescent="0.2">
      <c r="A183" s="73"/>
      <c r="B183" s="77"/>
      <c r="C183" s="74"/>
      <c r="D183" s="74" t="s">
        <v>938</v>
      </c>
      <c r="E183" s="78" t="s">
        <v>966</v>
      </c>
      <c r="F183" s="76" t="s">
        <v>1461</v>
      </c>
      <c r="G183" s="86" t="s">
        <v>1093</v>
      </c>
      <c r="H183" s="70"/>
    </row>
    <row r="184" spans="1:8" x14ac:dyDescent="0.2">
      <c r="A184" s="73"/>
      <c r="B184" s="77"/>
      <c r="C184" s="74"/>
      <c r="D184" s="74" t="s">
        <v>938</v>
      </c>
      <c r="E184" s="78" t="s">
        <v>119</v>
      </c>
      <c r="F184" s="76" t="s">
        <v>1461</v>
      </c>
      <c r="G184" s="86" t="s">
        <v>1093</v>
      </c>
      <c r="H184" s="70"/>
    </row>
    <row r="185" spans="1:8" x14ac:dyDescent="0.2">
      <c r="A185" s="73"/>
      <c r="B185" s="77"/>
      <c r="C185" s="74"/>
      <c r="D185" s="74" t="s">
        <v>938</v>
      </c>
      <c r="E185" s="78" t="s">
        <v>112</v>
      </c>
      <c r="F185" s="76" t="s">
        <v>1486</v>
      </c>
      <c r="G185" s="86" t="s">
        <v>1087</v>
      </c>
      <c r="H185" s="70"/>
    </row>
    <row r="186" spans="1:8" x14ac:dyDescent="0.2">
      <c r="A186" s="73"/>
      <c r="B186" s="77"/>
      <c r="C186" s="74"/>
      <c r="D186" s="74" t="s">
        <v>938</v>
      </c>
      <c r="E186" s="78" t="s">
        <v>966</v>
      </c>
      <c r="F186" s="76" t="s">
        <v>1486</v>
      </c>
      <c r="G186" s="86" t="s">
        <v>1087</v>
      </c>
      <c r="H186" s="70"/>
    </row>
    <row r="187" spans="1:8" x14ac:dyDescent="0.2">
      <c r="A187" s="73"/>
      <c r="B187" s="77"/>
      <c r="C187" s="74"/>
      <c r="D187" s="74" t="s">
        <v>938</v>
      </c>
      <c r="E187" s="78" t="s">
        <v>112</v>
      </c>
      <c r="F187" s="76" t="s">
        <v>1484</v>
      </c>
      <c r="G187" s="86" t="s">
        <v>1088</v>
      </c>
      <c r="H187" s="70"/>
    </row>
    <row r="188" spans="1:8" x14ac:dyDescent="0.2">
      <c r="A188" s="73"/>
      <c r="B188" s="77"/>
      <c r="C188" s="74"/>
      <c r="D188" s="74" t="s">
        <v>938</v>
      </c>
      <c r="E188" s="78" t="s">
        <v>966</v>
      </c>
      <c r="F188" s="76" t="s">
        <v>1484</v>
      </c>
      <c r="G188" s="86" t="s">
        <v>1088</v>
      </c>
      <c r="H188" s="70"/>
    </row>
    <row r="189" spans="1:8" x14ac:dyDescent="0.2">
      <c r="A189" s="73"/>
      <c r="B189" s="77"/>
      <c r="C189" s="74"/>
      <c r="D189" s="74" t="s">
        <v>938</v>
      </c>
      <c r="E189" s="78" t="s">
        <v>112</v>
      </c>
      <c r="F189" s="76" t="s">
        <v>1485</v>
      </c>
      <c r="G189" s="86" t="s">
        <v>1089</v>
      </c>
      <c r="H189" s="70"/>
    </row>
    <row r="190" spans="1:8" x14ac:dyDescent="0.2">
      <c r="A190" s="73"/>
      <c r="B190" s="77"/>
      <c r="C190" s="74"/>
      <c r="D190" s="74" t="s">
        <v>938</v>
      </c>
      <c r="E190" s="78" t="s">
        <v>966</v>
      </c>
      <c r="F190" s="76" t="s">
        <v>1485</v>
      </c>
      <c r="G190" s="86" t="s">
        <v>1089</v>
      </c>
      <c r="H190" s="70"/>
    </row>
    <row r="191" spans="1:8" ht="16" x14ac:dyDescent="0.2">
      <c r="A191" s="73"/>
      <c r="B191" s="77"/>
      <c r="C191" s="74"/>
      <c r="D191" s="74" t="s">
        <v>938</v>
      </c>
      <c r="E191" s="78" t="s">
        <v>112</v>
      </c>
      <c r="F191" s="76" t="s">
        <v>1472</v>
      </c>
      <c r="G191" s="75" t="s">
        <v>1090</v>
      </c>
      <c r="H191" s="70"/>
    </row>
    <row r="192" spans="1:8" ht="16" x14ac:dyDescent="0.2">
      <c r="A192" s="73"/>
      <c r="B192" s="77"/>
      <c r="C192" s="74"/>
      <c r="D192" s="74" t="s">
        <v>938</v>
      </c>
      <c r="E192" s="78" t="s">
        <v>966</v>
      </c>
      <c r="F192" s="76" t="s">
        <v>1472</v>
      </c>
      <c r="G192" s="75" t="s">
        <v>1090</v>
      </c>
      <c r="H192" s="70"/>
    </row>
    <row r="193" spans="1:8" ht="16" x14ac:dyDescent="0.2">
      <c r="A193" s="73"/>
      <c r="B193" s="77"/>
      <c r="C193" s="74"/>
      <c r="D193" s="74" t="s">
        <v>938</v>
      </c>
      <c r="E193" s="78" t="s">
        <v>119</v>
      </c>
      <c r="F193" s="76" t="s">
        <v>1472</v>
      </c>
      <c r="G193" s="75" t="s">
        <v>1090</v>
      </c>
      <c r="H193" s="70"/>
    </row>
    <row r="194" spans="1:8" ht="16" x14ac:dyDescent="0.2">
      <c r="A194" s="73"/>
      <c r="B194" s="77"/>
      <c r="C194" s="74"/>
      <c r="D194" s="74" t="s">
        <v>938</v>
      </c>
      <c r="E194" s="78" t="s">
        <v>112</v>
      </c>
      <c r="F194" s="76" t="s">
        <v>1473</v>
      </c>
      <c r="G194" s="75" t="s">
        <v>1090</v>
      </c>
      <c r="H194" s="70"/>
    </row>
    <row r="195" spans="1:8" ht="16" x14ac:dyDescent="0.2">
      <c r="A195" s="73"/>
      <c r="B195" s="77"/>
      <c r="C195" s="74"/>
      <c r="D195" s="74" t="s">
        <v>938</v>
      </c>
      <c r="E195" s="78" t="s">
        <v>966</v>
      </c>
      <c r="F195" s="76" t="s">
        <v>1473</v>
      </c>
      <c r="G195" s="75" t="s">
        <v>1090</v>
      </c>
      <c r="H195" s="70"/>
    </row>
    <row r="196" spans="1:8" ht="16" x14ac:dyDescent="0.2">
      <c r="A196" s="73"/>
      <c r="B196" s="77"/>
      <c r="C196" s="74"/>
      <c r="D196" s="74" t="s">
        <v>938</v>
      </c>
      <c r="E196" s="78" t="s">
        <v>119</v>
      </c>
      <c r="F196" s="76" t="s">
        <v>1473</v>
      </c>
      <c r="G196" s="75" t="s">
        <v>1090</v>
      </c>
      <c r="H196" s="70"/>
    </row>
    <row r="197" spans="1:8" ht="16" x14ac:dyDescent="0.2">
      <c r="A197" s="73"/>
      <c r="B197" s="77"/>
      <c r="C197" s="74"/>
      <c r="D197" s="74" t="s">
        <v>938</v>
      </c>
      <c r="E197" s="78" t="s">
        <v>112</v>
      </c>
      <c r="F197" s="76" t="s">
        <v>1474</v>
      </c>
      <c r="G197" s="75" t="s">
        <v>1090</v>
      </c>
      <c r="H197" s="70"/>
    </row>
    <row r="198" spans="1:8" ht="16" x14ac:dyDescent="0.2">
      <c r="A198" s="73"/>
      <c r="B198" s="77"/>
      <c r="C198" s="74"/>
      <c r="D198" s="74" t="s">
        <v>938</v>
      </c>
      <c r="E198" s="78" t="s">
        <v>966</v>
      </c>
      <c r="F198" s="76" t="s">
        <v>1474</v>
      </c>
      <c r="G198" s="75" t="s">
        <v>1090</v>
      </c>
      <c r="H198" s="70"/>
    </row>
    <row r="199" spans="1:8" ht="16" x14ac:dyDescent="0.2">
      <c r="A199" s="73"/>
      <c r="B199" s="77"/>
      <c r="C199" s="74"/>
      <c r="D199" s="74" t="s">
        <v>938</v>
      </c>
      <c r="E199" s="78" t="s">
        <v>119</v>
      </c>
      <c r="F199" s="76" t="s">
        <v>1474</v>
      </c>
      <c r="G199" s="75" t="s">
        <v>1090</v>
      </c>
      <c r="H199" s="70"/>
    </row>
    <row r="200" spans="1:8" ht="16" x14ac:dyDescent="0.2">
      <c r="A200" s="73"/>
      <c r="B200" s="77"/>
      <c r="C200" s="74"/>
      <c r="D200" s="74" t="s">
        <v>938</v>
      </c>
      <c r="E200" s="78" t="s">
        <v>112</v>
      </c>
      <c r="F200" s="76" t="s">
        <v>1476</v>
      </c>
      <c r="G200" s="75" t="s">
        <v>1090</v>
      </c>
      <c r="H200" s="70"/>
    </row>
    <row r="201" spans="1:8" ht="16" x14ac:dyDescent="0.2">
      <c r="A201" s="73"/>
      <c r="B201" s="77"/>
      <c r="C201" s="74"/>
      <c r="D201" s="74" t="s">
        <v>938</v>
      </c>
      <c r="E201" s="78" t="s">
        <v>966</v>
      </c>
      <c r="F201" s="76" t="s">
        <v>1476</v>
      </c>
      <c r="G201" s="75" t="s">
        <v>1090</v>
      </c>
      <c r="H201" s="70"/>
    </row>
    <row r="202" spans="1:8" ht="16" x14ac:dyDescent="0.2">
      <c r="A202" s="73"/>
      <c r="B202" s="77"/>
      <c r="C202" s="74"/>
      <c r="D202" s="74" t="s">
        <v>938</v>
      </c>
      <c r="E202" s="78" t="s">
        <v>119</v>
      </c>
      <c r="F202" s="76" t="s">
        <v>1476</v>
      </c>
      <c r="G202" s="75" t="s">
        <v>1090</v>
      </c>
      <c r="H202" s="70"/>
    </row>
    <row r="203" spans="1:8" ht="16" x14ac:dyDescent="0.2">
      <c r="A203" s="73"/>
      <c r="B203" s="85"/>
      <c r="C203" s="74"/>
      <c r="D203" s="74" t="s">
        <v>947</v>
      </c>
      <c r="E203" s="78" t="s">
        <v>112</v>
      </c>
      <c r="F203" s="76" t="s">
        <v>309</v>
      </c>
      <c r="G203" s="75" t="s">
        <v>521</v>
      </c>
      <c r="H203" s="70"/>
    </row>
    <row r="204" spans="1:8" ht="16" x14ac:dyDescent="0.2">
      <c r="A204" s="73"/>
      <c r="B204" s="85"/>
      <c r="C204" s="74"/>
      <c r="D204" s="74" t="s">
        <v>947</v>
      </c>
      <c r="E204" s="78" t="s">
        <v>112</v>
      </c>
      <c r="F204" s="76" t="s">
        <v>309</v>
      </c>
      <c r="G204" s="75" t="s">
        <v>523</v>
      </c>
      <c r="H204" s="70"/>
    </row>
    <row r="205" spans="1:8" ht="16" x14ac:dyDescent="0.2">
      <c r="A205" s="73"/>
      <c r="B205" s="85"/>
      <c r="C205" s="74"/>
      <c r="D205" s="74" t="s">
        <v>947</v>
      </c>
      <c r="E205" s="78" t="s">
        <v>112</v>
      </c>
      <c r="F205" s="76" t="s">
        <v>309</v>
      </c>
      <c r="G205" s="75" t="s">
        <v>525</v>
      </c>
      <c r="H205" s="70"/>
    </row>
    <row r="206" spans="1:8" ht="16" x14ac:dyDescent="0.2">
      <c r="A206" s="73"/>
      <c r="B206" s="85"/>
      <c r="C206" s="74"/>
      <c r="D206" s="74" t="s">
        <v>947</v>
      </c>
      <c r="E206" s="78" t="s">
        <v>112</v>
      </c>
      <c r="F206" s="76" t="s">
        <v>1489</v>
      </c>
      <c r="G206" s="75" t="s">
        <v>527</v>
      </c>
      <c r="H206" s="70"/>
    </row>
    <row r="207" spans="1:8" ht="16" x14ac:dyDescent="0.2">
      <c r="A207" s="73"/>
      <c r="B207" s="85"/>
      <c r="C207" s="74"/>
      <c r="D207" s="74" t="s">
        <v>947</v>
      </c>
      <c r="E207" s="78" t="s">
        <v>112</v>
      </c>
      <c r="F207" s="76" t="s">
        <v>1489</v>
      </c>
      <c r="G207" s="75" t="s">
        <v>529</v>
      </c>
      <c r="H207" s="70"/>
    </row>
    <row r="208" spans="1:8" ht="16" x14ac:dyDescent="0.2">
      <c r="A208" s="73"/>
      <c r="B208" s="77"/>
      <c r="C208" s="74"/>
      <c r="D208" s="74" t="s">
        <v>949</v>
      </c>
      <c r="E208" s="78" t="s">
        <v>112</v>
      </c>
      <c r="F208" s="76" t="s">
        <v>313</v>
      </c>
      <c r="G208" s="75" t="s">
        <v>1138</v>
      </c>
      <c r="H208" s="70"/>
    </row>
    <row r="209" spans="1:8" ht="16" x14ac:dyDescent="0.2">
      <c r="A209" s="73"/>
      <c r="B209" s="77"/>
      <c r="C209" s="74"/>
      <c r="D209" s="74" t="s">
        <v>949</v>
      </c>
      <c r="E209" s="78" t="s">
        <v>966</v>
      </c>
      <c r="F209" s="76" t="s">
        <v>313</v>
      </c>
      <c r="G209" s="75" t="s">
        <v>1138</v>
      </c>
      <c r="H209" s="70"/>
    </row>
    <row r="210" spans="1:8" ht="16" x14ac:dyDescent="0.2">
      <c r="A210" s="73"/>
      <c r="B210" s="77"/>
      <c r="C210" s="74"/>
      <c r="D210" s="74" t="s">
        <v>949</v>
      </c>
      <c r="E210" s="78" t="s">
        <v>112</v>
      </c>
      <c r="F210" s="76" t="s">
        <v>1490</v>
      </c>
      <c r="G210" s="75" t="s">
        <v>1141</v>
      </c>
      <c r="H210" s="70"/>
    </row>
    <row r="211" spans="1:8" ht="16" x14ac:dyDescent="0.2">
      <c r="A211" s="73"/>
      <c r="B211" s="77"/>
      <c r="C211" s="74"/>
      <c r="D211" s="74" t="s">
        <v>949</v>
      </c>
      <c r="E211" s="78" t="s">
        <v>966</v>
      </c>
      <c r="F211" s="76" t="s">
        <v>1490</v>
      </c>
      <c r="G211" s="75" t="s">
        <v>1141</v>
      </c>
      <c r="H211" s="70"/>
    </row>
    <row r="212" spans="1:8" x14ac:dyDescent="0.2">
      <c r="A212" s="73"/>
      <c r="B212" s="77"/>
      <c r="C212" s="74"/>
      <c r="D212" s="74" t="s">
        <v>949</v>
      </c>
      <c r="E212" s="78" t="s">
        <v>112</v>
      </c>
      <c r="F212" s="76" t="s">
        <v>1491</v>
      </c>
      <c r="G212" s="76" t="s">
        <v>1140</v>
      </c>
      <c r="H212" s="70"/>
    </row>
    <row r="213" spans="1:8" x14ac:dyDescent="0.2">
      <c r="A213" s="73"/>
      <c r="B213" s="77"/>
      <c r="C213" s="74"/>
      <c r="D213" s="74" t="s">
        <v>949</v>
      </c>
      <c r="E213" s="78" t="s">
        <v>966</v>
      </c>
      <c r="F213" s="76" t="s">
        <v>1491</v>
      </c>
      <c r="G213" s="76" t="s">
        <v>1140</v>
      </c>
      <c r="H213" s="70"/>
    </row>
    <row r="214" spans="1:8" x14ac:dyDescent="0.2">
      <c r="A214" s="73"/>
      <c r="B214" s="77"/>
      <c r="C214" s="74"/>
      <c r="D214" s="74" t="s">
        <v>949</v>
      </c>
      <c r="E214" s="78" t="s">
        <v>112</v>
      </c>
      <c r="F214" s="76" t="s">
        <v>1492</v>
      </c>
      <c r="G214" s="76" t="s">
        <v>1140</v>
      </c>
      <c r="H214" s="70"/>
    </row>
    <row r="215" spans="1:8" x14ac:dyDescent="0.2">
      <c r="A215" s="73"/>
      <c r="B215" s="77"/>
      <c r="C215" s="74"/>
      <c r="D215" s="74" t="s">
        <v>949</v>
      </c>
      <c r="E215" s="78" t="s">
        <v>966</v>
      </c>
      <c r="F215" s="76" t="s">
        <v>1492</v>
      </c>
      <c r="G215" s="76" t="s">
        <v>1140</v>
      </c>
      <c r="H215" s="70"/>
    </row>
    <row r="216" spans="1:8" x14ac:dyDescent="0.2">
      <c r="A216" s="73"/>
      <c r="B216" s="77"/>
      <c r="C216" s="74"/>
      <c r="D216" s="74" t="s">
        <v>949</v>
      </c>
      <c r="E216" s="78" t="s">
        <v>112</v>
      </c>
      <c r="F216" s="76" t="s">
        <v>1493</v>
      </c>
      <c r="G216" s="76" t="s">
        <v>1140</v>
      </c>
      <c r="H216" s="70"/>
    </row>
    <row r="217" spans="1:8" x14ac:dyDescent="0.2">
      <c r="A217" s="73"/>
      <c r="B217" s="77"/>
      <c r="C217" s="74"/>
      <c r="D217" s="74" t="s">
        <v>949</v>
      </c>
      <c r="E217" s="78" t="s">
        <v>966</v>
      </c>
      <c r="F217" s="76" t="s">
        <v>1493</v>
      </c>
      <c r="G217" s="76" t="s">
        <v>1140</v>
      </c>
      <c r="H217" s="70"/>
    </row>
    <row r="218" spans="1:8" ht="16" x14ac:dyDescent="0.2">
      <c r="A218" s="73"/>
      <c r="B218" s="77"/>
      <c r="C218" s="74"/>
      <c r="D218" s="74" t="s">
        <v>949</v>
      </c>
      <c r="E218" s="78" t="s">
        <v>112</v>
      </c>
      <c r="F218" s="76" t="s">
        <v>1494</v>
      </c>
      <c r="G218" s="75" t="s">
        <v>1139</v>
      </c>
      <c r="H218" s="70"/>
    </row>
    <row r="219" spans="1:8" ht="16" x14ac:dyDescent="0.2">
      <c r="A219" s="73"/>
      <c r="B219" s="77"/>
      <c r="C219" s="74"/>
      <c r="D219" s="74" t="s">
        <v>949</v>
      </c>
      <c r="E219" s="78" t="s">
        <v>966</v>
      </c>
      <c r="F219" s="76" t="s">
        <v>1494</v>
      </c>
      <c r="G219" s="75" t="s">
        <v>1139</v>
      </c>
      <c r="H219" s="70"/>
    </row>
    <row r="220" spans="1:8" ht="16" x14ac:dyDescent="0.2">
      <c r="A220" s="73"/>
      <c r="B220" s="77"/>
      <c r="C220" s="74"/>
      <c r="D220" s="74" t="s">
        <v>949</v>
      </c>
      <c r="E220" s="78" t="s">
        <v>112</v>
      </c>
      <c r="F220" s="76" t="s">
        <v>1495</v>
      </c>
      <c r="G220" s="75" t="s">
        <v>1139</v>
      </c>
      <c r="H220" s="70"/>
    </row>
    <row r="221" spans="1:8" ht="16" x14ac:dyDescent="0.2">
      <c r="A221" s="73"/>
      <c r="B221" s="77"/>
      <c r="C221" s="74"/>
      <c r="D221" s="74" t="s">
        <v>949</v>
      </c>
      <c r="E221" s="78" t="s">
        <v>966</v>
      </c>
      <c r="F221" s="76" t="s">
        <v>1495</v>
      </c>
      <c r="G221" s="75" t="s">
        <v>1139</v>
      </c>
      <c r="H221" s="70"/>
    </row>
    <row r="222" spans="1:8" x14ac:dyDescent="0.2">
      <c r="A222" s="73"/>
      <c r="B222" s="77"/>
      <c r="C222" s="74"/>
      <c r="D222" s="74" t="s">
        <v>949</v>
      </c>
      <c r="E222" s="78" t="s">
        <v>112</v>
      </c>
      <c r="F222" s="76" t="s">
        <v>1496</v>
      </c>
      <c r="G222" s="76" t="s">
        <v>1003</v>
      </c>
      <c r="H222" s="70"/>
    </row>
    <row r="223" spans="1:8" x14ac:dyDescent="0.2">
      <c r="A223" s="73"/>
      <c r="B223" s="77"/>
      <c r="C223" s="74"/>
      <c r="D223" s="74" t="s">
        <v>949</v>
      </c>
      <c r="E223" s="78" t="s">
        <v>966</v>
      </c>
      <c r="F223" s="76" t="s">
        <v>1496</v>
      </c>
      <c r="G223" s="76" t="s">
        <v>1003</v>
      </c>
      <c r="H223" s="70"/>
    </row>
    <row r="224" spans="1:8" ht="16" x14ac:dyDescent="0.2">
      <c r="A224" s="73"/>
      <c r="B224" s="77"/>
      <c r="C224" s="74"/>
      <c r="D224" s="74" t="s">
        <v>949</v>
      </c>
      <c r="E224" s="78" t="s">
        <v>112</v>
      </c>
      <c r="F224" s="76" t="s">
        <v>386</v>
      </c>
      <c r="G224" s="75" t="s">
        <v>1142</v>
      </c>
      <c r="H224" s="70"/>
    </row>
    <row r="225" spans="1:8" ht="16" x14ac:dyDescent="0.2">
      <c r="A225" s="73"/>
      <c r="B225" s="77"/>
      <c r="C225" s="74"/>
      <c r="D225" s="74" t="s">
        <v>949</v>
      </c>
      <c r="E225" s="78" t="s">
        <v>966</v>
      </c>
      <c r="F225" s="76" t="s">
        <v>386</v>
      </c>
      <c r="G225" s="75" t="s">
        <v>1142</v>
      </c>
      <c r="H225" s="70"/>
    </row>
    <row r="226" spans="1:8" ht="16" x14ac:dyDescent="0.2">
      <c r="A226" s="73"/>
      <c r="B226" s="77"/>
      <c r="C226" s="74"/>
      <c r="D226" s="74" t="s">
        <v>949</v>
      </c>
      <c r="E226" s="78" t="s">
        <v>112</v>
      </c>
      <c r="F226" s="76" t="s">
        <v>1497</v>
      </c>
      <c r="G226" s="75" t="s">
        <v>1143</v>
      </c>
      <c r="H226" s="70"/>
    </row>
    <row r="227" spans="1:8" ht="16" x14ac:dyDescent="0.2">
      <c r="A227" s="73"/>
      <c r="B227" s="77"/>
      <c r="C227" s="74"/>
      <c r="D227" s="74" t="s">
        <v>949</v>
      </c>
      <c r="E227" s="78" t="s">
        <v>966</v>
      </c>
      <c r="F227" s="76" t="s">
        <v>1497</v>
      </c>
      <c r="G227" s="75" t="s">
        <v>1143</v>
      </c>
      <c r="H227" s="70"/>
    </row>
    <row r="228" spans="1:8" ht="16" x14ac:dyDescent="0.2">
      <c r="A228" s="73"/>
      <c r="B228" s="77"/>
      <c r="C228" s="74"/>
      <c r="D228" s="74" t="s">
        <v>939</v>
      </c>
      <c r="E228" s="78" t="s">
        <v>112</v>
      </c>
      <c r="F228" s="76" t="s">
        <v>1498</v>
      </c>
      <c r="G228" s="75" t="s">
        <v>1108</v>
      </c>
      <c r="H228" s="70"/>
    </row>
    <row r="229" spans="1:8" ht="16" x14ac:dyDescent="0.2">
      <c r="A229" s="73"/>
      <c r="B229" s="77"/>
      <c r="C229" s="74"/>
      <c r="D229" s="74" t="s">
        <v>939</v>
      </c>
      <c r="E229" s="78" t="s">
        <v>966</v>
      </c>
      <c r="F229" s="76" t="s">
        <v>1498</v>
      </c>
      <c r="G229" s="75" t="s">
        <v>1108</v>
      </c>
      <c r="H229" s="70"/>
    </row>
    <row r="230" spans="1:8" ht="16" x14ac:dyDescent="0.2">
      <c r="A230" s="73"/>
      <c r="B230" s="77"/>
      <c r="C230" s="74"/>
      <c r="D230" s="74" t="s">
        <v>939</v>
      </c>
      <c r="E230" s="78" t="s">
        <v>112</v>
      </c>
      <c r="F230" s="76" t="s">
        <v>1499</v>
      </c>
      <c r="G230" s="75" t="s">
        <v>1109</v>
      </c>
      <c r="H230" s="70"/>
    </row>
    <row r="231" spans="1:8" ht="16" x14ac:dyDescent="0.2">
      <c r="A231" s="73"/>
      <c r="B231" s="77"/>
      <c r="C231" s="74"/>
      <c r="D231" s="74" t="s">
        <v>939</v>
      </c>
      <c r="E231" s="78" t="s">
        <v>966</v>
      </c>
      <c r="F231" s="76" t="s">
        <v>1499</v>
      </c>
      <c r="G231" s="75" t="s">
        <v>1109</v>
      </c>
      <c r="H231" s="70"/>
    </row>
    <row r="232" spans="1:8" ht="16" x14ac:dyDescent="0.2">
      <c r="A232" s="73"/>
      <c r="B232" s="77"/>
      <c r="C232" s="74"/>
      <c r="D232" s="74" t="s">
        <v>939</v>
      </c>
      <c r="E232" s="78" t="s">
        <v>112</v>
      </c>
      <c r="F232" s="76" t="s">
        <v>1462</v>
      </c>
      <c r="G232" s="75" t="s">
        <v>1111</v>
      </c>
      <c r="H232" s="70"/>
    </row>
    <row r="233" spans="1:8" ht="16" x14ac:dyDescent="0.2">
      <c r="A233" s="73"/>
      <c r="B233" s="77"/>
      <c r="C233" s="74"/>
      <c r="D233" s="74" t="s">
        <v>939</v>
      </c>
      <c r="E233" s="78" t="s">
        <v>966</v>
      </c>
      <c r="F233" s="76" t="s">
        <v>1462</v>
      </c>
      <c r="G233" s="75" t="s">
        <v>1111</v>
      </c>
      <c r="H233" s="70"/>
    </row>
    <row r="234" spans="1:8" ht="16" x14ac:dyDescent="0.2">
      <c r="A234" s="73"/>
      <c r="B234" s="77"/>
      <c r="C234" s="74"/>
      <c r="D234" s="74" t="s">
        <v>939</v>
      </c>
      <c r="E234" s="78" t="s">
        <v>112</v>
      </c>
      <c r="F234" s="76" t="s">
        <v>1463</v>
      </c>
      <c r="G234" s="75" t="s">
        <v>1111</v>
      </c>
      <c r="H234" s="70"/>
    </row>
    <row r="235" spans="1:8" ht="16" x14ac:dyDescent="0.2">
      <c r="A235" s="73"/>
      <c r="B235" s="77"/>
      <c r="C235" s="74"/>
      <c r="D235" s="74" t="s">
        <v>939</v>
      </c>
      <c r="E235" s="78" t="s">
        <v>966</v>
      </c>
      <c r="F235" s="76" t="s">
        <v>1463</v>
      </c>
      <c r="G235" s="75" t="s">
        <v>1111</v>
      </c>
      <c r="H235" s="70"/>
    </row>
    <row r="236" spans="1:8" ht="16" x14ac:dyDescent="0.2">
      <c r="A236" s="73"/>
      <c r="B236" s="77"/>
      <c r="C236" s="74"/>
      <c r="D236" s="74" t="s">
        <v>939</v>
      </c>
      <c r="E236" s="78" t="s">
        <v>112</v>
      </c>
      <c r="F236" s="76" t="s">
        <v>1464</v>
      </c>
      <c r="G236" s="75" t="s">
        <v>1111</v>
      </c>
      <c r="H236" s="70"/>
    </row>
    <row r="237" spans="1:8" ht="16" x14ac:dyDescent="0.2">
      <c r="A237" s="73"/>
      <c r="B237" s="77"/>
      <c r="C237" s="74"/>
      <c r="D237" s="74" t="s">
        <v>939</v>
      </c>
      <c r="E237" s="78" t="s">
        <v>966</v>
      </c>
      <c r="F237" s="76" t="s">
        <v>1464</v>
      </c>
      <c r="G237" s="75" t="s">
        <v>1111</v>
      </c>
      <c r="H237" s="70"/>
    </row>
    <row r="238" spans="1:8" ht="16" x14ac:dyDescent="0.2">
      <c r="A238" s="73"/>
      <c r="B238" s="77"/>
      <c r="C238" s="74"/>
      <c r="D238" s="74" t="s">
        <v>939</v>
      </c>
      <c r="E238" s="78" t="s">
        <v>112</v>
      </c>
      <c r="F238" s="76" t="s">
        <v>1500</v>
      </c>
      <c r="G238" s="75" t="s">
        <v>1111</v>
      </c>
      <c r="H238" s="70"/>
    </row>
    <row r="239" spans="1:8" ht="16" x14ac:dyDescent="0.2">
      <c r="A239" s="73"/>
      <c r="B239" s="77"/>
      <c r="C239" s="74"/>
      <c r="D239" s="74" t="s">
        <v>939</v>
      </c>
      <c r="E239" s="78" t="s">
        <v>966</v>
      </c>
      <c r="F239" s="76" t="s">
        <v>1500</v>
      </c>
      <c r="G239" s="75" t="s">
        <v>1111</v>
      </c>
      <c r="H239" s="70"/>
    </row>
    <row r="240" spans="1:8" ht="16" x14ac:dyDescent="0.2">
      <c r="A240" s="80"/>
      <c r="B240" s="83"/>
      <c r="C240" s="74"/>
      <c r="D240" s="74" t="s">
        <v>939</v>
      </c>
      <c r="E240" s="84" t="s">
        <v>112</v>
      </c>
      <c r="F240" s="82" t="s">
        <v>1501</v>
      </c>
      <c r="G240" s="81" t="s">
        <v>1115</v>
      </c>
      <c r="H240" s="70"/>
    </row>
    <row r="241" spans="1:8" ht="16" x14ac:dyDescent="0.2">
      <c r="A241" s="80"/>
      <c r="B241" s="83"/>
      <c r="C241" s="74"/>
      <c r="D241" s="74" t="s">
        <v>939</v>
      </c>
      <c r="E241" s="84" t="s">
        <v>966</v>
      </c>
      <c r="F241" s="82" t="s">
        <v>1501</v>
      </c>
      <c r="G241" s="81" t="s">
        <v>1115</v>
      </c>
      <c r="H241" s="70"/>
    </row>
    <row r="242" spans="1:8" ht="16" x14ac:dyDescent="0.2">
      <c r="A242" s="73"/>
      <c r="B242" s="77"/>
      <c r="C242" s="74"/>
      <c r="D242" s="74" t="s">
        <v>939</v>
      </c>
      <c r="E242" s="78" t="s">
        <v>112</v>
      </c>
      <c r="F242" s="76" t="s">
        <v>1502</v>
      </c>
      <c r="G242" s="75" t="s">
        <v>1113</v>
      </c>
      <c r="H242" s="70"/>
    </row>
    <row r="243" spans="1:8" ht="16" x14ac:dyDescent="0.2">
      <c r="A243" s="73"/>
      <c r="B243" s="77"/>
      <c r="C243" s="74"/>
      <c r="D243" s="74" t="s">
        <v>939</v>
      </c>
      <c r="E243" s="78" t="s">
        <v>966</v>
      </c>
      <c r="F243" s="76" t="s">
        <v>1502</v>
      </c>
      <c r="G243" s="75" t="s">
        <v>1113</v>
      </c>
      <c r="H243" s="70"/>
    </row>
    <row r="244" spans="1:8" ht="16" x14ac:dyDescent="0.2">
      <c r="A244" s="73"/>
      <c r="B244" s="77"/>
      <c r="C244" s="74"/>
      <c r="D244" s="74" t="s">
        <v>939</v>
      </c>
      <c r="E244" s="78" t="s">
        <v>112</v>
      </c>
      <c r="F244" s="76" t="s">
        <v>1465</v>
      </c>
      <c r="G244" s="75" t="s">
        <v>1117</v>
      </c>
      <c r="H244" s="70"/>
    </row>
    <row r="245" spans="1:8" ht="16" x14ac:dyDescent="0.2">
      <c r="A245" s="73"/>
      <c r="B245" s="77"/>
      <c r="C245" s="74"/>
      <c r="D245" s="74" t="s">
        <v>939</v>
      </c>
      <c r="E245" s="78" t="s">
        <v>966</v>
      </c>
      <c r="F245" s="76" t="s">
        <v>1465</v>
      </c>
      <c r="G245" s="75" t="s">
        <v>1117</v>
      </c>
      <c r="H245" s="70"/>
    </row>
    <row r="246" spans="1:8" ht="16" x14ac:dyDescent="0.2">
      <c r="A246" s="73"/>
      <c r="B246" s="77"/>
      <c r="C246" s="74"/>
      <c r="D246" s="74" t="s">
        <v>939</v>
      </c>
      <c r="E246" s="78" t="s">
        <v>112</v>
      </c>
      <c r="F246" s="76" t="s">
        <v>1461</v>
      </c>
      <c r="G246" s="75" t="s">
        <v>1119</v>
      </c>
      <c r="H246" s="70"/>
    </row>
    <row r="247" spans="1:8" ht="16" x14ac:dyDescent="0.2">
      <c r="A247" s="73"/>
      <c r="B247" s="77"/>
      <c r="C247" s="74"/>
      <c r="D247" s="74" t="s">
        <v>939</v>
      </c>
      <c r="E247" s="78" t="s">
        <v>966</v>
      </c>
      <c r="F247" s="76" t="s">
        <v>1461</v>
      </c>
      <c r="G247" s="75" t="s">
        <v>1119</v>
      </c>
      <c r="H247" s="70"/>
    </row>
    <row r="248" spans="1:8" ht="16" x14ac:dyDescent="0.2">
      <c r="A248" s="73"/>
      <c r="B248" s="77"/>
      <c r="C248" s="74"/>
      <c r="D248" s="74" t="s">
        <v>939</v>
      </c>
      <c r="E248" s="78" t="s">
        <v>112</v>
      </c>
      <c r="F248" s="76" t="s">
        <v>1503</v>
      </c>
      <c r="G248" s="75" t="s">
        <v>1116</v>
      </c>
      <c r="H248" s="70"/>
    </row>
    <row r="249" spans="1:8" ht="16" x14ac:dyDescent="0.2">
      <c r="A249" s="73"/>
      <c r="B249" s="77"/>
      <c r="C249" s="74"/>
      <c r="D249" s="74" t="s">
        <v>939</v>
      </c>
      <c r="E249" s="78" t="s">
        <v>966</v>
      </c>
      <c r="F249" s="76" t="s">
        <v>1503</v>
      </c>
      <c r="G249" s="75" t="s">
        <v>1116</v>
      </c>
      <c r="H249" s="70"/>
    </row>
    <row r="250" spans="1:8" ht="16" x14ac:dyDescent="0.2">
      <c r="A250" s="73"/>
      <c r="B250" s="77"/>
      <c r="C250" s="74"/>
      <c r="D250" s="74" t="s">
        <v>939</v>
      </c>
      <c r="E250" s="78" t="s">
        <v>112</v>
      </c>
      <c r="F250" s="76" t="s">
        <v>1504</v>
      </c>
      <c r="G250" s="75" t="s">
        <v>1118</v>
      </c>
      <c r="H250" s="70"/>
    </row>
    <row r="251" spans="1:8" ht="16" x14ac:dyDescent="0.2">
      <c r="A251" s="73"/>
      <c r="B251" s="77"/>
      <c r="C251" s="74"/>
      <c r="D251" s="74" t="s">
        <v>939</v>
      </c>
      <c r="E251" s="78" t="s">
        <v>966</v>
      </c>
      <c r="F251" s="76" t="s">
        <v>1504</v>
      </c>
      <c r="G251" s="75" t="s">
        <v>1118</v>
      </c>
      <c r="H251" s="70"/>
    </row>
    <row r="252" spans="1:8" x14ac:dyDescent="0.2">
      <c r="A252" s="73"/>
      <c r="B252" s="77"/>
      <c r="C252" s="74"/>
      <c r="D252" s="74" t="s">
        <v>939</v>
      </c>
      <c r="E252" s="78" t="s">
        <v>119</v>
      </c>
      <c r="F252" s="76" t="s">
        <v>1499</v>
      </c>
      <c r="G252" s="76" t="s">
        <v>1110</v>
      </c>
      <c r="H252" s="70"/>
    </row>
    <row r="253" spans="1:8" x14ac:dyDescent="0.2">
      <c r="A253" s="73"/>
      <c r="B253" s="77"/>
      <c r="C253" s="74"/>
      <c r="D253" s="74" t="s">
        <v>939</v>
      </c>
      <c r="E253" s="78" t="s">
        <v>112</v>
      </c>
      <c r="F253" s="76" t="s">
        <v>1466</v>
      </c>
      <c r="G253" s="76" t="s">
        <v>1112</v>
      </c>
      <c r="H253" s="70"/>
    </row>
    <row r="254" spans="1:8" x14ac:dyDescent="0.2">
      <c r="A254" s="73"/>
      <c r="B254" s="77"/>
      <c r="C254" s="74"/>
      <c r="D254" s="74" t="s">
        <v>939</v>
      </c>
      <c r="E254" s="78" t="s">
        <v>966</v>
      </c>
      <c r="F254" s="76" t="s">
        <v>1466</v>
      </c>
      <c r="G254" s="76" t="s">
        <v>1112</v>
      </c>
      <c r="H254" s="70"/>
    </row>
    <row r="255" spans="1:8" x14ac:dyDescent="0.2">
      <c r="A255" s="73"/>
      <c r="B255" s="77"/>
      <c r="C255" s="74"/>
      <c r="D255" s="74" t="s">
        <v>939</v>
      </c>
      <c r="E255" s="78" t="s">
        <v>112</v>
      </c>
      <c r="F255" s="76" t="s">
        <v>1467</v>
      </c>
      <c r="G255" s="76" t="s">
        <v>1112</v>
      </c>
      <c r="H255" s="70"/>
    </row>
    <row r="256" spans="1:8" x14ac:dyDescent="0.2">
      <c r="A256" s="73"/>
      <c r="B256" s="77"/>
      <c r="C256" s="74"/>
      <c r="D256" s="74" t="s">
        <v>939</v>
      </c>
      <c r="E256" s="78" t="s">
        <v>966</v>
      </c>
      <c r="F256" s="76" t="s">
        <v>1467</v>
      </c>
      <c r="G256" s="76" t="s">
        <v>1112</v>
      </c>
      <c r="H256" s="70"/>
    </row>
    <row r="257" spans="1:8" x14ac:dyDescent="0.2">
      <c r="A257" s="73"/>
      <c r="B257" s="77"/>
      <c r="C257" s="74"/>
      <c r="D257" s="74" t="s">
        <v>939</v>
      </c>
      <c r="E257" s="78" t="s">
        <v>112</v>
      </c>
      <c r="F257" s="76" t="s">
        <v>1505</v>
      </c>
      <c r="G257" s="76" t="s">
        <v>1112</v>
      </c>
      <c r="H257" s="70"/>
    </row>
    <row r="258" spans="1:8" x14ac:dyDescent="0.2">
      <c r="A258" s="73"/>
      <c r="B258" s="77"/>
      <c r="C258" s="74"/>
      <c r="D258" s="74" t="s">
        <v>939</v>
      </c>
      <c r="E258" s="78" t="s">
        <v>966</v>
      </c>
      <c r="F258" s="76" t="s">
        <v>1505</v>
      </c>
      <c r="G258" s="76" t="s">
        <v>1112</v>
      </c>
      <c r="H258" s="70"/>
    </row>
    <row r="259" spans="1:8" x14ac:dyDescent="0.2">
      <c r="A259" s="73"/>
      <c r="B259" s="77"/>
      <c r="C259" s="74"/>
      <c r="D259" s="74" t="s">
        <v>939</v>
      </c>
      <c r="E259" s="78" t="s">
        <v>112</v>
      </c>
      <c r="F259" s="76" t="s">
        <v>1506</v>
      </c>
      <c r="G259" s="76" t="s">
        <v>1112</v>
      </c>
      <c r="H259" s="70"/>
    </row>
    <row r="260" spans="1:8" x14ac:dyDescent="0.2">
      <c r="A260" s="73"/>
      <c r="B260" s="77"/>
      <c r="C260" s="74"/>
      <c r="D260" s="74" t="s">
        <v>939</v>
      </c>
      <c r="E260" s="78" t="s">
        <v>966</v>
      </c>
      <c r="F260" s="76" t="s">
        <v>1506</v>
      </c>
      <c r="G260" s="76" t="s">
        <v>1112</v>
      </c>
      <c r="H260" s="70"/>
    </row>
    <row r="261" spans="1:8" x14ac:dyDescent="0.2">
      <c r="A261" s="73"/>
      <c r="B261" s="77"/>
      <c r="C261" s="74"/>
      <c r="D261" s="74" t="s">
        <v>939</v>
      </c>
      <c r="E261" s="78" t="s">
        <v>112</v>
      </c>
      <c r="F261" s="76" t="s">
        <v>1507</v>
      </c>
      <c r="G261" s="76" t="s">
        <v>1112</v>
      </c>
      <c r="H261" s="70"/>
    </row>
    <row r="262" spans="1:8" x14ac:dyDescent="0.2">
      <c r="A262" s="73"/>
      <c r="B262" s="77"/>
      <c r="C262" s="74"/>
      <c r="D262" s="74" t="s">
        <v>939</v>
      </c>
      <c r="E262" s="78" t="s">
        <v>966</v>
      </c>
      <c r="F262" s="76" t="s">
        <v>1507</v>
      </c>
      <c r="G262" s="76" t="s">
        <v>1112</v>
      </c>
      <c r="H262" s="70"/>
    </row>
    <row r="263" spans="1:8" x14ac:dyDescent="0.2">
      <c r="A263" s="73"/>
      <c r="B263" s="77"/>
      <c r="C263" s="74"/>
      <c r="D263" s="74" t="s">
        <v>939</v>
      </c>
      <c r="E263" s="78" t="s">
        <v>112</v>
      </c>
      <c r="F263" s="76" t="s">
        <v>1508</v>
      </c>
      <c r="G263" s="76" t="s">
        <v>1112</v>
      </c>
      <c r="H263" s="70"/>
    </row>
    <row r="264" spans="1:8" x14ac:dyDescent="0.2">
      <c r="A264" s="73"/>
      <c r="B264" s="77"/>
      <c r="C264" s="74"/>
      <c r="D264" s="74" t="s">
        <v>939</v>
      </c>
      <c r="E264" s="78" t="s">
        <v>966</v>
      </c>
      <c r="F264" s="76" t="s">
        <v>1508</v>
      </c>
      <c r="G264" s="76" t="s">
        <v>1112</v>
      </c>
      <c r="H264" s="70"/>
    </row>
    <row r="265" spans="1:8" x14ac:dyDescent="0.2">
      <c r="A265" s="73"/>
      <c r="B265" s="77"/>
      <c r="C265" s="74"/>
      <c r="D265" s="74" t="s">
        <v>939</v>
      </c>
      <c r="E265" s="78" t="s">
        <v>112</v>
      </c>
      <c r="F265" s="76" t="s">
        <v>1509</v>
      </c>
      <c r="G265" s="76" t="s">
        <v>1000</v>
      </c>
      <c r="H265" s="70"/>
    </row>
    <row r="266" spans="1:8" x14ac:dyDescent="0.2">
      <c r="A266" s="73"/>
      <c r="B266" s="77"/>
      <c r="C266" s="74"/>
      <c r="D266" s="74" t="s">
        <v>939</v>
      </c>
      <c r="E266" s="78" t="s">
        <v>966</v>
      </c>
      <c r="F266" s="76" t="s">
        <v>1509</v>
      </c>
      <c r="G266" s="76" t="s">
        <v>1000</v>
      </c>
      <c r="H266" s="70"/>
    </row>
    <row r="267" spans="1:8" x14ac:dyDescent="0.2">
      <c r="A267" s="73"/>
      <c r="B267" s="77"/>
      <c r="C267" s="74"/>
      <c r="D267" s="74" t="s">
        <v>939</v>
      </c>
      <c r="E267" s="78" t="s">
        <v>112</v>
      </c>
      <c r="F267" s="76" t="s">
        <v>1510</v>
      </c>
      <c r="G267" s="76" t="s">
        <v>1096</v>
      </c>
      <c r="H267" s="70"/>
    </row>
    <row r="268" spans="1:8" x14ac:dyDescent="0.2">
      <c r="A268" s="73"/>
      <c r="B268" s="77"/>
      <c r="C268" s="74"/>
      <c r="D268" s="74" t="s">
        <v>939</v>
      </c>
      <c r="E268" s="78" t="s">
        <v>966</v>
      </c>
      <c r="F268" s="76" t="s">
        <v>1510</v>
      </c>
      <c r="G268" s="76" t="s">
        <v>1096</v>
      </c>
      <c r="H268" s="70"/>
    </row>
    <row r="269" spans="1:8" x14ac:dyDescent="0.2">
      <c r="A269" s="73"/>
      <c r="B269" s="77"/>
      <c r="C269" s="74"/>
      <c r="D269" s="74" t="s">
        <v>939</v>
      </c>
      <c r="E269" s="78" t="s">
        <v>112</v>
      </c>
      <c r="F269" s="76" t="s">
        <v>1484</v>
      </c>
      <c r="G269" s="76" t="s">
        <v>1099</v>
      </c>
      <c r="H269" s="70"/>
    </row>
    <row r="270" spans="1:8" x14ac:dyDescent="0.2">
      <c r="A270" s="73"/>
      <c r="B270" s="77"/>
      <c r="C270" s="74"/>
      <c r="D270" s="74" t="s">
        <v>939</v>
      </c>
      <c r="E270" s="78" t="s">
        <v>966</v>
      </c>
      <c r="F270" s="76" t="s">
        <v>1484</v>
      </c>
      <c r="G270" s="76" t="s">
        <v>1099</v>
      </c>
      <c r="H270" s="70"/>
    </row>
    <row r="271" spans="1:8" x14ac:dyDescent="0.2">
      <c r="A271" s="73"/>
      <c r="B271" s="77"/>
      <c r="C271" s="74"/>
      <c r="D271" s="74" t="s">
        <v>939</v>
      </c>
      <c r="E271" s="78" t="s">
        <v>966</v>
      </c>
      <c r="F271" s="76" t="s">
        <v>1485</v>
      </c>
      <c r="G271" s="76" t="s">
        <v>1101</v>
      </c>
      <c r="H271" s="70"/>
    </row>
    <row r="272" spans="1:8" x14ac:dyDescent="0.2">
      <c r="A272" s="73"/>
      <c r="B272" s="77"/>
      <c r="C272" s="74"/>
      <c r="D272" s="74" t="s">
        <v>939</v>
      </c>
      <c r="E272" s="78" t="s">
        <v>112</v>
      </c>
      <c r="F272" s="76" t="s">
        <v>1486</v>
      </c>
      <c r="G272" s="76" t="s">
        <v>1098</v>
      </c>
      <c r="H272" s="70"/>
    </row>
    <row r="273" spans="1:8" x14ac:dyDescent="0.2">
      <c r="A273" s="73"/>
      <c r="B273" s="77"/>
      <c r="C273" s="74"/>
      <c r="D273" s="74" t="s">
        <v>939</v>
      </c>
      <c r="E273" s="78" t="s">
        <v>966</v>
      </c>
      <c r="F273" s="76" t="s">
        <v>1486</v>
      </c>
      <c r="G273" s="76" t="s">
        <v>1098</v>
      </c>
      <c r="H273" s="70"/>
    </row>
    <row r="274" spans="1:8" x14ac:dyDescent="0.2">
      <c r="A274" s="73"/>
      <c r="B274" s="77"/>
      <c r="C274" s="74"/>
      <c r="D274" s="74" t="s">
        <v>939</v>
      </c>
      <c r="E274" s="78" t="s">
        <v>112</v>
      </c>
      <c r="F274" s="76" t="s">
        <v>1511</v>
      </c>
      <c r="G274" s="76" t="s">
        <v>1098</v>
      </c>
      <c r="H274" s="70"/>
    </row>
    <row r="275" spans="1:8" x14ac:dyDescent="0.2">
      <c r="A275" s="73"/>
      <c r="B275" s="77"/>
      <c r="C275" s="74"/>
      <c r="D275" s="74" t="s">
        <v>939</v>
      </c>
      <c r="E275" s="78" t="s">
        <v>966</v>
      </c>
      <c r="F275" s="76" t="s">
        <v>1511</v>
      </c>
      <c r="G275" s="76" t="s">
        <v>1098</v>
      </c>
      <c r="H275" s="70"/>
    </row>
    <row r="276" spans="1:8" x14ac:dyDescent="0.2">
      <c r="A276" s="73"/>
      <c r="B276" s="77"/>
      <c r="C276" s="74"/>
      <c r="D276" s="74" t="s">
        <v>939</v>
      </c>
      <c r="E276" s="78" t="s">
        <v>112</v>
      </c>
      <c r="F276" s="76" t="s">
        <v>1512</v>
      </c>
      <c r="G276" s="76" t="s">
        <v>1098</v>
      </c>
      <c r="H276" s="70"/>
    </row>
    <row r="277" spans="1:8" x14ac:dyDescent="0.2">
      <c r="A277" s="73"/>
      <c r="B277" s="77"/>
      <c r="C277" s="74"/>
      <c r="D277" s="74" t="s">
        <v>939</v>
      </c>
      <c r="E277" s="78" t="s">
        <v>966</v>
      </c>
      <c r="F277" s="76" t="s">
        <v>1512</v>
      </c>
      <c r="G277" s="76" t="s">
        <v>1098</v>
      </c>
      <c r="H277" s="70"/>
    </row>
    <row r="278" spans="1:8" x14ac:dyDescent="0.2">
      <c r="A278" s="73"/>
      <c r="B278" s="77"/>
      <c r="C278" s="74"/>
      <c r="D278" s="74" t="s">
        <v>939</v>
      </c>
      <c r="E278" s="78" t="s">
        <v>966</v>
      </c>
      <c r="F278" s="76" t="s">
        <v>1487</v>
      </c>
      <c r="G278" s="76" t="s">
        <v>1095</v>
      </c>
      <c r="H278" s="70"/>
    </row>
    <row r="279" spans="1:8" x14ac:dyDescent="0.2">
      <c r="A279" s="73"/>
      <c r="B279" s="77"/>
      <c r="C279" s="74"/>
      <c r="D279" s="74" t="s">
        <v>939</v>
      </c>
      <c r="E279" s="78" t="s">
        <v>112</v>
      </c>
      <c r="F279" s="76" t="s">
        <v>1487</v>
      </c>
      <c r="G279" s="76" t="s">
        <v>1095</v>
      </c>
      <c r="H279" s="70"/>
    </row>
    <row r="280" spans="1:8" x14ac:dyDescent="0.2">
      <c r="A280" s="73"/>
      <c r="B280" s="77"/>
      <c r="C280" s="74"/>
      <c r="D280" s="74" t="s">
        <v>939</v>
      </c>
      <c r="E280" s="78" t="s">
        <v>966</v>
      </c>
      <c r="F280" s="76" t="s">
        <v>1488</v>
      </c>
      <c r="G280" s="76" t="s">
        <v>1095</v>
      </c>
      <c r="H280" s="70"/>
    </row>
    <row r="281" spans="1:8" x14ac:dyDescent="0.2">
      <c r="A281" s="73"/>
      <c r="B281" s="77"/>
      <c r="C281" s="74"/>
      <c r="D281" s="74" t="s">
        <v>939</v>
      </c>
      <c r="E281" s="78" t="s">
        <v>112</v>
      </c>
      <c r="F281" s="76" t="s">
        <v>1488</v>
      </c>
      <c r="G281" s="76" t="s">
        <v>1095</v>
      </c>
      <c r="H281" s="70"/>
    </row>
    <row r="282" spans="1:8" x14ac:dyDescent="0.2">
      <c r="A282" s="73"/>
      <c r="B282" s="77"/>
      <c r="C282" s="74"/>
      <c r="D282" s="74" t="s">
        <v>939</v>
      </c>
      <c r="E282" s="78" t="s">
        <v>112</v>
      </c>
      <c r="F282" s="76" t="s">
        <v>1513</v>
      </c>
      <c r="G282" s="76" t="s">
        <v>1097</v>
      </c>
      <c r="H282" s="70"/>
    </row>
    <row r="283" spans="1:8" x14ac:dyDescent="0.2">
      <c r="A283" s="73"/>
      <c r="B283" s="77"/>
      <c r="C283" s="74"/>
      <c r="D283" s="74" t="s">
        <v>939</v>
      </c>
      <c r="E283" s="78" t="s">
        <v>966</v>
      </c>
      <c r="F283" s="76" t="s">
        <v>1513</v>
      </c>
      <c r="G283" s="76" t="s">
        <v>1097</v>
      </c>
      <c r="H283" s="70"/>
    </row>
    <row r="284" spans="1:8" x14ac:dyDescent="0.2">
      <c r="A284" s="73"/>
      <c r="B284" s="77"/>
      <c r="C284" s="74"/>
      <c r="D284" s="74" t="s">
        <v>939</v>
      </c>
      <c r="E284" s="78" t="s">
        <v>112</v>
      </c>
      <c r="F284" s="76" t="s">
        <v>1514</v>
      </c>
      <c r="G284" s="76" t="s">
        <v>1100</v>
      </c>
      <c r="H284" s="70"/>
    </row>
    <row r="285" spans="1:8" x14ac:dyDescent="0.2">
      <c r="A285" s="73"/>
      <c r="B285" s="77"/>
      <c r="C285" s="74"/>
      <c r="D285" s="74" t="s">
        <v>939</v>
      </c>
      <c r="E285" s="78" t="s">
        <v>966</v>
      </c>
      <c r="F285" s="76" t="s">
        <v>1514</v>
      </c>
      <c r="G285" s="76" t="s">
        <v>1100</v>
      </c>
      <c r="H285" s="70"/>
    </row>
    <row r="286" spans="1:8" ht="16" x14ac:dyDescent="0.2">
      <c r="A286" s="73"/>
      <c r="B286" s="77"/>
      <c r="C286" s="74"/>
      <c r="D286" s="74" t="s">
        <v>939</v>
      </c>
      <c r="E286" s="78" t="s">
        <v>112</v>
      </c>
      <c r="F286" s="76" t="s">
        <v>1472</v>
      </c>
      <c r="G286" s="75" t="s">
        <v>1105</v>
      </c>
      <c r="H286" s="70"/>
    </row>
    <row r="287" spans="1:8" ht="16" x14ac:dyDescent="0.2">
      <c r="A287" s="73"/>
      <c r="B287" s="77"/>
      <c r="C287" s="74"/>
      <c r="D287" s="74" t="s">
        <v>939</v>
      </c>
      <c r="E287" s="78" t="s">
        <v>966</v>
      </c>
      <c r="F287" s="76" t="s">
        <v>1472</v>
      </c>
      <c r="G287" s="75" t="s">
        <v>1105</v>
      </c>
      <c r="H287" s="70"/>
    </row>
    <row r="288" spans="1:8" ht="16" x14ac:dyDescent="0.2">
      <c r="A288" s="73"/>
      <c r="B288" s="77"/>
      <c r="C288" s="74"/>
      <c r="D288" s="74" t="s">
        <v>939</v>
      </c>
      <c r="E288" s="78" t="s">
        <v>112</v>
      </c>
      <c r="F288" s="76" t="s">
        <v>1473</v>
      </c>
      <c r="G288" s="75" t="s">
        <v>1105</v>
      </c>
      <c r="H288" s="70"/>
    </row>
    <row r="289" spans="1:8" ht="16" x14ac:dyDescent="0.2">
      <c r="A289" s="73"/>
      <c r="B289" s="77"/>
      <c r="C289" s="74"/>
      <c r="D289" s="74" t="s">
        <v>939</v>
      </c>
      <c r="E289" s="78" t="s">
        <v>966</v>
      </c>
      <c r="F289" s="76" t="s">
        <v>1473</v>
      </c>
      <c r="G289" s="75" t="s">
        <v>1105</v>
      </c>
      <c r="H289" s="70"/>
    </row>
    <row r="290" spans="1:8" ht="16" x14ac:dyDescent="0.2">
      <c r="A290" s="73"/>
      <c r="B290" s="77"/>
      <c r="C290" s="74"/>
      <c r="D290" s="74" t="s">
        <v>939</v>
      </c>
      <c r="E290" s="78" t="s">
        <v>112</v>
      </c>
      <c r="F290" s="76" t="s">
        <v>1515</v>
      </c>
      <c r="G290" s="75" t="s">
        <v>1105</v>
      </c>
      <c r="H290" s="70"/>
    </row>
    <row r="291" spans="1:8" ht="16" x14ac:dyDescent="0.2">
      <c r="A291" s="73"/>
      <c r="B291" s="77"/>
      <c r="C291" s="74"/>
      <c r="D291" s="74" t="s">
        <v>939</v>
      </c>
      <c r="E291" s="78" t="s">
        <v>966</v>
      </c>
      <c r="F291" s="76" t="s">
        <v>1515</v>
      </c>
      <c r="G291" s="75" t="s">
        <v>1105</v>
      </c>
      <c r="H291" s="70"/>
    </row>
    <row r="292" spans="1:8" ht="16" x14ac:dyDescent="0.2">
      <c r="A292" s="73"/>
      <c r="B292" s="77"/>
      <c r="C292" s="74"/>
      <c r="D292" s="74" t="s">
        <v>939</v>
      </c>
      <c r="E292" s="78" t="s">
        <v>112</v>
      </c>
      <c r="F292" s="76" t="s">
        <v>1474</v>
      </c>
      <c r="G292" s="75" t="s">
        <v>1105</v>
      </c>
      <c r="H292" s="70"/>
    </row>
    <row r="293" spans="1:8" ht="16" x14ac:dyDescent="0.2">
      <c r="A293" s="73"/>
      <c r="B293" s="77"/>
      <c r="C293" s="74"/>
      <c r="D293" s="74" t="s">
        <v>939</v>
      </c>
      <c r="E293" s="78" t="s">
        <v>966</v>
      </c>
      <c r="F293" s="76" t="s">
        <v>1474</v>
      </c>
      <c r="G293" s="75" t="s">
        <v>1105</v>
      </c>
      <c r="H293" s="70"/>
    </row>
    <row r="294" spans="1:8" ht="16" x14ac:dyDescent="0.2">
      <c r="A294" s="73"/>
      <c r="B294" s="77"/>
      <c r="C294" s="74"/>
      <c r="D294" s="74" t="s">
        <v>939</v>
      </c>
      <c r="E294" s="78" t="s">
        <v>112</v>
      </c>
      <c r="F294" s="76" t="s">
        <v>1475</v>
      </c>
      <c r="G294" s="75" t="s">
        <v>1105</v>
      </c>
      <c r="H294" s="70"/>
    </row>
    <row r="295" spans="1:8" ht="16" x14ac:dyDescent="0.2">
      <c r="A295" s="73"/>
      <c r="B295" s="77"/>
      <c r="C295" s="74"/>
      <c r="D295" s="74" t="s">
        <v>939</v>
      </c>
      <c r="E295" s="78" t="s">
        <v>966</v>
      </c>
      <c r="F295" s="76" t="s">
        <v>1475</v>
      </c>
      <c r="G295" s="75" t="s">
        <v>1105</v>
      </c>
      <c r="H295" s="70"/>
    </row>
    <row r="296" spans="1:8" ht="16" x14ac:dyDescent="0.2">
      <c r="A296" s="73"/>
      <c r="B296" s="77"/>
      <c r="C296" s="74"/>
      <c r="D296" s="74" t="s">
        <v>939</v>
      </c>
      <c r="E296" s="78" t="s">
        <v>112</v>
      </c>
      <c r="F296" s="76" t="s">
        <v>1476</v>
      </c>
      <c r="G296" s="75" t="s">
        <v>1105</v>
      </c>
      <c r="H296" s="70"/>
    </row>
    <row r="297" spans="1:8" ht="16" x14ac:dyDescent="0.2">
      <c r="A297" s="73"/>
      <c r="B297" s="77"/>
      <c r="C297" s="74"/>
      <c r="D297" s="74" t="s">
        <v>939</v>
      </c>
      <c r="E297" s="78" t="s">
        <v>966</v>
      </c>
      <c r="F297" s="76" t="s">
        <v>1476</v>
      </c>
      <c r="G297" s="75" t="s">
        <v>1105</v>
      </c>
      <c r="H297" s="70"/>
    </row>
    <row r="298" spans="1:8" ht="16" x14ac:dyDescent="0.2">
      <c r="A298" s="73"/>
      <c r="B298" s="77"/>
      <c r="C298" s="74"/>
      <c r="D298" s="74" t="s">
        <v>939</v>
      </c>
      <c r="E298" s="78" t="s">
        <v>112</v>
      </c>
      <c r="F298" s="76" t="s">
        <v>1516</v>
      </c>
      <c r="G298" s="75" t="s">
        <v>1105</v>
      </c>
      <c r="H298" s="70"/>
    </row>
    <row r="299" spans="1:8" ht="16" x14ac:dyDescent="0.2">
      <c r="A299" s="73"/>
      <c r="B299" s="77"/>
      <c r="C299" s="74"/>
      <c r="D299" s="74" t="s">
        <v>939</v>
      </c>
      <c r="E299" s="78" t="s">
        <v>966</v>
      </c>
      <c r="F299" s="76" t="s">
        <v>1516</v>
      </c>
      <c r="G299" s="75" t="s">
        <v>1105</v>
      </c>
      <c r="H299" s="70"/>
    </row>
    <row r="300" spans="1:8" ht="16" x14ac:dyDescent="0.2">
      <c r="A300" s="73"/>
      <c r="B300" s="77"/>
      <c r="C300" s="74"/>
      <c r="D300" s="74" t="s">
        <v>939</v>
      </c>
      <c r="E300" s="78" t="s">
        <v>112</v>
      </c>
      <c r="F300" s="76" t="s">
        <v>1517</v>
      </c>
      <c r="G300" s="75" t="s">
        <v>1102</v>
      </c>
      <c r="H300" s="70"/>
    </row>
    <row r="301" spans="1:8" ht="16" x14ac:dyDescent="0.2">
      <c r="A301" s="73"/>
      <c r="B301" s="77"/>
      <c r="C301" s="74"/>
      <c r="D301" s="74" t="s">
        <v>939</v>
      </c>
      <c r="E301" s="78" t="s">
        <v>966</v>
      </c>
      <c r="F301" s="76" t="s">
        <v>1517</v>
      </c>
      <c r="G301" s="75" t="s">
        <v>1102</v>
      </c>
      <c r="H301" s="70"/>
    </row>
    <row r="302" spans="1:8" ht="16" x14ac:dyDescent="0.2">
      <c r="A302" s="73"/>
      <c r="B302" s="77"/>
      <c r="C302" s="74"/>
      <c r="D302" s="74" t="s">
        <v>939</v>
      </c>
      <c r="E302" s="78" t="s">
        <v>112</v>
      </c>
      <c r="F302" s="76" t="s">
        <v>1518</v>
      </c>
      <c r="G302" s="75" t="s">
        <v>1102</v>
      </c>
      <c r="H302" s="70"/>
    </row>
    <row r="303" spans="1:8" ht="16" x14ac:dyDescent="0.2">
      <c r="A303" s="73"/>
      <c r="B303" s="77"/>
      <c r="C303" s="74"/>
      <c r="D303" s="74" t="s">
        <v>939</v>
      </c>
      <c r="E303" s="78" t="s">
        <v>966</v>
      </c>
      <c r="F303" s="76" t="s">
        <v>1518</v>
      </c>
      <c r="G303" s="75" t="s">
        <v>1102</v>
      </c>
      <c r="H303" s="70"/>
    </row>
    <row r="304" spans="1:8" ht="16" x14ac:dyDescent="0.2">
      <c r="A304" s="73"/>
      <c r="B304" s="77"/>
      <c r="C304" s="74"/>
      <c r="D304" s="74" t="s">
        <v>939</v>
      </c>
      <c r="E304" s="78" t="s">
        <v>112</v>
      </c>
      <c r="F304" s="76" t="s">
        <v>1519</v>
      </c>
      <c r="G304" s="75" t="s">
        <v>1103</v>
      </c>
      <c r="H304" s="70"/>
    </row>
    <row r="305" spans="1:8" ht="16" x14ac:dyDescent="0.2">
      <c r="A305" s="73"/>
      <c r="B305" s="77"/>
      <c r="C305" s="74"/>
      <c r="D305" s="74" t="s">
        <v>939</v>
      </c>
      <c r="E305" s="78" t="s">
        <v>112</v>
      </c>
      <c r="F305" s="76" t="s">
        <v>1520</v>
      </c>
      <c r="G305" s="75" t="s">
        <v>1103</v>
      </c>
      <c r="H305" s="70"/>
    </row>
    <row r="306" spans="1:8" ht="16" x14ac:dyDescent="0.2">
      <c r="A306" s="73"/>
      <c r="B306" s="77"/>
      <c r="C306" s="74"/>
      <c r="D306" s="74" t="s">
        <v>939</v>
      </c>
      <c r="E306" s="78" t="s">
        <v>112</v>
      </c>
      <c r="F306" s="76" t="s">
        <v>1521</v>
      </c>
      <c r="G306" s="75" t="s">
        <v>1103</v>
      </c>
      <c r="H306" s="70"/>
    </row>
    <row r="307" spans="1:8" ht="16" x14ac:dyDescent="0.2">
      <c r="A307" s="73"/>
      <c r="B307" s="77"/>
      <c r="C307" s="74"/>
      <c r="D307" s="74" t="s">
        <v>939</v>
      </c>
      <c r="E307" s="78" t="s">
        <v>112</v>
      </c>
      <c r="F307" s="76" t="s">
        <v>1522</v>
      </c>
      <c r="G307" s="75" t="s">
        <v>1103</v>
      </c>
      <c r="H307" s="70"/>
    </row>
    <row r="308" spans="1:8" x14ac:dyDescent="0.2">
      <c r="A308" s="73"/>
      <c r="B308" s="77"/>
      <c r="C308" s="74"/>
      <c r="D308" s="74" t="s">
        <v>939</v>
      </c>
      <c r="E308" s="78" t="s">
        <v>112</v>
      </c>
      <c r="F308" s="76" t="s">
        <v>1477</v>
      </c>
      <c r="G308" s="76" t="s">
        <v>1107</v>
      </c>
      <c r="H308" s="70"/>
    </row>
    <row r="309" spans="1:8" x14ac:dyDescent="0.2">
      <c r="A309" s="73"/>
      <c r="B309" s="77"/>
      <c r="C309" s="74"/>
      <c r="D309" s="74" t="s">
        <v>939</v>
      </c>
      <c r="E309" s="78" t="s">
        <v>966</v>
      </c>
      <c r="F309" s="76" t="s">
        <v>1477</v>
      </c>
      <c r="G309" s="76" t="s">
        <v>1107</v>
      </c>
      <c r="H309" s="70"/>
    </row>
    <row r="310" spans="1:8" x14ac:dyDescent="0.2">
      <c r="A310" s="73"/>
      <c r="B310" s="77"/>
      <c r="C310" s="74"/>
      <c r="D310" s="74" t="s">
        <v>939</v>
      </c>
      <c r="E310" s="78" t="s">
        <v>112</v>
      </c>
      <c r="F310" s="76" t="s">
        <v>1478</v>
      </c>
      <c r="G310" s="76" t="s">
        <v>1107</v>
      </c>
      <c r="H310" s="70"/>
    </row>
    <row r="311" spans="1:8" x14ac:dyDescent="0.2">
      <c r="A311" s="73"/>
      <c r="B311" s="77"/>
      <c r="C311" s="74"/>
      <c r="D311" s="74" t="s">
        <v>939</v>
      </c>
      <c r="E311" s="78" t="s">
        <v>966</v>
      </c>
      <c r="F311" s="76" t="s">
        <v>1478</v>
      </c>
      <c r="G311" s="76" t="s">
        <v>1107</v>
      </c>
      <c r="H311" s="70"/>
    </row>
    <row r="312" spans="1:8" x14ac:dyDescent="0.2">
      <c r="A312" s="73"/>
      <c r="B312" s="77"/>
      <c r="C312" s="74"/>
      <c r="D312" s="74" t="s">
        <v>939</v>
      </c>
      <c r="E312" s="78" t="s">
        <v>112</v>
      </c>
      <c r="F312" s="76" t="s">
        <v>1523</v>
      </c>
      <c r="G312" s="76" t="s">
        <v>1106</v>
      </c>
      <c r="H312" s="70"/>
    </row>
    <row r="313" spans="1:8" ht="15" customHeight="1" x14ac:dyDescent="0.2">
      <c r="A313" s="73"/>
      <c r="B313" s="77"/>
      <c r="C313" s="74"/>
      <c r="D313" s="74" t="s">
        <v>939</v>
      </c>
      <c r="E313" s="78" t="s">
        <v>966</v>
      </c>
      <c r="F313" s="76" t="s">
        <v>1523</v>
      </c>
      <c r="G313" s="76" t="s">
        <v>1106</v>
      </c>
      <c r="H313" s="70"/>
    </row>
    <row r="314" spans="1:8" x14ac:dyDescent="0.2">
      <c r="A314" s="73"/>
      <c r="B314" s="77"/>
      <c r="C314" s="74"/>
      <c r="D314" s="74" t="s">
        <v>939</v>
      </c>
      <c r="E314" s="78" t="s">
        <v>112</v>
      </c>
      <c r="F314" s="76" t="s">
        <v>1524</v>
      </c>
      <c r="G314" s="76" t="s">
        <v>1106</v>
      </c>
      <c r="H314" s="70"/>
    </row>
    <row r="315" spans="1:8" x14ac:dyDescent="0.2">
      <c r="A315" s="73"/>
      <c r="B315" s="77"/>
      <c r="C315" s="74"/>
      <c r="D315" s="74" t="s">
        <v>939</v>
      </c>
      <c r="E315" s="78" t="s">
        <v>966</v>
      </c>
      <c r="F315" s="76" t="s">
        <v>1524</v>
      </c>
      <c r="G315" s="76" t="s">
        <v>1106</v>
      </c>
      <c r="H315" s="70"/>
    </row>
    <row r="316" spans="1:8" x14ac:dyDescent="0.2">
      <c r="A316" s="73"/>
      <c r="B316" s="77"/>
      <c r="C316" s="74"/>
      <c r="D316" s="74" t="s">
        <v>939</v>
      </c>
      <c r="E316" s="78" t="s">
        <v>112</v>
      </c>
      <c r="F316" s="76" t="s">
        <v>1471</v>
      </c>
      <c r="G316" s="76" t="s">
        <v>1114</v>
      </c>
      <c r="H316" s="70"/>
    </row>
    <row r="317" spans="1:8" ht="15" customHeight="1" x14ac:dyDescent="0.2">
      <c r="A317" s="73"/>
      <c r="B317" s="77"/>
      <c r="C317" s="74"/>
      <c r="D317" s="74" t="s">
        <v>939</v>
      </c>
      <c r="E317" s="78" t="s">
        <v>966</v>
      </c>
      <c r="F317" s="76" t="s">
        <v>1471</v>
      </c>
      <c r="G317" s="76" t="s">
        <v>1114</v>
      </c>
      <c r="H317" s="70"/>
    </row>
    <row r="318" spans="1:8" x14ac:dyDescent="0.2">
      <c r="A318" s="73"/>
      <c r="B318" s="77"/>
      <c r="C318" s="74"/>
      <c r="D318" s="74" t="s">
        <v>939</v>
      </c>
      <c r="E318" s="78" t="s">
        <v>112</v>
      </c>
      <c r="F318" s="76" t="s">
        <v>1470</v>
      </c>
      <c r="G318" s="76" t="s">
        <v>1114</v>
      </c>
      <c r="H318" s="70"/>
    </row>
    <row r="319" spans="1:8" ht="15" customHeight="1" x14ac:dyDescent="0.2">
      <c r="A319" s="73"/>
      <c r="B319" s="77"/>
      <c r="C319" s="74"/>
      <c r="D319" s="74" t="s">
        <v>939</v>
      </c>
      <c r="E319" s="78" t="s">
        <v>966</v>
      </c>
      <c r="F319" s="76" t="s">
        <v>1470</v>
      </c>
      <c r="G319" s="76" t="s">
        <v>1114</v>
      </c>
      <c r="H319" s="70"/>
    </row>
    <row r="320" spans="1:8" x14ac:dyDescent="0.2">
      <c r="A320" s="73"/>
      <c r="B320" s="77"/>
      <c r="C320" s="74"/>
      <c r="D320" s="74" t="s">
        <v>939</v>
      </c>
      <c r="E320" s="78" t="s">
        <v>112</v>
      </c>
      <c r="F320" s="76" t="s">
        <v>1525</v>
      </c>
      <c r="G320" s="76" t="s">
        <v>1104</v>
      </c>
      <c r="H320" s="70"/>
    </row>
    <row r="321" spans="1:8" x14ac:dyDescent="0.2">
      <c r="A321" s="73"/>
      <c r="B321" s="77"/>
      <c r="C321" s="74"/>
      <c r="D321" s="74" t="s">
        <v>939</v>
      </c>
      <c r="E321" s="78" t="s">
        <v>966</v>
      </c>
      <c r="F321" s="76" t="s">
        <v>1525</v>
      </c>
      <c r="G321" s="76" t="s">
        <v>1104</v>
      </c>
      <c r="H321" s="70"/>
    </row>
    <row r="322" spans="1:8" x14ac:dyDescent="0.2">
      <c r="A322" s="73"/>
      <c r="B322" s="77"/>
      <c r="C322" s="74"/>
      <c r="D322" s="74" t="s">
        <v>939</v>
      </c>
      <c r="E322" s="78" t="s">
        <v>112</v>
      </c>
      <c r="F322" s="76" t="s">
        <v>1526</v>
      </c>
      <c r="G322" s="76" t="s">
        <v>1104</v>
      </c>
      <c r="H322" s="70"/>
    </row>
    <row r="323" spans="1:8" x14ac:dyDescent="0.2">
      <c r="A323" s="73"/>
      <c r="B323" s="77"/>
      <c r="C323" s="74"/>
      <c r="D323" s="74" t="s">
        <v>939</v>
      </c>
      <c r="E323" s="78" t="s">
        <v>966</v>
      </c>
      <c r="F323" s="76" t="s">
        <v>1526</v>
      </c>
      <c r="G323" s="76" t="s">
        <v>1104</v>
      </c>
      <c r="H323" s="70"/>
    </row>
    <row r="324" spans="1:8" x14ac:dyDescent="0.2">
      <c r="A324" s="73"/>
      <c r="B324" s="77"/>
      <c r="C324" s="74"/>
      <c r="D324" s="74" t="s">
        <v>939</v>
      </c>
      <c r="E324" s="78" t="s">
        <v>112</v>
      </c>
      <c r="F324" s="76" t="s">
        <v>1527</v>
      </c>
      <c r="G324" s="76" t="s">
        <v>1094</v>
      </c>
      <c r="H324" s="70"/>
    </row>
    <row r="325" spans="1:8" x14ac:dyDescent="0.2">
      <c r="A325" s="73"/>
      <c r="B325" s="77"/>
      <c r="C325" s="74"/>
      <c r="D325" s="74" t="s">
        <v>939</v>
      </c>
      <c r="E325" s="78" t="s">
        <v>966</v>
      </c>
      <c r="F325" s="76" t="s">
        <v>1527</v>
      </c>
      <c r="G325" s="76" t="s">
        <v>1094</v>
      </c>
      <c r="H325" s="70"/>
    </row>
    <row r="326" spans="1:8" x14ac:dyDescent="0.2">
      <c r="A326" s="73"/>
      <c r="B326" s="77"/>
      <c r="C326" s="74"/>
      <c r="D326" s="74" t="s">
        <v>939</v>
      </c>
      <c r="E326" s="78" t="s">
        <v>112</v>
      </c>
      <c r="F326" s="76" t="s">
        <v>1528</v>
      </c>
      <c r="G326" s="76" t="s">
        <v>1094</v>
      </c>
      <c r="H326" s="70"/>
    </row>
    <row r="327" spans="1:8" x14ac:dyDescent="0.2">
      <c r="A327" s="73"/>
      <c r="B327" s="77"/>
      <c r="C327" s="74"/>
      <c r="D327" s="74" t="s">
        <v>939</v>
      </c>
      <c r="E327" s="78" t="s">
        <v>966</v>
      </c>
      <c r="F327" s="76" t="s">
        <v>1528</v>
      </c>
      <c r="G327" s="76" t="s">
        <v>1094</v>
      </c>
      <c r="H327" s="70"/>
    </row>
    <row r="328" spans="1:8" ht="16" x14ac:dyDescent="0.2">
      <c r="A328" s="73"/>
      <c r="B328" s="85"/>
      <c r="C328" s="74"/>
      <c r="D328" s="74" t="s">
        <v>936</v>
      </c>
      <c r="E328" s="78" t="s">
        <v>966</v>
      </c>
      <c r="F328" s="76" t="s">
        <v>221</v>
      </c>
      <c r="G328" s="75" t="s">
        <v>1067</v>
      </c>
      <c r="H328" s="70"/>
    </row>
    <row r="329" spans="1:8" ht="16" x14ac:dyDescent="0.2">
      <c r="A329" s="73"/>
      <c r="B329" s="85"/>
      <c r="C329" s="74"/>
      <c r="D329" s="74" t="s">
        <v>936</v>
      </c>
      <c r="E329" s="78" t="s">
        <v>966</v>
      </c>
      <c r="F329" s="76" t="s">
        <v>1529</v>
      </c>
      <c r="G329" s="75" t="s">
        <v>1067</v>
      </c>
      <c r="H329" s="70"/>
    </row>
    <row r="330" spans="1:8" ht="16" x14ac:dyDescent="0.2">
      <c r="A330" s="73"/>
      <c r="B330" s="85"/>
      <c r="C330" s="74"/>
      <c r="D330" s="74" t="s">
        <v>936</v>
      </c>
      <c r="E330" s="78" t="s">
        <v>966</v>
      </c>
      <c r="F330" s="76" t="s">
        <v>1530</v>
      </c>
      <c r="G330" s="75" t="s">
        <v>1067</v>
      </c>
      <c r="H330" s="70"/>
    </row>
    <row r="331" spans="1:8" x14ac:dyDescent="0.2">
      <c r="A331" s="73"/>
      <c r="B331" s="77"/>
      <c r="C331" s="74"/>
      <c r="D331" s="74" t="s">
        <v>936</v>
      </c>
      <c r="E331" s="78" t="s">
        <v>112</v>
      </c>
      <c r="F331" s="76" t="s">
        <v>221</v>
      </c>
      <c r="G331" s="76" t="s">
        <v>1068</v>
      </c>
      <c r="H331" s="70"/>
    </row>
    <row r="332" spans="1:8" x14ac:dyDescent="0.2">
      <c r="A332" s="73"/>
      <c r="B332" s="77"/>
      <c r="C332" s="74"/>
      <c r="D332" s="74" t="s">
        <v>936</v>
      </c>
      <c r="E332" s="78" t="s">
        <v>966</v>
      </c>
      <c r="F332" s="76" t="s">
        <v>221</v>
      </c>
      <c r="G332" s="76" t="s">
        <v>1068</v>
      </c>
      <c r="H332" s="70"/>
    </row>
    <row r="333" spans="1:8" x14ac:dyDescent="0.2">
      <c r="A333" s="73"/>
      <c r="B333" s="77"/>
      <c r="C333" s="74"/>
      <c r="D333" s="74" t="s">
        <v>936</v>
      </c>
      <c r="E333" s="78" t="s">
        <v>128</v>
      </c>
      <c r="F333" s="76" t="s">
        <v>221</v>
      </c>
      <c r="G333" s="76" t="s">
        <v>1068</v>
      </c>
      <c r="H333" s="70"/>
    </row>
    <row r="334" spans="1:8" x14ac:dyDescent="0.2">
      <c r="A334" s="73"/>
      <c r="B334" s="77"/>
      <c r="C334" s="74"/>
      <c r="D334" s="74" t="s">
        <v>936</v>
      </c>
      <c r="E334" s="78" t="s">
        <v>112</v>
      </c>
      <c r="F334" s="76" t="s">
        <v>1529</v>
      </c>
      <c r="G334" s="76" t="s">
        <v>1068</v>
      </c>
      <c r="H334" s="70"/>
    </row>
    <row r="335" spans="1:8" x14ac:dyDescent="0.2">
      <c r="A335" s="73"/>
      <c r="B335" s="77"/>
      <c r="C335" s="74"/>
      <c r="D335" s="74" t="s">
        <v>936</v>
      </c>
      <c r="E335" s="78" t="s">
        <v>966</v>
      </c>
      <c r="F335" s="76" t="s">
        <v>1529</v>
      </c>
      <c r="G335" s="76" t="s">
        <v>1068</v>
      </c>
      <c r="H335" s="70"/>
    </row>
    <row r="336" spans="1:8" x14ac:dyDescent="0.2">
      <c r="A336" s="73"/>
      <c r="B336" s="77"/>
      <c r="C336" s="74"/>
      <c r="D336" s="74" t="s">
        <v>936</v>
      </c>
      <c r="E336" s="78" t="s">
        <v>128</v>
      </c>
      <c r="F336" s="76" t="s">
        <v>1529</v>
      </c>
      <c r="G336" s="76" t="s">
        <v>1068</v>
      </c>
      <c r="H336" s="70"/>
    </row>
    <row r="337" spans="1:8" x14ac:dyDescent="0.2">
      <c r="A337" s="73"/>
      <c r="B337" s="77"/>
      <c r="C337" s="74"/>
      <c r="D337" s="74" t="s">
        <v>936</v>
      </c>
      <c r="E337" s="78" t="s">
        <v>112</v>
      </c>
      <c r="F337" s="76" t="s">
        <v>226</v>
      </c>
      <c r="G337" s="76" t="s">
        <v>1070</v>
      </c>
      <c r="H337" s="70"/>
    </row>
    <row r="338" spans="1:8" x14ac:dyDescent="0.2">
      <c r="A338" s="73"/>
      <c r="B338" s="77"/>
      <c r="C338" s="74"/>
      <c r="D338" s="74" t="s">
        <v>936</v>
      </c>
      <c r="E338" s="78" t="s">
        <v>966</v>
      </c>
      <c r="F338" s="76" t="s">
        <v>226</v>
      </c>
      <c r="G338" s="76" t="s">
        <v>1070</v>
      </c>
      <c r="H338" s="70"/>
    </row>
    <row r="339" spans="1:8" x14ac:dyDescent="0.2">
      <c r="A339" s="73"/>
      <c r="B339" s="77"/>
      <c r="C339" s="74"/>
      <c r="D339" s="74" t="s">
        <v>936</v>
      </c>
      <c r="E339" s="78" t="s">
        <v>128</v>
      </c>
      <c r="F339" s="76" t="s">
        <v>226</v>
      </c>
      <c r="G339" s="76" t="s">
        <v>1070</v>
      </c>
      <c r="H339" s="70"/>
    </row>
    <row r="340" spans="1:8" x14ac:dyDescent="0.2">
      <c r="A340" s="73"/>
      <c r="B340" s="77"/>
      <c r="C340" s="74"/>
      <c r="D340" s="74" t="s">
        <v>936</v>
      </c>
      <c r="E340" s="78" t="s">
        <v>112</v>
      </c>
      <c r="F340" s="76" t="s">
        <v>1531</v>
      </c>
      <c r="G340" s="76" t="s">
        <v>1071</v>
      </c>
      <c r="H340" s="70"/>
    </row>
    <row r="341" spans="1:8" x14ac:dyDescent="0.2">
      <c r="A341" s="73"/>
      <c r="B341" s="77"/>
      <c r="C341" s="74"/>
      <c r="D341" s="74" t="s">
        <v>936</v>
      </c>
      <c r="E341" s="78" t="s">
        <v>966</v>
      </c>
      <c r="F341" s="76" t="s">
        <v>1531</v>
      </c>
      <c r="G341" s="76" t="s">
        <v>1071</v>
      </c>
      <c r="H341" s="70"/>
    </row>
    <row r="342" spans="1:8" x14ac:dyDescent="0.2">
      <c r="A342" s="73"/>
      <c r="B342" s="77"/>
      <c r="C342" s="74"/>
      <c r="D342" s="74" t="s">
        <v>936</v>
      </c>
      <c r="E342" s="78" t="s">
        <v>128</v>
      </c>
      <c r="F342" s="76" t="s">
        <v>1531</v>
      </c>
      <c r="G342" s="76" t="s">
        <v>1071</v>
      </c>
      <c r="H342" s="70"/>
    </row>
    <row r="343" spans="1:8" x14ac:dyDescent="0.2">
      <c r="A343" s="73"/>
      <c r="B343" s="77"/>
      <c r="C343" s="74"/>
      <c r="D343" s="74" t="s">
        <v>936</v>
      </c>
      <c r="E343" s="78" t="s">
        <v>112</v>
      </c>
      <c r="F343" s="76" t="s">
        <v>1532</v>
      </c>
      <c r="G343" s="76" t="s">
        <v>1073</v>
      </c>
      <c r="H343" s="70"/>
    </row>
    <row r="344" spans="1:8" x14ac:dyDescent="0.2">
      <c r="A344" s="73"/>
      <c r="B344" s="77"/>
      <c r="C344" s="74"/>
      <c r="D344" s="74" t="s">
        <v>936</v>
      </c>
      <c r="E344" s="78" t="s">
        <v>966</v>
      </c>
      <c r="F344" s="76" t="s">
        <v>1532</v>
      </c>
      <c r="G344" s="76" t="s">
        <v>1073</v>
      </c>
      <c r="H344" s="70"/>
    </row>
    <row r="345" spans="1:8" x14ac:dyDescent="0.2">
      <c r="A345" s="73"/>
      <c r="B345" s="77"/>
      <c r="C345" s="74"/>
      <c r="D345" s="74" t="s">
        <v>936</v>
      </c>
      <c r="E345" s="78" t="s">
        <v>128</v>
      </c>
      <c r="F345" s="76" t="s">
        <v>1532</v>
      </c>
      <c r="G345" s="76" t="s">
        <v>1073</v>
      </c>
      <c r="H345" s="70"/>
    </row>
    <row r="346" spans="1:8" x14ac:dyDescent="0.2">
      <c r="A346" s="73"/>
      <c r="B346" s="77"/>
      <c r="C346" s="74"/>
      <c r="D346" s="74" t="s">
        <v>936</v>
      </c>
      <c r="E346" s="78" t="s">
        <v>112</v>
      </c>
      <c r="F346" s="76" t="s">
        <v>1533</v>
      </c>
      <c r="G346" s="76" t="s">
        <v>1073</v>
      </c>
      <c r="H346" s="70"/>
    </row>
    <row r="347" spans="1:8" x14ac:dyDescent="0.2">
      <c r="A347" s="73"/>
      <c r="B347" s="77"/>
      <c r="C347" s="74"/>
      <c r="D347" s="74" t="s">
        <v>936</v>
      </c>
      <c r="E347" s="78" t="s">
        <v>966</v>
      </c>
      <c r="F347" s="76" t="s">
        <v>1533</v>
      </c>
      <c r="G347" s="76" t="s">
        <v>1073</v>
      </c>
      <c r="H347" s="70"/>
    </row>
    <row r="348" spans="1:8" x14ac:dyDescent="0.2">
      <c r="A348" s="73"/>
      <c r="B348" s="77"/>
      <c r="C348" s="74"/>
      <c r="D348" s="74" t="s">
        <v>936</v>
      </c>
      <c r="E348" s="78" t="s">
        <v>128</v>
      </c>
      <c r="F348" s="76" t="s">
        <v>1533</v>
      </c>
      <c r="G348" s="76" t="s">
        <v>1073</v>
      </c>
      <c r="H348" s="70"/>
    </row>
    <row r="349" spans="1:8" x14ac:dyDescent="0.2">
      <c r="A349" s="73"/>
      <c r="B349" s="77"/>
      <c r="C349" s="74"/>
      <c r="D349" s="74" t="s">
        <v>936</v>
      </c>
      <c r="E349" s="78" t="s">
        <v>112</v>
      </c>
      <c r="F349" s="76" t="s">
        <v>1534</v>
      </c>
      <c r="G349" s="76" t="s">
        <v>1073</v>
      </c>
      <c r="H349" s="70"/>
    </row>
    <row r="350" spans="1:8" x14ac:dyDescent="0.2">
      <c r="A350" s="73"/>
      <c r="B350" s="77"/>
      <c r="C350" s="74"/>
      <c r="D350" s="74" t="s">
        <v>936</v>
      </c>
      <c r="E350" s="78" t="s">
        <v>966</v>
      </c>
      <c r="F350" s="76" t="s">
        <v>1534</v>
      </c>
      <c r="G350" s="76" t="s">
        <v>1073</v>
      </c>
      <c r="H350" s="70"/>
    </row>
    <row r="351" spans="1:8" x14ac:dyDescent="0.2">
      <c r="A351" s="73"/>
      <c r="B351" s="77"/>
      <c r="C351" s="74"/>
      <c r="D351" s="74" t="s">
        <v>936</v>
      </c>
      <c r="E351" s="78" t="s">
        <v>128</v>
      </c>
      <c r="F351" s="76" t="s">
        <v>1534</v>
      </c>
      <c r="G351" s="76" t="s">
        <v>1073</v>
      </c>
      <c r="H351" s="70"/>
    </row>
    <row r="352" spans="1:8" x14ac:dyDescent="0.2">
      <c r="A352" s="73"/>
      <c r="B352" s="77"/>
      <c r="C352" s="74"/>
      <c r="D352" s="74" t="s">
        <v>936</v>
      </c>
      <c r="E352" s="78" t="s">
        <v>112</v>
      </c>
      <c r="F352" s="76" t="s">
        <v>1535</v>
      </c>
      <c r="G352" s="76" t="s">
        <v>1072</v>
      </c>
      <c r="H352" s="70"/>
    </row>
    <row r="353" spans="1:8" x14ac:dyDescent="0.2">
      <c r="A353" s="73"/>
      <c r="B353" s="77"/>
      <c r="C353" s="74"/>
      <c r="D353" s="74" t="s">
        <v>936</v>
      </c>
      <c r="E353" s="78" t="s">
        <v>966</v>
      </c>
      <c r="F353" s="76" t="s">
        <v>1535</v>
      </c>
      <c r="G353" s="76" t="s">
        <v>1072</v>
      </c>
      <c r="H353" s="70"/>
    </row>
    <row r="354" spans="1:8" x14ac:dyDescent="0.2">
      <c r="A354" s="73"/>
      <c r="B354" s="77"/>
      <c r="C354" s="74"/>
      <c r="D354" s="74" t="s">
        <v>936</v>
      </c>
      <c r="E354" s="78" t="s">
        <v>128</v>
      </c>
      <c r="F354" s="76" t="s">
        <v>1535</v>
      </c>
      <c r="G354" s="76" t="s">
        <v>1072</v>
      </c>
      <c r="H354" s="70"/>
    </row>
    <row r="355" spans="1:8" x14ac:dyDescent="0.2">
      <c r="A355" s="73"/>
      <c r="B355" s="77"/>
      <c r="C355" s="74"/>
      <c r="D355" s="74" t="s">
        <v>936</v>
      </c>
      <c r="E355" s="78" t="s">
        <v>112</v>
      </c>
      <c r="F355" s="76" t="s">
        <v>1536</v>
      </c>
      <c r="G355" s="76" t="s">
        <v>1072</v>
      </c>
      <c r="H355" s="70"/>
    </row>
    <row r="356" spans="1:8" x14ac:dyDescent="0.2">
      <c r="A356" s="73"/>
      <c r="B356" s="77"/>
      <c r="C356" s="74"/>
      <c r="D356" s="74" t="s">
        <v>936</v>
      </c>
      <c r="E356" s="78" t="s">
        <v>966</v>
      </c>
      <c r="F356" s="76" t="s">
        <v>1536</v>
      </c>
      <c r="G356" s="76" t="s">
        <v>1072</v>
      </c>
      <c r="H356" s="70"/>
    </row>
    <row r="357" spans="1:8" x14ac:dyDescent="0.2">
      <c r="A357" s="73"/>
      <c r="B357" s="77"/>
      <c r="C357" s="74"/>
      <c r="D357" s="74" t="s">
        <v>936</v>
      </c>
      <c r="E357" s="78" t="s">
        <v>128</v>
      </c>
      <c r="F357" s="76" t="s">
        <v>1536</v>
      </c>
      <c r="G357" s="76" t="s">
        <v>1072</v>
      </c>
      <c r="H357" s="70"/>
    </row>
    <row r="358" spans="1:8" x14ac:dyDescent="0.2">
      <c r="A358" s="73"/>
      <c r="B358" s="77"/>
      <c r="C358" s="74"/>
      <c r="D358" s="74" t="s">
        <v>936</v>
      </c>
      <c r="E358" s="78" t="s">
        <v>112</v>
      </c>
      <c r="F358" s="76" t="s">
        <v>1537</v>
      </c>
      <c r="G358" s="76" t="s">
        <v>1072</v>
      </c>
      <c r="H358" s="70"/>
    </row>
    <row r="359" spans="1:8" x14ac:dyDescent="0.2">
      <c r="A359" s="73"/>
      <c r="B359" s="77"/>
      <c r="C359" s="74"/>
      <c r="D359" s="74" t="s">
        <v>936</v>
      </c>
      <c r="E359" s="78" t="s">
        <v>966</v>
      </c>
      <c r="F359" s="76" t="s">
        <v>1537</v>
      </c>
      <c r="G359" s="76" t="s">
        <v>1072</v>
      </c>
      <c r="H359" s="70"/>
    </row>
    <row r="360" spans="1:8" x14ac:dyDescent="0.2">
      <c r="A360" s="73"/>
      <c r="B360" s="77"/>
      <c r="C360" s="74"/>
      <c r="D360" s="74" t="s">
        <v>936</v>
      </c>
      <c r="E360" s="78" t="s">
        <v>128</v>
      </c>
      <c r="F360" s="76" t="s">
        <v>1537</v>
      </c>
      <c r="G360" s="76" t="s">
        <v>1072</v>
      </c>
      <c r="H360" s="70"/>
    </row>
    <row r="361" spans="1:8" x14ac:dyDescent="0.2">
      <c r="A361" s="73"/>
      <c r="B361" s="77"/>
      <c r="C361" s="74"/>
      <c r="D361" s="74" t="s">
        <v>936</v>
      </c>
      <c r="E361" s="78" t="s">
        <v>112</v>
      </c>
      <c r="F361" s="76" t="s">
        <v>1538</v>
      </c>
      <c r="G361" s="76" t="s">
        <v>1072</v>
      </c>
      <c r="H361" s="70"/>
    </row>
    <row r="362" spans="1:8" x14ac:dyDescent="0.2">
      <c r="A362" s="73"/>
      <c r="B362" s="77"/>
      <c r="C362" s="74"/>
      <c r="D362" s="74" t="s">
        <v>936</v>
      </c>
      <c r="E362" s="78" t="s">
        <v>966</v>
      </c>
      <c r="F362" s="76" t="s">
        <v>1538</v>
      </c>
      <c r="G362" s="76" t="s">
        <v>1072</v>
      </c>
      <c r="H362" s="70"/>
    </row>
    <row r="363" spans="1:8" x14ac:dyDescent="0.2">
      <c r="A363" s="73"/>
      <c r="B363" s="77"/>
      <c r="C363" s="74"/>
      <c r="D363" s="74" t="s">
        <v>936</v>
      </c>
      <c r="E363" s="78" t="s">
        <v>128</v>
      </c>
      <c r="F363" s="76" t="s">
        <v>1538</v>
      </c>
      <c r="G363" s="76" t="s">
        <v>1072</v>
      </c>
      <c r="H363" s="70"/>
    </row>
    <row r="364" spans="1:8" ht="16" x14ac:dyDescent="0.2">
      <c r="A364" s="73"/>
      <c r="B364" s="85"/>
      <c r="C364" s="74"/>
      <c r="D364" s="74" t="s">
        <v>936</v>
      </c>
      <c r="E364" s="78" t="s">
        <v>112</v>
      </c>
      <c r="F364" s="76" t="s">
        <v>1539</v>
      </c>
      <c r="G364" s="75" t="s">
        <v>995</v>
      </c>
      <c r="H364" s="70"/>
    </row>
    <row r="365" spans="1:8" ht="16" x14ac:dyDescent="0.2">
      <c r="A365" s="73"/>
      <c r="B365" s="85"/>
      <c r="C365" s="74"/>
      <c r="D365" s="74" t="s">
        <v>936</v>
      </c>
      <c r="E365" s="78" t="s">
        <v>966</v>
      </c>
      <c r="F365" s="76" t="s">
        <v>1539</v>
      </c>
      <c r="G365" s="75" t="s">
        <v>995</v>
      </c>
      <c r="H365" s="70"/>
    </row>
    <row r="366" spans="1:8" ht="16" x14ac:dyDescent="0.2">
      <c r="A366" s="73"/>
      <c r="B366" s="85"/>
      <c r="C366" s="74"/>
      <c r="D366" s="74" t="s">
        <v>936</v>
      </c>
      <c r="E366" s="78" t="s">
        <v>128</v>
      </c>
      <c r="F366" s="76" t="s">
        <v>1539</v>
      </c>
      <c r="G366" s="75" t="s">
        <v>995</v>
      </c>
      <c r="H366" s="70"/>
    </row>
    <row r="367" spans="1:8" ht="16" x14ac:dyDescent="0.2">
      <c r="A367" s="73"/>
      <c r="B367" s="85"/>
      <c r="C367" s="74"/>
      <c r="D367" s="74" t="s">
        <v>936</v>
      </c>
      <c r="E367" s="78" t="s">
        <v>112</v>
      </c>
      <c r="F367" s="76" t="s">
        <v>1541</v>
      </c>
      <c r="G367" s="75" t="s">
        <v>995</v>
      </c>
      <c r="H367" s="70"/>
    </row>
    <row r="368" spans="1:8" ht="16" x14ac:dyDescent="0.2">
      <c r="A368" s="73"/>
      <c r="B368" s="85"/>
      <c r="C368" s="74"/>
      <c r="D368" s="74" t="s">
        <v>936</v>
      </c>
      <c r="E368" s="78" t="s">
        <v>966</v>
      </c>
      <c r="F368" s="76" t="s">
        <v>1541</v>
      </c>
      <c r="G368" s="75" t="s">
        <v>995</v>
      </c>
      <c r="H368" s="70"/>
    </row>
    <row r="369" spans="1:8" ht="16" x14ac:dyDescent="0.2">
      <c r="A369" s="73"/>
      <c r="B369" s="85"/>
      <c r="C369" s="74"/>
      <c r="D369" s="74" t="s">
        <v>936</v>
      </c>
      <c r="E369" s="78" t="s">
        <v>128</v>
      </c>
      <c r="F369" s="76" t="s">
        <v>1541</v>
      </c>
      <c r="G369" s="75" t="s">
        <v>995</v>
      </c>
      <c r="H369" s="70"/>
    </row>
    <row r="370" spans="1:8" ht="16" x14ac:dyDescent="0.2">
      <c r="A370" s="73"/>
      <c r="B370" s="85"/>
      <c r="C370" s="74"/>
      <c r="D370" s="74" t="s">
        <v>936</v>
      </c>
      <c r="E370" s="78" t="s">
        <v>112</v>
      </c>
      <c r="F370" s="76" t="s">
        <v>1542</v>
      </c>
      <c r="G370" s="75" t="s">
        <v>1069</v>
      </c>
      <c r="H370" s="70"/>
    </row>
    <row r="371" spans="1:8" ht="16" x14ac:dyDescent="0.2">
      <c r="A371" s="73"/>
      <c r="B371" s="85"/>
      <c r="C371" s="74"/>
      <c r="D371" s="74" t="s">
        <v>936</v>
      </c>
      <c r="E371" s="78" t="s">
        <v>966</v>
      </c>
      <c r="F371" s="76" t="s">
        <v>1542</v>
      </c>
      <c r="G371" s="75" t="s">
        <v>1069</v>
      </c>
      <c r="H371" s="70"/>
    </row>
    <row r="372" spans="1:8" ht="16" x14ac:dyDescent="0.2">
      <c r="A372" s="73"/>
      <c r="B372" s="85"/>
      <c r="C372" s="74"/>
      <c r="D372" s="74" t="s">
        <v>936</v>
      </c>
      <c r="E372" s="78" t="s">
        <v>128</v>
      </c>
      <c r="F372" s="76" t="s">
        <v>1542</v>
      </c>
      <c r="G372" s="75" t="s">
        <v>1069</v>
      </c>
      <c r="H372" s="70"/>
    </row>
    <row r="373" spans="1:8" ht="16" x14ac:dyDescent="0.2">
      <c r="A373" s="73"/>
      <c r="B373" s="85"/>
      <c r="C373" s="74"/>
      <c r="D373" s="74" t="s">
        <v>936</v>
      </c>
      <c r="E373" s="78" t="s">
        <v>112</v>
      </c>
      <c r="F373" s="76" t="s">
        <v>1543</v>
      </c>
      <c r="G373" s="75" t="s">
        <v>1069</v>
      </c>
      <c r="H373" s="70"/>
    </row>
    <row r="374" spans="1:8" ht="16" x14ac:dyDescent="0.2">
      <c r="A374" s="73"/>
      <c r="B374" s="85"/>
      <c r="C374" s="74"/>
      <c r="D374" s="74" t="s">
        <v>936</v>
      </c>
      <c r="E374" s="78" t="s">
        <v>966</v>
      </c>
      <c r="F374" s="76" t="s">
        <v>1543</v>
      </c>
      <c r="G374" s="75" t="s">
        <v>1069</v>
      </c>
      <c r="H374" s="70"/>
    </row>
    <row r="375" spans="1:8" ht="16" x14ac:dyDescent="0.2">
      <c r="A375" s="73"/>
      <c r="B375" s="85"/>
      <c r="C375" s="74"/>
      <c r="D375" s="74" t="s">
        <v>936</v>
      </c>
      <c r="E375" s="78" t="s">
        <v>128</v>
      </c>
      <c r="F375" s="76" t="s">
        <v>1543</v>
      </c>
      <c r="G375" s="75" t="s">
        <v>1069</v>
      </c>
      <c r="H375" s="70"/>
    </row>
    <row r="376" spans="1:8" ht="16" x14ac:dyDescent="0.2">
      <c r="A376" s="73"/>
      <c r="B376" s="85"/>
      <c r="C376" s="74"/>
      <c r="D376" s="74" t="s">
        <v>936</v>
      </c>
      <c r="E376" s="78" t="s">
        <v>128</v>
      </c>
      <c r="F376" s="76" t="s">
        <v>1544</v>
      </c>
      <c r="G376" s="75" t="s">
        <v>994</v>
      </c>
      <c r="H376" s="70"/>
    </row>
    <row r="377" spans="1:8" ht="16" x14ac:dyDescent="0.2">
      <c r="A377" s="73"/>
      <c r="B377" s="85"/>
      <c r="C377" s="74"/>
      <c r="D377" s="74" t="s">
        <v>936</v>
      </c>
      <c r="E377" s="78" t="s">
        <v>112</v>
      </c>
      <c r="F377" s="76" t="s">
        <v>1544</v>
      </c>
      <c r="G377" s="75" t="s">
        <v>994</v>
      </c>
      <c r="H377" s="70"/>
    </row>
    <row r="378" spans="1:8" ht="16" x14ac:dyDescent="0.2">
      <c r="A378" s="73"/>
      <c r="B378" s="85"/>
      <c r="C378" s="74"/>
      <c r="D378" s="74" t="s">
        <v>936</v>
      </c>
      <c r="E378" s="78" t="s">
        <v>966</v>
      </c>
      <c r="F378" s="76" t="s">
        <v>1544</v>
      </c>
      <c r="G378" s="75" t="s">
        <v>994</v>
      </c>
      <c r="H378" s="70"/>
    </row>
    <row r="379" spans="1:8" ht="16" x14ac:dyDescent="0.2">
      <c r="A379" s="73"/>
      <c r="B379" s="77"/>
      <c r="C379" s="74"/>
      <c r="D379" s="74" t="s">
        <v>935</v>
      </c>
      <c r="E379" s="78" t="s">
        <v>96</v>
      </c>
      <c r="F379" s="76" t="s">
        <v>2095</v>
      </c>
      <c r="G379" s="75" t="s">
        <v>1065</v>
      </c>
      <c r="H379" s="70"/>
    </row>
    <row r="380" spans="1:8" ht="16" x14ac:dyDescent="0.2">
      <c r="A380" s="73"/>
      <c r="B380" s="77"/>
      <c r="C380" s="74"/>
      <c r="D380" s="74" t="s">
        <v>935</v>
      </c>
      <c r="E380" s="78" t="s">
        <v>137</v>
      </c>
      <c r="F380" s="76" t="s">
        <v>2095</v>
      </c>
      <c r="G380" s="75" t="s">
        <v>1065</v>
      </c>
      <c r="H380" s="70"/>
    </row>
    <row r="381" spans="1:8" ht="16" x14ac:dyDescent="0.2">
      <c r="A381" s="73"/>
      <c r="B381" s="77"/>
      <c r="C381" s="74"/>
      <c r="D381" s="74" t="s">
        <v>935</v>
      </c>
      <c r="E381" s="78" t="s">
        <v>96</v>
      </c>
      <c r="F381" s="76" t="s">
        <v>282</v>
      </c>
      <c r="G381" s="75" t="s">
        <v>1065</v>
      </c>
      <c r="H381" s="70"/>
    </row>
    <row r="382" spans="1:8" ht="16" x14ac:dyDescent="0.2">
      <c r="A382" s="73"/>
      <c r="B382" s="77"/>
      <c r="C382" s="74"/>
      <c r="D382" s="74" t="s">
        <v>935</v>
      </c>
      <c r="E382" s="78" t="s">
        <v>137</v>
      </c>
      <c r="F382" s="76" t="s">
        <v>282</v>
      </c>
      <c r="G382" s="75" t="s">
        <v>1065</v>
      </c>
      <c r="H382" s="70"/>
    </row>
    <row r="383" spans="1:8" ht="16" x14ac:dyDescent="0.2">
      <c r="A383" s="73"/>
      <c r="B383" s="77"/>
      <c r="C383" s="74"/>
      <c r="D383" s="74" t="s">
        <v>935</v>
      </c>
      <c r="E383" s="78" t="s">
        <v>96</v>
      </c>
      <c r="F383" s="76" t="s">
        <v>2124</v>
      </c>
      <c r="G383" s="75" t="s">
        <v>1065</v>
      </c>
      <c r="H383" s="70"/>
    </row>
    <row r="384" spans="1:8" ht="16" x14ac:dyDescent="0.2">
      <c r="A384" s="73"/>
      <c r="B384" s="77"/>
      <c r="C384" s="74"/>
      <c r="D384" s="74" t="s">
        <v>935</v>
      </c>
      <c r="E384" s="78" t="s">
        <v>137</v>
      </c>
      <c r="F384" s="76" t="s">
        <v>2124</v>
      </c>
      <c r="G384" s="75" t="s">
        <v>1065</v>
      </c>
      <c r="H384" s="70"/>
    </row>
    <row r="385" spans="1:8" ht="16" x14ac:dyDescent="0.2">
      <c r="A385" s="73"/>
      <c r="B385" s="77"/>
      <c r="C385" s="74"/>
      <c r="D385" s="74" t="s">
        <v>935</v>
      </c>
      <c r="E385" s="78" t="s">
        <v>96</v>
      </c>
      <c r="F385" s="76" t="s">
        <v>2125</v>
      </c>
      <c r="G385" s="75" t="s">
        <v>1065</v>
      </c>
      <c r="H385" s="70"/>
    </row>
    <row r="386" spans="1:8" ht="16" x14ac:dyDescent="0.2">
      <c r="A386" s="73"/>
      <c r="B386" s="77"/>
      <c r="C386" s="74"/>
      <c r="D386" s="74" t="s">
        <v>935</v>
      </c>
      <c r="E386" s="78" t="s">
        <v>137</v>
      </c>
      <c r="F386" s="76" t="s">
        <v>2125</v>
      </c>
      <c r="G386" s="75" t="s">
        <v>1065</v>
      </c>
      <c r="H386" s="70"/>
    </row>
    <row r="387" spans="1:8" ht="16" x14ac:dyDescent="0.2">
      <c r="A387" s="73"/>
      <c r="B387" s="77"/>
      <c r="C387" s="74"/>
      <c r="D387" s="74" t="s">
        <v>935</v>
      </c>
      <c r="E387" s="78" t="s">
        <v>96</v>
      </c>
      <c r="F387" s="76" t="s">
        <v>2126</v>
      </c>
      <c r="G387" s="75" t="s">
        <v>1065</v>
      </c>
      <c r="H387" s="70"/>
    </row>
    <row r="388" spans="1:8" ht="16" x14ac:dyDescent="0.2">
      <c r="A388" s="73"/>
      <c r="B388" s="77"/>
      <c r="C388" s="74"/>
      <c r="D388" s="74" t="s">
        <v>935</v>
      </c>
      <c r="E388" s="78" t="s">
        <v>137</v>
      </c>
      <c r="F388" s="76" t="s">
        <v>2126</v>
      </c>
      <c r="G388" s="75" t="s">
        <v>1065</v>
      </c>
      <c r="H388" s="70"/>
    </row>
    <row r="389" spans="1:8" ht="16" x14ac:dyDescent="0.2">
      <c r="A389" s="73"/>
      <c r="B389" s="85"/>
      <c r="C389" s="74"/>
      <c r="D389" s="74" t="s">
        <v>935</v>
      </c>
      <c r="E389" s="78" t="s">
        <v>96</v>
      </c>
      <c r="F389" s="76" t="s">
        <v>2129</v>
      </c>
      <c r="G389" s="75" t="s">
        <v>991</v>
      </c>
      <c r="H389" s="70"/>
    </row>
    <row r="390" spans="1:8" ht="16" x14ac:dyDescent="0.2">
      <c r="A390" s="73"/>
      <c r="B390" s="85"/>
      <c r="C390" s="74"/>
      <c r="D390" s="74" t="s">
        <v>935</v>
      </c>
      <c r="E390" s="78" t="s">
        <v>137</v>
      </c>
      <c r="F390" s="76" t="s">
        <v>2129</v>
      </c>
      <c r="G390" s="75" t="s">
        <v>991</v>
      </c>
      <c r="H390" s="70"/>
    </row>
    <row r="391" spans="1:8" ht="16" x14ac:dyDescent="0.2">
      <c r="A391" s="73"/>
      <c r="B391" s="77"/>
      <c r="C391" s="74"/>
      <c r="D391" s="74" t="s">
        <v>935</v>
      </c>
      <c r="E391" s="78" t="s">
        <v>105</v>
      </c>
      <c r="F391" s="76" t="s">
        <v>2095</v>
      </c>
      <c r="G391" s="75" t="s">
        <v>376</v>
      </c>
      <c r="H391" s="70"/>
    </row>
    <row r="392" spans="1:8" ht="16" x14ac:dyDescent="0.2">
      <c r="A392" s="73"/>
      <c r="B392" s="77"/>
      <c r="C392" s="74"/>
      <c r="D392" s="74" t="s">
        <v>935</v>
      </c>
      <c r="E392" s="78" t="s">
        <v>105</v>
      </c>
      <c r="F392" s="76" t="s">
        <v>282</v>
      </c>
      <c r="G392" s="75" t="s">
        <v>376</v>
      </c>
      <c r="H392" s="70"/>
    </row>
    <row r="393" spans="1:8" ht="16" x14ac:dyDescent="0.2">
      <c r="A393" s="73"/>
      <c r="B393" s="77"/>
      <c r="C393" s="74"/>
      <c r="D393" s="74" t="s">
        <v>935</v>
      </c>
      <c r="E393" s="78" t="s">
        <v>105</v>
      </c>
      <c r="F393" s="76" t="s">
        <v>2124</v>
      </c>
      <c r="G393" s="75" t="s">
        <v>376</v>
      </c>
      <c r="H393" s="70"/>
    </row>
    <row r="394" spans="1:8" ht="16" x14ac:dyDescent="0.2">
      <c r="A394" s="73"/>
      <c r="B394" s="77"/>
      <c r="C394" s="74"/>
      <c r="D394" s="74" t="s">
        <v>935</v>
      </c>
      <c r="E394" s="78" t="s">
        <v>105</v>
      </c>
      <c r="F394" s="76" t="s">
        <v>2125</v>
      </c>
      <c r="G394" s="75" t="s">
        <v>376</v>
      </c>
      <c r="H394" s="70"/>
    </row>
    <row r="395" spans="1:8" ht="16" x14ac:dyDescent="0.2">
      <c r="A395" s="73"/>
      <c r="B395" s="77"/>
      <c r="C395" s="74"/>
      <c r="D395" s="74" t="s">
        <v>935</v>
      </c>
      <c r="E395" s="78" t="s">
        <v>105</v>
      </c>
      <c r="F395" s="76" t="s">
        <v>2126</v>
      </c>
      <c r="G395" s="75" t="s">
        <v>376</v>
      </c>
      <c r="H395" s="70"/>
    </row>
    <row r="396" spans="1:8" ht="16" x14ac:dyDescent="0.2">
      <c r="A396" s="73"/>
      <c r="B396" s="77"/>
      <c r="C396" s="74"/>
      <c r="D396" s="74" t="s">
        <v>935</v>
      </c>
      <c r="E396" s="78" t="s">
        <v>105</v>
      </c>
      <c r="F396" s="76" t="s">
        <v>2132</v>
      </c>
      <c r="G396" s="75" t="s">
        <v>376</v>
      </c>
      <c r="H396" s="70"/>
    </row>
    <row r="397" spans="1:8" ht="16" x14ac:dyDescent="0.2">
      <c r="A397" s="73"/>
      <c r="B397" s="77"/>
      <c r="C397" s="74"/>
      <c r="D397" s="74" t="s">
        <v>935</v>
      </c>
      <c r="E397" s="78" t="s">
        <v>105</v>
      </c>
      <c r="F397" s="76" t="s">
        <v>2133</v>
      </c>
      <c r="G397" s="75" t="s">
        <v>376</v>
      </c>
      <c r="H397" s="70"/>
    </row>
    <row r="398" spans="1:8" ht="16" x14ac:dyDescent="0.2">
      <c r="A398" s="73"/>
      <c r="B398" s="77"/>
      <c r="C398" s="74"/>
      <c r="D398" s="74" t="s">
        <v>935</v>
      </c>
      <c r="E398" s="78" t="s">
        <v>105</v>
      </c>
      <c r="F398" s="76" t="s">
        <v>2134</v>
      </c>
      <c r="G398" s="75" t="s">
        <v>376</v>
      </c>
      <c r="H398" s="70"/>
    </row>
    <row r="399" spans="1:8" ht="16" x14ac:dyDescent="0.2">
      <c r="A399" s="73"/>
      <c r="B399" s="77"/>
      <c r="C399" s="74"/>
      <c r="D399" s="74" t="s">
        <v>935</v>
      </c>
      <c r="E399" s="78" t="s">
        <v>105</v>
      </c>
      <c r="F399" s="76" t="s">
        <v>2135</v>
      </c>
      <c r="G399" s="75" t="s">
        <v>376</v>
      </c>
      <c r="H399" s="70"/>
    </row>
    <row r="400" spans="1:8" x14ac:dyDescent="0.2">
      <c r="A400" s="73"/>
      <c r="B400" s="77"/>
      <c r="C400" s="74"/>
      <c r="D400" s="74" t="s">
        <v>935</v>
      </c>
      <c r="E400" s="78" t="s">
        <v>112</v>
      </c>
      <c r="F400" s="76" t="s">
        <v>2095</v>
      </c>
      <c r="G400" s="76" t="s">
        <v>1066</v>
      </c>
      <c r="H400" s="70"/>
    </row>
    <row r="401" spans="1:8" x14ac:dyDescent="0.2">
      <c r="A401" s="73"/>
      <c r="B401" s="77"/>
      <c r="C401" s="74"/>
      <c r="D401" s="74" t="s">
        <v>935</v>
      </c>
      <c r="E401" s="78" t="s">
        <v>966</v>
      </c>
      <c r="F401" s="76" t="s">
        <v>2095</v>
      </c>
      <c r="G401" s="76" t="s">
        <v>1066</v>
      </c>
      <c r="H401" s="70"/>
    </row>
    <row r="402" spans="1:8" x14ac:dyDescent="0.2">
      <c r="A402" s="73"/>
      <c r="B402" s="77"/>
      <c r="C402" s="74"/>
      <c r="D402" s="74" t="s">
        <v>935</v>
      </c>
      <c r="E402" s="78" t="s">
        <v>119</v>
      </c>
      <c r="F402" s="76" t="s">
        <v>2095</v>
      </c>
      <c r="G402" s="76" t="s">
        <v>1066</v>
      </c>
      <c r="H402" s="70"/>
    </row>
    <row r="403" spans="1:8" x14ac:dyDescent="0.2">
      <c r="A403" s="73"/>
      <c r="B403" s="77"/>
      <c r="C403" s="74"/>
      <c r="D403" s="74" t="s">
        <v>935</v>
      </c>
      <c r="E403" s="78" t="s">
        <v>112</v>
      </c>
      <c r="F403" s="76" t="s">
        <v>2124</v>
      </c>
      <c r="G403" s="76" t="s">
        <v>1066</v>
      </c>
      <c r="H403" s="70"/>
    </row>
    <row r="404" spans="1:8" x14ac:dyDescent="0.2">
      <c r="A404" s="73"/>
      <c r="B404" s="77"/>
      <c r="C404" s="74"/>
      <c r="D404" s="74" t="s">
        <v>935</v>
      </c>
      <c r="E404" s="78" t="s">
        <v>966</v>
      </c>
      <c r="F404" s="76" t="s">
        <v>2124</v>
      </c>
      <c r="G404" s="76" t="s">
        <v>1066</v>
      </c>
      <c r="H404" s="70"/>
    </row>
    <row r="405" spans="1:8" x14ac:dyDescent="0.2">
      <c r="A405" s="73"/>
      <c r="B405" s="77"/>
      <c r="C405" s="74"/>
      <c r="D405" s="74" t="s">
        <v>935</v>
      </c>
      <c r="E405" s="78" t="s">
        <v>119</v>
      </c>
      <c r="F405" s="76" t="s">
        <v>2124</v>
      </c>
      <c r="G405" s="76" t="s">
        <v>1066</v>
      </c>
      <c r="H405" s="70"/>
    </row>
    <row r="406" spans="1:8" x14ac:dyDescent="0.2">
      <c r="A406" s="73"/>
      <c r="B406" s="77"/>
      <c r="C406" s="74"/>
      <c r="D406" s="74" t="s">
        <v>935</v>
      </c>
      <c r="E406" s="78" t="s">
        <v>112</v>
      </c>
      <c r="F406" s="76" t="s">
        <v>2125</v>
      </c>
      <c r="G406" s="76" t="s">
        <v>1066</v>
      </c>
      <c r="H406" s="70"/>
    </row>
    <row r="407" spans="1:8" x14ac:dyDescent="0.2">
      <c r="A407" s="73"/>
      <c r="B407" s="77"/>
      <c r="C407" s="74"/>
      <c r="D407" s="74" t="s">
        <v>935</v>
      </c>
      <c r="E407" s="78" t="s">
        <v>966</v>
      </c>
      <c r="F407" s="76" t="s">
        <v>2125</v>
      </c>
      <c r="G407" s="76" t="s">
        <v>1066</v>
      </c>
      <c r="H407" s="70"/>
    </row>
    <row r="408" spans="1:8" x14ac:dyDescent="0.2">
      <c r="A408" s="73"/>
      <c r="B408" s="77"/>
      <c r="C408" s="74"/>
      <c r="D408" s="74" t="s">
        <v>935</v>
      </c>
      <c r="E408" s="78" t="s">
        <v>119</v>
      </c>
      <c r="F408" s="76" t="s">
        <v>2125</v>
      </c>
      <c r="G408" s="76" t="s">
        <v>1066</v>
      </c>
      <c r="H408" s="70"/>
    </row>
    <row r="409" spans="1:8" x14ac:dyDescent="0.2">
      <c r="A409" s="73"/>
      <c r="B409" s="77"/>
      <c r="C409" s="74"/>
      <c r="D409" s="74" t="s">
        <v>935</v>
      </c>
      <c r="E409" s="78" t="s">
        <v>112</v>
      </c>
      <c r="F409" s="76" t="s">
        <v>2126</v>
      </c>
      <c r="G409" s="76" t="s">
        <v>1066</v>
      </c>
      <c r="H409" s="70"/>
    </row>
    <row r="410" spans="1:8" x14ac:dyDescent="0.2">
      <c r="A410" s="73"/>
      <c r="B410" s="77"/>
      <c r="C410" s="74"/>
      <c r="D410" s="74" t="s">
        <v>935</v>
      </c>
      <c r="E410" s="78" t="s">
        <v>966</v>
      </c>
      <c r="F410" s="76" t="s">
        <v>2126</v>
      </c>
      <c r="G410" s="76" t="s">
        <v>1066</v>
      </c>
      <c r="H410" s="70"/>
    </row>
    <row r="411" spans="1:8" x14ac:dyDescent="0.2">
      <c r="A411" s="73"/>
      <c r="B411" s="77"/>
      <c r="C411" s="74"/>
      <c r="D411" s="74" t="s">
        <v>935</v>
      </c>
      <c r="E411" s="78" t="s">
        <v>119</v>
      </c>
      <c r="F411" s="76" t="s">
        <v>2126</v>
      </c>
      <c r="G411" s="76" t="s">
        <v>1066</v>
      </c>
      <c r="H411" s="70"/>
    </row>
    <row r="412" spans="1:8" x14ac:dyDescent="0.2">
      <c r="A412" s="73"/>
      <c r="B412" s="77"/>
      <c r="C412" s="74"/>
      <c r="D412" s="74" t="s">
        <v>935</v>
      </c>
      <c r="E412" s="78" t="s">
        <v>112</v>
      </c>
      <c r="F412" s="76" t="s">
        <v>2132</v>
      </c>
      <c r="G412" s="76" t="s">
        <v>1059</v>
      </c>
      <c r="H412" s="70"/>
    </row>
    <row r="413" spans="1:8" x14ac:dyDescent="0.2">
      <c r="A413" s="73"/>
      <c r="B413" s="77"/>
      <c r="C413" s="74"/>
      <c r="D413" s="74" t="s">
        <v>935</v>
      </c>
      <c r="E413" s="78" t="s">
        <v>966</v>
      </c>
      <c r="F413" s="76" t="s">
        <v>2132</v>
      </c>
      <c r="G413" s="76" t="s">
        <v>1059</v>
      </c>
      <c r="H413" s="70"/>
    </row>
    <row r="414" spans="1:8" x14ac:dyDescent="0.2">
      <c r="A414" s="73"/>
      <c r="B414" s="77"/>
      <c r="C414" s="74"/>
      <c r="D414" s="74" t="s">
        <v>935</v>
      </c>
      <c r="E414" s="78" t="s">
        <v>112</v>
      </c>
      <c r="F414" s="76" t="s">
        <v>1545</v>
      </c>
      <c r="G414" s="76" t="s">
        <v>1059</v>
      </c>
      <c r="H414" s="70"/>
    </row>
    <row r="415" spans="1:8" x14ac:dyDescent="0.2">
      <c r="A415" s="73"/>
      <c r="B415" s="77"/>
      <c r="C415" s="74"/>
      <c r="D415" s="74" t="s">
        <v>935</v>
      </c>
      <c r="E415" s="78" t="s">
        <v>966</v>
      </c>
      <c r="F415" s="76" t="s">
        <v>1545</v>
      </c>
      <c r="G415" s="76" t="s">
        <v>1059</v>
      </c>
      <c r="H415" s="70"/>
    </row>
    <row r="416" spans="1:8" x14ac:dyDescent="0.2">
      <c r="A416" s="73"/>
      <c r="B416" s="77"/>
      <c r="C416" s="74"/>
      <c r="D416" s="74" t="s">
        <v>935</v>
      </c>
      <c r="E416" s="78" t="s">
        <v>112</v>
      </c>
      <c r="F416" s="76" t="s">
        <v>2132</v>
      </c>
      <c r="G416" s="76" t="s">
        <v>1059</v>
      </c>
      <c r="H416" s="70"/>
    </row>
    <row r="417" spans="1:8" x14ac:dyDescent="0.2">
      <c r="A417" s="73"/>
      <c r="B417" s="77"/>
      <c r="C417" s="74"/>
      <c r="D417" s="74" t="s">
        <v>935</v>
      </c>
      <c r="E417" s="78" t="s">
        <v>966</v>
      </c>
      <c r="F417" s="76" t="s">
        <v>2132</v>
      </c>
      <c r="G417" s="76" t="s">
        <v>1059</v>
      </c>
      <c r="H417" s="70"/>
    </row>
    <row r="418" spans="1:8" x14ac:dyDescent="0.2">
      <c r="A418" s="73"/>
      <c r="B418" s="77"/>
      <c r="C418" s="74"/>
      <c r="D418" s="74" t="s">
        <v>935</v>
      </c>
      <c r="E418" s="78" t="s">
        <v>112</v>
      </c>
      <c r="F418" s="76" t="s">
        <v>1545</v>
      </c>
      <c r="G418" s="76" t="s">
        <v>1059</v>
      </c>
      <c r="H418" s="70"/>
    </row>
    <row r="419" spans="1:8" x14ac:dyDescent="0.2">
      <c r="A419" s="73"/>
      <c r="B419" s="77"/>
      <c r="C419" s="74"/>
      <c r="D419" s="74" t="s">
        <v>935</v>
      </c>
      <c r="E419" s="78" t="s">
        <v>966</v>
      </c>
      <c r="F419" s="76" t="s">
        <v>1545</v>
      </c>
      <c r="G419" s="76" t="s">
        <v>1059</v>
      </c>
      <c r="H419" s="70"/>
    </row>
    <row r="420" spans="1:8" x14ac:dyDescent="0.2">
      <c r="A420" s="73"/>
      <c r="B420" s="77"/>
      <c r="C420" s="74"/>
      <c r="D420" s="74" t="s">
        <v>935</v>
      </c>
      <c r="E420" s="78" t="s">
        <v>105</v>
      </c>
      <c r="F420" s="76" t="s">
        <v>2127</v>
      </c>
      <c r="G420" s="76" t="s">
        <v>1062</v>
      </c>
      <c r="H420" s="70"/>
    </row>
    <row r="421" spans="1:8" x14ac:dyDescent="0.2">
      <c r="A421" s="73"/>
      <c r="B421" s="77"/>
      <c r="C421" s="74"/>
      <c r="D421" s="74" t="s">
        <v>935</v>
      </c>
      <c r="E421" s="78" t="s">
        <v>105</v>
      </c>
      <c r="F421" s="76" t="s">
        <v>2136</v>
      </c>
      <c r="G421" s="76" t="s">
        <v>1062</v>
      </c>
      <c r="H421" s="70"/>
    </row>
    <row r="422" spans="1:8" x14ac:dyDescent="0.2">
      <c r="A422" s="73"/>
      <c r="B422" s="77"/>
      <c r="C422" s="74"/>
      <c r="D422" s="74" t="s">
        <v>935</v>
      </c>
      <c r="E422" s="78" t="s">
        <v>105</v>
      </c>
      <c r="F422" s="76" t="s">
        <v>2137</v>
      </c>
      <c r="G422" s="76" t="s">
        <v>1062</v>
      </c>
      <c r="H422" s="70"/>
    </row>
    <row r="423" spans="1:8" x14ac:dyDescent="0.2">
      <c r="A423" s="73"/>
      <c r="B423" s="77"/>
      <c r="C423" s="74"/>
      <c r="D423" s="74" t="s">
        <v>935</v>
      </c>
      <c r="E423" s="78" t="s">
        <v>96</v>
      </c>
      <c r="F423" s="76" t="s">
        <v>2127</v>
      </c>
      <c r="G423" s="76" t="s">
        <v>1063</v>
      </c>
      <c r="H423" s="70"/>
    </row>
    <row r="424" spans="1:8" x14ac:dyDescent="0.2">
      <c r="A424" s="73"/>
      <c r="B424" s="77"/>
      <c r="C424" s="74"/>
      <c r="D424" s="74" t="s">
        <v>935</v>
      </c>
      <c r="E424" s="78" t="s">
        <v>96</v>
      </c>
      <c r="F424" s="76" t="s">
        <v>2128</v>
      </c>
      <c r="G424" s="76" t="s">
        <v>1063</v>
      </c>
      <c r="H424" s="70"/>
    </row>
    <row r="425" spans="1:8" x14ac:dyDescent="0.2">
      <c r="A425" s="73"/>
      <c r="B425" s="77"/>
      <c r="C425" s="74"/>
      <c r="D425" s="74" t="s">
        <v>935</v>
      </c>
      <c r="E425" s="78" t="s">
        <v>96</v>
      </c>
      <c r="F425" s="76" t="s">
        <v>2138</v>
      </c>
      <c r="G425" s="76" t="s">
        <v>1063</v>
      </c>
      <c r="H425" s="70"/>
    </row>
    <row r="426" spans="1:8" x14ac:dyDescent="0.2">
      <c r="A426" s="73"/>
      <c r="B426" s="77"/>
      <c r="C426" s="74"/>
      <c r="D426" s="74" t="s">
        <v>935</v>
      </c>
      <c r="E426" s="78" t="s">
        <v>137</v>
      </c>
      <c r="F426" s="76" t="s">
        <v>2127</v>
      </c>
      <c r="G426" s="76" t="s">
        <v>1063</v>
      </c>
      <c r="H426" s="70"/>
    </row>
    <row r="427" spans="1:8" x14ac:dyDescent="0.2">
      <c r="A427" s="73"/>
      <c r="B427" s="77"/>
      <c r="C427" s="74"/>
      <c r="D427" s="74" t="s">
        <v>935</v>
      </c>
      <c r="E427" s="78" t="s">
        <v>137</v>
      </c>
      <c r="F427" s="76" t="s">
        <v>2128</v>
      </c>
      <c r="G427" s="76" t="s">
        <v>1063</v>
      </c>
      <c r="H427" s="70"/>
    </row>
    <row r="428" spans="1:8" x14ac:dyDescent="0.2">
      <c r="A428" s="73"/>
      <c r="B428" s="77"/>
      <c r="C428" s="74"/>
      <c r="D428" s="74" t="s">
        <v>935</v>
      </c>
      <c r="E428" s="78" t="s">
        <v>137</v>
      </c>
      <c r="F428" s="76" t="s">
        <v>2138</v>
      </c>
      <c r="G428" s="76" t="s">
        <v>1063</v>
      </c>
      <c r="H428" s="70"/>
    </row>
    <row r="429" spans="1:8" ht="16" x14ac:dyDescent="0.2">
      <c r="A429" s="73"/>
      <c r="B429" s="77"/>
      <c r="C429" s="74"/>
      <c r="D429" s="74" t="s">
        <v>935</v>
      </c>
      <c r="E429" s="78" t="s">
        <v>112</v>
      </c>
      <c r="F429" s="76" t="s">
        <v>2132</v>
      </c>
      <c r="G429" s="75" t="s">
        <v>1059</v>
      </c>
      <c r="H429" s="70"/>
    </row>
    <row r="430" spans="1:8" ht="16" x14ac:dyDescent="0.2">
      <c r="A430" s="73"/>
      <c r="B430" s="77"/>
      <c r="C430" s="74"/>
      <c r="D430" s="74" t="s">
        <v>935</v>
      </c>
      <c r="E430" s="78" t="s">
        <v>966</v>
      </c>
      <c r="F430" s="76" t="s">
        <v>2132</v>
      </c>
      <c r="G430" s="75" t="s">
        <v>1059</v>
      </c>
      <c r="H430" s="70"/>
    </row>
    <row r="431" spans="1:8" ht="16" x14ac:dyDescent="0.2">
      <c r="A431" s="73"/>
      <c r="B431" s="77"/>
      <c r="C431" s="74"/>
      <c r="D431" s="74" t="s">
        <v>935</v>
      </c>
      <c r="E431" s="78" t="s">
        <v>112</v>
      </c>
      <c r="F431" s="76" t="s">
        <v>2133</v>
      </c>
      <c r="G431" s="75" t="s">
        <v>1059</v>
      </c>
      <c r="H431" s="70"/>
    </row>
    <row r="432" spans="1:8" ht="16" x14ac:dyDescent="0.2">
      <c r="A432" s="73"/>
      <c r="B432" s="77"/>
      <c r="C432" s="74"/>
      <c r="D432" s="74" t="s">
        <v>935</v>
      </c>
      <c r="E432" s="78" t="s">
        <v>966</v>
      </c>
      <c r="F432" s="76" t="s">
        <v>2133</v>
      </c>
      <c r="G432" s="75" t="s">
        <v>1059</v>
      </c>
      <c r="H432" s="70"/>
    </row>
    <row r="433" spans="1:8" ht="16" x14ac:dyDescent="0.2">
      <c r="A433" s="73"/>
      <c r="B433" s="77"/>
      <c r="C433" s="74"/>
      <c r="D433" s="74" t="s">
        <v>935</v>
      </c>
      <c r="E433" s="78" t="s">
        <v>112</v>
      </c>
      <c r="F433" s="76" t="s">
        <v>2135</v>
      </c>
      <c r="G433" s="75" t="s">
        <v>1059</v>
      </c>
      <c r="H433" s="70"/>
    </row>
    <row r="434" spans="1:8" ht="16" x14ac:dyDescent="0.2">
      <c r="A434" s="73"/>
      <c r="B434" s="77"/>
      <c r="C434" s="74"/>
      <c r="D434" s="74" t="s">
        <v>935</v>
      </c>
      <c r="E434" s="78" t="s">
        <v>966</v>
      </c>
      <c r="F434" s="76" t="s">
        <v>2135</v>
      </c>
      <c r="G434" s="75" t="s">
        <v>1059</v>
      </c>
      <c r="H434" s="70"/>
    </row>
    <row r="435" spans="1:8" ht="16" x14ac:dyDescent="0.2">
      <c r="A435" s="73"/>
      <c r="B435" s="77"/>
      <c r="C435" s="74"/>
      <c r="D435" s="74" t="s">
        <v>935</v>
      </c>
      <c r="E435" s="78" t="s">
        <v>105</v>
      </c>
      <c r="F435" s="76" t="s">
        <v>96</v>
      </c>
      <c r="G435" s="75" t="s">
        <v>370</v>
      </c>
      <c r="H435" s="70"/>
    </row>
    <row r="436" spans="1:8" x14ac:dyDescent="0.2">
      <c r="A436" s="73"/>
      <c r="B436" s="77"/>
      <c r="C436" s="74"/>
      <c r="D436" s="74" t="s">
        <v>935</v>
      </c>
      <c r="E436" s="78" t="s">
        <v>112</v>
      </c>
      <c r="F436" s="76" t="s">
        <v>96</v>
      </c>
      <c r="G436" s="76" t="s">
        <v>1058</v>
      </c>
      <c r="H436" s="70"/>
    </row>
    <row r="437" spans="1:8" ht="16" x14ac:dyDescent="0.2">
      <c r="A437" s="73"/>
      <c r="B437" s="77"/>
      <c r="C437" s="74"/>
      <c r="D437" s="74" t="s">
        <v>935</v>
      </c>
      <c r="E437" s="78" t="s">
        <v>105</v>
      </c>
      <c r="F437" s="76" t="s">
        <v>96</v>
      </c>
      <c r="G437" s="75" t="s">
        <v>370</v>
      </c>
      <c r="H437" s="70"/>
    </row>
    <row r="438" spans="1:8" x14ac:dyDescent="0.2">
      <c r="A438" s="73"/>
      <c r="B438" s="77"/>
      <c r="C438" s="74"/>
      <c r="D438" s="74" t="s">
        <v>935</v>
      </c>
      <c r="E438" s="78" t="s">
        <v>112</v>
      </c>
      <c r="F438" s="76" t="s">
        <v>96</v>
      </c>
      <c r="G438" s="76" t="s">
        <v>1058</v>
      </c>
      <c r="H438" s="70"/>
    </row>
    <row r="439" spans="1:8" ht="16" x14ac:dyDescent="0.2">
      <c r="A439" s="73"/>
      <c r="B439" s="85"/>
      <c r="C439" s="74"/>
      <c r="D439" s="74" t="s">
        <v>935</v>
      </c>
      <c r="E439" s="78" t="s">
        <v>105</v>
      </c>
      <c r="F439" s="76" t="s">
        <v>322</v>
      </c>
      <c r="G439" s="75" t="s">
        <v>384</v>
      </c>
      <c r="H439" s="70"/>
    </row>
    <row r="440" spans="1:8" x14ac:dyDescent="0.2">
      <c r="A440" s="73"/>
      <c r="B440" s="85"/>
      <c r="C440" s="74"/>
      <c r="D440" s="74" t="s">
        <v>935</v>
      </c>
      <c r="E440" s="78" t="s">
        <v>105</v>
      </c>
      <c r="F440" s="76" t="s">
        <v>1460</v>
      </c>
      <c r="G440" s="76" t="s">
        <v>1064</v>
      </c>
      <c r="H440" s="70"/>
    </row>
    <row r="441" spans="1:8" ht="16" x14ac:dyDescent="0.2">
      <c r="A441" s="73"/>
      <c r="B441" s="87"/>
      <c r="C441" s="74"/>
      <c r="D441" s="74" t="s">
        <v>941</v>
      </c>
      <c r="E441" s="78" t="s">
        <v>128</v>
      </c>
      <c r="F441" s="76" t="s">
        <v>226</v>
      </c>
      <c r="G441" s="75" t="s">
        <v>1123</v>
      </c>
      <c r="H441" s="70"/>
    </row>
    <row r="442" spans="1:8" ht="16" x14ac:dyDescent="0.2">
      <c r="A442" s="73"/>
      <c r="B442" s="87"/>
      <c r="C442" s="74"/>
      <c r="D442" s="74" t="s">
        <v>941</v>
      </c>
      <c r="E442" s="78" t="s">
        <v>112</v>
      </c>
      <c r="F442" s="76" t="s">
        <v>226</v>
      </c>
      <c r="G442" s="75" t="s">
        <v>1122</v>
      </c>
      <c r="H442" s="70"/>
    </row>
    <row r="443" spans="1:8" ht="16" x14ac:dyDescent="0.2">
      <c r="A443" s="73"/>
      <c r="B443" s="87"/>
      <c r="C443" s="74"/>
      <c r="D443" s="74" t="s">
        <v>941</v>
      </c>
      <c r="E443" s="78" t="s">
        <v>966</v>
      </c>
      <c r="F443" s="76" t="s">
        <v>226</v>
      </c>
      <c r="G443" s="75" t="s">
        <v>1122</v>
      </c>
      <c r="H443" s="70"/>
    </row>
    <row r="444" spans="1:8" ht="16" x14ac:dyDescent="0.2">
      <c r="A444" s="73"/>
      <c r="B444" s="87"/>
      <c r="C444" s="74"/>
      <c r="D444" s="74" t="s">
        <v>941</v>
      </c>
      <c r="E444" s="78" t="s">
        <v>96</v>
      </c>
      <c r="F444" s="76" t="s">
        <v>226</v>
      </c>
      <c r="G444" s="75" t="s">
        <v>1121</v>
      </c>
      <c r="H444" s="70"/>
    </row>
    <row r="445" spans="1:8" ht="16" x14ac:dyDescent="0.2">
      <c r="A445" s="73"/>
      <c r="B445" s="87"/>
      <c r="C445" s="74"/>
      <c r="D445" s="74" t="s">
        <v>941</v>
      </c>
      <c r="E445" s="78" t="s">
        <v>137</v>
      </c>
      <c r="F445" s="76" t="s">
        <v>226</v>
      </c>
      <c r="G445" s="75" t="s">
        <v>1121</v>
      </c>
      <c r="H445" s="70"/>
    </row>
    <row r="446" spans="1:8" ht="16" x14ac:dyDescent="0.2">
      <c r="A446" s="73"/>
      <c r="B446" s="87"/>
      <c r="C446" s="74"/>
      <c r="D446" s="74" t="s">
        <v>941</v>
      </c>
      <c r="E446" s="78" t="s">
        <v>96</v>
      </c>
      <c r="F446" s="76" t="s">
        <v>1546</v>
      </c>
      <c r="G446" s="75" t="s">
        <v>1125</v>
      </c>
      <c r="H446" s="70"/>
    </row>
    <row r="447" spans="1:8" ht="16" x14ac:dyDescent="0.2">
      <c r="A447" s="73"/>
      <c r="B447" s="87"/>
      <c r="C447" s="74"/>
      <c r="D447" s="74" t="s">
        <v>941</v>
      </c>
      <c r="E447" s="78" t="s">
        <v>96</v>
      </c>
      <c r="F447" s="76" t="s">
        <v>1547</v>
      </c>
      <c r="G447" s="75" t="s">
        <v>1125</v>
      </c>
      <c r="H447" s="70"/>
    </row>
    <row r="448" spans="1:8" ht="16" x14ac:dyDescent="0.2">
      <c r="A448" s="73"/>
      <c r="B448" s="87"/>
      <c r="C448" s="74"/>
      <c r="D448" s="74" t="s">
        <v>941</v>
      </c>
      <c r="E448" s="78" t="s">
        <v>96</v>
      </c>
      <c r="F448" s="76" t="s">
        <v>1548</v>
      </c>
      <c r="G448" s="75" t="s">
        <v>1125</v>
      </c>
      <c r="H448" s="70"/>
    </row>
    <row r="449" spans="1:8" ht="16" x14ac:dyDescent="0.2">
      <c r="A449" s="73"/>
      <c r="B449" s="87"/>
      <c r="C449" s="74"/>
      <c r="D449" s="74" t="s">
        <v>941</v>
      </c>
      <c r="E449" s="78" t="s">
        <v>96</v>
      </c>
      <c r="F449" s="76" t="s">
        <v>1549</v>
      </c>
      <c r="G449" s="75" t="s">
        <v>1124</v>
      </c>
      <c r="H449" s="70"/>
    </row>
    <row r="450" spans="1:8" ht="16" x14ac:dyDescent="0.2">
      <c r="A450" s="73"/>
      <c r="B450" s="87"/>
      <c r="C450" s="74"/>
      <c r="D450" s="74" t="s">
        <v>941</v>
      </c>
      <c r="E450" s="78" t="s">
        <v>96</v>
      </c>
      <c r="F450" s="76" t="s">
        <v>1550</v>
      </c>
      <c r="G450" s="75" t="s">
        <v>1124</v>
      </c>
      <c r="H450" s="70"/>
    </row>
    <row r="451" spans="1:8" ht="16" x14ac:dyDescent="0.2">
      <c r="A451" s="73"/>
      <c r="B451" s="87"/>
      <c r="C451" s="74"/>
      <c r="D451" s="74" t="s">
        <v>941</v>
      </c>
      <c r="E451" s="78" t="s">
        <v>96</v>
      </c>
      <c r="F451" s="76" t="s">
        <v>1551</v>
      </c>
      <c r="G451" s="75" t="s">
        <v>1124</v>
      </c>
      <c r="H451" s="70"/>
    </row>
    <row r="452" spans="1:8" ht="16" x14ac:dyDescent="0.2">
      <c r="A452" s="73"/>
      <c r="B452" s="85"/>
      <c r="C452" s="74"/>
      <c r="D452" s="74" t="s">
        <v>941</v>
      </c>
      <c r="E452" s="78" t="s">
        <v>112</v>
      </c>
      <c r="F452" s="76" t="s">
        <v>1552</v>
      </c>
      <c r="G452" s="75" t="s">
        <v>925</v>
      </c>
      <c r="H452" s="70"/>
    </row>
    <row r="453" spans="1:8" ht="16" x14ac:dyDescent="0.2">
      <c r="A453" s="73"/>
      <c r="B453" s="85"/>
      <c r="C453" s="74"/>
      <c r="D453" s="74" t="s">
        <v>941</v>
      </c>
      <c r="E453" s="78" t="s">
        <v>112</v>
      </c>
      <c r="F453" s="76" t="s">
        <v>1553</v>
      </c>
      <c r="G453" s="75" t="s">
        <v>925</v>
      </c>
      <c r="H453" s="70"/>
    </row>
    <row r="454" spans="1:8" ht="16" x14ac:dyDescent="0.2">
      <c r="A454" s="73"/>
      <c r="B454" s="85"/>
      <c r="C454" s="74"/>
      <c r="D454" s="74" t="s">
        <v>941</v>
      </c>
      <c r="E454" s="78" t="s">
        <v>112</v>
      </c>
      <c r="F454" s="76" t="s">
        <v>1554</v>
      </c>
      <c r="G454" s="75" t="s">
        <v>925</v>
      </c>
      <c r="H454" s="70"/>
    </row>
    <row r="455" spans="1:8" ht="16" x14ac:dyDescent="0.2">
      <c r="A455" s="73"/>
      <c r="B455" s="85"/>
      <c r="C455" s="74"/>
      <c r="D455" s="74" t="s">
        <v>941</v>
      </c>
      <c r="E455" s="78" t="s">
        <v>112</v>
      </c>
      <c r="F455" s="76" t="s">
        <v>361</v>
      </c>
      <c r="G455" s="75" t="s">
        <v>925</v>
      </c>
      <c r="H455" s="70"/>
    </row>
    <row r="456" spans="1:8" ht="16" x14ac:dyDescent="0.2">
      <c r="A456" s="73"/>
      <c r="B456" s="85"/>
      <c r="C456" s="74"/>
      <c r="D456" s="74" t="s">
        <v>941</v>
      </c>
      <c r="E456" s="78" t="s">
        <v>112</v>
      </c>
      <c r="F456" s="76" t="s">
        <v>1555</v>
      </c>
      <c r="G456" s="75" t="s">
        <v>1126</v>
      </c>
      <c r="H456" s="70"/>
    </row>
    <row r="457" spans="1:8" ht="16" x14ac:dyDescent="0.2">
      <c r="A457" s="73"/>
      <c r="B457" s="85"/>
      <c r="C457" s="74"/>
      <c r="D457" s="74" t="s">
        <v>941</v>
      </c>
      <c r="E457" s="78" t="s">
        <v>112</v>
      </c>
      <c r="F457" s="76" t="s">
        <v>1556</v>
      </c>
      <c r="G457" s="75" t="s">
        <v>1126</v>
      </c>
      <c r="H457" s="70"/>
    </row>
    <row r="458" spans="1:8" ht="16" x14ac:dyDescent="0.2">
      <c r="A458" s="73"/>
      <c r="B458" s="85"/>
      <c r="C458" s="74"/>
      <c r="D458" s="74" t="s">
        <v>941</v>
      </c>
      <c r="E458" s="78" t="s">
        <v>112</v>
      </c>
      <c r="F458" s="76" t="s">
        <v>1557</v>
      </c>
      <c r="G458" s="75" t="s">
        <v>1126</v>
      </c>
      <c r="H458" s="70"/>
    </row>
    <row r="459" spans="1:8" ht="16" x14ac:dyDescent="0.2">
      <c r="A459" s="73"/>
      <c r="B459" s="85"/>
      <c r="C459" s="74"/>
      <c r="D459" s="74" t="s">
        <v>941</v>
      </c>
      <c r="E459" s="78" t="s">
        <v>112</v>
      </c>
      <c r="F459" s="76" t="s">
        <v>1558</v>
      </c>
      <c r="G459" s="75" t="s">
        <v>1126</v>
      </c>
      <c r="H459" s="70"/>
    </row>
    <row r="460" spans="1:8" ht="16" x14ac:dyDescent="0.2">
      <c r="A460" s="73"/>
      <c r="B460" s="85"/>
      <c r="C460" s="74"/>
      <c r="D460" s="74" t="s">
        <v>941</v>
      </c>
      <c r="E460" s="78" t="s">
        <v>966</v>
      </c>
      <c r="F460" s="76" t="s">
        <v>1555</v>
      </c>
      <c r="G460" s="75" t="s">
        <v>1126</v>
      </c>
      <c r="H460" s="70"/>
    </row>
    <row r="461" spans="1:8" ht="16" x14ac:dyDescent="0.2">
      <c r="A461" s="73"/>
      <c r="B461" s="85"/>
      <c r="C461" s="74"/>
      <c r="D461" s="74" t="s">
        <v>941</v>
      </c>
      <c r="E461" s="78" t="s">
        <v>966</v>
      </c>
      <c r="F461" s="76" t="s">
        <v>1556</v>
      </c>
      <c r="G461" s="75" t="s">
        <v>1126</v>
      </c>
      <c r="H461" s="70"/>
    </row>
    <row r="462" spans="1:8" ht="16" x14ac:dyDescent="0.2">
      <c r="A462" s="73"/>
      <c r="B462" s="85"/>
      <c r="C462" s="74"/>
      <c r="D462" s="74" t="s">
        <v>941</v>
      </c>
      <c r="E462" s="78" t="s">
        <v>966</v>
      </c>
      <c r="F462" s="76" t="s">
        <v>1557</v>
      </c>
      <c r="G462" s="75" t="s">
        <v>1126</v>
      </c>
      <c r="H462" s="70"/>
    </row>
    <row r="463" spans="1:8" ht="16" x14ac:dyDescent="0.2">
      <c r="A463" s="73"/>
      <c r="B463" s="85"/>
      <c r="C463" s="74"/>
      <c r="D463" s="74" t="s">
        <v>941</v>
      </c>
      <c r="E463" s="78" t="s">
        <v>966</v>
      </c>
      <c r="F463" s="76" t="s">
        <v>1558</v>
      </c>
      <c r="G463" s="75" t="s">
        <v>1126</v>
      </c>
      <c r="H463" s="70"/>
    </row>
    <row r="464" spans="1:8" ht="16" x14ac:dyDescent="0.2">
      <c r="A464" s="73"/>
      <c r="B464" s="85"/>
      <c r="C464" s="74"/>
      <c r="D464" s="74" t="s">
        <v>941</v>
      </c>
      <c r="E464" s="78" t="s">
        <v>112</v>
      </c>
      <c r="F464" s="76" t="s">
        <v>1559</v>
      </c>
      <c r="G464" s="75" t="s">
        <v>1128</v>
      </c>
      <c r="H464" s="70"/>
    </row>
    <row r="465" spans="1:8" ht="16" x14ac:dyDescent="0.2">
      <c r="A465" s="73"/>
      <c r="B465" s="85"/>
      <c r="C465" s="74"/>
      <c r="D465" s="74" t="s">
        <v>941</v>
      </c>
      <c r="E465" s="78" t="s">
        <v>112</v>
      </c>
      <c r="F465" s="76" t="s">
        <v>1560</v>
      </c>
      <c r="G465" s="75" t="s">
        <v>1128</v>
      </c>
      <c r="H465" s="70"/>
    </row>
    <row r="466" spans="1:8" ht="16" x14ac:dyDescent="0.2">
      <c r="A466" s="73"/>
      <c r="B466" s="85"/>
      <c r="C466" s="74"/>
      <c r="D466" s="74" t="s">
        <v>941</v>
      </c>
      <c r="E466" s="78" t="s">
        <v>112</v>
      </c>
      <c r="F466" s="76" t="s">
        <v>1561</v>
      </c>
      <c r="G466" s="75" t="s">
        <v>1128</v>
      </c>
      <c r="H466" s="70"/>
    </row>
    <row r="467" spans="1:8" ht="16" x14ac:dyDescent="0.2">
      <c r="A467" s="73"/>
      <c r="B467" s="85"/>
      <c r="C467" s="74"/>
      <c r="D467" s="74" t="s">
        <v>941</v>
      </c>
      <c r="E467" s="78" t="s">
        <v>112</v>
      </c>
      <c r="F467" s="76" t="s">
        <v>1562</v>
      </c>
      <c r="G467" s="75" t="s">
        <v>1128</v>
      </c>
      <c r="H467" s="70"/>
    </row>
    <row r="468" spans="1:8" ht="16" x14ac:dyDescent="0.2">
      <c r="A468" s="73"/>
      <c r="B468" s="85"/>
      <c r="C468" s="74"/>
      <c r="D468" s="74" t="s">
        <v>941</v>
      </c>
      <c r="E468" s="78" t="s">
        <v>966</v>
      </c>
      <c r="F468" s="76" t="s">
        <v>1559</v>
      </c>
      <c r="G468" s="75" t="s">
        <v>1128</v>
      </c>
      <c r="H468" s="70"/>
    </row>
    <row r="469" spans="1:8" ht="16" x14ac:dyDescent="0.2">
      <c r="A469" s="73"/>
      <c r="B469" s="85"/>
      <c r="C469" s="74"/>
      <c r="D469" s="74" t="s">
        <v>941</v>
      </c>
      <c r="E469" s="78" t="s">
        <v>966</v>
      </c>
      <c r="F469" s="76" t="s">
        <v>1560</v>
      </c>
      <c r="G469" s="75" t="s">
        <v>1128</v>
      </c>
      <c r="H469" s="70"/>
    </row>
    <row r="470" spans="1:8" ht="16" x14ac:dyDescent="0.2">
      <c r="A470" s="73"/>
      <c r="B470" s="85"/>
      <c r="C470" s="74"/>
      <c r="D470" s="74" t="s">
        <v>941</v>
      </c>
      <c r="E470" s="78" t="s">
        <v>966</v>
      </c>
      <c r="F470" s="76" t="s">
        <v>1561</v>
      </c>
      <c r="G470" s="75" t="s">
        <v>1128</v>
      </c>
      <c r="H470" s="70"/>
    </row>
    <row r="471" spans="1:8" ht="16" x14ac:dyDescent="0.2">
      <c r="A471" s="73"/>
      <c r="B471" s="85"/>
      <c r="C471" s="74"/>
      <c r="D471" s="74" t="s">
        <v>941</v>
      </c>
      <c r="E471" s="78" t="s">
        <v>966</v>
      </c>
      <c r="F471" s="76" t="s">
        <v>1562</v>
      </c>
      <c r="G471" s="75" t="s">
        <v>1128</v>
      </c>
      <c r="H471" s="70"/>
    </row>
    <row r="472" spans="1:8" ht="16" x14ac:dyDescent="0.2">
      <c r="A472" s="73"/>
      <c r="B472" s="85"/>
      <c r="C472" s="74"/>
      <c r="D472" s="74" t="s">
        <v>941</v>
      </c>
      <c r="E472" s="78" t="s">
        <v>967</v>
      </c>
      <c r="F472" s="76" t="s">
        <v>1563</v>
      </c>
      <c r="G472" s="75" t="s">
        <v>1120</v>
      </c>
      <c r="H472" s="70"/>
    </row>
    <row r="473" spans="1:8" ht="16" x14ac:dyDescent="0.2">
      <c r="A473" s="73"/>
      <c r="B473" s="85"/>
      <c r="C473" s="74"/>
      <c r="D473" s="74" t="s">
        <v>941</v>
      </c>
      <c r="E473" s="78" t="s">
        <v>967</v>
      </c>
      <c r="F473" s="76" t="s">
        <v>358</v>
      </c>
      <c r="G473" s="75" t="s">
        <v>1120</v>
      </c>
      <c r="H473" s="70"/>
    </row>
    <row r="474" spans="1:8" ht="16" x14ac:dyDescent="0.2">
      <c r="A474" s="73"/>
      <c r="B474" s="85"/>
      <c r="C474" s="74"/>
      <c r="D474" s="74" t="s">
        <v>941</v>
      </c>
      <c r="E474" s="78" t="s">
        <v>112</v>
      </c>
      <c r="F474" s="76" t="s">
        <v>358</v>
      </c>
      <c r="G474" s="75" t="s">
        <v>1120</v>
      </c>
      <c r="H474" s="70"/>
    </row>
    <row r="475" spans="1:8" ht="16" x14ac:dyDescent="0.2">
      <c r="A475" s="73"/>
      <c r="B475" s="85"/>
      <c r="C475" s="74"/>
      <c r="D475" s="74" t="s">
        <v>945</v>
      </c>
      <c r="E475" s="78" t="s">
        <v>128</v>
      </c>
      <c r="F475" s="76" t="s">
        <v>1564</v>
      </c>
      <c r="G475" s="75" t="s">
        <v>366</v>
      </c>
      <c r="H475" s="70"/>
    </row>
    <row r="476" spans="1:8" ht="16" x14ac:dyDescent="0.2">
      <c r="A476" s="73"/>
      <c r="B476" s="85"/>
      <c r="C476" s="74"/>
      <c r="D476" s="74" t="s">
        <v>945</v>
      </c>
      <c r="E476" s="78" t="s">
        <v>128</v>
      </c>
      <c r="F476" s="76" t="s">
        <v>1565</v>
      </c>
      <c r="G476" s="75" t="s">
        <v>366</v>
      </c>
      <c r="H476" s="70"/>
    </row>
    <row r="477" spans="1:8" ht="16" x14ac:dyDescent="0.2">
      <c r="A477" s="73"/>
      <c r="B477" s="85"/>
      <c r="C477" s="74"/>
      <c r="D477" s="74" t="s">
        <v>945</v>
      </c>
      <c r="E477" s="78" t="s">
        <v>128</v>
      </c>
      <c r="F477" s="76" t="s">
        <v>1554</v>
      </c>
      <c r="G477" s="75" t="s">
        <v>366</v>
      </c>
      <c r="H477" s="70"/>
    </row>
    <row r="478" spans="1:8" x14ac:dyDescent="0.2">
      <c r="A478" s="73"/>
      <c r="B478" s="77"/>
      <c r="C478" s="74"/>
      <c r="D478" s="74" t="s">
        <v>941</v>
      </c>
      <c r="E478" s="78" t="s">
        <v>112</v>
      </c>
      <c r="F478" s="76" t="s">
        <v>1566</v>
      </c>
      <c r="G478" s="76" t="s">
        <v>1001</v>
      </c>
      <c r="H478" s="70"/>
    </row>
    <row r="479" spans="1:8" x14ac:dyDescent="0.2">
      <c r="A479" s="73"/>
      <c r="B479" s="77"/>
      <c r="C479" s="74"/>
      <c r="D479" s="74" t="s">
        <v>941</v>
      </c>
      <c r="E479" s="78" t="s">
        <v>112</v>
      </c>
      <c r="F479" s="76" t="s">
        <v>1567</v>
      </c>
      <c r="G479" s="76" t="s">
        <v>1001</v>
      </c>
      <c r="H479" s="70"/>
    </row>
    <row r="480" spans="1:8" x14ac:dyDescent="0.2">
      <c r="A480" s="73"/>
      <c r="B480" s="77"/>
      <c r="C480" s="74"/>
      <c r="D480" s="74" t="s">
        <v>941</v>
      </c>
      <c r="E480" s="78" t="s">
        <v>112</v>
      </c>
      <c r="F480" s="76" t="s">
        <v>1568</v>
      </c>
      <c r="G480" s="76" t="s">
        <v>1001</v>
      </c>
      <c r="H480" s="70"/>
    </row>
    <row r="481" spans="1:8" x14ac:dyDescent="0.2">
      <c r="A481" s="73"/>
      <c r="B481" s="77"/>
      <c r="C481" s="74"/>
      <c r="D481" s="74" t="s">
        <v>941</v>
      </c>
      <c r="E481" s="78" t="s">
        <v>112</v>
      </c>
      <c r="F481" s="76" t="s">
        <v>1569</v>
      </c>
      <c r="G481" s="76" t="s">
        <v>1001</v>
      </c>
      <c r="H481" s="70"/>
    </row>
    <row r="482" spans="1:8" x14ac:dyDescent="0.2">
      <c r="A482" s="73"/>
      <c r="B482" s="77"/>
      <c r="C482" s="74"/>
      <c r="D482" s="74" t="s">
        <v>941</v>
      </c>
      <c r="E482" s="78" t="s">
        <v>966</v>
      </c>
      <c r="F482" s="76" t="s">
        <v>1566</v>
      </c>
      <c r="G482" s="76" t="s">
        <v>1001</v>
      </c>
      <c r="H482" s="70"/>
    </row>
    <row r="483" spans="1:8" x14ac:dyDescent="0.2">
      <c r="A483" s="73"/>
      <c r="B483" s="77"/>
      <c r="C483" s="74"/>
      <c r="D483" s="74" t="s">
        <v>941</v>
      </c>
      <c r="E483" s="78" t="s">
        <v>966</v>
      </c>
      <c r="F483" s="76" t="s">
        <v>1567</v>
      </c>
      <c r="G483" s="76" t="s">
        <v>1001</v>
      </c>
      <c r="H483" s="70"/>
    </row>
    <row r="484" spans="1:8" x14ac:dyDescent="0.2">
      <c r="A484" s="73"/>
      <c r="B484" s="77"/>
      <c r="C484" s="74"/>
      <c r="D484" s="74" t="s">
        <v>941</v>
      </c>
      <c r="E484" s="78" t="s">
        <v>966</v>
      </c>
      <c r="F484" s="76" t="s">
        <v>1568</v>
      </c>
      <c r="G484" s="76" t="s">
        <v>1001</v>
      </c>
      <c r="H484" s="70"/>
    </row>
    <row r="485" spans="1:8" x14ac:dyDescent="0.2">
      <c r="A485" s="73"/>
      <c r="B485" s="77"/>
      <c r="C485" s="74"/>
      <c r="D485" s="74" t="s">
        <v>941</v>
      </c>
      <c r="E485" s="78" t="s">
        <v>966</v>
      </c>
      <c r="F485" s="76" t="s">
        <v>1569</v>
      </c>
      <c r="G485" s="76" t="s">
        <v>1001</v>
      </c>
      <c r="H485" s="70"/>
    </row>
    <row r="486" spans="1:8" x14ac:dyDescent="0.2">
      <c r="A486" s="73"/>
      <c r="B486" s="77"/>
      <c r="C486" s="74"/>
      <c r="D486" s="74" t="s">
        <v>945</v>
      </c>
      <c r="E486" s="78" t="s">
        <v>112</v>
      </c>
      <c r="F486" s="76" t="s">
        <v>1570</v>
      </c>
      <c r="G486" s="76" t="s">
        <v>1002</v>
      </c>
      <c r="H486" s="70"/>
    </row>
    <row r="487" spans="1:8" x14ac:dyDescent="0.2">
      <c r="A487" s="73"/>
      <c r="B487" s="77"/>
      <c r="C487" s="74"/>
      <c r="D487" s="74" t="s">
        <v>945</v>
      </c>
      <c r="E487" s="78" t="s">
        <v>112</v>
      </c>
      <c r="F487" s="76" t="s">
        <v>1567</v>
      </c>
      <c r="G487" s="76" t="s">
        <v>1002</v>
      </c>
      <c r="H487" s="70"/>
    </row>
    <row r="488" spans="1:8" x14ac:dyDescent="0.2">
      <c r="A488" s="73"/>
      <c r="B488" s="77"/>
      <c r="C488" s="74"/>
      <c r="D488" s="74" t="s">
        <v>945</v>
      </c>
      <c r="E488" s="78" t="s">
        <v>112</v>
      </c>
      <c r="F488" s="76" t="s">
        <v>1571</v>
      </c>
      <c r="G488" s="76" t="s">
        <v>1002</v>
      </c>
      <c r="H488" s="70"/>
    </row>
    <row r="489" spans="1:8" x14ac:dyDescent="0.2">
      <c r="A489" s="73"/>
      <c r="B489" s="77"/>
      <c r="C489" s="74"/>
      <c r="D489" s="74" t="s">
        <v>945</v>
      </c>
      <c r="E489" s="78" t="s">
        <v>112</v>
      </c>
      <c r="F489" s="76" t="s">
        <v>1569</v>
      </c>
      <c r="G489" s="76" t="s">
        <v>1002</v>
      </c>
      <c r="H489" s="70"/>
    </row>
    <row r="490" spans="1:8" x14ac:dyDescent="0.2">
      <c r="A490" s="73"/>
      <c r="B490" s="77"/>
      <c r="C490" s="74"/>
      <c r="D490" s="74" t="s">
        <v>945</v>
      </c>
      <c r="E490" s="78" t="s">
        <v>966</v>
      </c>
      <c r="F490" s="76" t="s">
        <v>1570</v>
      </c>
      <c r="G490" s="76" t="s">
        <v>1002</v>
      </c>
      <c r="H490" s="70"/>
    </row>
    <row r="491" spans="1:8" x14ac:dyDescent="0.2">
      <c r="A491" s="73"/>
      <c r="B491" s="77"/>
      <c r="C491" s="74"/>
      <c r="D491" s="74" t="s">
        <v>945</v>
      </c>
      <c r="E491" s="78" t="s">
        <v>966</v>
      </c>
      <c r="F491" s="76" t="s">
        <v>1567</v>
      </c>
      <c r="G491" s="76" t="s">
        <v>1002</v>
      </c>
      <c r="H491" s="70"/>
    </row>
    <row r="492" spans="1:8" x14ac:dyDescent="0.2">
      <c r="A492" s="73"/>
      <c r="B492" s="77"/>
      <c r="C492" s="74"/>
      <c r="D492" s="74" t="s">
        <v>945</v>
      </c>
      <c r="E492" s="78" t="s">
        <v>966</v>
      </c>
      <c r="F492" s="76" t="s">
        <v>1571</v>
      </c>
      <c r="G492" s="76" t="s">
        <v>1002</v>
      </c>
      <c r="H492" s="70"/>
    </row>
    <row r="493" spans="1:8" x14ac:dyDescent="0.2">
      <c r="A493" s="73"/>
      <c r="B493" s="77"/>
      <c r="C493" s="74"/>
      <c r="D493" s="74" t="s">
        <v>945</v>
      </c>
      <c r="E493" s="78" t="s">
        <v>966</v>
      </c>
      <c r="F493" s="76" t="s">
        <v>1569</v>
      </c>
      <c r="G493" s="76" t="s">
        <v>1002</v>
      </c>
      <c r="H493" s="70"/>
    </row>
    <row r="494" spans="1:8" ht="16" x14ac:dyDescent="0.2">
      <c r="A494" s="73"/>
      <c r="B494" s="77"/>
      <c r="C494" s="74"/>
      <c r="D494" s="74" t="s">
        <v>945</v>
      </c>
      <c r="E494" s="78" t="s">
        <v>112</v>
      </c>
      <c r="F494" s="76" t="s">
        <v>1572</v>
      </c>
      <c r="G494" s="75" t="s">
        <v>1056</v>
      </c>
      <c r="H494" s="70"/>
    </row>
    <row r="495" spans="1:8" ht="16" x14ac:dyDescent="0.2">
      <c r="A495" s="73"/>
      <c r="B495" s="77"/>
      <c r="C495" s="74"/>
      <c r="D495" s="74" t="s">
        <v>945</v>
      </c>
      <c r="E495" s="78" t="s">
        <v>112</v>
      </c>
      <c r="F495" s="76" t="s">
        <v>1573</v>
      </c>
      <c r="G495" s="75" t="s">
        <v>1056</v>
      </c>
      <c r="H495" s="70"/>
    </row>
    <row r="496" spans="1:8" ht="16" x14ac:dyDescent="0.2">
      <c r="A496" s="73"/>
      <c r="B496" s="77"/>
      <c r="C496" s="74"/>
      <c r="D496" s="74" t="s">
        <v>945</v>
      </c>
      <c r="E496" s="78" t="s">
        <v>112</v>
      </c>
      <c r="F496" s="76" t="s">
        <v>1574</v>
      </c>
      <c r="G496" s="75" t="s">
        <v>1056</v>
      </c>
      <c r="H496" s="70"/>
    </row>
    <row r="497" spans="1:8" ht="16" x14ac:dyDescent="0.2">
      <c r="A497" s="73"/>
      <c r="B497" s="77"/>
      <c r="C497" s="74"/>
      <c r="D497" s="74" t="s">
        <v>945</v>
      </c>
      <c r="E497" s="78" t="s">
        <v>112</v>
      </c>
      <c r="F497" s="76" t="s">
        <v>1554</v>
      </c>
      <c r="G497" s="75" t="s">
        <v>1056</v>
      </c>
      <c r="H497" s="70"/>
    </row>
    <row r="498" spans="1:8" ht="16" x14ac:dyDescent="0.2">
      <c r="A498" s="73"/>
      <c r="B498" s="77"/>
      <c r="C498" s="74"/>
      <c r="D498" s="74" t="s">
        <v>945</v>
      </c>
      <c r="E498" s="78" t="s">
        <v>112</v>
      </c>
      <c r="F498" s="76" t="s">
        <v>361</v>
      </c>
      <c r="G498" s="75" t="s">
        <v>1056</v>
      </c>
      <c r="H498" s="70"/>
    </row>
    <row r="499" spans="1:8" ht="16" x14ac:dyDescent="0.2">
      <c r="A499" s="73"/>
      <c r="B499" s="77"/>
      <c r="C499" s="74"/>
      <c r="D499" s="74" t="s">
        <v>945</v>
      </c>
      <c r="E499" s="78" t="s">
        <v>112</v>
      </c>
      <c r="F499" s="76" t="s">
        <v>1575</v>
      </c>
      <c r="G499" s="75" t="s">
        <v>1056</v>
      </c>
      <c r="H499" s="70"/>
    </row>
    <row r="500" spans="1:8" ht="16" x14ac:dyDescent="0.2">
      <c r="A500" s="73"/>
      <c r="B500" s="77"/>
      <c r="C500" s="74"/>
      <c r="D500" s="74" t="s">
        <v>945</v>
      </c>
      <c r="E500" s="78" t="s">
        <v>966</v>
      </c>
      <c r="F500" s="76" t="s">
        <v>1572</v>
      </c>
      <c r="G500" s="75" t="s">
        <v>1056</v>
      </c>
      <c r="H500" s="70"/>
    </row>
    <row r="501" spans="1:8" ht="16" x14ac:dyDescent="0.2">
      <c r="A501" s="73"/>
      <c r="B501" s="77"/>
      <c r="C501" s="74"/>
      <c r="D501" s="74" t="s">
        <v>945</v>
      </c>
      <c r="E501" s="78" t="s">
        <v>966</v>
      </c>
      <c r="F501" s="76" t="s">
        <v>1573</v>
      </c>
      <c r="G501" s="75" t="s">
        <v>1056</v>
      </c>
      <c r="H501" s="70"/>
    </row>
    <row r="502" spans="1:8" ht="16" x14ac:dyDescent="0.2">
      <c r="A502" s="73"/>
      <c r="B502" s="77"/>
      <c r="C502" s="74"/>
      <c r="D502" s="74" t="s">
        <v>945</v>
      </c>
      <c r="E502" s="78" t="s">
        <v>966</v>
      </c>
      <c r="F502" s="76" t="s">
        <v>1574</v>
      </c>
      <c r="G502" s="75" t="s">
        <v>1056</v>
      </c>
      <c r="H502" s="70"/>
    </row>
    <row r="503" spans="1:8" ht="16" x14ac:dyDescent="0.2">
      <c r="A503" s="73"/>
      <c r="B503" s="77"/>
      <c r="C503" s="74"/>
      <c r="D503" s="74" t="s">
        <v>945</v>
      </c>
      <c r="E503" s="78" t="s">
        <v>966</v>
      </c>
      <c r="F503" s="76" t="s">
        <v>1554</v>
      </c>
      <c r="G503" s="75" t="s">
        <v>1056</v>
      </c>
      <c r="H503" s="70"/>
    </row>
    <row r="504" spans="1:8" ht="16" x14ac:dyDescent="0.2">
      <c r="A504" s="73"/>
      <c r="B504" s="77"/>
      <c r="C504" s="74"/>
      <c r="D504" s="74" t="s">
        <v>945</v>
      </c>
      <c r="E504" s="78" t="s">
        <v>966</v>
      </c>
      <c r="F504" s="76" t="s">
        <v>361</v>
      </c>
      <c r="G504" s="75" t="s">
        <v>1056</v>
      </c>
      <c r="H504" s="70"/>
    </row>
    <row r="505" spans="1:8" ht="16" x14ac:dyDescent="0.2">
      <c r="A505" s="73"/>
      <c r="B505" s="77"/>
      <c r="C505" s="74"/>
      <c r="D505" s="74" t="s">
        <v>945</v>
      </c>
      <c r="E505" s="78" t="s">
        <v>966</v>
      </c>
      <c r="F505" s="76" t="s">
        <v>1575</v>
      </c>
      <c r="G505" s="75" t="s">
        <v>1056</v>
      </c>
      <c r="H505" s="70"/>
    </row>
    <row r="506" spans="1:8" ht="16" x14ac:dyDescent="0.2">
      <c r="A506" s="73"/>
      <c r="B506" s="77"/>
      <c r="C506" s="74"/>
      <c r="D506" s="74" t="s">
        <v>945</v>
      </c>
      <c r="E506" s="78" t="s">
        <v>96</v>
      </c>
      <c r="F506" s="76" t="s">
        <v>1572</v>
      </c>
      <c r="G506" s="75" t="s">
        <v>1055</v>
      </c>
      <c r="H506" s="70"/>
    </row>
    <row r="507" spans="1:8" ht="16" x14ac:dyDescent="0.2">
      <c r="A507" s="73"/>
      <c r="B507" s="77"/>
      <c r="C507" s="74"/>
      <c r="D507" s="74" t="s">
        <v>945</v>
      </c>
      <c r="E507" s="78" t="s">
        <v>96</v>
      </c>
      <c r="F507" s="76" t="s">
        <v>1573</v>
      </c>
      <c r="G507" s="75" t="s">
        <v>1055</v>
      </c>
      <c r="H507" s="70"/>
    </row>
    <row r="508" spans="1:8" ht="16" x14ac:dyDescent="0.2">
      <c r="A508" s="73"/>
      <c r="B508" s="77"/>
      <c r="C508" s="74"/>
      <c r="D508" s="74" t="s">
        <v>945</v>
      </c>
      <c r="E508" s="78" t="s">
        <v>96</v>
      </c>
      <c r="F508" s="76" t="s">
        <v>1574</v>
      </c>
      <c r="G508" s="75" t="s">
        <v>1055</v>
      </c>
      <c r="H508" s="70"/>
    </row>
    <row r="509" spans="1:8" ht="16" x14ac:dyDescent="0.2">
      <c r="A509" s="73"/>
      <c r="B509" s="77"/>
      <c r="C509" s="74"/>
      <c r="D509" s="74" t="s">
        <v>945</v>
      </c>
      <c r="E509" s="78" t="s">
        <v>96</v>
      </c>
      <c r="F509" s="76" t="s">
        <v>1554</v>
      </c>
      <c r="G509" s="75" t="s">
        <v>1055</v>
      </c>
      <c r="H509" s="70"/>
    </row>
    <row r="510" spans="1:8" ht="16" x14ac:dyDescent="0.2">
      <c r="A510" s="73"/>
      <c r="B510" s="77"/>
      <c r="C510" s="74"/>
      <c r="D510" s="74" t="s">
        <v>945</v>
      </c>
      <c r="E510" s="78" t="s">
        <v>96</v>
      </c>
      <c r="F510" s="76" t="s">
        <v>361</v>
      </c>
      <c r="G510" s="75" t="s">
        <v>1055</v>
      </c>
      <c r="H510" s="70"/>
    </row>
    <row r="511" spans="1:8" ht="16" x14ac:dyDescent="0.2">
      <c r="A511" s="73"/>
      <c r="B511" s="77"/>
      <c r="C511" s="74"/>
      <c r="D511" s="74" t="s">
        <v>945</v>
      </c>
      <c r="E511" s="78" t="s">
        <v>96</v>
      </c>
      <c r="F511" s="76" t="s">
        <v>1575</v>
      </c>
      <c r="G511" s="75" t="s">
        <v>1055</v>
      </c>
      <c r="H511" s="70"/>
    </row>
    <row r="512" spans="1:8" ht="16" x14ac:dyDescent="0.2">
      <c r="A512" s="73"/>
      <c r="B512" s="77"/>
      <c r="C512" s="74"/>
      <c r="D512" s="74" t="s">
        <v>941</v>
      </c>
      <c r="E512" s="78" t="s">
        <v>96</v>
      </c>
      <c r="F512" s="76" t="s">
        <v>1572</v>
      </c>
      <c r="G512" s="75" t="s">
        <v>1053</v>
      </c>
      <c r="H512" s="70"/>
    </row>
    <row r="513" spans="1:8" ht="16" x14ac:dyDescent="0.2">
      <c r="A513" s="73"/>
      <c r="B513" s="77"/>
      <c r="C513" s="74"/>
      <c r="D513" s="74" t="s">
        <v>941</v>
      </c>
      <c r="E513" s="78" t="s">
        <v>96</v>
      </c>
      <c r="F513" s="76" t="s">
        <v>1573</v>
      </c>
      <c r="G513" s="75" t="s">
        <v>1053</v>
      </c>
      <c r="H513" s="70"/>
    </row>
    <row r="514" spans="1:8" ht="16" x14ac:dyDescent="0.2">
      <c r="A514" s="73"/>
      <c r="B514" s="77"/>
      <c r="C514" s="74"/>
      <c r="D514" s="74" t="s">
        <v>941</v>
      </c>
      <c r="E514" s="78" t="s">
        <v>96</v>
      </c>
      <c r="F514" s="76" t="s">
        <v>1574</v>
      </c>
      <c r="G514" s="75" t="s">
        <v>1053</v>
      </c>
      <c r="H514" s="70"/>
    </row>
    <row r="515" spans="1:8" ht="16" x14ac:dyDescent="0.2">
      <c r="A515" s="73"/>
      <c r="B515" s="77"/>
      <c r="C515" s="74"/>
      <c r="D515" s="74" t="s">
        <v>941</v>
      </c>
      <c r="E515" s="78" t="s">
        <v>96</v>
      </c>
      <c r="F515" s="76" t="s">
        <v>1554</v>
      </c>
      <c r="G515" s="75" t="s">
        <v>1053</v>
      </c>
      <c r="H515" s="70"/>
    </row>
    <row r="516" spans="1:8" ht="16" x14ac:dyDescent="0.2">
      <c r="A516" s="73"/>
      <c r="B516" s="77"/>
      <c r="C516" s="74"/>
      <c r="D516" s="74" t="s">
        <v>941</v>
      </c>
      <c r="E516" s="78" t="s">
        <v>96</v>
      </c>
      <c r="F516" s="76" t="s">
        <v>361</v>
      </c>
      <c r="G516" s="75" t="s">
        <v>1053</v>
      </c>
      <c r="H516" s="70"/>
    </row>
    <row r="517" spans="1:8" ht="16" x14ac:dyDescent="0.2">
      <c r="A517" s="73"/>
      <c r="B517" s="77"/>
      <c r="C517" s="74"/>
      <c r="D517" s="74" t="s">
        <v>941</v>
      </c>
      <c r="E517" s="78" t="s">
        <v>96</v>
      </c>
      <c r="F517" s="76" t="s">
        <v>1575</v>
      </c>
      <c r="G517" s="75" t="s">
        <v>1053</v>
      </c>
      <c r="H517" s="70"/>
    </row>
    <row r="518" spans="1:8" ht="16" x14ac:dyDescent="0.2">
      <c r="A518" s="73"/>
      <c r="B518" s="77"/>
      <c r="C518" s="74"/>
      <c r="D518" s="74" t="s">
        <v>941</v>
      </c>
      <c r="E518" s="78" t="s">
        <v>112</v>
      </c>
      <c r="F518" s="76" t="s">
        <v>1576</v>
      </c>
      <c r="G518" s="75" t="s">
        <v>342</v>
      </c>
      <c r="H518" s="70"/>
    </row>
    <row r="519" spans="1:8" ht="16" x14ac:dyDescent="0.2">
      <c r="A519" s="73"/>
      <c r="B519" s="77"/>
      <c r="C519" s="74"/>
      <c r="D519" s="74" t="s">
        <v>941</v>
      </c>
      <c r="E519" s="78" t="s">
        <v>128</v>
      </c>
      <c r="F519" s="76" t="s">
        <v>1576</v>
      </c>
      <c r="G519" s="75" t="s">
        <v>342</v>
      </c>
      <c r="H519" s="70"/>
    </row>
    <row r="520" spans="1:8" ht="16" x14ac:dyDescent="0.2">
      <c r="A520" s="73"/>
      <c r="B520" s="77"/>
      <c r="C520" s="74"/>
      <c r="D520" s="74" t="s">
        <v>941</v>
      </c>
      <c r="E520" s="78" t="s">
        <v>112</v>
      </c>
      <c r="F520" s="76" t="s">
        <v>1577</v>
      </c>
      <c r="G520" s="75" t="s">
        <v>342</v>
      </c>
      <c r="H520" s="70"/>
    </row>
    <row r="521" spans="1:8" ht="16" x14ac:dyDescent="0.2">
      <c r="A521" s="73"/>
      <c r="B521" s="77"/>
      <c r="C521" s="74"/>
      <c r="D521" s="74" t="s">
        <v>941</v>
      </c>
      <c r="E521" s="78" t="s">
        <v>128</v>
      </c>
      <c r="F521" s="76" t="s">
        <v>1577</v>
      </c>
      <c r="G521" s="75" t="s">
        <v>342</v>
      </c>
      <c r="H521" s="70"/>
    </row>
    <row r="522" spans="1:8" ht="16" x14ac:dyDescent="0.2">
      <c r="A522" s="73"/>
      <c r="B522" s="77"/>
      <c r="C522" s="74"/>
      <c r="D522" s="74" t="s">
        <v>941</v>
      </c>
      <c r="E522" s="78" t="s">
        <v>112</v>
      </c>
      <c r="F522" s="76" t="s">
        <v>1554</v>
      </c>
      <c r="G522" s="75" t="s">
        <v>342</v>
      </c>
      <c r="H522" s="70"/>
    </row>
    <row r="523" spans="1:8" ht="16" x14ac:dyDescent="0.2">
      <c r="A523" s="73"/>
      <c r="B523" s="77"/>
      <c r="C523" s="74"/>
      <c r="D523" s="74" t="s">
        <v>941</v>
      </c>
      <c r="E523" s="78" t="s">
        <v>128</v>
      </c>
      <c r="F523" s="76" t="s">
        <v>1554</v>
      </c>
      <c r="G523" s="75" t="s">
        <v>342</v>
      </c>
      <c r="H523" s="70"/>
    </row>
    <row r="524" spans="1:8" ht="16" x14ac:dyDescent="0.2">
      <c r="A524" s="73"/>
      <c r="B524" s="77"/>
      <c r="C524" s="74"/>
      <c r="D524" s="74" t="s">
        <v>941</v>
      </c>
      <c r="E524" s="78" t="s">
        <v>112</v>
      </c>
      <c r="F524" s="76" t="s">
        <v>361</v>
      </c>
      <c r="G524" s="75" t="s">
        <v>342</v>
      </c>
      <c r="H524" s="70"/>
    </row>
    <row r="525" spans="1:8" ht="16" x14ac:dyDescent="0.2">
      <c r="A525" s="73"/>
      <c r="B525" s="77"/>
      <c r="C525" s="74"/>
      <c r="D525" s="74" t="s">
        <v>941</v>
      </c>
      <c r="E525" s="78" t="s">
        <v>128</v>
      </c>
      <c r="F525" s="76" t="s">
        <v>361</v>
      </c>
      <c r="G525" s="75" t="s">
        <v>342</v>
      </c>
      <c r="H525" s="70"/>
    </row>
    <row r="526" spans="1:8" ht="16" x14ac:dyDescent="0.2">
      <c r="A526" s="73"/>
      <c r="B526" s="77"/>
      <c r="C526" s="74"/>
      <c r="D526" s="74" t="s">
        <v>941</v>
      </c>
      <c r="E526" s="78" t="s">
        <v>112</v>
      </c>
      <c r="F526" s="76" t="s">
        <v>1575</v>
      </c>
      <c r="G526" s="75" t="s">
        <v>342</v>
      </c>
      <c r="H526" s="70"/>
    </row>
    <row r="527" spans="1:8" ht="16" x14ac:dyDescent="0.2">
      <c r="A527" s="73"/>
      <c r="B527" s="77"/>
      <c r="C527" s="74"/>
      <c r="D527" s="74" t="s">
        <v>941</v>
      </c>
      <c r="E527" s="78" t="s">
        <v>128</v>
      </c>
      <c r="F527" s="76" t="s">
        <v>1575</v>
      </c>
      <c r="G527" s="75" t="s">
        <v>342</v>
      </c>
      <c r="H527" s="70"/>
    </row>
    <row r="528" spans="1:8" ht="16" x14ac:dyDescent="0.2">
      <c r="A528" s="73"/>
      <c r="B528" s="77"/>
      <c r="C528" s="74"/>
      <c r="D528" s="74" t="s">
        <v>945</v>
      </c>
      <c r="E528" s="78" t="s">
        <v>119</v>
      </c>
      <c r="F528" s="76" t="s">
        <v>1552</v>
      </c>
      <c r="G528" s="75" t="s">
        <v>325</v>
      </c>
      <c r="H528" s="70"/>
    </row>
    <row r="529" spans="1:8" ht="16" x14ac:dyDescent="0.2">
      <c r="A529" s="73"/>
      <c r="B529" s="77"/>
      <c r="C529" s="74"/>
      <c r="D529" s="74" t="s">
        <v>945</v>
      </c>
      <c r="E529" s="78" t="s">
        <v>119</v>
      </c>
      <c r="F529" s="76" t="s">
        <v>1578</v>
      </c>
      <c r="G529" s="75" t="s">
        <v>325</v>
      </c>
      <c r="H529" s="70"/>
    </row>
    <row r="530" spans="1:8" ht="16" x14ac:dyDescent="0.2">
      <c r="A530" s="73"/>
      <c r="B530" s="77"/>
      <c r="C530" s="74"/>
      <c r="D530" s="74" t="s">
        <v>945</v>
      </c>
      <c r="E530" s="78" t="s">
        <v>119</v>
      </c>
      <c r="F530" s="76" t="s">
        <v>1554</v>
      </c>
      <c r="G530" s="75" t="s">
        <v>325</v>
      </c>
      <c r="H530" s="70"/>
    </row>
    <row r="531" spans="1:8" ht="16" x14ac:dyDescent="0.2">
      <c r="A531" s="73"/>
      <c r="B531" s="77"/>
      <c r="C531" s="74"/>
      <c r="D531" s="74" t="s">
        <v>945</v>
      </c>
      <c r="E531" s="78" t="s">
        <v>119</v>
      </c>
      <c r="F531" s="76" t="s">
        <v>361</v>
      </c>
      <c r="G531" s="75" t="s">
        <v>325</v>
      </c>
      <c r="H531" s="70"/>
    </row>
    <row r="532" spans="1:8" ht="16" x14ac:dyDescent="0.2">
      <c r="A532" s="73"/>
      <c r="B532" s="77"/>
      <c r="C532" s="74"/>
      <c r="D532" s="74" t="s">
        <v>945</v>
      </c>
      <c r="E532" s="78" t="s">
        <v>119</v>
      </c>
      <c r="F532" s="76" t="s">
        <v>1575</v>
      </c>
      <c r="G532" s="75" t="s">
        <v>325</v>
      </c>
      <c r="H532" s="70"/>
    </row>
    <row r="533" spans="1:8" x14ac:dyDescent="0.2">
      <c r="A533" s="73"/>
      <c r="B533" s="77"/>
      <c r="C533" s="74"/>
      <c r="D533" s="74" t="s">
        <v>945</v>
      </c>
      <c r="E533" s="78" t="s">
        <v>112</v>
      </c>
      <c r="F533" s="76" t="s">
        <v>1579</v>
      </c>
      <c r="G533" s="76" t="s">
        <v>1057</v>
      </c>
      <c r="H533" s="70"/>
    </row>
    <row r="534" spans="1:8" x14ac:dyDescent="0.2">
      <c r="A534" s="73"/>
      <c r="B534" s="77"/>
      <c r="C534" s="74"/>
      <c r="D534" s="74" t="s">
        <v>945</v>
      </c>
      <c r="E534" s="78" t="s">
        <v>112</v>
      </c>
      <c r="F534" s="76" t="s">
        <v>1580</v>
      </c>
      <c r="G534" s="76" t="s">
        <v>1057</v>
      </c>
      <c r="H534" s="70"/>
    </row>
    <row r="535" spans="1:8" x14ac:dyDescent="0.2">
      <c r="A535" s="73"/>
      <c r="B535" s="77"/>
      <c r="C535" s="74"/>
      <c r="D535" s="74" t="s">
        <v>945</v>
      </c>
      <c r="E535" s="78" t="s">
        <v>112</v>
      </c>
      <c r="F535" s="76" t="s">
        <v>1581</v>
      </c>
      <c r="G535" s="76" t="s">
        <v>1057</v>
      </c>
      <c r="H535" s="70"/>
    </row>
    <row r="536" spans="1:8" x14ac:dyDescent="0.2">
      <c r="A536" s="73"/>
      <c r="B536" s="77"/>
      <c r="C536" s="74"/>
      <c r="D536" s="74" t="s">
        <v>945</v>
      </c>
      <c r="E536" s="78" t="s">
        <v>112</v>
      </c>
      <c r="F536" s="76" t="s">
        <v>1582</v>
      </c>
      <c r="G536" s="76" t="s">
        <v>1057</v>
      </c>
      <c r="H536" s="70"/>
    </row>
    <row r="537" spans="1:8" x14ac:dyDescent="0.2">
      <c r="A537" s="73"/>
      <c r="B537" s="77"/>
      <c r="C537" s="74"/>
      <c r="D537" s="74" t="s">
        <v>945</v>
      </c>
      <c r="E537" s="78" t="s">
        <v>112</v>
      </c>
      <c r="F537" s="76" t="s">
        <v>1558</v>
      </c>
      <c r="G537" s="76" t="s">
        <v>1057</v>
      </c>
      <c r="H537" s="70"/>
    </row>
    <row r="538" spans="1:8" x14ac:dyDescent="0.2">
      <c r="A538" s="73"/>
      <c r="B538" s="77"/>
      <c r="C538" s="74"/>
      <c r="D538" s="74" t="s">
        <v>945</v>
      </c>
      <c r="E538" s="78" t="s">
        <v>112</v>
      </c>
      <c r="F538" s="76" t="s">
        <v>1556</v>
      </c>
      <c r="G538" s="76" t="s">
        <v>1057</v>
      </c>
      <c r="H538" s="70"/>
    </row>
    <row r="539" spans="1:8" x14ac:dyDescent="0.2">
      <c r="A539" s="73"/>
      <c r="B539" s="77"/>
      <c r="C539" s="74"/>
      <c r="D539" s="74" t="s">
        <v>945</v>
      </c>
      <c r="E539" s="78" t="s">
        <v>966</v>
      </c>
      <c r="F539" s="76" t="s">
        <v>1556</v>
      </c>
      <c r="G539" s="76" t="s">
        <v>1057</v>
      </c>
      <c r="H539" s="70"/>
    </row>
    <row r="540" spans="1:8" x14ac:dyDescent="0.2">
      <c r="A540" s="73"/>
      <c r="B540" s="77"/>
      <c r="C540" s="74"/>
      <c r="D540" s="74" t="s">
        <v>945</v>
      </c>
      <c r="E540" s="78" t="s">
        <v>966</v>
      </c>
      <c r="F540" s="76" t="s">
        <v>1579</v>
      </c>
      <c r="G540" s="76" t="s">
        <v>1057</v>
      </c>
      <c r="H540" s="70"/>
    </row>
    <row r="541" spans="1:8" x14ac:dyDescent="0.2">
      <c r="A541" s="73"/>
      <c r="B541" s="77"/>
      <c r="C541" s="74"/>
      <c r="D541" s="74" t="s">
        <v>945</v>
      </c>
      <c r="E541" s="78" t="s">
        <v>966</v>
      </c>
      <c r="F541" s="76" t="s">
        <v>1580</v>
      </c>
      <c r="G541" s="76" t="s">
        <v>1057</v>
      </c>
      <c r="H541" s="70"/>
    </row>
    <row r="542" spans="1:8" x14ac:dyDescent="0.2">
      <c r="A542" s="73"/>
      <c r="B542" s="77"/>
      <c r="C542" s="74"/>
      <c r="D542" s="74" t="s">
        <v>945</v>
      </c>
      <c r="E542" s="78" t="s">
        <v>966</v>
      </c>
      <c r="F542" s="76" t="s">
        <v>1581</v>
      </c>
      <c r="G542" s="76" t="s">
        <v>1057</v>
      </c>
      <c r="H542" s="70"/>
    </row>
    <row r="543" spans="1:8" x14ac:dyDescent="0.2">
      <c r="A543" s="73"/>
      <c r="B543" s="77"/>
      <c r="C543" s="74"/>
      <c r="D543" s="74" t="s">
        <v>945</v>
      </c>
      <c r="E543" s="78" t="s">
        <v>966</v>
      </c>
      <c r="F543" s="76" t="s">
        <v>1582</v>
      </c>
      <c r="G543" s="76" t="s">
        <v>1057</v>
      </c>
      <c r="H543" s="70"/>
    </row>
    <row r="544" spans="1:8" x14ac:dyDescent="0.2">
      <c r="A544" s="73"/>
      <c r="B544" s="77"/>
      <c r="C544" s="74"/>
      <c r="D544" s="74" t="s">
        <v>945</v>
      </c>
      <c r="E544" s="78" t="s">
        <v>966</v>
      </c>
      <c r="F544" s="76" t="s">
        <v>1558</v>
      </c>
      <c r="G544" s="76" t="s">
        <v>1057</v>
      </c>
      <c r="H544" s="70"/>
    </row>
    <row r="545" spans="1:8" x14ac:dyDescent="0.2">
      <c r="A545" s="73"/>
      <c r="B545" s="77"/>
      <c r="C545" s="74"/>
      <c r="D545" s="74" t="s">
        <v>941</v>
      </c>
      <c r="E545" s="78" t="s">
        <v>112</v>
      </c>
      <c r="F545" s="76" t="s">
        <v>1583</v>
      </c>
      <c r="G545" s="76" t="s">
        <v>1054</v>
      </c>
      <c r="H545" s="70"/>
    </row>
    <row r="546" spans="1:8" x14ac:dyDescent="0.2">
      <c r="A546" s="73"/>
      <c r="B546" s="77"/>
      <c r="C546" s="74"/>
      <c r="D546" s="74" t="s">
        <v>941</v>
      </c>
      <c r="E546" s="78" t="s">
        <v>112</v>
      </c>
      <c r="F546" s="76" t="s">
        <v>1584</v>
      </c>
      <c r="G546" s="76" t="s">
        <v>1054</v>
      </c>
      <c r="H546" s="70"/>
    </row>
    <row r="547" spans="1:8" x14ac:dyDescent="0.2">
      <c r="A547" s="73"/>
      <c r="B547" s="77"/>
      <c r="C547" s="74"/>
      <c r="D547" s="74" t="s">
        <v>941</v>
      </c>
      <c r="E547" s="78" t="s">
        <v>112</v>
      </c>
      <c r="F547" s="76" t="s">
        <v>1558</v>
      </c>
      <c r="G547" s="76" t="s">
        <v>1054</v>
      </c>
      <c r="H547" s="70"/>
    </row>
    <row r="548" spans="1:8" x14ac:dyDescent="0.2">
      <c r="A548" s="73"/>
      <c r="B548" s="77"/>
      <c r="C548" s="74"/>
      <c r="D548" s="74" t="s">
        <v>941</v>
      </c>
      <c r="E548" s="78" t="s">
        <v>112</v>
      </c>
      <c r="F548" s="76" t="s">
        <v>1582</v>
      </c>
      <c r="G548" s="76" t="s">
        <v>1054</v>
      </c>
      <c r="H548" s="70"/>
    </row>
    <row r="549" spans="1:8" x14ac:dyDescent="0.2">
      <c r="A549" s="73"/>
      <c r="B549" s="77"/>
      <c r="C549" s="74"/>
      <c r="D549" s="74" t="s">
        <v>941</v>
      </c>
      <c r="E549" s="78" t="s">
        <v>112</v>
      </c>
      <c r="F549" s="76" t="s">
        <v>1585</v>
      </c>
      <c r="G549" s="76" t="s">
        <v>1054</v>
      </c>
      <c r="H549" s="70"/>
    </row>
    <row r="550" spans="1:8" x14ac:dyDescent="0.2">
      <c r="A550" s="73"/>
      <c r="B550" s="77"/>
      <c r="C550" s="74"/>
      <c r="D550" s="74" t="s">
        <v>941</v>
      </c>
      <c r="E550" s="78" t="s">
        <v>112</v>
      </c>
      <c r="F550" s="76" t="s">
        <v>1556</v>
      </c>
      <c r="G550" s="76" t="s">
        <v>1054</v>
      </c>
      <c r="H550" s="70"/>
    </row>
    <row r="551" spans="1:8" x14ac:dyDescent="0.2">
      <c r="A551" s="73"/>
      <c r="B551" s="77"/>
      <c r="C551" s="74"/>
      <c r="D551" s="74" t="s">
        <v>941</v>
      </c>
      <c r="E551" s="78" t="s">
        <v>112</v>
      </c>
      <c r="F551" s="76" t="s">
        <v>1581</v>
      </c>
      <c r="G551" s="76" t="s">
        <v>1054</v>
      </c>
      <c r="H551" s="70"/>
    </row>
    <row r="552" spans="1:8" x14ac:dyDescent="0.2">
      <c r="A552" s="73"/>
      <c r="B552" s="77"/>
      <c r="C552" s="74"/>
      <c r="D552" s="74" t="s">
        <v>941</v>
      </c>
      <c r="E552" s="78" t="s">
        <v>112</v>
      </c>
      <c r="F552" s="76" t="s">
        <v>1586</v>
      </c>
      <c r="G552" s="76" t="s">
        <v>1054</v>
      </c>
      <c r="H552" s="70"/>
    </row>
    <row r="553" spans="1:8" ht="16" x14ac:dyDescent="0.2">
      <c r="A553" s="73"/>
      <c r="B553" s="77"/>
      <c r="C553" s="74"/>
      <c r="D553" s="74" t="s">
        <v>941</v>
      </c>
      <c r="E553" s="78" t="s">
        <v>112</v>
      </c>
      <c r="F553" s="76" t="s">
        <v>1587</v>
      </c>
      <c r="G553" s="75" t="s">
        <v>1127</v>
      </c>
      <c r="H553" s="70"/>
    </row>
    <row r="554" spans="1:8" ht="16" x14ac:dyDescent="0.2">
      <c r="A554" s="73"/>
      <c r="B554" s="77"/>
      <c r="C554" s="74"/>
      <c r="D554" s="74" t="s">
        <v>941</v>
      </c>
      <c r="E554" s="78" t="s">
        <v>967</v>
      </c>
      <c r="F554" s="76" t="s">
        <v>1587</v>
      </c>
      <c r="G554" s="75" t="s">
        <v>1127</v>
      </c>
      <c r="H554" s="70"/>
    </row>
    <row r="555" spans="1:8" ht="16" x14ac:dyDescent="0.2">
      <c r="A555" s="73"/>
      <c r="B555" s="77"/>
      <c r="C555" s="74"/>
      <c r="D555" s="74" t="s">
        <v>941</v>
      </c>
      <c r="E555" s="78" t="s">
        <v>112</v>
      </c>
      <c r="F555" s="76" t="s">
        <v>1588</v>
      </c>
      <c r="G555" s="75" t="s">
        <v>1127</v>
      </c>
      <c r="H555" s="70"/>
    </row>
    <row r="556" spans="1:8" ht="16" x14ac:dyDescent="0.2">
      <c r="A556" s="73"/>
      <c r="B556" s="77"/>
      <c r="C556" s="74"/>
      <c r="D556" s="74" t="s">
        <v>941</v>
      </c>
      <c r="E556" s="78" t="s">
        <v>967</v>
      </c>
      <c r="F556" s="76" t="s">
        <v>1588</v>
      </c>
      <c r="G556" s="75" t="s">
        <v>1127</v>
      </c>
      <c r="H556" s="70"/>
    </row>
    <row r="557" spans="1:8" ht="16" x14ac:dyDescent="0.2">
      <c r="A557" s="73"/>
      <c r="B557" s="77"/>
      <c r="C557" s="74"/>
      <c r="D557" s="74" t="s">
        <v>941</v>
      </c>
      <c r="E557" s="78" t="s">
        <v>112</v>
      </c>
      <c r="F557" s="76" t="s">
        <v>1589</v>
      </c>
      <c r="G557" s="75" t="s">
        <v>1127</v>
      </c>
      <c r="H557" s="70"/>
    </row>
    <row r="558" spans="1:8" ht="16" x14ac:dyDescent="0.2">
      <c r="A558" s="73"/>
      <c r="B558" s="77"/>
      <c r="C558" s="74"/>
      <c r="D558" s="74" t="s">
        <v>941</v>
      </c>
      <c r="E558" s="78" t="s">
        <v>967</v>
      </c>
      <c r="F558" s="76" t="s">
        <v>1589</v>
      </c>
      <c r="G558" s="75" t="s">
        <v>1127</v>
      </c>
      <c r="H558" s="70"/>
    </row>
    <row r="559" spans="1:8" ht="16" x14ac:dyDescent="0.2">
      <c r="A559" s="73"/>
      <c r="B559" s="77"/>
      <c r="C559" s="74"/>
      <c r="D559" s="74" t="s">
        <v>941</v>
      </c>
      <c r="E559" s="78" t="s">
        <v>966</v>
      </c>
      <c r="F559" s="76" t="s">
        <v>1589</v>
      </c>
      <c r="G559" s="75" t="s">
        <v>1127</v>
      </c>
      <c r="H559" s="70"/>
    </row>
    <row r="560" spans="1:8" ht="16" x14ac:dyDescent="0.2">
      <c r="A560" s="73"/>
      <c r="B560" s="77"/>
      <c r="C560" s="74"/>
      <c r="D560" s="74" t="s">
        <v>941</v>
      </c>
      <c r="E560" s="78" t="s">
        <v>119</v>
      </c>
      <c r="F560" s="76" t="s">
        <v>1590</v>
      </c>
      <c r="G560" s="75" t="s">
        <v>307</v>
      </c>
      <c r="H560" s="70"/>
    </row>
    <row r="561" spans="1:8" ht="16" x14ac:dyDescent="0.2">
      <c r="A561" s="73"/>
      <c r="B561" s="77"/>
      <c r="C561" s="74"/>
      <c r="D561" s="74" t="s">
        <v>941</v>
      </c>
      <c r="E561" s="78" t="s">
        <v>119</v>
      </c>
      <c r="F561" s="76" t="s">
        <v>1591</v>
      </c>
      <c r="G561" s="75" t="s">
        <v>307</v>
      </c>
      <c r="H561" s="70"/>
    </row>
    <row r="562" spans="1:8" ht="16" x14ac:dyDescent="0.2">
      <c r="A562" s="73"/>
      <c r="B562" s="77"/>
      <c r="C562" s="74"/>
      <c r="D562" s="74" t="s">
        <v>941</v>
      </c>
      <c r="E562" s="78" t="s">
        <v>119</v>
      </c>
      <c r="F562" s="76" t="s">
        <v>364</v>
      </c>
      <c r="G562" s="75" t="s">
        <v>307</v>
      </c>
      <c r="H562" s="70"/>
    </row>
    <row r="563" spans="1:8" ht="16" x14ac:dyDescent="0.2">
      <c r="A563" s="73"/>
      <c r="B563" s="77"/>
      <c r="C563" s="74"/>
      <c r="D563" s="74" t="s">
        <v>945</v>
      </c>
      <c r="E563" s="78" t="s">
        <v>96</v>
      </c>
      <c r="F563" s="76" t="s">
        <v>1592</v>
      </c>
      <c r="G563" s="75" t="s">
        <v>316</v>
      </c>
      <c r="H563" s="70"/>
    </row>
    <row r="564" spans="1:8" ht="16" x14ac:dyDescent="0.2">
      <c r="A564" s="73"/>
      <c r="B564" s="77"/>
      <c r="C564" s="74"/>
      <c r="D564" s="74" t="s">
        <v>945</v>
      </c>
      <c r="E564" s="78" t="s">
        <v>119</v>
      </c>
      <c r="F564" s="76" t="s">
        <v>1592</v>
      </c>
      <c r="G564" s="75" t="s">
        <v>316</v>
      </c>
      <c r="H564" s="70"/>
    </row>
    <row r="565" spans="1:8" ht="16" x14ac:dyDescent="0.2">
      <c r="A565" s="73"/>
      <c r="B565" s="77"/>
      <c r="C565" s="74"/>
      <c r="D565" s="74" t="s">
        <v>945</v>
      </c>
      <c r="E565" s="78" t="s">
        <v>112</v>
      </c>
      <c r="F565" s="76" t="s">
        <v>1592</v>
      </c>
      <c r="G565" s="75" t="s">
        <v>316</v>
      </c>
      <c r="H565" s="70"/>
    </row>
    <row r="566" spans="1:8" ht="16" x14ac:dyDescent="0.2">
      <c r="A566" s="73"/>
      <c r="B566" s="77"/>
      <c r="C566" s="74"/>
      <c r="D566" s="74" t="s">
        <v>945</v>
      </c>
      <c r="E566" s="78" t="s">
        <v>128</v>
      </c>
      <c r="F566" s="76" t="s">
        <v>1592</v>
      </c>
      <c r="G566" s="75" t="s">
        <v>316</v>
      </c>
      <c r="H566" s="70"/>
    </row>
    <row r="567" spans="1:8" ht="16" x14ac:dyDescent="0.2">
      <c r="A567" s="73"/>
      <c r="B567" s="77"/>
      <c r="C567" s="74"/>
      <c r="D567" s="74" t="s">
        <v>945</v>
      </c>
      <c r="E567" s="78" t="s">
        <v>96</v>
      </c>
      <c r="F567" s="76" t="s">
        <v>1593</v>
      </c>
      <c r="G567" s="75" t="s">
        <v>316</v>
      </c>
      <c r="H567" s="70"/>
    </row>
    <row r="568" spans="1:8" ht="16" x14ac:dyDescent="0.2">
      <c r="A568" s="73"/>
      <c r="B568" s="77"/>
      <c r="C568" s="74"/>
      <c r="D568" s="74" t="s">
        <v>945</v>
      </c>
      <c r="E568" s="78" t="s">
        <v>119</v>
      </c>
      <c r="F568" s="76" t="s">
        <v>1593</v>
      </c>
      <c r="G568" s="75" t="s">
        <v>316</v>
      </c>
      <c r="H568" s="70"/>
    </row>
    <row r="569" spans="1:8" ht="16" x14ac:dyDescent="0.2">
      <c r="A569" s="73"/>
      <c r="B569" s="77"/>
      <c r="C569" s="74"/>
      <c r="D569" s="74" t="s">
        <v>945</v>
      </c>
      <c r="E569" s="78" t="s">
        <v>112</v>
      </c>
      <c r="F569" s="76" t="s">
        <v>1593</v>
      </c>
      <c r="G569" s="75" t="s">
        <v>316</v>
      </c>
      <c r="H569" s="70"/>
    </row>
    <row r="570" spans="1:8" ht="16" x14ac:dyDescent="0.2">
      <c r="A570" s="73"/>
      <c r="B570" s="77"/>
      <c r="C570" s="74"/>
      <c r="D570" s="74" t="s">
        <v>945</v>
      </c>
      <c r="E570" s="78" t="s">
        <v>128</v>
      </c>
      <c r="F570" s="76" t="s">
        <v>1593</v>
      </c>
      <c r="G570" s="75" t="s">
        <v>316</v>
      </c>
      <c r="H570" s="70"/>
    </row>
    <row r="571" spans="1:8" ht="16" x14ac:dyDescent="0.2">
      <c r="A571" s="73"/>
      <c r="B571" s="77"/>
      <c r="C571" s="74"/>
      <c r="D571" s="74" t="s">
        <v>945</v>
      </c>
      <c r="E571" s="78" t="s">
        <v>96</v>
      </c>
      <c r="F571" s="76" t="s">
        <v>1594</v>
      </c>
      <c r="G571" s="75" t="s">
        <v>316</v>
      </c>
      <c r="H571" s="70"/>
    </row>
    <row r="572" spans="1:8" ht="16" x14ac:dyDescent="0.2">
      <c r="A572" s="73"/>
      <c r="B572" s="77"/>
      <c r="C572" s="74"/>
      <c r="D572" s="74" t="s">
        <v>945</v>
      </c>
      <c r="E572" s="78" t="s">
        <v>119</v>
      </c>
      <c r="F572" s="76" t="s">
        <v>1594</v>
      </c>
      <c r="G572" s="75" t="s">
        <v>316</v>
      </c>
      <c r="H572" s="70"/>
    </row>
    <row r="573" spans="1:8" ht="16" x14ac:dyDescent="0.2">
      <c r="A573" s="73"/>
      <c r="B573" s="77"/>
      <c r="C573" s="74"/>
      <c r="D573" s="74" t="s">
        <v>945</v>
      </c>
      <c r="E573" s="78" t="s">
        <v>112</v>
      </c>
      <c r="F573" s="76" t="s">
        <v>1594</v>
      </c>
      <c r="G573" s="75" t="s">
        <v>316</v>
      </c>
      <c r="H573" s="70"/>
    </row>
    <row r="574" spans="1:8" ht="16" x14ac:dyDescent="0.2">
      <c r="A574" s="73"/>
      <c r="B574" s="77"/>
      <c r="C574" s="74"/>
      <c r="D574" s="74" t="s">
        <v>945</v>
      </c>
      <c r="E574" s="78" t="s">
        <v>128</v>
      </c>
      <c r="F574" s="76" t="s">
        <v>1594</v>
      </c>
      <c r="G574" s="75" t="s">
        <v>316</v>
      </c>
      <c r="H574" s="70"/>
    </row>
    <row r="575" spans="1:8" ht="16" x14ac:dyDescent="0.2">
      <c r="A575" s="73"/>
      <c r="B575" s="77"/>
      <c r="C575" s="74"/>
      <c r="D575" s="74" t="s">
        <v>945</v>
      </c>
      <c r="E575" s="78" t="s">
        <v>96</v>
      </c>
      <c r="F575" s="76" t="s">
        <v>364</v>
      </c>
      <c r="G575" s="75" t="s">
        <v>316</v>
      </c>
      <c r="H575" s="70"/>
    </row>
    <row r="576" spans="1:8" ht="16" x14ac:dyDescent="0.2">
      <c r="A576" s="73"/>
      <c r="B576" s="77"/>
      <c r="C576" s="74"/>
      <c r="D576" s="74" t="s">
        <v>945</v>
      </c>
      <c r="E576" s="78" t="s">
        <v>119</v>
      </c>
      <c r="F576" s="76" t="s">
        <v>364</v>
      </c>
      <c r="G576" s="75" t="s">
        <v>316</v>
      </c>
      <c r="H576" s="70"/>
    </row>
    <row r="577" spans="1:8" ht="16" x14ac:dyDescent="0.2">
      <c r="A577" s="73"/>
      <c r="B577" s="77"/>
      <c r="C577" s="74"/>
      <c r="D577" s="74" t="s">
        <v>945</v>
      </c>
      <c r="E577" s="78" t="s">
        <v>112</v>
      </c>
      <c r="F577" s="76" t="s">
        <v>364</v>
      </c>
      <c r="G577" s="75" t="s">
        <v>316</v>
      </c>
      <c r="H577" s="70"/>
    </row>
    <row r="578" spans="1:8" ht="16" x14ac:dyDescent="0.2">
      <c r="A578" s="73"/>
      <c r="B578" s="77"/>
      <c r="C578" s="74"/>
      <c r="D578" s="74" t="s">
        <v>945</v>
      </c>
      <c r="E578" s="78" t="s">
        <v>128</v>
      </c>
      <c r="F578" s="76" t="s">
        <v>364</v>
      </c>
      <c r="G578" s="75" t="s">
        <v>316</v>
      </c>
      <c r="H578" s="70"/>
    </row>
    <row r="579" spans="1:8" ht="16" x14ac:dyDescent="0.2">
      <c r="A579" s="73"/>
      <c r="B579" s="77"/>
      <c r="C579" s="74"/>
      <c r="D579" s="74" t="s">
        <v>945</v>
      </c>
      <c r="E579" s="78" t="s">
        <v>966</v>
      </c>
      <c r="F579" s="76" t="s">
        <v>364</v>
      </c>
      <c r="G579" s="75" t="s">
        <v>316</v>
      </c>
      <c r="H579" s="70"/>
    </row>
    <row r="580" spans="1:8" ht="16" x14ac:dyDescent="0.2">
      <c r="A580" s="73"/>
      <c r="B580" s="77"/>
      <c r="C580" s="74"/>
      <c r="D580" s="74" t="s">
        <v>945</v>
      </c>
      <c r="E580" s="78" t="s">
        <v>96</v>
      </c>
      <c r="F580" s="76" t="s">
        <v>1591</v>
      </c>
      <c r="G580" s="75" t="s">
        <v>316</v>
      </c>
      <c r="H580" s="70"/>
    </row>
    <row r="581" spans="1:8" ht="16" x14ac:dyDescent="0.2">
      <c r="A581" s="73"/>
      <c r="B581" s="77"/>
      <c r="C581" s="74"/>
      <c r="D581" s="74" t="s">
        <v>945</v>
      </c>
      <c r="E581" s="78" t="s">
        <v>119</v>
      </c>
      <c r="F581" s="76" t="s">
        <v>1591</v>
      </c>
      <c r="G581" s="75" t="s">
        <v>316</v>
      </c>
      <c r="H581" s="70"/>
    </row>
    <row r="582" spans="1:8" ht="16" x14ac:dyDescent="0.2">
      <c r="A582" s="73"/>
      <c r="B582" s="77"/>
      <c r="C582" s="74"/>
      <c r="D582" s="74" t="s">
        <v>945</v>
      </c>
      <c r="E582" s="78" t="s">
        <v>112</v>
      </c>
      <c r="F582" s="76" t="s">
        <v>1591</v>
      </c>
      <c r="G582" s="75" t="s">
        <v>316</v>
      </c>
      <c r="H582" s="70"/>
    </row>
    <row r="583" spans="1:8" ht="16" x14ac:dyDescent="0.2">
      <c r="A583" s="73"/>
      <c r="B583" s="77"/>
      <c r="C583" s="74"/>
      <c r="D583" s="74" t="s">
        <v>945</v>
      </c>
      <c r="E583" s="78" t="s">
        <v>128</v>
      </c>
      <c r="F583" s="76" t="s">
        <v>1591</v>
      </c>
      <c r="G583" s="75" t="s">
        <v>316</v>
      </c>
      <c r="H583" s="70"/>
    </row>
    <row r="584" spans="1:8" x14ac:dyDescent="0.2">
      <c r="A584" s="73"/>
      <c r="B584" s="77"/>
      <c r="C584" s="74"/>
      <c r="D584" s="74" t="s">
        <v>944</v>
      </c>
      <c r="E584" s="78" t="s">
        <v>105</v>
      </c>
      <c r="F584" s="76" t="s">
        <v>2127</v>
      </c>
      <c r="G584" s="76" t="s">
        <v>1136</v>
      </c>
      <c r="H584" s="70"/>
    </row>
    <row r="585" spans="1:8" x14ac:dyDescent="0.2">
      <c r="A585" s="73"/>
      <c r="B585" s="77"/>
      <c r="C585" s="74"/>
      <c r="D585" s="74" t="s">
        <v>944</v>
      </c>
      <c r="E585" s="78" t="s">
        <v>105</v>
      </c>
      <c r="F585" s="76" t="s">
        <v>2128</v>
      </c>
      <c r="G585" s="76" t="s">
        <v>1136</v>
      </c>
      <c r="H585" s="70"/>
    </row>
    <row r="586" spans="1:8" x14ac:dyDescent="0.2">
      <c r="A586" s="73"/>
      <c r="B586" s="77"/>
      <c r="C586" s="74"/>
      <c r="D586" s="74" t="s">
        <v>944</v>
      </c>
      <c r="E586" s="78" t="s">
        <v>105</v>
      </c>
      <c r="F586" s="76" t="s">
        <v>2136</v>
      </c>
      <c r="G586" s="76" t="s">
        <v>1136</v>
      </c>
      <c r="H586" s="70"/>
    </row>
    <row r="587" spans="1:8" x14ac:dyDescent="0.2">
      <c r="A587" s="73"/>
      <c r="B587" s="77"/>
      <c r="C587" s="74"/>
      <c r="D587" s="74" t="s">
        <v>944</v>
      </c>
      <c r="E587" s="78" t="s">
        <v>105</v>
      </c>
      <c r="F587" s="76" t="s">
        <v>2137</v>
      </c>
      <c r="G587" s="76" t="s">
        <v>1136</v>
      </c>
      <c r="H587" s="70"/>
    </row>
    <row r="588" spans="1:8" x14ac:dyDescent="0.2">
      <c r="A588" s="73"/>
      <c r="B588" s="77"/>
      <c r="C588" s="74"/>
      <c r="D588" s="74" t="s">
        <v>944</v>
      </c>
      <c r="E588" s="78" t="s">
        <v>105</v>
      </c>
      <c r="F588" s="76" t="s">
        <v>1595</v>
      </c>
      <c r="G588" s="76" t="s">
        <v>1135</v>
      </c>
      <c r="H588" s="70"/>
    </row>
    <row r="589" spans="1:8" x14ac:dyDescent="0.2">
      <c r="A589" s="73"/>
      <c r="B589" s="77"/>
      <c r="C589" s="74"/>
      <c r="D589" s="74" t="s">
        <v>944</v>
      </c>
      <c r="E589" s="78" t="s">
        <v>105</v>
      </c>
      <c r="F589" s="76" t="s">
        <v>1596</v>
      </c>
      <c r="G589" s="76" t="s">
        <v>1135</v>
      </c>
      <c r="H589" s="70"/>
    </row>
    <row r="590" spans="1:8" x14ac:dyDescent="0.2">
      <c r="A590" s="73"/>
      <c r="B590" s="77"/>
      <c r="C590" s="74"/>
      <c r="D590" s="74" t="s">
        <v>944</v>
      </c>
      <c r="E590" s="78" t="s">
        <v>105</v>
      </c>
      <c r="F590" s="76" t="s">
        <v>1597</v>
      </c>
      <c r="G590" s="76" t="s">
        <v>1135</v>
      </c>
      <c r="H590" s="70"/>
    </row>
    <row r="591" spans="1:8" x14ac:dyDescent="0.2">
      <c r="A591" s="73"/>
      <c r="B591" s="77"/>
      <c r="C591" s="74"/>
      <c r="D591" s="74" t="s">
        <v>944</v>
      </c>
      <c r="E591" s="78" t="s">
        <v>105</v>
      </c>
      <c r="F591" s="76" t="s">
        <v>1598</v>
      </c>
      <c r="G591" s="76" t="s">
        <v>1135</v>
      </c>
      <c r="H591" s="70"/>
    </row>
    <row r="592" spans="1:8" ht="16" x14ac:dyDescent="0.2">
      <c r="A592" s="73"/>
      <c r="B592" s="77"/>
      <c r="C592" s="74"/>
      <c r="D592" s="74" t="s">
        <v>944</v>
      </c>
      <c r="E592" s="78" t="s">
        <v>96</v>
      </c>
      <c r="F592" s="76" t="s">
        <v>2095</v>
      </c>
      <c r="G592" s="75" t="s">
        <v>510</v>
      </c>
      <c r="H592" s="70"/>
    </row>
    <row r="593" spans="1:8" ht="16" x14ac:dyDescent="0.2">
      <c r="A593" s="73"/>
      <c r="B593" s="77"/>
      <c r="C593" s="74"/>
      <c r="D593" s="74" t="s">
        <v>944</v>
      </c>
      <c r="E593" s="78" t="s">
        <v>96</v>
      </c>
      <c r="F593" s="76" t="s">
        <v>2124</v>
      </c>
      <c r="G593" s="75" t="s">
        <v>510</v>
      </c>
      <c r="H593" s="70"/>
    </row>
    <row r="594" spans="1:8" ht="16" x14ac:dyDescent="0.2">
      <c r="A594" s="73"/>
      <c r="B594" s="77"/>
      <c r="C594" s="74"/>
      <c r="D594" s="74" t="s">
        <v>944</v>
      </c>
      <c r="E594" s="78" t="s">
        <v>96</v>
      </c>
      <c r="F594" s="76" t="s">
        <v>2125</v>
      </c>
      <c r="G594" s="75" t="s">
        <v>510</v>
      </c>
      <c r="H594" s="70"/>
    </row>
    <row r="595" spans="1:8" ht="16" x14ac:dyDescent="0.2">
      <c r="A595" s="73"/>
      <c r="B595" s="77"/>
      <c r="C595" s="74"/>
      <c r="D595" s="74" t="s">
        <v>944</v>
      </c>
      <c r="E595" s="78" t="s">
        <v>96</v>
      </c>
      <c r="F595" s="76" t="s">
        <v>2126</v>
      </c>
      <c r="G595" s="75" t="s">
        <v>510</v>
      </c>
      <c r="H595" s="70"/>
    </row>
    <row r="596" spans="1:8" ht="16" x14ac:dyDescent="0.2">
      <c r="A596" s="73"/>
      <c r="B596" s="77"/>
      <c r="C596" s="74"/>
      <c r="D596" s="74" t="s">
        <v>944</v>
      </c>
      <c r="E596" s="78" t="s">
        <v>105</v>
      </c>
      <c r="F596" s="76" t="s">
        <v>2095</v>
      </c>
      <c r="G596" s="75" t="s">
        <v>508</v>
      </c>
      <c r="H596" s="70"/>
    </row>
    <row r="597" spans="1:8" ht="16" x14ac:dyDescent="0.2">
      <c r="A597" s="73"/>
      <c r="B597" s="77"/>
      <c r="C597" s="74"/>
      <c r="D597" s="74" t="s">
        <v>944</v>
      </c>
      <c r="E597" s="78" t="s">
        <v>105</v>
      </c>
      <c r="F597" s="76" t="s">
        <v>2124</v>
      </c>
      <c r="G597" s="75" t="s">
        <v>508</v>
      </c>
      <c r="H597" s="70"/>
    </row>
    <row r="598" spans="1:8" ht="16" x14ac:dyDescent="0.2">
      <c r="A598" s="73"/>
      <c r="B598" s="77"/>
      <c r="C598" s="74"/>
      <c r="D598" s="74" t="s">
        <v>944</v>
      </c>
      <c r="E598" s="78" t="s">
        <v>105</v>
      </c>
      <c r="F598" s="76" t="s">
        <v>2125</v>
      </c>
      <c r="G598" s="75" t="s">
        <v>508</v>
      </c>
      <c r="H598" s="70"/>
    </row>
    <row r="599" spans="1:8" ht="16" x14ac:dyDescent="0.2">
      <c r="A599" s="73"/>
      <c r="B599" s="77"/>
      <c r="C599" s="74"/>
      <c r="D599" s="74" t="s">
        <v>944</v>
      </c>
      <c r="E599" s="78" t="s">
        <v>105</v>
      </c>
      <c r="F599" s="76" t="s">
        <v>2126</v>
      </c>
      <c r="G599" s="75" t="s">
        <v>508</v>
      </c>
      <c r="H599" s="70"/>
    </row>
    <row r="600" spans="1:8" ht="16" x14ac:dyDescent="0.2">
      <c r="A600" s="73"/>
      <c r="B600" s="77"/>
      <c r="C600" s="74"/>
      <c r="D600" s="74" t="s">
        <v>944</v>
      </c>
      <c r="E600" s="78" t="s">
        <v>105</v>
      </c>
      <c r="F600" s="76" t="s">
        <v>2132</v>
      </c>
      <c r="G600" s="75" t="s">
        <v>508</v>
      </c>
      <c r="H600" s="70"/>
    </row>
    <row r="601" spans="1:8" ht="16" x14ac:dyDescent="0.2">
      <c r="A601" s="73"/>
      <c r="B601" s="77"/>
      <c r="C601" s="74"/>
      <c r="D601" s="74" t="s">
        <v>944</v>
      </c>
      <c r="E601" s="78" t="s">
        <v>105</v>
      </c>
      <c r="F601" s="76" t="s">
        <v>2133</v>
      </c>
      <c r="G601" s="75" t="s">
        <v>508</v>
      </c>
      <c r="H601" s="70"/>
    </row>
    <row r="602" spans="1:8" ht="16" x14ac:dyDescent="0.2">
      <c r="A602" s="73"/>
      <c r="B602" s="77"/>
      <c r="C602" s="74"/>
      <c r="D602" s="74" t="s">
        <v>944</v>
      </c>
      <c r="E602" s="78" t="s">
        <v>105</v>
      </c>
      <c r="F602" s="76" t="s">
        <v>2134</v>
      </c>
      <c r="G602" s="75" t="s">
        <v>508</v>
      </c>
      <c r="H602" s="70"/>
    </row>
    <row r="603" spans="1:8" ht="16" x14ac:dyDescent="0.2">
      <c r="A603" s="73"/>
      <c r="B603" s="77"/>
      <c r="C603" s="74"/>
      <c r="D603" s="74" t="s">
        <v>944</v>
      </c>
      <c r="E603" s="78" t="s">
        <v>105</v>
      </c>
      <c r="F603" s="76" t="s">
        <v>2135</v>
      </c>
      <c r="G603" s="75" t="s">
        <v>508</v>
      </c>
      <c r="H603" s="70"/>
    </row>
    <row r="604" spans="1:8" ht="16" x14ac:dyDescent="0.2">
      <c r="A604" s="73"/>
      <c r="B604" s="77"/>
      <c r="C604" s="74"/>
      <c r="D604" s="74" t="s">
        <v>944</v>
      </c>
      <c r="E604" s="78" t="s">
        <v>96</v>
      </c>
      <c r="F604" s="76" t="s">
        <v>282</v>
      </c>
      <c r="G604" s="75" t="s">
        <v>507</v>
      </c>
      <c r="H604" s="70"/>
    </row>
    <row r="605" spans="1:8" ht="16" x14ac:dyDescent="0.2">
      <c r="A605" s="73"/>
      <c r="B605" s="77"/>
      <c r="C605" s="74"/>
      <c r="D605" s="74" t="s">
        <v>944</v>
      </c>
      <c r="E605" s="78" t="s">
        <v>96</v>
      </c>
      <c r="F605" s="76" t="s">
        <v>1599</v>
      </c>
      <c r="G605" s="75" t="s">
        <v>507</v>
      </c>
      <c r="H605" s="70"/>
    </row>
    <row r="606" spans="1:8" ht="16" x14ac:dyDescent="0.2">
      <c r="A606" s="73"/>
      <c r="B606" s="77"/>
      <c r="C606" s="74"/>
      <c r="D606" s="74" t="s">
        <v>944</v>
      </c>
      <c r="E606" s="78" t="s">
        <v>96</v>
      </c>
      <c r="F606" s="76" t="s">
        <v>1600</v>
      </c>
      <c r="G606" s="75" t="s">
        <v>507</v>
      </c>
      <c r="H606" s="70"/>
    </row>
    <row r="607" spans="1:8" ht="16" x14ac:dyDescent="0.2">
      <c r="A607" s="73"/>
      <c r="B607" s="77"/>
      <c r="C607" s="74"/>
      <c r="D607" s="74" t="s">
        <v>944</v>
      </c>
      <c r="E607" s="78" t="s">
        <v>96</v>
      </c>
      <c r="F607" s="76" t="s">
        <v>1601</v>
      </c>
      <c r="G607" s="75" t="s">
        <v>507</v>
      </c>
      <c r="H607" s="70"/>
    </row>
    <row r="608" spans="1:8" ht="16" x14ac:dyDescent="0.2">
      <c r="A608" s="73"/>
      <c r="B608" s="77"/>
      <c r="C608" s="74"/>
      <c r="D608" s="74" t="s">
        <v>944</v>
      </c>
      <c r="E608" s="78" t="s">
        <v>105</v>
      </c>
      <c r="F608" s="76" t="s">
        <v>282</v>
      </c>
      <c r="G608" s="75" t="s">
        <v>506</v>
      </c>
      <c r="H608" s="70"/>
    </row>
    <row r="609" spans="1:8" ht="16" x14ac:dyDescent="0.2">
      <c r="A609" s="73"/>
      <c r="B609" s="77"/>
      <c r="C609" s="74"/>
      <c r="D609" s="74" t="s">
        <v>944</v>
      </c>
      <c r="E609" s="78" t="s">
        <v>105</v>
      </c>
      <c r="F609" s="76" t="s">
        <v>1599</v>
      </c>
      <c r="G609" s="75" t="s">
        <v>506</v>
      </c>
      <c r="H609" s="70"/>
    </row>
    <row r="610" spans="1:8" ht="16" x14ac:dyDescent="0.2">
      <c r="A610" s="73"/>
      <c r="B610" s="77"/>
      <c r="C610" s="74"/>
      <c r="D610" s="74" t="s">
        <v>944</v>
      </c>
      <c r="E610" s="78" t="s">
        <v>105</v>
      </c>
      <c r="F610" s="76" t="s">
        <v>1600</v>
      </c>
      <c r="G610" s="75" t="s">
        <v>506</v>
      </c>
      <c r="H610" s="70"/>
    </row>
    <row r="611" spans="1:8" ht="16" x14ac:dyDescent="0.2">
      <c r="A611" s="73"/>
      <c r="B611" s="77"/>
      <c r="C611" s="74"/>
      <c r="D611" s="74" t="s">
        <v>944</v>
      </c>
      <c r="E611" s="78" t="s">
        <v>105</v>
      </c>
      <c r="F611" s="76" t="s">
        <v>1601</v>
      </c>
      <c r="G611" s="75" t="s">
        <v>506</v>
      </c>
      <c r="H611" s="70"/>
    </row>
    <row r="612" spans="1:8" ht="16" x14ac:dyDescent="0.2">
      <c r="A612" s="73"/>
      <c r="B612" s="77"/>
      <c r="C612" s="74"/>
      <c r="D612" s="74" t="s">
        <v>944</v>
      </c>
      <c r="E612" s="78" t="s">
        <v>105</v>
      </c>
      <c r="F612" s="76" t="s">
        <v>1545</v>
      </c>
      <c r="G612" s="75" t="s">
        <v>506</v>
      </c>
      <c r="H612" s="70"/>
    </row>
    <row r="613" spans="1:8" ht="16" x14ac:dyDescent="0.2">
      <c r="A613" s="73"/>
      <c r="B613" s="77"/>
      <c r="C613" s="74"/>
      <c r="D613" s="74" t="s">
        <v>944</v>
      </c>
      <c r="E613" s="78" t="s">
        <v>105</v>
      </c>
      <c r="F613" s="76" t="s">
        <v>1602</v>
      </c>
      <c r="G613" s="75" t="s">
        <v>506</v>
      </c>
      <c r="H613" s="70"/>
    </row>
    <row r="614" spans="1:8" ht="16" x14ac:dyDescent="0.2">
      <c r="A614" s="73"/>
      <c r="B614" s="77"/>
      <c r="C614" s="74"/>
      <c r="D614" s="74" t="s">
        <v>944</v>
      </c>
      <c r="E614" s="78" t="s">
        <v>105</v>
      </c>
      <c r="F614" s="76" t="s">
        <v>1603</v>
      </c>
      <c r="G614" s="75" t="s">
        <v>506</v>
      </c>
      <c r="H614" s="70"/>
    </row>
    <row r="615" spans="1:8" ht="16" x14ac:dyDescent="0.2">
      <c r="A615" s="73"/>
      <c r="B615" s="77"/>
      <c r="C615" s="74"/>
      <c r="D615" s="74" t="s">
        <v>944</v>
      </c>
      <c r="E615" s="78" t="s">
        <v>105</v>
      </c>
      <c r="F615" s="76" t="s">
        <v>1604</v>
      </c>
      <c r="G615" s="75" t="s">
        <v>506</v>
      </c>
      <c r="H615" s="70"/>
    </row>
    <row r="616" spans="1:8" x14ac:dyDescent="0.2">
      <c r="A616" s="73"/>
      <c r="B616" s="77"/>
      <c r="C616" s="74"/>
      <c r="D616" s="74" t="s">
        <v>944</v>
      </c>
      <c r="E616" s="78" t="s">
        <v>105</v>
      </c>
      <c r="F616" s="76" t="s">
        <v>1225</v>
      </c>
      <c r="G616" s="86" t="s">
        <v>1605</v>
      </c>
      <c r="H616" s="70"/>
    </row>
    <row r="617" spans="1:8" x14ac:dyDescent="0.2">
      <c r="A617" s="73"/>
      <c r="B617" s="77"/>
      <c r="C617" s="74"/>
      <c r="D617" s="74" t="s">
        <v>944</v>
      </c>
      <c r="E617" s="78" t="s">
        <v>105</v>
      </c>
      <c r="F617" s="76" t="s">
        <v>1225</v>
      </c>
      <c r="G617" s="86" t="s">
        <v>1605</v>
      </c>
      <c r="H617" s="70"/>
    </row>
    <row r="618" spans="1:8" ht="16" x14ac:dyDescent="0.2">
      <c r="A618" s="73"/>
      <c r="B618" s="85"/>
      <c r="C618" s="74"/>
      <c r="D618" s="74" t="s">
        <v>942</v>
      </c>
      <c r="E618" s="78" t="s">
        <v>99</v>
      </c>
      <c r="F618" s="76" t="s">
        <v>1606</v>
      </c>
      <c r="G618" s="75" t="s">
        <v>926</v>
      </c>
      <c r="H618" s="70"/>
    </row>
    <row r="619" spans="1:8" x14ac:dyDescent="0.2">
      <c r="A619" s="73"/>
      <c r="B619" s="77"/>
      <c r="C619" s="74"/>
      <c r="D619" s="74" t="s">
        <v>942</v>
      </c>
      <c r="E619" s="78" t="s">
        <v>112</v>
      </c>
      <c r="F619" s="76" t="s">
        <v>353</v>
      </c>
      <c r="G619" s="86" t="s">
        <v>480</v>
      </c>
      <c r="H619" s="70"/>
    </row>
    <row r="620" spans="1:8" x14ac:dyDescent="0.2">
      <c r="A620" s="73"/>
      <c r="B620" s="77"/>
      <c r="C620" s="74"/>
      <c r="D620" s="74" t="s">
        <v>942</v>
      </c>
      <c r="E620" s="78" t="s">
        <v>966</v>
      </c>
      <c r="F620" s="76" t="s">
        <v>353</v>
      </c>
      <c r="G620" s="86" t="s">
        <v>480</v>
      </c>
      <c r="H620" s="70"/>
    </row>
    <row r="621" spans="1:8" x14ac:dyDescent="0.2">
      <c r="A621" s="73"/>
      <c r="B621" s="77"/>
      <c r="C621" s="74"/>
      <c r="D621" s="74" t="s">
        <v>942</v>
      </c>
      <c r="E621" s="78" t="s">
        <v>112</v>
      </c>
      <c r="F621" s="76" t="s">
        <v>1607</v>
      </c>
      <c r="G621" s="86" t="s">
        <v>480</v>
      </c>
      <c r="H621" s="70"/>
    </row>
    <row r="622" spans="1:8" x14ac:dyDescent="0.2">
      <c r="A622" s="73"/>
      <c r="B622" s="77"/>
      <c r="C622" s="74"/>
      <c r="D622" s="74" t="s">
        <v>942</v>
      </c>
      <c r="E622" s="78" t="s">
        <v>966</v>
      </c>
      <c r="F622" s="76" t="s">
        <v>1607</v>
      </c>
      <c r="G622" s="86" t="s">
        <v>480</v>
      </c>
      <c r="H622" s="70"/>
    </row>
    <row r="623" spans="1:8" ht="16" x14ac:dyDescent="0.2">
      <c r="A623" s="73"/>
      <c r="B623" s="77"/>
      <c r="C623" s="74"/>
      <c r="D623" s="74" t="s">
        <v>942</v>
      </c>
      <c r="E623" s="78" t="s">
        <v>112</v>
      </c>
      <c r="F623" s="76" t="s">
        <v>1608</v>
      </c>
      <c r="G623" s="75" t="s">
        <v>483</v>
      </c>
      <c r="H623" s="70"/>
    </row>
    <row r="624" spans="1:8" ht="16" x14ac:dyDescent="0.2">
      <c r="A624" s="73"/>
      <c r="B624" s="77"/>
      <c r="C624" s="74"/>
      <c r="D624" s="74" t="s">
        <v>942</v>
      </c>
      <c r="E624" s="78" t="s">
        <v>966</v>
      </c>
      <c r="F624" s="76" t="s">
        <v>1608</v>
      </c>
      <c r="G624" s="75" t="s">
        <v>483</v>
      </c>
      <c r="H624" s="70"/>
    </row>
    <row r="625" spans="1:8" ht="16" x14ac:dyDescent="0.2">
      <c r="A625" s="73"/>
      <c r="B625" s="77"/>
      <c r="C625" s="74"/>
      <c r="D625" s="74" t="s">
        <v>942</v>
      </c>
      <c r="E625" s="78" t="s">
        <v>112</v>
      </c>
      <c r="F625" s="76" t="s">
        <v>1609</v>
      </c>
      <c r="G625" s="75" t="s">
        <v>483</v>
      </c>
      <c r="H625" s="70"/>
    </row>
    <row r="626" spans="1:8" ht="16" x14ac:dyDescent="0.2">
      <c r="A626" s="73"/>
      <c r="B626" s="77"/>
      <c r="C626" s="74"/>
      <c r="D626" s="74" t="s">
        <v>942</v>
      </c>
      <c r="E626" s="78" t="s">
        <v>966</v>
      </c>
      <c r="F626" s="76" t="s">
        <v>1609</v>
      </c>
      <c r="G626" s="75" t="s">
        <v>483</v>
      </c>
      <c r="H626" s="70"/>
    </row>
    <row r="627" spans="1:8" ht="16" x14ac:dyDescent="0.2">
      <c r="A627" s="73"/>
      <c r="B627" s="77"/>
      <c r="C627" s="74"/>
      <c r="D627" s="74" t="s">
        <v>942</v>
      </c>
      <c r="E627" s="78" t="s">
        <v>112</v>
      </c>
      <c r="F627" s="76" t="s">
        <v>1610</v>
      </c>
      <c r="G627" s="75" t="s">
        <v>483</v>
      </c>
      <c r="H627" s="70"/>
    </row>
    <row r="628" spans="1:8" ht="16" x14ac:dyDescent="0.2">
      <c r="A628" s="73"/>
      <c r="B628" s="77"/>
      <c r="C628" s="74"/>
      <c r="D628" s="74" t="s">
        <v>942</v>
      </c>
      <c r="E628" s="78" t="s">
        <v>966</v>
      </c>
      <c r="F628" s="76" t="s">
        <v>1610</v>
      </c>
      <c r="G628" s="75" t="s">
        <v>483</v>
      </c>
      <c r="H628" s="70"/>
    </row>
    <row r="629" spans="1:8" ht="16" x14ac:dyDescent="0.2">
      <c r="A629" s="73"/>
      <c r="B629" s="77"/>
      <c r="C629" s="74"/>
      <c r="D629" s="74" t="s">
        <v>942</v>
      </c>
      <c r="E629" s="78" t="s">
        <v>112</v>
      </c>
      <c r="F629" s="76" t="s">
        <v>1611</v>
      </c>
      <c r="G629" s="75" t="s">
        <v>483</v>
      </c>
      <c r="H629" s="70"/>
    </row>
    <row r="630" spans="1:8" ht="16" x14ac:dyDescent="0.2">
      <c r="A630" s="73"/>
      <c r="B630" s="77"/>
      <c r="C630" s="74"/>
      <c r="D630" s="74" t="s">
        <v>942</v>
      </c>
      <c r="E630" s="78" t="s">
        <v>966</v>
      </c>
      <c r="F630" s="76" t="s">
        <v>1611</v>
      </c>
      <c r="G630" s="75" t="s">
        <v>483</v>
      </c>
      <c r="H630" s="70"/>
    </row>
    <row r="631" spans="1:8" ht="16" x14ac:dyDescent="0.2">
      <c r="A631" s="73"/>
      <c r="B631" s="77"/>
      <c r="C631" s="74"/>
      <c r="D631" s="74" t="s">
        <v>942</v>
      </c>
      <c r="E631" s="78" t="s">
        <v>112</v>
      </c>
      <c r="F631" s="76" t="s">
        <v>1612</v>
      </c>
      <c r="G631" s="75" t="s">
        <v>537</v>
      </c>
      <c r="H631" s="70"/>
    </row>
    <row r="632" spans="1:8" ht="16" x14ac:dyDescent="0.2">
      <c r="A632" s="73"/>
      <c r="B632" s="77"/>
      <c r="C632" s="74"/>
      <c r="D632" s="74" t="s">
        <v>942</v>
      </c>
      <c r="E632" s="78" t="s">
        <v>966</v>
      </c>
      <c r="F632" s="76" t="s">
        <v>1612</v>
      </c>
      <c r="G632" s="75" t="s">
        <v>537</v>
      </c>
      <c r="H632" s="70"/>
    </row>
    <row r="633" spans="1:8" ht="16" x14ac:dyDescent="0.2">
      <c r="A633" s="73"/>
      <c r="B633" s="77"/>
      <c r="C633" s="74"/>
      <c r="D633" s="74" t="s">
        <v>942</v>
      </c>
      <c r="E633" s="78" t="s">
        <v>112</v>
      </c>
      <c r="F633" s="76" t="s">
        <v>1613</v>
      </c>
      <c r="G633" s="75" t="s">
        <v>539</v>
      </c>
      <c r="H633" s="70"/>
    </row>
    <row r="634" spans="1:8" ht="16" x14ac:dyDescent="0.2">
      <c r="A634" s="73"/>
      <c r="B634" s="77"/>
      <c r="C634" s="74"/>
      <c r="D634" s="74" t="s">
        <v>942</v>
      </c>
      <c r="E634" s="78" t="s">
        <v>966</v>
      </c>
      <c r="F634" s="76" t="s">
        <v>1613</v>
      </c>
      <c r="G634" s="75" t="s">
        <v>539</v>
      </c>
      <c r="H634" s="70"/>
    </row>
    <row r="635" spans="1:8" ht="16" x14ac:dyDescent="0.2">
      <c r="A635" s="73"/>
      <c r="B635" s="77"/>
      <c r="C635" s="74"/>
      <c r="D635" s="74" t="s">
        <v>942</v>
      </c>
      <c r="E635" s="78" t="s">
        <v>112</v>
      </c>
      <c r="F635" s="76" t="s">
        <v>1614</v>
      </c>
      <c r="G635" s="75" t="s">
        <v>539</v>
      </c>
      <c r="H635" s="70"/>
    </row>
    <row r="636" spans="1:8" ht="16" x14ac:dyDescent="0.2">
      <c r="A636" s="73"/>
      <c r="B636" s="77"/>
      <c r="C636" s="74"/>
      <c r="D636" s="74" t="s">
        <v>942</v>
      </c>
      <c r="E636" s="78" t="s">
        <v>966</v>
      </c>
      <c r="F636" s="76" t="s">
        <v>1614</v>
      </c>
      <c r="G636" s="75" t="s">
        <v>539</v>
      </c>
      <c r="H636" s="70"/>
    </row>
    <row r="637" spans="1:8" ht="16" x14ac:dyDescent="0.2">
      <c r="A637" s="73"/>
      <c r="B637" s="77"/>
      <c r="C637" s="74"/>
      <c r="D637" s="74" t="s">
        <v>942</v>
      </c>
      <c r="E637" s="78" t="s">
        <v>112</v>
      </c>
      <c r="F637" s="76" t="s">
        <v>1615</v>
      </c>
      <c r="G637" s="75" t="s">
        <v>347</v>
      </c>
      <c r="H637" s="70"/>
    </row>
    <row r="638" spans="1:8" ht="16" x14ac:dyDescent="0.2">
      <c r="A638" s="73"/>
      <c r="B638" s="77"/>
      <c r="C638" s="74"/>
      <c r="D638" s="74" t="s">
        <v>942</v>
      </c>
      <c r="E638" s="78" t="s">
        <v>966</v>
      </c>
      <c r="F638" s="76" t="s">
        <v>1615</v>
      </c>
      <c r="G638" s="75" t="s">
        <v>347</v>
      </c>
      <c r="H638" s="70"/>
    </row>
    <row r="639" spans="1:8" ht="16" x14ac:dyDescent="0.2">
      <c r="A639" s="73"/>
      <c r="B639" s="77"/>
      <c r="C639" s="74"/>
      <c r="D639" s="74" t="s">
        <v>942</v>
      </c>
      <c r="E639" s="78" t="s">
        <v>112</v>
      </c>
      <c r="F639" s="76" t="s">
        <v>353</v>
      </c>
      <c r="G639" s="75" t="s">
        <v>347</v>
      </c>
      <c r="H639" s="70"/>
    </row>
    <row r="640" spans="1:8" ht="16" x14ac:dyDescent="0.2">
      <c r="A640" s="73"/>
      <c r="B640" s="77"/>
      <c r="C640" s="74"/>
      <c r="D640" s="74" t="s">
        <v>942</v>
      </c>
      <c r="E640" s="78" t="s">
        <v>966</v>
      </c>
      <c r="F640" s="76" t="s">
        <v>353</v>
      </c>
      <c r="G640" s="75" t="s">
        <v>347</v>
      </c>
      <c r="H640" s="70"/>
    </row>
    <row r="641" spans="1:8" ht="16" x14ac:dyDescent="0.2">
      <c r="A641" s="73"/>
      <c r="B641" s="77"/>
      <c r="C641" s="74"/>
      <c r="D641" s="74" t="s">
        <v>942</v>
      </c>
      <c r="E641" s="78" t="s">
        <v>112</v>
      </c>
      <c r="F641" s="76" t="s">
        <v>1616</v>
      </c>
      <c r="G641" s="75" t="s">
        <v>351</v>
      </c>
      <c r="H641" s="70"/>
    </row>
    <row r="642" spans="1:8" ht="16" x14ac:dyDescent="0.2">
      <c r="A642" s="73"/>
      <c r="B642" s="77"/>
      <c r="C642" s="74"/>
      <c r="D642" s="74" t="s">
        <v>942</v>
      </c>
      <c r="E642" s="78" t="s">
        <v>966</v>
      </c>
      <c r="F642" s="76" t="s">
        <v>1616</v>
      </c>
      <c r="G642" s="75" t="s">
        <v>351</v>
      </c>
      <c r="H642" s="70"/>
    </row>
    <row r="643" spans="1:8" ht="16" x14ac:dyDescent="0.2">
      <c r="A643" s="73"/>
      <c r="B643" s="77"/>
      <c r="C643" s="74"/>
      <c r="D643" s="74" t="s">
        <v>942</v>
      </c>
      <c r="E643" s="78" t="s">
        <v>112</v>
      </c>
      <c r="F643" s="76" t="s">
        <v>1608</v>
      </c>
      <c r="G643" s="75" t="s">
        <v>351</v>
      </c>
      <c r="H643" s="70"/>
    </row>
    <row r="644" spans="1:8" ht="16" x14ac:dyDescent="0.2">
      <c r="A644" s="73"/>
      <c r="B644" s="77"/>
      <c r="C644" s="74"/>
      <c r="D644" s="74" t="s">
        <v>942</v>
      </c>
      <c r="E644" s="78" t="s">
        <v>966</v>
      </c>
      <c r="F644" s="76" t="s">
        <v>1608</v>
      </c>
      <c r="G644" s="75" t="s">
        <v>351</v>
      </c>
      <c r="H644" s="70"/>
    </row>
    <row r="645" spans="1:8" ht="16" x14ac:dyDescent="0.2">
      <c r="A645" s="73"/>
      <c r="B645" s="77"/>
      <c r="C645" s="74"/>
      <c r="D645" s="74" t="s">
        <v>942</v>
      </c>
      <c r="E645" s="78" t="s">
        <v>112</v>
      </c>
      <c r="F645" s="76" t="s">
        <v>1617</v>
      </c>
      <c r="G645" s="75" t="s">
        <v>351</v>
      </c>
      <c r="H645" s="70"/>
    </row>
    <row r="646" spans="1:8" ht="16" x14ac:dyDescent="0.2">
      <c r="A646" s="73"/>
      <c r="B646" s="77"/>
      <c r="C646" s="74"/>
      <c r="D646" s="74" t="s">
        <v>942</v>
      </c>
      <c r="E646" s="78" t="s">
        <v>966</v>
      </c>
      <c r="F646" s="76" t="s">
        <v>1617</v>
      </c>
      <c r="G646" s="75" t="s">
        <v>351</v>
      </c>
      <c r="H646" s="70"/>
    </row>
    <row r="647" spans="1:8" ht="16" x14ac:dyDescent="0.2">
      <c r="A647" s="73"/>
      <c r="B647" s="77"/>
      <c r="C647" s="74"/>
      <c r="D647" s="74" t="s">
        <v>942</v>
      </c>
      <c r="E647" s="78" t="s">
        <v>112</v>
      </c>
      <c r="F647" s="76" t="s">
        <v>1610</v>
      </c>
      <c r="G647" s="75" t="s">
        <v>351</v>
      </c>
      <c r="H647" s="70"/>
    </row>
    <row r="648" spans="1:8" ht="16" x14ac:dyDescent="0.2">
      <c r="A648" s="73"/>
      <c r="B648" s="77"/>
      <c r="C648" s="74"/>
      <c r="D648" s="74" t="s">
        <v>942</v>
      </c>
      <c r="E648" s="78" t="s">
        <v>966</v>
      </c>
      <c r="F648" s="76" t="s">
        <v>1610</v>
      </c>
      <c r="G648" s="75" t="s">
        <v>351</v>
      </c>
      <c r="H648" s="70"/>
    </row>
    <row r="649" spans="1:8" x14ac:dyDescent="0.2">
      <c r="A649" s="73"/>
      <c r="B649" s="77"/>
      <c r="C649" s="74"/>
      <c r="D649" s="74" t="s">
        <v>942</v>
      </c>
      <c r="E649" s="78" t="s">
        <v>112</v>
      </c>
      <c r="F649" s="76" t="s">
        <v>1618</v>
      </c>
      <c r="G649" s="76" t="s">
        <v>231</v>
      </c>
      <c r="H649" s="70"/>
    </row>
    <row r="650" spans="1:8" x14ac:dyDescent="0.2">
      <c r="A650" s="73"/>
      <c r="B650" s="77"/>
      <c r="C650" s="74"/>
      <c r="D650" s="74" t="s">
        <v>942</v>
      </c>
      <c r="E650" s="78" t="s">
        <v>966</v>
      </c>
      <c r="F650" s="76" t="s">
        <v>1618</v>
      </c>
      <c r="G650" s="76" t="s">
        <v>231</v>
      </c>
      <c r="H650" s="70"/>
    </row>
    <row r="651" spans="1:8" x14ac:dyDescent="0.2">
      <c r="A651" s="73"/>
      <c r="B651" s="77"/>
      <c r="C651" s="74"/>
      <c r="D651" s="74" t="s">
        <v>942</v>
      </c>
      <c r="E651" s="78" t="s">
        <v>112</v>
      </c>
      <c r="F651" s="76" t="s">
        <v>1619</v>
      </c>
      <c r="G651" s="76" t="s">
        <v>1017</v>
      </c>
      <c r="H651" s="70"/>
    </row>
    <row r="652" spans="1:8" x14ac:dyDescent="0.2">
      <c r="A652" s="73"/>
      <c r="B652" s="77"/>
      <c r="C652" s="74"/>
      <c r="D652" s="74" t="s">
        <v>942</v>
      </c>
      <c r="E652" s="78" t="s">
        <v>966</v>
      </c>
      <c r="F652" s="76" t="s">
        <v>1619</v>
      </c>
      <c r="G652" s="76" t="s">
        <v>1017</v>
      </c>
      <c r="H652" s="70"/>
    </row>
    <row r="653" spans="1:8" x14ac:dyDescent="0.2">
      <c r="A653" s="73"/>
      <c r="B653" s="77"/>
      <c r="C653" s="74"/>
      <c r="D653" s="74" t="s">
        <v>942</v>
      </c>
      <c r="E653" s="78" t="s">
        <v>112</v>
      </c>
      <c r="F653" s="76" t="s">
        <v>1620</v>
      </c>
      <c r="G653" s="76" t="s">
        <v>1017</v>
      </c>
      <c r="H653" s="70"/>
    </row>
    <row r="654" spans="1:8" x14ac:dyDescent="0.2">
      <c r="A654" s="73"/>
      <c r="B654" s="77"/>
      <c r="C654" s="74"/>
      <c r="D654" s="74" t="s">
        <v>942</v>
      </c>
      <c r="E654" s="78" t="s">
        <v>966</v>
      </c>
      <c r="F654" s="76" t="s">
        <v>1620</v>
      </c>
      <c r="G654" s="76" t="s">
        <v>1017</v>
      </c>
      <c r="H654" s="70"/>
    </row>
    <row r="655" spans="1:8" x14ac:dyDescent="0.2">
      <c r="A655" s="73"/>
      <c r="B655" s="85"/>
      <c r="C655" s="74"/>
      <c r="D655" s="74" t="s">
        <v>942</v>
      </c>
      <c r="E655" s="78" t="s">
        <v>112</v>
      </c>
      <c r="F655" s="76" t="s">
        <v>364</v>
      </c>
      <c r="G655" s="86" t="s">
        <v>489</v>
      </c>
      <c r="H655" s="70"/>
    </row>
    <row r="656" spans="1:8" x14ac:dyDescent="0.2">
      <c r="A656" s="73"/>
      <c r="B656" s="85"/>
      <c r="C656" s="74"/>
      <c r="D656" s="74" t="s">
        <v>942</v>
      </c>
      <c r="E656" s="78" t="s">
        <v>112</v>
      </c>
      <c r="F656" s="76" t="s">
        <v>364</v>
      </c>
      <c r="G656" s="86" t="s">
        <v>486</v>
      </c>
      <c r="H656" s="70"/>
    </row>
    <row r="657" spans="1:8" ht="16" x14ac:dyDescent="0.2">
      <c r="A657" s="73"/>
      <c r="B657" s="85"/>
      <c r="C657" s="74"/>
      <c r="D657" s="74" t="s">
        <v>942</v>
      </c>
      <c r="E657" s="78" t="s">
        <v>128</v>
      </c>
      <c r="F657" s="76" t="s">
        <v>1592</v>
      </c>
      <c r="G657" s="75" t="s">
        <v>321</v>
      </c>
      <c r="H657" s="70"/>
    </row>
    <row r="658" spans="1:8" ht="16" x14ac:dyDescent="0.2">
      <c r="A658" s="73"/>
      <c r="B658" s="85"/>
      <c r="C658" s="74"/>
      <c r="D658" s="74" t="s">
        <v>942</v>
      </c>
      <c r="E658" s="78" t="s">
        <v>128</v>
      </c>
      <c r="F658" s="76" t="s">
        <v>364</v>
      </c>
      <c r="G658" s="75" t="s">
        <v>321</v>
      </c>
      <c r="H658" s="70"/>
    </row>
    <row r="659" spans="1:8" x14ac:dyDescent="0.2">
      <c r="A659" s="73"/>
      <c r="B659" s="77"/>
      <c r="C659" s="74"/>
      <c r="D659" s="74" t="s">
        <v>942</v>
      </c>
      <c r="E659" s="78" t="s">
        <v>112</v>
      </c>
      <c r="F659" s="76" t="s">
        <v>364</v>
      </c>
      <c r="G659" s="86" t="s">
        <v>492</v>
      </c>
      <c r="H659" s="70"/>
    </row>
    <row r="660" spans="1:8" x14ac:dyDescent="0.2">
      <c r="A660" s="73"/>
      <c r="B660" s="77"/>
      <c r="C660" s="74"/>
      <c r="D660" s="74" t="s">
        <v>942</v>
      </c>
      <c r="E660" s="78" t="s">
        <v>966</v>
      </c>
      <c r="F660" s="76" t="s">
        <v>364</v>
      </c>
      <c r="G660" s="86" t="s">
        <v>492</v>
      </c>
      <c r="H660" s="70"/>
    </row>
    <row r="661" spans="1:8" x14ac:dyDescent="0.2">
      <c r="A661" s="73"/>
      <c r="B661" s="77"/>
      <c r="C661" s="74"/>
      <c r="D661" s="74" t="s">
        <v>942</v>
      </c>
      <c r="E661" s="78" t="s">
        <v>112</v>
      </c>
      <c r="F661" s="76" t="s">
        <v>1621</v>
      </c>
      <c r="G661" s="86" t="s">
        <v>492</v>
      </c>
      <c r="H661" s="70"/>
    </row>
    <row r="662" spans="1:8" x14ac:dyDescent="0.2">
      <c r="A662" s="73"/>
      <c r="B662" s="77"/>
      <c r="C662" s="74"/>
      <c r="D662" s="74" t="s">
        <v>942</v>
      </c>
      <c r="E662" s="78" t="s">
        <v>966</v>
      </c>
      <c r="F662" s="76" t="s">
        <v>1621</v>
      </c>
      <c r="G662" s="86" t="s">
        <v>492</v>
      </c>
      <c r="H662" s="70"/>
    </row>
    <row r="663" spans="1:8" x14ac:dyDescent="0.2">
      <c r="A663" s="73"/>
      <c r="B663" s="77"/>
      <c r="C663" s="74"/>
      <c r="D663" s="74" t="s">
        <v>942</v>
      </c>
      <c r="E663" s="78" t="s">
        <v>96</v>
      </c>
      <c r="F663" s="76" t="s">
        <v>364</v>
      </c>
      <c r="G663" s="86" t="s">
        <v>1129</v>
      </c>
      <c r="H663" s="70"/>
    </row>
    <row r="664" spans="1:8" x14ac:dyDescent="0.2">
      <c r="A664" s="73"/>
      <c r="B664" s="77"/>
      <c r="C664" s="74"/>
      <c r="D664" s="74" t="s">
        <v>942</v>
      </c>
      <c r="E664" s="78" t="s">
        <v>96</v>
      </c>
      <c r="F664" s="76" t="s">
        <v>1621</v>
      </c>
      <c r="G664" s="86" t="s">
        <v>1129</v>
      </c>
      <c r="H664" s="70"/>
    </row>
    <row r="665" spans="1:8" x14ac:dyDescent="0.2">
      <c r="A665" s="73"/>
      <c r="B665" s="77"/>
      <c r="C665" s="74"/>
      <c r="D665" s="74" t="s">
        <v>942</v>
      </c>
      <c r="E665" s="78" t="s">
        <v>137</v>
      </c>
      <c r="F665" s="76" t="s">
        <v>364</v>
      </c>
      <c r="G665" s="86" t="s">
        <v>1129</v>
      </c>
      <c r="H665" s="70"/>
    </row>
    <row r="666" spans="1:8" x14ac:dyDescent="0.2">
      <c r="A666" s="73"/>
      <c r="B666" s="77"/>
      <c r="C666" s="74"/>
      <c r="D666" s="74" t="s">
        <v>942</v>
      </c>
      <c r="E666" s="78" t="s">
        <v>137</v>
      </c>
      <c r="F666" s="76" t="s">
        <v>1621</v>
      </c>
      <c r="G666" s="86" t="s">
        <v>1129</v>
      </c>
      <c r="H666" s="70"/>
    </row>
    <row r="667" spans="1:8" x14ac:dyDescent="0.2">
      <c r="A667" s="73"/>
      <c r="B667" s="77"/>
      <c r="C667" s="74"/>
      <c r="D667" s="74" t="s">
        <v>942</v>
      </c>
      <c r="E667" s="78" t="s">
        <v>119</v>
      </c>
      <c r="F667" s="76" t="s">
        <v>364</v>
      </c>
      <c r="G667" s="86" t="s">
        <v>1130</v>
      </c>
      <c r="H667" s="70"/>
    </row>
    <row r="668" spans="1:8" x14ac:dyDescent="0.2">
      <c r="A668" s="73"/>
      <c r="B668" s="77"/>
      <c r="C668" s="74"/>
      <c r="D668" s="74" t="s">
        <v>942</v>
      </c>
      <c r="E668" s="78" t="s">
        <v>119</v>
      </c>
      <c r="F668" s="76" t="s">
        <v>1621</v>
      </c>
      <c r="G668" s="86" t="s">
        <v>1130</v>
      </c>
      <c r="H668" s="70"/>
    </row>
    <row r="669" spans="1:8" ht="16" x14ac:dyDescent="0.2">
      <c r="A669" s="73"/>
      <c r="B669" s="77"/>
      <c r="C669" s="74"/>
      <c r="D669" s="74" t="s">
        <v>942</v>
      </c>
      <c r="E669" s="78" t="s">
        <v>112</v>
      </c>
      <c r="F669" s="76" t="s">
        <v>1622</v>
      </c>
      <c r="G669" s="75" t="s">
        <v>495</v>
      </c>
      <c r="H669" s="70"/>
    </row>
    <row r="670" spans="1:8" ht="16" x14ac:dyDescent="0.2">
      <c r="A670" s="73"/>
      <c r="B670" s="77"/>
      <c r="C670" s="74"/>
      <c r="D670" s="74" t="s">
        <v>942</v>
      </c>
      <c r="E670" s="78" t="s">
        <v>966</v>
      </c>
      <c r="F670" s="76" t="s">
        <v>1622</v>
      </c>
      <c r="G670" s="75" t="s">
        <v>495</v>
      </c>
      <c r="H670" s="70"/>
    </row>
    <row r="671" spans="1:8" ht="16" x14ac:dyDescent="0.2">
      <c r="A671" s="73"/>
      <c r="B671" s="77"/>
      <c r="C671" s="74"/>
      <c r="D671" s="74" t="s">
        <v>942</v>
      </c>
      <c r="E671" s="78" t="s">
        <v>112</v>
      </c>
      <c r="F671" s="76" t="s">
        <v>1623</v>
      </c>
      <c r="G671" s="75" t="s">
        <v>495</v>
      </c>
      <c r="H671" s="70"/>
    </row>
    <row r="672" spans="1:8" ht="16" x14ac:dyDescent="0.2">
      <c r="A672" s="73"/>
      <c r="B672" s="77"/>
      <c r="C672" s="74"/>
      <c r="D672" s="74" t="s">
        <v>942</v>
      </c>
      <c r="E672" s="78" t="s">
        <v>966</v>
      </c>
      <c r="F672" s="76" t="s">
        <v>1623</v>
      </c>
      <c r="G672" s="75" t="s">
        <v>495</v>
      </c>
      <c r="H672" s="70"/>
    </row>
    <row r="673" spans="1:8" ht="16" x14ac:dyDescent="0.2">
      <c r="A673" s="73"/>
      <c r="B673" s="77"/>
      <c r="C673" s="74"/>
      <c r="D673" s="74" t="s">
        <v>942</v>
      </c>
      <c r="E673" s="78" t="s">
        <v>112</v>
      </c>
      <c r="F673" s="76" t="s">
        <v>1624</v>
      </c>
      <c r="G673" s="75" t="s">
        <v>495</v>
      </c>
      <c r="H673" s="70"/>
    </row>
    <row r="674" spans="1:8" ht="16" x14ac:dyDescent="0.2">
      <c r="A674" s="73"/>
      <c r="B674" s="77"/>
      <c r="C674" s="74"/>
      <c r="D674" s="74" t="s">
        <v>942</v>
      </c>
      <c r="E674" s="78" t="s">
        <v>966</v>
      </c>
      <c r="F674" s="76" t="s">
        <v>1624</v>
      </c>
      <c r="G674" s="75" t="s">
        <v>495</v>
      </c>
      <c r="H674" s="70"/>
    </row>
    <row r="675" spans="1:8" ht="16" x14ac:dyDescent="0.2">
      <c r="A675" s="73"/>
      <c r="B675" s="77"/>
      <c r="C675" s="74"/>
      <c r="D675" s="74" t="s">
        <v>942</v>
      </c>
      <c r="E675" s="78" t="s">
        <v>112</v>
      </c>
      <c r="F675" s="76" t="s">
        <v>1625</v>
      </c>
      <c r="G675" s="75" t="s">
        <v>495</v>
      </c>
      <c r="H675" s="70"/>
    </row>
    <row r="676" spans="1:8" ht="16" x14ac:dyDescent="0.2">
      <c r="A676" s="73"/>
      <c r="B676" s="77"/>
      <c r="C676" s="74"/>
      <c r="D676" s="74" t="s">
        <v>942</v>
      </c>
      <c r="E676" s="78" t="s">
        <v>966</v>
      </c>
      <c r="F676" s="76" t="s">
        <v>1625</v>
      </c>
      <c r="G676" s="75" t="s">
        <v>495</v>
      </c>
      <c r="H676" s="70"/>
    </row>
    <row r="677" spans="1:8" x14ac:dyDescent="0.2">
      <c r="A677" s="73"/>
      <c r="B677" s="77"/>
      <c r="C677" s="74"/>
      <c r="D677" s="74" t="s">
        <v>942</v>
      </c>
      <c r="E677" s="78" t="s">
        <v>112</v>
      </c>
      <c r="F677" s="76" t="s">
        <v>1626</v>
      </c>
      <c r="G677" s="86" t="s">
        <v>1060</v>
      </c>
      <c r="H677" s="70"/>
    </row>
    <row r="678" spans="1:8" x14ac:dyDescent="0.2">
      <c r="A678" s="73"/>
      <c r="B678" s="77"/>
      <c r="C678" s="74"/>
      <c r="D678" s="74" t="s">
        <v>942</v>
      </c>
      <c r="E678" s="78" t="s">
        <v>966</v>
      </c>
      <c r="F678" s="76" t="s">
        <v>1626</v>
      </c>
      <c r="G678" s="86" t="s">
        <v>1060</v>
      </c>
      <c r="H678" s="70"/>
    </row>
    <row r="679" spans="1:8" ht="16" x14ac:dyDescent="0.2">
      <c r="A679" s="73"/>
      <c r="B679" s="77"/>
      <c r="C679" s="74"/>
      <c r="D679" s="74" t="s">
        <v>942</v>
      </c>
      <c r="E679" s="78" t="s">
        <v>112</v>
      </c>
      <c r="F679" s="76" t="s">
        <v>1627</v>
      </c>
      <c r="G679" s="75" t="s">
        <v>541</v>
      </c>
      <c r="H679" s="70"/>
    </row>
    <row r="680" spans="1:8" ht="16" x14ac:dyDescent="0.2">
      <c r="A680" s="73"/>
      <c r="B680" s="77"/>
      <c r="C680" s="74"/>
      <c r="D680" s="74" t="s">
        <v>942</v>
      </c>
      <c r="E680" s="78" t="s">
        <v>966</v>
      </c>
      <c r="F680" s="76" t="s">
        <v>1627</v>
      </c>
      <c r="G680" s="75" t="s">
        <v>541</v>
      </c>
      <c r="H680" s="70"/>
    </row>
    <row r="681" spans="1:8" ht="16" x14ac:dyDescent="0.2">
      <c r="A681" s="73"/>
      <c r="B681" s="77"/>
      <c r="C681" s="74"/>
      <c r="D681" s="74" t="s">
        <v>942</v>
      </c>
      <c r="E681" s="78" t="s">
        <v>112</v>
      </c>
      <c r="F681" s="76" t="s">
        <v>1628</v>
      </c>
      <c r="G681" s="75" t="s">
        <v>543</v>
      </c>
      <c r="H681" s="70"/>
    </row>
    <row r="682" spans="1:8" ht="16" x14ac:dyDescent="0.2">
      <c r="A682" s="73"/>
      <c r="B682" s="77"/>
      <c r="C682" s="74"/>
      <c r="D682" s="74" t="s">
        <v>942</v>
      </c>
      <c r="E682" s="78" t="s">
        <v>966</v>
      </c>
      <c r="F682" s="76" t="s">
        <v>1628</v>
      </c>
      <c r="G682" s="75" t="s">
        <v>543</v>
      </c>
      <c r="H682" s="70"/>
    </row>
    <row r="683" spans="1:8" ht="16" x14ac:dyDescent="0.2">
      <c r="A683" s="73"/>
      <c r="B683" s="77"/>
      <c r="C683" s="74"/>
      <c r="D683" s="74" t="s">
        <v>942</v>
      </c>
      <c r="E683" s="78" t="s">
        <v>112</v>
      </c>
      <c r="F683" s="76" t="s">
        <v>1629</v>
      </c>
      <c r="G683" s="75" t="s">
        <v>543</v>
      </c>
      <c r="H683" s="70"/>
    </row>
    <row r="684" spans="1:8" ht="16" x14ac:dyDescent="0.2">
      <c r="A684" s="73"/>
      <c r="B684" s="77"/>
      <c r="C684" s="74"/>
      <c r="D684" s="74" t="s">
        <v>942</v>
      </c>
      <c r="E684" s="78" t="s">
        <v>966</v>
      </c>
      <c r="F684" s="76" t="s">
        <v>1629</v>
      </c>
      <c r="G684" s="75" t="s">
        <v>543</v>
      </c>
      <c r="H684" s="70"/>
    </row>
    <row r="685" spans="1:8" ht="16" x14ac:dyDescent="0.2">
      <c r="A685" s="73"/>
      <c r="B685" s="77"/>
      <c r="C685" s="74"/>
      <c r="D685" s="74" t="s">
        <v>942</v>
      </c>
      <c r="E685" s="78" t="s">
        <v>112</v>
      </c>
      <c r="F685" s="76" t="s">
        <v>1630</v>
      </c>
      <c r="G685" s="75" t="s">
        <v>356</v>
      </c>
      <c r="H685" s="70"/>
    </row>
    <row r="686" spans="1:8" ht="16" x14ac:dyDescent="0.2">
      <c r="A686" s="73"/>
      <c r="B686" s="77"/>
      <c r="C686" s="74"/>
      <c r="D686" s="74" t="s">
        <v>942</v>
      </c>
      <c r="E686" s="78" t="s">
        <v>966</v>
      </c>
      <c r="F686" s="76" t="s">
        <v>1630</v>
      </c>
      <c r="G686" s="75" t="s">
        <v>356</v>
      </c>
      <c r="H686" s="70"/>
    </row>
    <row r="687" spans="1:8" ht="16" x14ac:dyDescent="0.2">
      <c r="A687" s="73"/>
      <c r="B687" s="77"/>
      <c r="C687" s="74"/>
      <c r="D687" s="74" t="s">
        <v>942</v>
      </c>
      <c r="E687" s="78" t="s">
        <v>112</v>
      </c>
      <c r="F687" s="76" t="s">
        <v>1631</v>
      </c>
      <c r="G687" s="75" t="s">
        <v>359</v>
      </c>
      <c r="H687" s="70"/>
    </row>
    <row r="688" spans="1:8" ht="16" x14ac:dyDescent="0.2">
      <c r="A688" s="73"/>
      <c r="B688" s="77"/>
      <c r="C688" s="74"/>
      <c r="D688" s="74" t="s">
        <v>942</v>
      </c>
      <c r="E688" s="78" t="s">
        <v>966</v>
      </c>
      <c r="F688" s="76" t="s">
        <v>1631</v>
      </c>
      <c r="G688" s="75" t="s">
        <v>359</v>
      </c>
      <c r="H688" s="70"/>
    </row>
    <row r="689" spans="1:8" ht="16" x14ac:dyDescent="0.2">
      <c r="A689" s="73"/>
      <c r="B689" s="77"/>
      <c r="C689" s="74"/>
      <c r="D689" s="74" t="s">
        <v>942</v>
      </c>
      <c r="E689" s="78" t="s">
        <v>112</v>
      </c>
      <c r="F689" s="76" t="s">
        <v>1632</v>
      </c>
      <c r="G689" s="75" t="s">
        <v>359</v>
      </c>
      <c r="H689" s="70"/>
    </row>
    <row r="690" spans="1:8" ht="16" x14ac:dyDescent="0.2">
      <c r="A690" s="73"/>
      <c r="B690" s="77"/>
      <c r="C690" s="74"/>
      <c r="D690" s="74" t="s">
        <v>942</v>
      </c>
      <c r="E690" s="78" t="s">
        <v>966</v>
      </c>
      <c r="F690" s="76" t="s">
        <v>1632</v>
      </c>
      <c r="G690" s="75" t="s">
        <v>359</v>
      </c>
      <c r="H690" s="70"/>
    </row>
    <row r="691" spans="1:8" ht="16" x14ac:dyDescent="0.2">
      <c r="A691" s="73"/>
      <c r="B691" s="77"/>
      <c r="C691" s="74"/>
      <c r="D691" s="74" t="s">
        <v>942</v>
      </c>
      <c r="E691" s="78" t="s">
        <v>112</v>
      </c>
      <c r="F691" s="76" t="s">
        <v>1633</v>
      </c>
      <c r="G691" s="75" t="s">
        <v>236</v>
      </c>
      <c r="H691" s="70"/>
    </row>
    <row r="692" spans="1:8" ht="16" x14ac:dyDescent="0.2">
      <c r="A692" s="73"/>
      <c r="B692" s="77"/>
      <c r="C692" s="74"/>
      <c r="D692" s="74" t="s">
        <v>942</v>
      </c>
      <c r="E692" s="78" t="s">
        <v>966</v>
      </c>
      <c r="F692" s="76" t="s">
        <v>1633</v>
      </c>
      <c r="G692" s="75" t="s">
        <v>236</v>
      </c>
      <c r="H692" s="70"/>
    </row>
    <row r="693" spans="1:8" ht="16" x14ac:dyDescent="0.2">
      <c r="A693" s="73"/>
      <c r="B693" s="77"/>
      <c r="C693" s="74"/>
      <c r="D693" s="74" t="s">
        <v>953</v>
      </c>
      <c r="E693" s="78" t="s">
        <v>105</v>
      </c>
      <c r="F693" s="76" t="s">
        <v>1634</v>
      </c>
      <c r="G693" s="88" t="s">
        <v>504</v>
      </c>
      <c r="H693" s="70"/>
    </row>
    <row r="694" spans="1:8" ht="16" x14ac:dyDescent="0.2">
      <c r="A694" s="73"/>
      <c r="B694" s="77"/>
      <c r="C694" s="74"/>
      <c r="D694" s="74" t="s">
        <v>953</v>
      </c>
      <c r="E694" s="78" t="s">
        <v>105</v>
      </c>
      <c r="F694" s="76" t="s">
        <v>1634</v>
      </c>
      <c r="G694" s="88" t="s">
        <v>504</v>
      </c>
      <c r="H694" s="70"/>
    </row>
    <row r="695" spans="1:8" ht="16" x14ac:dyDescent="0.2">
      <c r="A695" s="73"/>
      <c r="B695" s="77"/>
      <c r="C695" s="74"/>
      <c r="D695" s="74" t="s">
        <v>953</v>
      </c>
      <c r="E695" s="78" t="s">
        <v>105</v>
      </c>
      <c r="F695" s="76" t="s">
        <v>1635</v>
      </c>
      <c r="G695" s="88" t="s">
        <v>504</v>
      </c>
      <c r="H695" s="70"/>
    </row>
    <row r="696" spans="1:8" ht="16" x14ac:dyDescent="0.2">
      <c r="A696" s="73"/>
      <c r="B696" s="77"/>
      <c r="C696" s="74"/>
      <c r="D696" s="74" t="s">
        <v>953</v>
      </c>
      <c r="E696" s="78" t="s">
        <v>105</v>
      </c>
      <c r="F696" s="76" t="s">
        <v>1635</v>
      </c>
      <c r="G696" s="88" t="s">
        <v>504</v>
      </c>
      <c r="H696" s="70"/>
    </row>
    <row r="697" spans="1:8" ht="16" x14ac:dyDescent="0.2">
      <c r="A697" s="73"/>
      <c r="B697" s="77"/>
      <c r="C697" s="74"/>
      <c r="D697" s="74" t="s">
        <v>953</v>
      </c>
      <c r="E697" s="78" t="s">
        <v>105</v>
      </c>
      <c r="F697" s="76" t="s">
        <v>1636</v>
      </c>
      <c r="G697" s="88" t="s">
        <v>504</v>
      </c>
      <c r="H697" s="70"/>
    </row>
    <row r="698" spans="1:8" ht="16" x14ac:dyDescent="0.2">
      <c r="A698" s="73"/>
      <c r="B698" s="77"/>
      <c r="C698" s="74"/>
      <c r="D698" s="74" t="s">
        <v>953</v>
      </c>
      <c r="E698" s="78" t="s">
        <v>105</v>
      </c>
      <c r="F698" s="76" t="s">
        <v>1636</v>
      </c>
      <c r="G698" s="88" t="s">
        <v>504</v>
      </c>
      <c r="H698" s="70"/>
    </row>
    <row r="699" spans="1:8" ht="16" x14ac:dyDescent="0.2">
      <c r="A699" s="73"/>
      <c r="B699" s="77"/>
      <c r="C699" s="74"/>
      <c r="D699" s="74" t="s">
        <v>953</v>
      </c>
      <c r="E699" s="78" t="s">
        <v>105</v>
      </c>
      <c r="F699" s="76" t="s">
        <v>1637</v>
      </c>
      <c r="G699" s="88" t="s">
        <v>504</v>
      </c>
      <c r="H699" s="70"/>
    </row>
    <row r="700" spans="1:8" ht="16" x14ac:dyDescent="0.2">
      <c r="A700" s="73"/>
      <c r="B700" s="77"/>
      <c r="C700" s="74"/>
      <c r="D700" s="74" t="s">
        <v>953</v>
      </c>
      <c r="E700" s="78" t="s">
        <v>105</v>
      </c>
      <c r="F700" s="76" t="s">
        <v>1637</v>
      </c>
      <c r="G700" s="88" t="s">
        <v>504</v>
      </c>
      <c r="H700" s="70"/>
    </row>
    <row r="701" spans="1:8" ht="16" x14ac:dyDescent="0.2">
      <c r="A701" s="73"/>
      <c r="B701" s="77"/>
      <c r="C701" s="74"/>
      <c r="D701" s="74" t="s">
        <v>953</v>
      </c>
      <c r="E701" s="78" t="s">
        <v>105</v>
      </c>
      <c r="F701" s="76" t="s">
        <v>1638</v>
      </c>
      <c r="G701" s="88" t="s">
        <v>504</v>
      </c>
      <c r="H701" s="70"/>
    </row>
    <row r="702" spans="1:8" ht="16" x14ac:dyDescent="0.2">
      <c r="A702" s="73"/>
      <c r="B702" s="77"/>
      <c r="C702" s="74"/>
      <c r="D702" s="74" t="s">
        <v>953</v>
      </c>
      <c r="E702" s="78" t="s">
        <v>105</v>
      </c>
      <c r="F702" s="76" t="s">
        <v>1638</v>
      </c>
      <c r="G702" s="88" t="s">
        <v>504</v>
      </c>
      <c r="H702" s="70"/>
    </row>
    <row r="703" spans="1:8" ht="16" x14ac:dyDescent="0.2">
      <c r="A703" s="73"/>
      <c r="B703" s="77"/>
      <c r="C703" s="74"/>
      <c r="D703" s="74" t="s">
        <v>953</v>
      </c>
      <c r="E703" s="78" t="s">
        <v>105</v>
      </c>
      <c r="F703" s="76" t="s">
        <v>1639</v>
      </c>
      <c r="G703" s="88" t="s">
        <v>504</v>
      </c>
      <c r="H703" s="70"/>
    </row>
    <row r="704" spans="1:8" ht="16" x14ac:dyDescent="0.2">
      <c r="A704" s="73"/>
      <c r="B704" s="77"/>
      <c r="C704" s="74"/>
      <c r="D704" s="74" t="s">
        <v>953</v>
      </c>
      <c r="E704" s="78" t="s">
        <v>105</v>
      </c>
      <c r="F704" s="76" t="s">
        <v>1639</v>
      </c>
      <c r="G704" s="88" t="s">
        <v>504</v>
      </c>
      <c r="H704" s="70"/>
    </row>
    <row r="705" spans="1:8" ht="16" x14ac:dyDescent="0.2">
      <c r="A705" s="73"/>
      <c r="B705" s="77"/>
      <c r="C705" s="74"/>
      <c r="D705" s="74" t="s">
        <v>953</v>
      </c>
      <c r="E705" s="78" t="s">
        <v>105</v>
      </c>
      <c r="F705" s="76" t="s">
        <v>1640</v>
      </c>
      <c r="G705" s="88" t="s">
        <v>504</v>
      </c>
      <c r="H705" s="70"/>
    </row>
    <row r="706" spans="1:8" ht="16" x14ac:dyDescent="0.2">
      <c r="A706" s="73"/>
      <c r="B706" s="77"/>
      <c r="C706" s="74"/>
      <c r="D706" s="74" t="s">
        <v>953</v>
      </c>
      <c r="E706" s="78" t="s">
        <v>966</v>
      </c>
      <c r="F706" s="76" t="s">
        <v>390</v>
      </c>
      <c r="G706" s="75" t="s">
        <v>1152</v>
      </c>
      <c r="H706" s="70"/>
    </row>
    <row r="707" spans="1:8" ht="16" x14ac:dyDescent="0.2">
      <c r="A707" s="73"/>
      <c r="B707" s="77"/>
      <c r="C707" s="74"/>
      <c r="D707" s="74" t="s">
        <v>953</v>
      </c>
      <c r="E707" s="78" t="s">
        <v>966</v>
      </c>
      <c r="F707" s="76" t="s">
        <v>1641</v>
      </c>
      <c r="G707" s="75" t="s">
        <v>1152</v>
      </c>
      <c r="H707" s="70"/>
    </row>
    <row r="708" spans="1:8" ht="16" x14ac:dyDescent="0.2">
      <c r="A708" s="73"/>
      <c r="B708" s="77"/>
      <c r="C708" s="74"/>
      <c r="D708" s="74" t="s">
        <v>953</v>
      </c>
      <c r="E708" s="78" t="s">
        <v>966</v>
      </c>
      <c r="F708" s="76" t="s">
        <v>1642</v>
      </c>
      <c r="G708" s="75" t="s">
        <v>1152</v>
      </c>
      <c r="H708" s="70"/>
    </row>
    <row r="709" spans="1:8" ht="16" x14ac:dyDescent="0.2">
      <c r="A709" s="73"/>
      <c r="B709" s="77"/>
      <c r="C709" s="74"/>
      <c r="D709" s="74" t="s">
        <v>953</v>
      </c>
      <c r="E709" s="78" t="s">
        <v>966</v>
      </c>
      <c r="F709" s="76" t="s">
        <v>1643</v>
      </c>
      <c r="G709" s="75" t="s">
        <v>1152</v>
      </c>
      <c r="H709" s="70"/>
    </row>
    <row r="710" spans="1:8" ht="16" x14ac:dyDescent="0.2">
      <c r="A710" s="73"/>
      <c r="B710" s="77"/>
      <c r="C710" s="74"/>
      <c r="D710" s="74" t="s">
        <v>953</v>
      </c>
      <c r="E710" s="78" t="s">
        <v>966</v>
      </c>
      <c r="F710" s="76" t="s">
        <v>1644</v>
      </c>
      <c r="G710" s="75" t="s">
        <v>1152</v>
      </c>
      <c r="H710" s="70"/>
    </row>
    <row r="711" spans="1:8" ht="16" x14ac:dyDescent="0.2">
      <c r="A711" s="73"/>
      <c r="B711" s="77"/>
      <c r="C711" s="74"/>
      <c r="D711" s="74" t="s">
        <v>953</v>
      </c>
      <c r="E711" s="78" t="s">
        <v>966</v>
      </c>
      <c r="F711" s="76" t="s">
        <v>1645</v>
      </c>
      <c r="G711" s="75" t="s">
        <v>1152</v>
      </c>
      <c r="H711" s="70"/>
    </row>
    <row r="712" spans="1:8" ht="16" x14ac:dyDescent="0.2">
      <c r="A712" s="73"/>
      <c r="B712" s="77"/>
      <c r="C712" s="74"/>
      <c r="D712" s="74" t="s">
        <v>953</v>
      </c>
      <c r="E712" s="78" t="s">
        <v>96</v>
      </c>
      <c r="F712" s="76" t="s">
        <v>390</v>
      </c>
      <c r="G712" s="75" t="s">
        <v>1153</v>
      </c>
      <c r="H712" s="70"/>
    </row>
    <row r="713" spans="1:8" ht="16" x14ac:dyDescent="0.2">
      <c r="A713" s="73"/>
      <c r="B713" s="77"/>
      <c r="C713" s="74"/>
      <c r="D713" s="74" t="s">
        <v>953</v>
      </c>
      <c r="E713" s="78" t="s">
        <v>96</v>
      </c>
      <c r="F713" s="76" t="s">
        <v>1641</v>
      </c>
      <c r="G713" s="75" t="s">
        <v>1153</v>
      </c>
      <c r="H713" s="70"/>
    </row>
    <row r="714" spans="1:8" ht="16" x14ac:dyDescent="0.2">
      <c r="A714" s="73"/>
      <c r="B714" s="77"/>
      <c r="C714" s="74"/>
      <c r="D714" s="74" t="s">
        <v>953</v>
      </c>
      <c r="E714" s="78" t="s">
        <v>96</v>
      </c>
      <c r="F714" s="76" t="s">
        <v>1642</v>
      </c>
      <c r="G714" s="75" t="s">
        <v>1153</v>
      </c>
      <c r="H714" s="70"/>
    </row>
    <row r="715" spans="1:8" ht="16" x14ac:dyDescent="0.2">
      <c r="A715" s="73"/>
      <c r="B715" s="77"/>
      <c r="C715" s="74"/>
      <c r="D715" s="74" t="s">
        <v>953</v>
      </c>
      <c r="E715" s="78" t="s">
        <v>96</v>
      </c>
      <c r="F715" s="76" t="s">
        <v>1643</v>
      </c>
      <c r="G715" s="75" t="s">
        <v>1153</v>
      </c>
      <c r="H715" s="70"/>
    </row>
    <row r="716" spans="1:8" ht="16" x14ac:dyDescent="0.2">
      <c r="A716" s="73"/>
      <c r="B716" s="77"/>
      <c r="C716" s="74"/>
      <c r="D716" s="74" t="s">
        <v>953</v>
      </c>
      <c r="E716" s="78" t="s">
        <v>96</v>
      </c>
      <c r="F716" s="76" t="s">
        <v>1644</v>
      </c>
      <c r="G716" s="75" t="s">
        <v>1153</v>
      </c>
      <c r="H716" s="70"/>
    </row>
    <row r="717" spans="1:8" ht="16" x14ac:dyDescent="0.2">
      <c r="A717" s="73"/>
      <c r="B717" s="77"/>
      <c r="C717" s="74"/>
      <c r="D717" s="74" t="s">
        <v>953</v>
      </c>
      <c r="E717" s="78" t="s">
        <v>96</v>
      </c>
      <c r="F717" s="76" t="s">
        <v>1645</v>
      </c>
      <c r="G717" s="75" t="s">
        <v>1153</v>
      </c>
      <c r="H717" s="70"/>
    </row>
    <row r="718" spans="1:8" ht="16" x14ac:dyDescent="0.2">
      <c r="A718" s="73"/>
      <c r="B718" s="77"/>
      <c r="C718" s="74"/>
      <c r="D718" s="74" t="s">
        <v>953</v>
      </c>
      <c r="E718" s="78" t="s">
        <v>137</v>
      </c>
      <c r="F718" s="76" t="s">
        <v>390</v>
      </c>
      <c r="G718" s="75" t="s">
        <v>1153</v>
      </c>
      <c r="H718" s="70"/>
    </row>
    <row r="719" spans="1:8" ht="16" x14ac:dyDescent="0.2">
      <c r="A719" s="73"/>
      <c r="B719" s="77"/>
      <c r="C719" s="74"/>
      <c r="D719" s="74" t="s">
        <v>953</v>
      </c>
      <c r="E719" s="78" t="s">
        <v>137</v>
      </c>
      <c r="F719" s="76" t="s">
        <v>1641</v>
      </c>
      <c r="G719" s="75" t="s">
        <v>1153</v>
      </c>
      <c r="H719" s="70"/>
    </row>
    <row r="720" spans="1:8" ht="16" x14ac:dyDescent="0.2">
      <c r="A720" s="73"/>
      <c r="B720" s="77"/>
      <c r="C720" s="74"/>
      <c r="D720" s="74" t="s">
        <v>953</v>
      </c>
      <c r="E720" s="78" t="s">
        <v>137</v>
      </c>
      <c r="F720" s="76" t="s">
        <v>1642</v>
      </c>
      <c r="G720" s="75" t="s">
        <v>1153</v>
      </c>
      <c r="H720" s="70"/>
    </row>
    <row r="721" spans="1:8" ht="16" x14ac:dyDescent="0.2">
      <c r="A721" s="73"/>
      <c r="B721" s="77"/>
      <c r="C721" s="74"/>
      <c r="D721" s="74" t="s">
        <v>953</v>
      </c>
      <c r="E721" s="78" t="s">
        <v>137</v>
      </c>
      <c r="F721" s="76" t="s">
        <v>1643</v>
      </c>
      <c r="G721" s="75" t="s">
        <v>1153</v>
      </c>
      <c r="H721" s="70"/>
    </row>
    <row r="722" spans="1:8" ht="16" x14ac:dyDescent="0.2">
      <c r="A722" s="73"/>
      <c r="B722" s="77"/>
      <c r="C722" s="74"/>
      <c r="D722" s="74" t="s">
        <v>953</v>
      </c>
      <c r="E722" s="78" t="s">
        <v>137</v>
      </c>
      <c r="F722" s="76" t="s">
        <v>1644</v>
      </c>
      <c r="G722" s="75" t="s">
        <v>1153</v>
      </c>
      <c r="H722" s="70"/>
    </row>
    <row r="723" spans="1:8" ht="16" x14ac:dyDescent="0.2">
      <c r="A723" s="73"/>
      <c r="B723" s="77"/>
      <c r="C723" s="74"/>
      <c r="D723" s="74" t="s">
        <v>953</v>
      </c>
      <c r="E723" s="78" t="s">
        <v>137</v>
      </c>
      <c r="F723" s="76" t="s">
        <v>1645</v>
      </c>
      <c r="G723" s="75" t="s">
        <v>1153</v>
      </c>
      <c r="H723" s="70"/>
    </row>
    <row r="724" spans="1:8" x14ac:dyDescent="0.2">
      <c r="A724" s="73"/>
      <c r="B724" s="77"/>
      <c r="C724" s="74"/>
      <c r="D724" s="74" t="s">
        <v>953</v>
      </c>
      <c r="E724" s="78" t="s">
        <v>96</v>
      </c>
      <c r="F724" s="76" t="s">
        <v>1646</v>
      </c>
      <c r="G724" s="76" t="s">
        <v>1154</v>
      </c>
      <c r="H724" s="70"/>
    </row>
    <row r="725" spans="1:8" x14ac:dyDescent="0.2">
      <c r="A725" s="73"/>
      <c r="B725" s="77"/>
      <c r="C725" s="74"/>
      <c r="D725" s="74" t="s">
        <v>953</v>
      </c>
      <c r="E725" s="78" t="s">
        <v>96</v>
      </c>
      <c r="F725" s="76" t="s">
        <v>1647</v>
      </c>
      <c r="G725" s="76" t="s">
        <v>1154</v>
      </c>
      <c r="H725" s="70"/>
    </row>
    <row r="726" spans="1:8" x14ac:dyDescent="0.2">
      <c r="A726" s="73"/>
      <c r="B726" s="77"/>
      <c r="C726" s="74"/>
      <c r="D726" s="74" t="s">
        <v>953</v>
      </c>
      <c r="E726" s="78" t="s">
        <v>96</v>
      </c>
      <c r="F726" s="76" t="s">
        <v>1648</v>
      </c>
      <c r="G726" s="76" t="s">
        <v>1154</v>
      </c>
      <c r="H726" s="70"/>
    </row>
    <row r="727" spans="1:8" x14ac:dyDescent="0.2">
      <c r="A727" s="73"/>
      <c r="B727" s="77"/>
      <c r="C727" s="74"/>
      <c r="D727" s="74" t="s">
        <v>953</v>
      </c>
      <c r="E727" s="78" t="s">
        <v>96</v>
      </c>
      <c r="F727" s="76" t="s">
        <v>1649</v>
      </c>
      <c r="G727" s="76" t="s">
        <v>1154</v>
      </c>
      <c r="H727" s="70"/>
    </row>
    <row r="728" spans="1:8" x14ac:dyDescent="0.2">
      <c r="A728" s="73"/>
      <c r="B728" s="77"/>
      <c r="C728" s="74"/>
      <c r="D728" s="74" t="s">
        <v>953</v>
      </c>
      <c r="E728" s="78" t="s">
        <v>96</v>
      </c>
      <c r="F728" s="76" t="s">
        <v>1650</v>
      </c>
      <c r="G728" s="76" t="s">
        <v>1154</v>
      </c>
      <c r="H728" s="70"/>
    </row>
    <row r="729" spans="1:8" x14ac:dyDescent="0.2">
      <c r="A729" s="73"/>
      <c r="B729" s="77"/>
      <c r="C729" s="74"/>
      <c r="D729" s="74" t="s">
        <v>953</v>
      </c>
      <c r="E729" s="78" t="s">
        <v>96</v>
      </c>
      <c r="F729" s="76" t="s">
        <v>1651</v>
      </c>
      <c r="G729" s="76" t="s">
        <v>1154</v>
      </c>
      <c r="H729" s="70"/>
    </row>
    <row r="730" spans="1:8" x14ac:dyDescent="0.2">
      <c r="A730" s="73"/>
      <c r="B730" s="77"/>
      <c r="C730" s="74"/>
      <c r="D730" s="74" t="s">
        <v>953</v>
      </c>
      <c r="E730" s="78" t="s">
        <v>96</v>
      </c>
      <c r="F730" s="76" t="s">
        <v>1695</v>
      </c>
      <c r="G730" s="76" t="s">
        <v>1154</v>
      </c>
      <c r="H730" s="70"/>
    </row>
    <row r="731" spans="1:8" x14ac:dyDescent="0.2">
      <c r="A731" s="73"/>
      <c r="B731" s="77"/>
      <c r="C731" s="74"/>
      <c r="D731" s="74" t="s">
        <v>953</v>
      </c>
      <c r="E731" s="78" t="s">
        <v>96</v>
      </c>
      <c r="F731" s="76" t="s">
        <v>394</v>
      </c>
      <c r="G731" s="76" t="s">
        <v>1155</v>
      </c>
      <c r="H731" s="70"/>
    </row>
    <row r="732" spans="1:8" x14ac:dyDescent="0.2">
      <c r="A732" s="73"/>
      <c r="B732" s="77"/>
      <c r="C732" s="74"/>
      <c r="D732" s="74" t="s">
        <v>953</v>
      </c>
      <c r="E732" s="78" t="s">
        <v>96</v>
      </c>
      <c r="F732" s="76" t="s">
        <v>1652</v>
      </c>
      <c r="G732" s="76" t="s">
        <v>1155</v>
      </c>
      <c r="H732" s="70"/>
    </row>
    <row r="733" spans="1:8" x14ac:dyDescent="0.2">
      <c r="A733" s="73"/>
      <c r="B733" s="77"/>
      <c r="C733" s="74"/>
      <c r="D733" s="74" t="s">
        <v>953</v>
      </c>
      <c r="E733" s="78" t="s">
        <v>96</v>
      </c>
      <c r="F733" s="76" t="s">
        <v>1653</v>
      </c>
      <c r="G733" s="76" t="s">
        <v>1155</v>
      </c>
      <c r="H733" s="70"/>
    </row>
    <row r="734" spans="1:8" x14ac:dyDescent="0.2">
      <c r="A734" s="73"/>
      <c r="B734" s="77"/>
      <c r="C734" s="74"/>
      <c r="D734" s="74" t="s">
        <v>953</v>
      </c>
      <c r="E734" s="78" t="s">
        <v>96</v>
      </c>
      <c r="F734" s="76" t="s">
        <v>1654</v>
      </c>
      <c r="G734" s="76" t="s">
        <v>1155</v>
      </c>
      <c r="H734" s="70"/>
    </row>
    <row r="735" spans="1:8" x14ac:dyDescent="0.2">
      <c r="A735" s="73"/>
      <c r="B735" s="77"/>
      <c r="C735" s="74"/>
      <c r="D735" s="74" t="s">
        <v>953</v>
      </c>
      <c r="E735" s="78" t="s">
        <v>96</v>
      </c>
      <c r="F735" s="76" t="s">
        <v>1655</v>
      </c>
      <c r="G735" s="76" t="s">
        <v>1155</v>
      </c>
      <c r="H735" s="70"/>
    </row>
    <row r="736" spans="1:8" x14ac:dyDescent="0.2">
      <c r="A736" s="73"/>
      <c r="B736" s="77"/>
      <c r="C736" s="74"/>
      <c r="D736" s="74" t="s">
        <v>953</v>
      </c>
      <c r="E736" s="78" t="s">
        <v>96</v>
      </c>
      <c r="F736" s="76" t="s">
        <v>1656</v>
      </c>
      <c r="G736" s="76" t="s">
        <v>1155</v>
      </c>
      <c r="H736" s="70"/>
    </row>
    <row r="737" spans="1:8" x14ac:dyDescent="0.2">
      <c r="A737" s="73"/>
      <c r="B737" s="77"/>
      <c r="C737" s="74"/>
      <c r="D737" s="74" t="s">
        <v>953</v>
      </c>
      <c r="E737" s="78" t="s">
        <v>96</v>
      </c>
      <c r="F737" s="76" t="s">
        <v>1657</v>
      </c>
      <c r="G737" s="76" t="s">
        <v>1155</v>
      </c>
      <c r="H737" s="70"/>
    </row>
    <row r="738" spans="1:8" x14ac:dyDescent="0.2">
      <c r="A738" s="73"/>
      <c r="B738" s="77"/>
      <c r="C738" s="74"/>
      <c r="D738" s="74" t="s">
        <v>953</v>
      </c>
      <c r="E738" s="78" t="s">
        <v>96</v>
      </c>
      <c r="F738" s="76" t="s">
        <v>1658</v>
      </c>
      <c r="G738" s="76" t="s">
        <v>1155</v>
      </c>
      <c r="H738" s="70"/>
    </row>
    <row r="739" spans="1:8" x14ac:dyDescent="0.2">
      <c r="A739" s="73"/>
      <c r="B739" s="77"/>
      <c r="C739" s="74"/>
      <c r="D739" s="74" t="s">
        <v>953</v>
      </c>
      <c r="E739" s="78" t="s">
        <v>96</v>
      </c>
      <c r="F739" s="76" t="s">
        <v>1659</v>
      </c>
      <c r="G739" s="76" t="s">
        <v>1156</v>
      </c>
      <c r="H739" s="70"/>
    </row>
    <row r="740" spans="1:8" x14ac:dyDescent="0.2">
      <c r="A740" s="73"/>
      <c r="B740" s="77"/>
      <c r="C740" s="74"/>
      <c r="D740" s="74" t="s">
        <v>953</v>
      </c>
      <c r="E740" s="78" t="s">
        <v>96</v>
      </c>
      <c r="F740" s="76" t="s">
        <v>1660</v>
      </c>
      <c r="G740" s="76" t="s">
        <v>1156</v>
      </c>
      <c r="H740" s="70"/>
    </row>
    <row r="741" spans="1:8" x14ac:dyDescent="0.2">
      <c r="A741" s="73"/>
      <c r="B741" s="77"/>
      <c r="C741" s="74"/>
      <c r="D741" s="74" t="s">
        <v>953</v>
      </c>
      <c r="E741" s="78" t="s">
        <v>96</v>
      </c>
      <c r="F741" s="76" t="s">
        <v>1661</v>
      </c>
      <c r="G741" s="76" t="s">
        <v>1156</v>
      </c>
      <c r="H741" s="70"/>
    </row>
    <row r="742" spans="1:8" x14ac:dyDescent="0.2">
      <c r="A742" s="73"/>
      <c r="B742" s="77"/>
      <c r="C742" s="74"/>
      <c r="D742" s="74" t="s">
        <v>953</v>
      </c>
      <c r="E742" s="78" t="s">
        <v>96</v>
      </c>
      <c r="F742" s="76" t="s">
        <v>1662</v>
      </c>
      <c r="G742" s="76" t="s">
        <v>1156</v>
      </c>
      <c r="H742" s="70"/>
    </row>
    <row r="743" spans="1:8" x14ac:dyDescent="0.2">
      <c r="A743" s="73"/>
      <c r="B743" s="77"/>
      <c r="C743" s="74"/>
      <c r="D743" s="74" t="s">
        <v>953</v>
      </c>
      <c r="E743" s="78" t="s">
        <v>96</v>
      </c>
      <c r="F743" s="76" t="s">
        <v>1663</v>
      </c>
      <c r="G743" s="76" t="s">
        <v>1156</v>
      </c>
      <c r="H743" s="70"/>
    </row>
    <row r="744" spans="1:8" x14ac:dyDescent="0.2">
      <c r="A744" s="73"/>
      <c r="B744" s="77"/>
      <c r="C744" s="74"/>
      <c r="D744" s="74" t="s">
        <v>953</v>
      </c>
      <c r="E744" s="78" t="s">
        <v>96</v>
      </c>
      <c r="F744" s="76" t="s">
        <v>1664</v>
      </c>
      <c r="G744" s="76" t="s">
        <v>1156</v>
      </c>
      <c r="H744" s="70"/>
    </row>
    <row r="745" spans="1:8" x14ac:dyDescent="0.2">
      <c r="A745" s="73"/>
      <c r="B745" s="77"/>
      <c r="C745" s="74"/>
      <c r="D745" s="74" t="s">
        <v>953</v>
      </c>
      <c r="E745" s="78" t="s">
        <v>96</v>
      </c>
      <c r="F745" s="76" t="s">
        <v>1665</v>
      </c>
      <c r="G745" s="76" t="s">
        <v>1156</v>
      </c>
      <c r="H745" s="70"/>
    </row>
    <row r="746" spans="1:8" ht="16" x14ac:dyDescent="0.2">
      <c r="A746" s="73"/>
      <c r="B746" s="77"/>
      <c r="C746" s="74"/>
      <c r="D746" s="74" t="s">
        <v>953</v>
      </c>
      <c r="E746" s="78" t="s">
        <v>119</v>
      </c>
      <c r="F746" s="76" t="s">
        <v>1666</v>
      </c>
      <c r="G746" s="75" t="s">
        <v>338</v>
      </c>
      <c r="H746" s="70"/>
    </row>
    <row r="747" spans="1:8" ht="16" x14ac:dyDescent="0.2">
      <c r="A747" s="73"/>
      <c r="B747" s="77"/>
      <c r="C747" s="74"/>
      <c r="D747" s="74" t="s">
        <v>953</v>
      </c>
      <c r="E747" s="78" t="s">
        <v>119</v>
      </c>
      <c r="F747" s="76" t="s">
        <v>390</v>
      </c>
      <c r="G747" s="75" t="s">
        <v>338</v>
      </c>
      <c r="H747" s="70"/>
    </row>
    <row r="748" spans="1:8" ht="16" x14ac:dyDescent="0.2">
      <c r="A748" s="73"/>
      <c r="B748" s="77"/>
      <c r="C748" s="74"/>
      <c r="D748" s="74" t="s">
        <v>953</v>
      </c>
      <c r="E748" s="78" t="s">
        <v>119</v>
      </c>
      <c r="F748" s="76" t="s">
        <v>1641</v>
      </c>
      <c r="G748" s="75" t="s">
        <v>338</v>
      </c>
      <c r="H748" s="70"/>
    </row>
    <row r="749" spans="1:8" ht="16" x14ac:dyDescent="0.2">
      <c r="A749" s="73"/>
      <c r="B749" s="77"/>
      <c r="C749" s="74"/>
      <c r="D749" s="74" t="s">
        <v>953</v>
      </c>
      <c r="E749" s="78" t="s">
        <v>119</v>
      </c>
      <c r="F749" s="76" t="s">
        <v>1667</v>
      </c>
      <c r="G749" s="88" t="s">
        <v>330</v>
      </c>
      <c r="H749" s="70"/>
    </row>
    <row r="750" spans="1:8" ht="16" x14ac:dyDescent="0.2">
      <c r="A750" s="73"/>
      <c r="B750" s="77"/>
      <c r="C750" s="74"/>
      <c r="D750" s="74" t="s">
        <v>953</v>
      </c>
      <c r="E750" s="78" t="s">
        <v>119</v>
      </c>
      <c r="F750" s="76" t="s">
        <v>1668</v>
      </c>
      <c r="G750" s="88" t="s">
        <v>330</v>
      </c>
      <c r="H750" s="70"/>
    </row>
    <row r="751" spans="1:8" x14ac:dyDescent="0.2">
      <c r="A751" s="73"/>
      <c r="B751" s="77"/>
      <c r="C751" s="74"/>
      <c r="D751" s="74" t="s">
        <v>953</v>
      </c>
      <c r="E751" s="78" t="s">
        <v>96</v>
      </c>
      <c r="F751" s="76" t="s">
        <v>1669</v>
      </c>
      <c r="G751" s="76" t="s">
        <v>1145</v>
      </c>
      <c r="H751" s="70"/>
    </row>
    <row r="752" spans="1:8" ht="16" x14ac:dyDescent="0.2">
      <c r="A752" s="73"/>
      <c r="B752" s="77"/>
      <c r="C752" s="74"/>
      <c r="D752" s="74" t="s">
        <v>953</v>
      </c>
      <c r="E752" s="78" t="s">
        <v>112</v>
      </c>
      <c r="F752" s="76" t="s">
        <v>1668</v>
      </c>
      <c r="G752" s="88" t="s">
        <v>512</v>
      </c>
      <c r="H752" s="70"/>
    </row>
    <row r="753" spans="1:8" ht="16" x14ac:dyDescent="0.2">
      <c r="A753" s="73"/>
      <c r="B753" s="77"/>
      <c r="C753" s="74"/>
      <c r="D753" s="74" t="s">
        <v>954</v>
      </c>
      <c r="E753" s="78" t="s">
        <v>96</v>
      </c>
      <c r="F753" s="76" t="s">
        <v>1232</v>
      </c>
      <c r="G753" s="75" t="s">
        <v>1162</v>
      </c>
      <c r="H753" s="70"/>
    </row>
    <row r="754" spans="1:8" x14ac:dyDescent="0.2">
      <c r="A754" s="73"/>
      <c r="B754" s="77"/>
      <c r="C754" s="74"/>
      <c r="D754" s="74" t="s">
        <v>954</v>
      </c>
      <c r="E754" s="78" t="s">
        <v>96</v>
      </c>
      <c r="F754" s="76" t="s">
        <v>2139</v>
      </c>
      <c r="G754" s="70" t="s">
        <v>1163</v>
      </c>
      <c r="H754" s="70"/>
    </row>
    <row r="755" spans="1:8" x14ac:dyDescent="0.2">
      <c r="A755" s="73"/>
      <c r="B755" s="77"/>
      <c r="C755" s="74"/>
      <c r="D755" s="74" t="s">
        <v>954</v>
      </c>
      <c r="E755" s="78" t="s">
        <v>96</v>
      </c>
      <c r="F755" s="76" t="s">
        <v>2140</v>
      </c>
      <c r="G755" s="70" t="s">
        <v>1163</v>
      </c>
      <c r="H755" s="70"/>
    </row>
    <row r="756" spans="1:8" x14ac:dyDescent="0.2">
      <c r="A756" s="73"/>
      <c r="B756" s="77"/>
      <c r="C756" s="74"/>
      <c r="D756" s="74" t="s">
        <v>954</v>
      </c>
      <c r="E756" s="78" t="s">
        <v>137</v>
      </c>
      <c r="F756" s="76" t="s">
        <v>2139</v>
      </c>
      <c r="G756" s="70" t="s">
        <v>1163</v>
      </c>
      <c r="H756" s="70"/>
    </row>
    <row r="757" spans="1:8" x14ac:dyDescent="0.2">
      <c r="A757" s="73"/>
      <c r="B757" s="77"/>
      <c r="C757" s="74"/>
      <c r="D757" s="74" t="s">
        <v>954</v>
      </c>
      <c r="E757" s="78" t="s">
        <v>137</v>
      </c>
      <c r="F757" s="76" t="s">
        <v>2140</v>
      </c>
      <c r="G757" s="70" t="s">
        <v>1163</v>
      </c>
      <c r="H757" s="70"/>
    </row>
    <row r="758" spans="1:8" x14ac:dyDescent="0.2">
      <c r="A758" s="73"/>
      <c r="B758" s="77"/>
      <c r="C758" s="74"/>
      <c r="D758" s="74" t="s">
        <v>954</v>
      </c>
      <c r="E758" s="78" t="s">
        <v>96</v>
      </c>
      <c r="F758" s="76" t="s">
        <v>1670</v>
      </c>
      <c r="G758" s="70" t="s">
        <v>1163</v>
      </c>
      <c r="H758" s="70"/>
    </row>
    <row r="759" spans="1:8" x14ac:dyDescent="0.2">
      <c r="A759" s="73"/>
      <c r="B759" s="77"/>
      <c r="C759" s="74"/>
      <c r="D759" s="74" t="s">
        <v>954</v>
      </c>
      <c r="E759" s="78" t="s">
        <v>96</v>
      </c>
      <c r="F759" s="76" t="s">
        <v>1671</v>
      </c>
      <c r="G759" s="70" t="s">
        <v>1163</v>
      </c>
      <c r="H759" s="70"/>
    </row>
    <row r="760" spans="1:8" x14ac:dyDescent="0.2">
      <c r="A760" s="73"/>
      <c r="B760" s="77"/>
      <c r="C760" s="74"/>
      <c r="D760" s="74" t="s">
        <v>954</v>
      </c>
      <c r="E760" s="78" t="s">
        <v>137</v>
      </c>
      <c r="F760" s="76" t="s">
        <v>1670</v>
      </c>
      <c r="G760" s="70" t="s">
        <v>1163</v>
      </c>
      <c r="H760" s="70"/>
    </row>
    <row r="761" spans="1:8" x14ac:dyDescent="0.2">
      <c r="A761" s="73"/>
      <c r="B761" s="77"/>
      <c r="C761" s="74"/>
      <c r="D761" s="74" t="s">
        <v>954</v>
      </c>
      <c r="E761" s="78" t="s">
        <v>137</v>
      </c>
      <c r="F761" s="76" t="s">
        <v>1671</v>
      </c>
      <c r="G761" s="70" t="s">
        <v>1163</v>
      </c>
      <c r="H761" s="70"/>
    </row>
    <row r="762" spans="1:8" x14ac:dyDescent="0.2">
      <c r="A762" s="73"/>
      <c r="B762" s="77"/>
      <c r="C762" s="74"/>
      <c r="D762" s="74" t="s">
        <v>954</v>
      </c>
      <c r="E762" s="78" t="s">
        <v>96</v>
      </c>
      <c r="F762" s="76" t="s">
        <v>2141</v>
      </c>
      <c r="G762" s="70" t="s">
        <v>1159</v>
      </c>
      <c r="H762" s="70"/>
    </row>
    <row r="763" spans="1:8" x14ac:dyDescent="0.2">
      <c r="A763" s="73"/>
      <c r="B763" s="77"/>
      <c r="C763" s="74"/>
      <c r="D763" s="74" t="s">
        <v>954</v>
      </c>
      <c r="E763" s="78" t="s">
        <v>96</v>
      </c>
      <c r="F763" s="76" t="s">
        <v>2142</v>
      </c>
      <c r="G763" s="70" t="s">
        <v>1159</v>
      </c>
      <c r="H763" s="70"/>
    </row>
    <row r="764" spans="1:8" x14ac:dyDescent="0.2">
      <c r="A764" s="73"/>
      <c r="B764" s="77"/>
      <c r="C764" s="74"/>
      <c r="D764" s="74" t="s">
        <v>954</v>
      </c>
      <c r="E764" s="78" t="s">
        <v>137</v>
      </c>
      <c r="F764" s="76" t="s">
        <v>2141</v>
      </c>
      <c r="G764" s="70" t="s">
        <v>1159</v>
      </c>
      <c r="H764" s="70"/>
    </row>
    <row r="765" spans="1:8" x14ac:dyDescent="0.2">
      <c r="A765" s="73"/>
      <c r="B765" s="77"/>
      <c r="C765" s="74"/>
      <c r="D765" s="74" t="s">
        <v>954</v>
      </c>
      <c r="E765" s="78" t="s">
        <v>137</v>
      </c>
      <c r="F765" s="76" t="s">
        <v>2142</v>
      </c>
      <c r="G765" s="70" t="s">
        <v>1159</v>
      </c>
      <c r="H765" s="70"/>
    </row>
    <row r="766" spans="1:8" x14ac:dyDescent="0.2">
      <c r="A766" s="73"/>
      <c r="B766" s="77"/>
      <c r="C766" s="74"/>
      <c r="D766" s="74" t="s">
        <v>954</v>
      </c>
      <c r="E766" s="78" t="s">
        <v>96</v>
      </c>
      <c r="F766" s="76" t="s">
        <v>1672</v>
      </c>
      <c r="G766" s="70" t="s">
        <v>1159</v>
      </c>
      <c r="H766" s="70"/>
    </row>
    <row r="767" spans="1:8" x14ac:dyDescent="0.2">
      <c r="A767" s="73"/>
      <c r="B767" s="77"/>
      <c r="C767" s="74"/>
      <c r="D767" s="74" t="s">
        <v>954</v>
      </c>
      <c r="E767" s="78" t="s">
        <v>96</v>
      </c>
      <c r="F767" s="76" t="s">
        <v>1673</v>
      </c>
      <c r="G767" s="70" t="s">
        <v>1159</v>
      </c>
      <c r="H767" s="70"/>
    </row>
    <row r="768" spans="1:8" x14ac:dyDescent="0.2">
      <c r="A768" s="73"/>
      <c r="B768" s="77"/>
      <c r="C768" s="74"/>
      <c r="D768" s="74" t="s">
        <v>954</v>
      </c>
      <c r="E768" s="78" t="s">
        <v>137</v>
      </c>
      <c r="F768" s="76" t="s">
        <v>1672</v>
      </c>
      <c r="G768" s="70" t="s">
        <v>1159</v>
      </c>
      <c r="H768" s="70"/>
    </row>
    <row r="769" spans="1:8" x14ac:dyDescent="0.2">
      <c r="A769" s="73"/>
      <c r="B769" s="77"/>
      <c r="C769" s="74"/>
      <c r="D769" s="74" t="s">
        <v>954</v>
      </c>
      <c r="E769" s="78" t="s">
        <v>137</v>
      </c>
      <c r="F769" s="76" t="s">
        <v>1673</v>
      </c>
      <c r="G769" s="70" t="s">
        <v>1159</v>
      </c>
      <c r="H769" s="70"/>
    </row>
    <row r="770" spans="1:8" x14ac:dyDescent="0.2">
      <c r="A770" s="73"/>
      <c r="B770" s="77"/>
      <c r="C770" s="74"/>
      <c r="D770" s="74" t="s">
        <v>954</v>
      </c>
      <c r="E770" s="78" t="s">
        <v>119</v>
      </c>
      <c r="F770" s="76" t="s">
        <v>2140</v>
      </c>
      <c r="G770" s="70" t="s">
        <v>1164</v>
      </c>
      <c r="H770" s="70"/>
    </row>
    <row r="771" spans="1:8" x14ac:dyDescent="0.2">
      <c r="A771" s="73"/>
      <c r="B771" s="77"/>
      <c r="C771" s="74"/>
      <c r="D771" s="74" t="s">
        <v>954</v>
      </c>
      <c r="E771" s="78" t="s">
        <v>119</v>
      </c>
      <c r="F771" s="76" t="s">
        <v>2139</v>
      </c>
      <c r="G771" s="70" t="s">
        <v>1164</v>
      </c>
      <c r="H771" s="70"/>
    </row>
    <row r="772" spans="1:8" x14ac:dyDescent="0.2">
      <c r="A772" s="73"/>
      <c r="B772" s="77"/>
      <c r="C772" s="74"/>
      <c r="D772" s="74" t="s">
        <v>954</v>
      </c>
      <c r="E772" s="78" t="s">
        <v>119</v>
      </c>
      <c r="F772" s="76" t="s">
        <v>1671</v>
      </c>
      <c r="G772" s="70" t="s">
        <v>1164</v>
      </c>
      <c r="H772" s="70"/>
    </row>
    <row r="773" spans="1:8" x14ac:dyDescent="0.2">
      <c r="A773" s="73"/>
      <c r="B773" s="77"/>
      <c r="C773" s="74"/>
      <c r="D773" s="74" t="s">
        <v>954</v>
      </c>
      <c r="E773" s="78" t="s">
        <v>119</v>
      </c>
      <c r="F773" s="76" t="s">
        <v>1670</v>
      </c>
      <c r="G773" s="70" t="s">
        <v>1164</v>
      </c>
      <c r="H773" s="70"/>
    </row>
    <row r="774" spans="1:8" ht="16" x14ac:dyDescent="0.2">
      <c r="A774" s="73"/>
      <c r="B774" s="85"/>
      <c r="C774" s="74"/>
      <c r="D774" s="74" t="s">
        <v>954</v>
      </c>
      <c r="E774" s="78" t="s">
        <v>96</v>
      </c>
      <c r="F774" s="76" t="s">
        <v>226</v>
      </c>
      <c r="G774" s="88" t="s">
        <v>561</v>
      </c>
      <c r="H774" s="70"/>
    </row>
    <row r="775" spans="1:8" x14ac:dyDescent="0.2">
      <c r="A775" s="73"/>
      <c r="B775" s="77"/>
      <c r="C775" s="74"/>
      <c r="D775" s="74" t="s">
        <v>954</v>
      </c>
      <c r="E775" s="78" t="s">
        <v>96</v>
      </c>
      <c r="F775" s="76" t="s">
        <v>2127</v>
      </c>
      <c r="G775" s="76" t="s">
        <v>1157</v>
      </c>
      <c r="H775" s="70"/>
    </row>
    <row r="776" spans="1:8" x14ac:dyDescent="0.2">
      <c r="A776" s="73"/>
      <c r="B776" s="77"/>
      <c r="C776" s="74"/>
      <c r="D776" s="74" t="s">
        <v>954</v>
      </c>
      <c r="E776" s="78" t="s">
        <v>137</v>
      </c>
      <c r="F776" s="76" t="s">
        <v>2127</v>
      </c>
      <c r="G776" s="76" t="s">
        <v>1157</v>
      </c>
      <c r="H776" s="70"/>
    </row>
    <row r="777" spans="1:8" x14ac:dyDescent="0.2">
      <c r="A777" s="73"/>
      <c r="B777" s="77"/>
      <c r="C777" s="74"/>
      <c r="D777" s="74" t="s">
        <v>954</v>
      </c>
      <c r="E777" s="78" t="s">
        <v>96</v>
      </c>
      <c r="F777" s="76" t="s">
        <v>2128</v>
      </c>
      <c r="G777" s="76" t="s">
        <v>1157</v>
      </c>
      <c r="H777" s="70"/>
    </row>
    <row r="778" spans="1:8" x14ac:dyDescent="0.2">
      <c r="A778" s="73"/>
      <c r="B778" s="77"/>
      <c r="C778" s="74"/>
      <c r="D778" s="74" t="s">
        <v>954</v>
      </c>
      <c r="E778" s="78" t="s">
        <v>137</v>
      </c>
      <c r="F778" s="76" t="s">
        <v>2128</v>
      </c>
      <c r="G778" s="76" t="s">
        <v>1157</v>
      </c>
      <c r="H778" s="70"/>
    </row>
    <row r="779" spans="1:8" x14ac:dyDescent="0.2">
      <c r="A779" s="73"/>
      <c r="B779" s="77"/>
      <c r="C779" s="74"/>
      <c r="D779" s="74" t="s">
        <v>954</v>
      </c>
      <c r="E779" s="78" t="s">
        <v>119</v>
      </c>
      <c r="F779" s="76" t="s">
        <v>2127</v>
      </c>
      <c r="G779" s="76" t="s">
        <v>1158</v>
      </c>
      <c r="H779" s="70"/>
    </row>
    <row r="780" spans="1:8" x14ac:dyDescent="0.2">
      <c r="A780" s="73"/>
      <c r="B780" s="77"/>
      <c r="C780" s="74"/>
      <c r="D780" s="74" t="s">
        <v>954</v>
      </c>
      <c r="E780" s="78" t="s">
        <v>119</v>
      </c>
      <c r="F780" s="76" t="s">
        <v>2128</v>
      </c>
      <c r="G780" s="76" t="s">
        <v>1158</v>
      </c>
      <c r="H780" s="70"/>
    </row>
    <row r="781" spans="1:8" ht="16" x14ac:dyDescent="0.2">
      <c r="A781" s="73"/>
      <c r="B781" s="77"/>
      <c r="C781" s="74"/>
      <c r="D781" s="74" t="s">
        <v>954</v>
      </c>
      <c r="E781" s="78" t="s">
        <v>96</v>
      </c>
      <c r="F781" s="76" t="s">
        <v>2143</v>
      </c>
      <c r="G781" s="88" t="s">
        <v>1161</v>
      </c>
      <c r="H781" s="70"/>
    </row>
    <row r="782" spans="1:8" ht="16" x14ac:dyDescent="0.2">
      <c r="A782" s="73"/>
      <c r="B782" s="77"/>
      <c r="C782" s="74"/>
      <c r="D782" s="74" t="s">
        <v>954</v>
      </c>
      <c r="E782" s="78" t="s">
        <v>96</v>
      </c>
      <c r="F782" s="76" t="s">
        <v>2144</v>
      </c>
      <c r="G782" s="88" t="s">
        <v>1161</v>
      </c>
      <c r="H782" s="70"/>
    </row>
    <row r="783" spans="1:8" ht="16" x14ac:dyDescent="0.2">
      <c r="A783" s="73"/>
      <c r="B783" s="77"/>
      <c r="C783" s="74"/>
      <c r="D783" s="74" t="s">
        <v>954</v>
      </c>
      <c r="E783" s="78" t="s">
        <v>96</v>
      </c>
      <c r="F783" s="76" t="s">
        <v>2145</v>
      </c>
      <c r="G783" s="88" t="s">
        <v>1218</v>
      </c>
      <c r="H783" s="70"/>
    </row>
    <row r="784" spans="1:8" ht="16" x14ac:dyDescent="0.2">
      <c r="A784" s="73"/>
      <c r="B784" s="77"/>
      <c r="C784" s="74"/>
      <c r="D784" s="74" t="s">
        <v>954</v>
      </c>
      <c r="E784" s="78" t="s">
        <v>96</v>
      </c>
      <c r="F784" s="76" t="s">
        <v>2146</v>
      </c>
      <c r="G784" s="88" t="s">
        <v>1218</v>
      </c>
      <c r="H784" s="70"/>
    </row>
    <row r="785" spans="1:8" ht="16" x14ac:dyDescent="0.2">
      <c r="A785" s="73"/>
      <c r="B785" s="77"/>
      <c r="C785" s="74"/>
      <c r="D785" s="74" t="s">
        <v>954</v>
      </c>
      <c r="E785" s="78" t="s">
        <v>96</v>
      </c>
      <c r="F785" s="76" t="s">
        <v>2095</v>
      </c>
      <c r="G785" s="88" t="s">
        <v>1160</v>
      </c>
      <c r="H785" s="70"/>
    </row>
    <row r="786" spans="1:8" ht="16" x14ac:dyDescent="0.2">
      <c r="A786" s="73"/>
      <c r="B786" s="77"/>
      <c r="C786" s="74"/>
      <c r="D786" s="74" t="s">
        <v>954</v>
      </c>
      <c r="E786" s="78" t="s">
        <v>137</v>
      </c>
      <c r="F786" s="76" t="s">
        <v>2095</v>
      </c>
      <c r="G786" s="88" t="s">
        <v>1160</v>
      </c>
      <c r="H786" s="70"/>
    </row>
    <row r="787" spans="1:8" ht="16" x14ac:dyDescent="0.2">
      <c r="A787" s="73"/>
      <c r="B787" s="77"/>
      <c r="C787" s="74"/>
      <c r="D787" s="74" t="s">
        <v>954</v>
      </c>
      <c r="E787" s="78" t="s">
        <v>96</v>
      </c>
      <c r="F787" s="76" t="s">
        <v>282</v>
      </c>
      <c r="G787" s="88" t="s">
        <v>1160</v>
      </c>
      <c r="H787" s="70"/>
    </row>
    <row r="788" spans="1:8" ht="16" x14ac:dyDescent="0.2">
      <c r="A788" s="73"/>
      <c r="B788" s="77"/>
      <c r="C788" s="74"/>
      <c r="D788" s="74" t="s">
        <v>954</v>
      </c>
      <c r="E788" s="78" t="s">
        <v>137</v>
      </c>
      <c r="F788" s="76" t="s">
        <v>282</v>
      </c>
      <c r="G788" s="88" t="s">
        <v>1160</v>
      </c>
      <c r="H788" s="70"/>
    </row>
    <row r="789" spans="1:8" ht="16" x14ac:dyDescent="0.2">
      <c r="A789" s="73"/>
      <c r="B789" s="77"/>
      <c r="C789" s="74"/>
      <c r="D789" s="74" t="s">
        <v>954</v>
      </c>
      <c r="E789" s="78" t="s">
        <v>96</v>
      </c>
      <c r="F789" s="76" t="s">
        <v>2124</v>
      </c>
      <c r="G789" s="88" t="s">
        <v>1160</v>
      </c>
      <c r="H789" s="70"/>
    </row>
    <row r="790" spans="1:8" ht="16" x14ac:dyDescent="0.2">
      <c r="A790" s="73"/>
      <c r="B790" s="77"/>
      <c r="C790" s="74"/>
      <c r="D790" s="74" t="s">
        <v>954</v>
      </c>
      <c r="E790" s="78" t="s">
        <v>137</v>
      </c>
      <c r="F790" s="76" t="s">
        <v>2124</v>
      </c>
      <c r="G790" s="88" t="s">
        <v>1160</v>
      </c>
      <c r="H790" s="70"/>
    </row>
    <row r="791" spans="1:8" ht="16" x14ac:dyDescent="0.2">
      <c r="A791" s="73"/>
      <c r="B791" s="77"/>
      <c r="C791" s="74"/>
      <c r="D791" s="74" t="s">
        <v>954</v>
      </c>
      <c r="E791" s="78" t="s">
        <v>96</v>
      </c>
      <c r="F791" s="76" t="s">
        <v>2125</v>
      </c>
      <c r="G791" s="88" t="s">
        <v>1160</v>
      </c>
      <c r="H791" s="70"/>
    </row>
    <row r="792" spans="1:8" ht="16" x14ac:dyDescent="0.2">
      <c r="A792" s="73"/>
      <c r="B792" s="77"/>
      <c r="C792" s="74"/>
      <c r="D792" s="74" t="s">
        <v>954</v>
      </c>
      <c r="E792" s="78" t="s">
        <v>137</v>
      </c>
      <c r="F792" s="76" t="s">
        <v>2125</v>
      </c>
      <c r="G792" s="88" t="s">
        <v>1160</v>
      </c>
      <c r="H792" s="70"/>
    </row>
    <row r="793" spans="1:8" ht="16" x14ac:dyDescent="0.2">
      <c r="A793" s="73"/>
      <c r="B793" s="77"/>
      <c r="C793" s="74"/>
      <c r="D793" s="74" t="s">
        <v>954</v>
      </c>
      <c r="E793" s="78" t="s">
        <v>96</v>
      </c>
      <c r="F793" s="76" t="s">
        <v>2147</v>
      </c>
      <c r="G793" s="88" t="s">
        <v>1160</v>
      </c>
      <c r="H793" s="70"/>
    </row>
    <row r="794" spans="1:8" ht="16" x14ac:dyDescent="0.2">
      <c r="A794" s="73"/>
      <c r="B794" s="77"/>
      <c r="C794" s="74"/>
      <c r="D794" s="74" t="s">
        <v>954</v>
      </c>
      <c r="E794" s="78" t="s">
        <v>137</v>
      </c>
      <c r="F794" s="76" t="s">
        <v>2147</v>
      </c>
      <c r="G794" s="88" t="s">
        <v>1160</v>
      </c>
      <c r="H794" s="70"/>
    </row>
    <row r="795" spans="1:8" ht="16" x14ac:dyDescent="0.2">
      <c r="A795" s="73"/>
      <c r="B795" s="77"/>
      <c r="C795" s="74"/>
      <c r="D795" s="74" t="s">
        <v>954</v>
      </c>
      <c r="E795" s="78" t="s">
        <v>96</v>
      </c>
      <c r="F795" s="76" t="s">
        <v>2126</v>
      </c>
      <c r="G795" s="88" t="s">
        <v>1160</v>
      </c>
      <c r="H795" s="70"/>
    </row>
    <row r="796" spans="1:8" ht="16" x14ac:dyDescent="0.2">
      <c r="A796" s="73"/>
      <c r="B796" s="77"/>
      <c r="C796" s="74"/>
      <c r="D796" s="74" t="s">
        <v>954</v>
      </c>
      <c r="E796" s="78" t="s">
        <v>137</v>
      </c>
      <c r="F796" s="76" t="s">
        <v>2126</v>
      </c>
      <c r="G796" s="88" t="s">
        <v>1160</v>
      </c>
      <c r="H796" s="70"/>
    </row>
    <row r="797" spans="1:8" ht="16" x14ac:dyDescent="0.2">
      <c r="A797" s="73"/>
      <c r="B797" s="85"/>
      <c r="C797" s="74"/>
      <c r="D797" s="74" t="s">
        <v>954</v>
      </c>
      <c r="E797" s="78" t="s">
        <v>96</v>
      </c>
      <c r="F797" s="76" t="s">
        <v>2095</v>
      </c>
      <c r="G797" s="88" t="s">
        <v>1192</v>
      </c>
      <c r="H797" s="70"/>
    </row>
    <row r="798" spans="1:8" ht="16" x14ac:dyDescent="0.2">
      <c r="A798" s="73"/>
      <c r="B798" s="85"/>
      <c r="C798" s="74"/>
      <c r="D798" s="74" t="s">
        <v>954</v>
      </c>
      <c r="E798" s="78" t="s">
        <v>137</v>
      </c>
      <c r="F798" s="76" t="s">
        <v>2095</v>
      </c>
      <c r="G798" s="88" t="s">
        <v>1192</v>
      </c>
      <c r="H798" s="70"/>
    </row>
    <row r="799" spans="1:8" ht="16" x14ac:dyDescent="0.2">
      <c r="A799" s="73"/>
      <c r="B799" s="85"/>
      <c r="C799" s="74"/>
      <c r="D799" s="74" t="s">
        <v>954</v>
      </c>
      <c r="E799" s="78" t="s">
        <v>96</v>
      </c>
      <c r="F799" s="76" t="s">
        <v>282</v>
      </c>
      <c r="G799" s="88" t="s">
        <v>1192</v>
      </c>
      <c r="H799" s="70"/>
    </row>
    <row r="800" spans="1:8" ht="16" x14ac:dyDescent="0.2">
      <c r="A800" s="73"/>
      <c r="B800" s="85"/>
      <c r="C800" s="74"/>
      <c r="D800" s="74" t="s">
        <v>954</v>
      </c>
      <c r="E800" s="78" t="s">
        <v>137</v>
      </c>
      <c r="F800" s="76" t="s">
        <v>282</v>
      </c>
      <c r="G800" s="88" t="s">
        <v>1192</v>
      </c>
      <c r="H800" s="70"/>
    </row>
    <row r="801" spans="1:8" ht="16" x14ac:dyDescent="0.2">
      <c r="A801" s="73"/>
      <c r="B801" s="85"/>
      <c r="C801" s="74"/>
      <c r="D801" s="74" t="s">
        <v>954</v>
      </c>
      <c r="E801" s="78" t="s">
        <v>96</v>
      </c>
      <c r="F801" s="76" t="s">
        <v>2124</v>
      </c>
      <c r="G801" s="88" t="s">
        <v>1192</v>
      </c>
      <c r="H801" s="70"/>
    </row>
    <row r="802" spans="1:8" ht="16" x14ac:dyDescent="0.2">
      <c r="A802" s="73"/>
      <c r="B802" s="85"/>
      <c r="C802" s="74"/>
      <c r="D802" s="74" t="s">
        <v>954</v>
      </c>
      <c r="E802" s="78" t="s">
        <v>137</v>
      </c>
      <c r="F802" s="76" t="s">
        <v>2124</v>
      </c>
      <c r="G802" s="88" t="s">
        <v>1192</v>
      </c>
      <c r="H802" s="70"/>
    </row>
    <row r="803" spans="1:8" ht="16" x14ac:dyDescent="0.2">
      <c r="A803" s="73"/>
      <c r="B803" s="85"/>
      <c r="C803" s="74"/>
      <c r="D803" s="74" t="s">
        <v>954</v>
      </c>
      <c r="E803" s="78" t="s">
        <v>96</v>
      </c>
      <c r="F803" s="76" t="s">
        <v>2125</v>
      </c>
      <c r="G803" s="88" t="s">
        <v>1192</v>
      </c>
      <c r="H803" s="70"/>
    </row>
    <row r="804" spans="1:8" ht="16" x14ac:dyDescent="0.2">
      <c r="A804" s="73"/>
      <c r="B804" s="85"/>
      <c r="C804" s="74"/>
      <c r="D804" s="74" t="s">
        <v>954</v>
      </c>
      <c r="E804" s="78" t="s">
        <v>137</v>
      </c>
      <c r="F804" s="76" t="s">
        <v>2125</v>
      </c>
      <c r="G804" s="88" t="s">
        <v>1192</v>
      </c>
      <c r="H804" s="70"/>
    </row>
    <row r="805" spans="1:8" ht="16" x14ac:dyDescent="0.2">
      <c r="A805" s="73"/>
      <c r="B805" s="85"/>
      <c r="C805" s="74"/>
      <c r="D805" s="74" t="s">
        <v>954</v>
      </c>
      <c r="E805" s="78" t="s">
        <v>96</v>
      </c>
      <c r="F805" s="76" t="s">
        <v>2147</v>
      </c>
      <c r="G805" s="88" t="s">
        <v>1192</v>
      </c>
      <c r="H805" s="70"/>
    </row>
    <row r="806" spans="1:8" ht="16" x14ac:dyDescent="0.2">
      <c r="A806" s="73"/>
      <c r="B806" s="85"/>
      <c r="C806" s="74"/>
      <c r="D806" s="74" t="s">
        <v>954</v>
      </c>
      <c r="E806" s="78" t="s">
        <v>137</v>
      </c>
      <c r="F806" s="76" t="s">
        <v>2147</v>
      </c>
      <c r="G806" s="88" t="s">
        <v>1192</v>
      </c>
      <c r="H806" s="70"/>
    </row>
    <row r="807" spans="1:8" ht="16" x14ac:dyDescent="0.2">
      <c r="A807" s="73"/>
      <c r="B807" s="85"/>
      <c r="C807" s="74"/>
      <c r="D807" s="74" t="s">
        <v>954</v>
      </c>
      <c r="E807" s="78" t="s">
        <v>96</v>
      </c>
      <c r="F807" s="76" t="s">
        <v>2126</v>
      </c>
      <c r="G807" s="88" t="s">
        <v>1192</v>
      </c>
      <c r="H807" s="70"/>
    </row>
    <row r="808" spans="1:8" ht="16" x14ac:dyDescent="0.2">
      <c r="A808" s="73"/>
      <c r="B808" s="85"/>
      <c r="C808" s="74"/>
      <c r="D808" s="74" t="s">
        <v>954</v>
      </c>
      <c r="E808" s="78" t="s">
        <v>137</v>
      </c>
      <c r="F808" s="76" t="s">
        <v>2126</v>
      </c>
      <c r="G808" s="88" t="s">
        <v>1192</v>
      </c>
      <c r="H808" s="70"/>
    </row>
    <row r="809" spans="1:8" ht="16" x14ac:dyDescent="0.2">
      <c r="A809" s="73"/>
      <c r="B809" s="77"/>
      <c r="C809" s="74"/>
      <c r="D809" s="74" t="s">
        <v>954</v>
      </c>
      <c r="E809" s="78" t="s">
        <v>96</v>
      </c>
      <c r="F809" s="76" t="s">
        <v>1674</v>
      </c>
      <c r="G809" s="88" t="s">
        <v>1211</v>
      </c>
      <c r="H809" s="70"/>
    </row>
    <row r="810" spans="1:8" ht="16" x14ac:dyDescent="0.2">
      <c r="A810" s="73"/>
      <c r="B810" s="77"/>
      <c r="C810" s="74"/>
      <c r="D810" s="74" t="s">
        <v>954</v>
      </c>
      <c r="E810" s="78" t="s">
        <v>96</v>
      </c>
      <c r="F810" s="76" t="s">
        <v>1675</v>
      </c>
      <c r="G810" s="88" t="s">
        <v>1211</v>
      </c>
      <c r="H810" s="70"/>
    </row>
    <row r="811" spans="1:8" ht="16" x14ac:dyDescent="0.2">
      <c r="A811" s="73"/>
      <c r="B811" s="77"/>
      <c r="C811" s="74"/>
      <c r="D811" s="74" t="s">
        <v>954</v>
      </c>
      <c r="E811" s="78" t="s">
        <v>96</v>
      </c>
      <c r="F811" s="76" t="s">
        <v>1676</v>
      </c>
      <c r="G811" s="88" t="s">
        <v>1211</v>
      </c>
      <c r="H811" s="70"/>
    </row>
    <row r="812" spans="1:8" ht="16" x14ac:dyDescent="0.2">
      <c r="A812" s="73"/>
      <c r="B812" s="77"/>
      <c r="C812" s="74"/>
      <c r="D812" s="74" t="s">
        <v>954</v>
      </c>
      <c r="E812" s="78" t="s">
        <v>96</v>
      </c>
      <c r="F812" s="76" t="s">
        <v>1677</v>
      </c>
      <c r="G812" s="88" t="s">
        <v>1211</v>
      </c>
      <c r="H812" s="70"/>
    </row>
    <row r="813" spans="1:8" x14ac:dyDescent="0.2">
      <c r="A813" s="73"/>
      <c r="B813" s="77"/>
      <c r="C813" s="74"/>
      <c r="D813" s="74" t="s">
        <v>954</v>
      </c>
      <c r="E813" s="78" t="s">
        <v>96</v>
      </c>
      <c r="F813" s="76" t="s">
        <v>1678</v>
      </c>
      <c r="G813" s="76" t="s">
        <v>1212</v>
      </c>
      <c r="H813" s="70"/>
    </row>
    <row r="814" spans="1:8" x14ac:dyDescent="0.2">
      <c r="A814" s="73"/>
      <c r="B814" s="77"/>
      <c r="C814" s="74"/>
      <c r="D814" s="74" t="s">
        <v>954</v>
      </c>
      <c r="E814" s="78" t="s">
        <v>96</v>
      </c>
      <c r="F814" s="76" t="s">
        <v>1679</v>
      </c>
      <c r="G814" s="76" t="s">
        <v>1212</v>
      </c>
      <c r="H814" s="70"/>
    </row>
    <row r="815" spans="1:8" x14ac:dyDescent="0.2">
      <c r="A815" s="73"/>
      <c r="B815" s="77"/>
      <c r="C815" s="74"/>
      <c r="D815" s="74" t="s">
        <v>954</v>
      </c>
      <c r="E815" s="78" t="s">
        <v>96</v>
      </c>
      <c r="F815" s="76" t="s">
        <v>1680</v>
      </c>
      <c r="G815" s="76" t="s">
        <v>1212</v>
      </c>
      <c r="H815" s="70"/>
    </row>
    <row r="816" spans="1:8" x14ac:dyDescent="0.2">
      <c r="A816" s="73"/>
      <c r="B816" s="77"/>
      <c r="C816" s="74"/>
      <c r="D816" s="74" t="s">
        <v>954</v>
      </c>
      <c r="E816" s="78" t="s">
        <v>96</v>
      </c>
      <c r="F816" s="76" t="s">
        <v>1681</v>
      </c>
      <c r="G816" s="76" t="s">
        <v>1212</v>
      </c>
      <c r="H816" s="70"/>
    </row>
    <row r="817" spans="1:8" ht="16" x14ac:dyDescent="0.2">
      <c r="A817" s="73"/>
      <c r="B817" s="77"/>
      <c r="C817" s="74"/>
      <c r="D817" s="74" t="s">
        <v>954</v>
      </c>
      <c r="E817" s="78" t="s">
        <v>96</v>
      </c>
      <c r="F817" s="76" t="s">
        <v>1682</v>
      </c>
      <c r="G817" s="88" t="s">
        <v>1219</v>
      </c>
      <c r="H817" s="70"/>
    </row>
    <row r="818" spans="1:8" ht="16" x14ac:dyDescent="0.2">
      <c r="A818" s="73"/>
      <c r="B818" s="77"/>
      <c r="C818" s="74"/>
      <c r="D818" s="74" t="s">
        <v>954</v>
      </c>
      <c r="E818" s="78" t="s">
        <v>96</v>
      </c>
      <c r="F818" s="76" t="s">
        <v>1683</v>
      </c>
      <c r="G818" s="88" t="s">
        <v>1219</v>
      </c>
      <c r="H818" s="70"/>
    </row>
    <row r="819" spans="1:8" ht="16" x14ac:dyDescent="0.2">
      <c r="A819" s="73"/>
      <c r="B819" s="77"/>
      <c r="C819" s="74"/>
      <c r="D819" s="74" t="s">
        <v>954</v>
      </c>
      <c r="E819" s="78" t="s">
        <v>96</v>
      </c>
      <c r="F819" s="76" t="s">
        <v>1684</v>
      </c>
      <c r="G819" s="88" t="s">
        <v>1219</v>
      </c>
      <c r="H819" s="70"/>
    </row>
    <row r="820" spans="1:8" ht="16" x14ac:dyDescent="0.2">
      <c r="A820" s="73"/>
      <c r="B820" s="77"/>
      <c r="C820" s="74"/>
      <c r="D820" s="74" t="s">
        <v>954</v>
      </c>
      <c r="E820" s="78" t="s">
        <v>96</v>
      </c>
      <c r="F820" s="76" t="s">
        <v>1685</v>
      </c>
      <c r="G820" s="88" t="s">
        <v>1219</v>
      </c>
      <c r="H820" s="70"/>
    </row>
    <row r="821" spans="1:8" x14ac:dyDescent="0.2">
      <c r="A821" s="73"/>
      <c r="B821" s="77"/>
      <c r="C821" s="74"/>
      <c r="D821" s="74" t="s">
        <v>954</v>
      </c>
      <c r="E821" s="78" t="s">
        <v>96</v>
      </c>
      <c r="F821" s="76" t="s">
        <v>1686</v>
      </c>
      <c r="G821" s="76" t="s">
        <v>1220</v>
      </c>
      <c r="H821" s="70"/>
    </row>
    <row r="822" spans="1:8" x14ac:dyDescent="0.2">
      <c r="A822" s="73"/>
      <c r="B822" s="77"/>
      <c r="C822" s="74"/>
      <c r="D822" s="74" t="s">
        <v>954</v>
      </c>
      <c r="E822" s="78" t="s">
        <v>96</v>
      </c>
      <c r="F822" s="76" t="s">
        <v>1687</v>
      </c>
      <c r="G822" s="76" t="s">
        <v>1220</v>
      </c>
      <c r="H822" s="70"/>
    </row>
    <row r="823" spans="1:8" x14ac:dyDescent="0.2">
      <c r="A823" s="73"/>
      <c r="B823" s="77"/>
      <c r="C823" s="74"/>
      <c r="D823" s="74" t="s">
        <v>954</v>
      </c>
      <c r="E823" s="78" t="s">
        <v>96</v>
      </c>
      <c r="F823" s="76" t="s">
        <v>1688</v>
      </c>
      <c r="G823" s="76" t="s">
        <v>1220</v>
      </c>
      <c r="H823" s="70"/>
    </row>
    <row r="824" spans="1:8" x14ac:dyDescent="0.2">
      <c r="A824" s="73"/>
      <c r="B824" s="77"/>
      <c r="C824" s="74"/>
      <c r="D824" s="74" t="s">
        <v>954</v>
      </c>
      <c r="E824" s="78" t="s">
        <v>96</v>
      </c>
      <c r="F824" s="76" t="s">
        <v>1689</v>
      </c>
      <c r="G824" s="76" t="s">
        <v>1220</v>
      </c>
      <c r="H824" s="70"/>
    </row>
    <row r="825" spans="1:8" ht="16" x14ac:dyDescent="0.2">
      <c r="A825" s="73"/>
      <c r="B825" s="85"/>
      <c r="C825" s="74"/>
      <c r="D825" s="74" t="s">
        <v>954</v>
      </c>
      <c r="E825" s="78" t="s">
        <v>96</v>
      </c>
      <c r="F825" s="76" t="s">
        <v>390</v>
      </c>
      <c r="G825" s="88" t="s">
        <v>1193</v>
      </c>
      <c r="H825" s="70"/>
    </row>
    <row r="826" spans="1:8" ht="16" x14ac:dyDescent="0.2">
      <c r="A826" s="73"/>
      <c r="B826" s="85"/>
      <c r="C826" s="74"/>
      <c r="D826" s="74" t="s">
        <v>954</v>
      </c>
      <c r="E826" s="78" t="s">
        <v>137</v>
      </c>
      <c r="F826" s="76" t="s">
        <v>390</v>
      </c>
      <c r="G826" s="88" t="s">
        <v>1193</v>
      </c>
      <c r="H826" s="70"/>
    </row>
    <row r="827" spans="1:8" ht="16" x14ac:dyDescent="0.2">
      <c r="A827" s="73"/>
      <c r="B827" s="85"/>
      <c r="C827" s="74"/>
      <c r="D827" s="74" t="s">
        <v>954</v>
      </c>
      <c r="E827" s="78" t="s">
        <v>96</v>
      </c>
      <c r="F827" s="76" t="s">
        <v>1641</v>
      </c>
      <c r="G827" s="88" t="s">
        <v>1193</v>
      </c>
      <c r="H827" s="70"/>
    </row>
    <row r="828" spans="1:8" ht="16" x14ac:dyDescent="0.2">
      <c r="A828" s="73"/>
      <c r="B828" s="85"/>
      <c r="C828" s="74"/>
      <c r="D828" s="74" t="s">
        <v>954</v>
      </c>
      <c r="E828" s="78" t="s">
        <v>137</v>
      </c>
      <c r="F828" s="76" t="s">
        <v>1641</v>
      </c>
      <c r="G828" s="88" t="s">
        <v>1193</v>
      </c>
      <c r="H828" s="70"/>
    </row>
    <row r="829" spans="1:8" ht="16" x14ac:dyDescent="0.2">
      <c r="A829" s="73"/>
      <c r="B829" s="85"/>
      <c r="C829" s="74"/>
      <c r="D829" s="74" t="s">
        <v>954</v>
      </c>
      <c r="E829" s="78" t="s">
        <v>96</v>
      </c>
      <c r="F829" s="76" t="s">
        <v>1642</v>
      </c>
      <c r="G829" s="88" t="s">
        <v>1193</v>
      </c>
      <c r="H829" s="70"/>
    </row>
    <row r="830" spans="1:8" ht="16" x14ac:dyDescent="0.2">
      <c r="A830" s="73"/>
      <c r="B830" s="85"/>
      <c r="C830" s="74"/>
      <c r="D830" s="74" t="s">
        <v>954</v>
      </c>
      <c r="E830" s="78" t="s">
        <v>137</v>
      </c>
      <c r="F830" s="76" t="s">
        <v>1642</v>
      </c>
      <c r="G830" s="88" t="s">
        <v>1193</v>
      </c>
      <c r="H830" s="70"/>
    </row>
    <row r="831" spans="1:8" ht="16" x14ac:dyDescent="0.2">
      <c r="A831" s="73"/>
      <c r="B831" s="85"/>
      <c r="C831" s="74"/>
      <c r="D831" s="74" t="s">
        <v>954</v>
      </c>
      <c r="E831" s="78" t="s">
        <v>96</v>
      </c>
      <c r="F831" s="76" t="s">
        <v>1690</v>
      </c>
      <c r="G831" s="88" t="s">
        <v>1193</v>
      </c>
      <c r="H831" s="70"/>
    </row>
    <row r="832" spans="1:8" ht="16" x14ac:dyDescent="0.2">
      <c r="A832" s="73"/>
      <c r="B832" s="85"/>
      <c r="C832" s="74"/>
      <c r="D832" s="74" t="s">
        <v>954</v>
      </c>
      <c r="E832" s="78" t="s">
        <v>137</v>
      </c>
      <c r="F832" s="76" t="s">
        <v>1690</v>
      </c>
      <c r="G832" s="88" t="s">
        <v>1193</v>
      </c>
      <c r="H832" s="70"/>
    </row>
    <row r="833" spans="1:8" ht="16" x14ac:dyDescent="0.2">
      <c r="A833" s="73"/>
      <c r="B833" s="85"/>
      <c r="C833" s="74"/>
      <c r="D833" s="74" t="s">
        <v>954</v>
      </c>
      <c r="E833" s="78" t="s">
        <v>96</v>
      </c>
      <c r="F833" s="76" t="s">
        <v>1691</v>
      </c>
      <c r="G833" s="88" t="s">
        <v>1193</v>
      </c>
      <c r="H833" s="70"/>
    </row>
    <row r="834" spans="1:8" ht="16" x14ac:dyDescent="0.2">
      <c r="A834" s="73"/>
      <c r="B834" s="85"/>
      <c r="C834" s="74"/>
      <c r="D834" s="74" t="s">
        <v>954</v>
      </c>
      <c r="E834" s="78" t="s">
        <v>137</v>
      </c>
      <c r="F834" s="76" t="s">
        <v>1691</v>
      </c>
      <c r="G834" s="88" t="s">
        <v>1193</v>
      </c>
      <c r="H834" s="70"/>
    </row>
    <row r="835" spans="1:8" ht="16" x14ac:dyDescent="0.2">
      <c r="A835" s="73"/>
      <c r="B835" s="85"/>
      <c r="C835" s="74"/>
      <c r="D835" s="74" t="s">
        <v>954</v>
      </c>
      <c r="E835" s="78" t="s">
        <v>96</v>
      </c>
      <c r="F835" s="76" t="s">
        <v>1643</v>
      </c>
      <c r="G835" s="88" t="s">
        <v>1193</v>
      </c>
      <c r="H835" s="70"/>
    </row>
    <row r="836" spans="1:8" ht="16" x14ac:dyDescent="0.2">
      <c r="A836" s="73"/>
      <c r="B836" s="85"/>
      <c r="C836" s="74"/>
      <c r="D836" s="74" t="s">
        <v>954</v>
      </c>
      <c r="E836" s="78" t="s">
        <v>137</v>
      </c>
      <c r="F836" s="76" t="s">
        <v>1643</v>
      </c>
      <c r="G836" s="88" t="s">
        <v>1193</v>
      </c>
      <c r="H836" s="70"/>
    </row>
    <row r="837" spans="1:8" ht="16" x14ac:dyDescent="0.2">
      <c r="A837" s="73"/>
      <c r="B837" s="85"/>
      <c r="C837" s="74"/>
      <c r="D837" s="74" t="s">
        <v>954</v>
      </c>
      <c r="E837" s="78" t="s">
        <v>96</v>
      </c>
      <c r="F837" s="76" t="s">
        <v>1644</v>
      </c>
      <c r="G837" s="88" t="s">
        <v>1193</v>
      </c>
      <c r="H837" s="70"/>
    </row>
    <row r="838" spans="1:8" ht="16" x14ac:dyDescent="0.2">
      <c r="A838" s="73"/>
      <c r="B838" s="85"/>
      <c r="C838" s="74"/>
      <c r="D838" s="74" t="s">
        <v>954</v>
      </c>
      <c r="E838" s="78" t="s">
        <v>137</v>
      </c>
      <c r="F838" s="76" t="s">
        <v>1644</v>
      </c>
      <c r="G838" s="88" t="s">
        <v>1193</v>
      </c>
      <c r="H838" s="70"/>
    </row>
    <row r="839" spans="1:8" ht="16" x14ac:dyDescent="0.2">
      <c r="A839" s="73"/>
      <c r="B839" s="85"/>
      <c r="C839" s="74"/>
      <c r="D839" s="74" t="s">
        <v>954</v>
      </c>
      <c r="E839" s="78" t="s">
        <v>96</v>
      </c>
      <c r="F839" s="76" t="s">
        <v>1692</v>
      </c>
      <c r="G839" s="88" t="s">
        <v>1193</v>
      </c>
      <c r="H839" s="70"/>
    </row>
    <row r="840" spans="1:8" ht="16" x14ac:dyDescent="0.2">
      <c r="A840" s="73"/>
      <c r="B840" s="85"/>
      <c r="C840" s="74"/>
      <c r="D840" s="74" t="s">
        <v>954</v>
      </c>
      <c r="E840" s="78" t="s">
        <v>137</v>
      </c>
      <c r="F840" s="76" t="s">
        <v>1692</v>
      </c>
      <c r="G840" s="88" t="s">
        <v>1193</v>
      </c>
      <c r="H840" s="70"/>
    </row>
    <row r="841" spans="1:8" ht="16" x14ac:dyDescent="0.2">
      <c r="A841" s="73"/>
      <c r="B841" s="85"/>
      <c r="C841" s="74"/>
      <c r="D841" s="74" t="s">
        <v>954</v>
      </c>
      <c r="E841" s="78" t="s">
        <v>96</v>
      </c>
      <c r="F841" s="76" t="s">
        <v>1645</v>
      </c>
      <c r="G841" s="88" t="s">
        <v>1193</v>
      </c>
      <c r="H841" s="70"/>
    </row>
    <row r="842" spans="1:8" ht="16" x14ac:dyDescent="0.2">
      <c r="A842" s="73"/>
      <c r="B842" s="85"/>
      <c r="C842" s="74"/>
      <c r="D842" s="74" t="s">
        <v>954</v>
      </c>
      <c r="E842" s="78" t="s">
        <v>137</v>
      </c>
      <c r="F842" s="76" t="s">
        <v>1645</v>
      </c>
      <c r="G842" s="88" t="s">
        <v>1193</v>
      </c>
      <c r="H842" s="70"/>
    </row>
    <row r="843" spans="1:8" ht="16" x14ac:dyDescent="0.2">
      <c r="A843" s="73"/>
      <c r="B843" s="85"/>
      <c r="C843" s="74"/>
      <c r="D843" s="74" t="s">
        <v>954</v>
      </c>
      <c r="E843" s="78" t="s">
        <v>96</v>
      </c>
      <c r="F843" s="76" t="s">
        <v>398</v>
      </c>
      <c r="G843" s="88" t="s">
        <v>1193</v>
      </c>
      <c r="H843" s="70"/>
    </row>
    <row r="844" spans="1:8" ht="16" x14ac:dyDescent="0.2">
      <c r="A844" s="73"/>
      <c r="B844" s="85"/>
      <c r="C844" s="74"/>
      <c r="D844" s="74" t="s">
        <v>954</v>
      </c>
      <c r="E844" s="78" t="s">
        <v>137</v>
      </c>
      <c r="F844" s="76" t="s">
        <v>398</v>
      </c>
      <c r="G844" s="88" t="s">
        <v>1193</v>
      </c>
      <c r="H844" s="70"/>
    </row>
    <row r="845" spans="1:8" ht="16" x14ac:dyDescent="0.2">
      <c r="A845" s="73"/>
      <c r="B845" s="85"/>
      <c r="C845" s="74"/>
      <c r="D845" s="74" t="s">
        <v>954</v>
      </c>
      <c r="E845" s="78" t="s">
        <v>96</v>
      </c>
      <c r="F845" s="76" t="s">
        <v>1693</v>
      </c>
      <c r="G845" s="88" t="s">
        <v>1193</v>
      </c>
      <c r="H845" s="70"/>
    </row>
    <row r="846" spans="1:8" ht="16" x14ac:dyDescent="0.2">
      <c r="A846" s="73"/>
      <c r="B846" s="85"/>
      <c r="C846" s="74"/>
      <c r="D846" s="74" t="s">
        <v>954</v>
      </c>
      <c r="E846" s="78" t="s">
        <v>137</v>
      </c>
      <c r="F846" s="76" t="s">
        <v>1693</v>
      </c>
      <c r="G846" s="88" t="s">
        <v>1193</v>
      </c>
      <c r="H846" s="70"/>
    </row>
    <row r="847" spans="1:8" ht="16" x14ac:dyDescent="0.2">
      <c r="A847" s="73"/>
      <c r="B847" s="85"/>
      <c r="C847" s="74"/>
      <c r="D847" s="74" t="s">
        <v>954</v>
      </c>
      <c r="E847" s="78" t="s">
        <v>96</v>
      </c>
      <c r="F847" s="76" t="s">
        <v>402</v>
      </c>
      <c r="G847" s="88" t="s">
        <v>1193</v>
      </c>
      <c r="H847" s="70"/>
    </row>
    <row r="848" spans="1:8" ht="16" x14ac:dyDescent="0.2">
      <c r="A848" s="73"/>
      <c r="B848" s="85"/>
      <c r="C848" s="74"/>
      <c r="D848" s="74" t="s">
        <v>954</v>
      </c>
      <c r="E848" s="78" t="s">
        <v>137</v>
      </c>
      <c r="F848" s="76" t="s">
        <v>402</v>
      </c>
      <c r="G848" s="88" t="s">
        <v>1193</v>
      </c>
      <c r="H848" s="70"/>
    </row>
    <row r="849" spans="1:8" ht="16" x14ac:dyDescent="0.2">
      <c r="A849" s="73"/>
      <c r="B849" s="85"/>
      <c r="C849" s="74"/>
      <c r="D849" s="74" t="s">
        <v>954</v>
      </c>
      <c r="E849" s="78" t="s">
        <v>96</v>
      </c>
      <c r="F849" s="76" t="s">
        <v>1694</v>
      </c>
      <c r="G849" s="88" t="s">
        <v>1193</v>
      </c>
      <c r="H849" s="70"/>
    </row>
    <row r="850" spans="1:8" ht="16" x14ac:dyDescent="0.2">
      <c r="A850" s="73"/>
      <c r="B850" s="85"/>
      <c r="C850" s="74"/>
      <c r="D850" s="74" t="s">
        <v>954</v>
      </c>
      <c r="E850" s="78" t="s">
        <v>137</v>
      </c>
      <c r="F850" s="76" t="s">
        <v>1694</v>
      </c>
      <c r="G850" s="88" t="s">
        <v>1193</v>
      </c>
      <c r="H850" s="70"/>
    </row>
    <row r="851" spans="1:8" x14ac:dyDescent="0.2">
      <c r="A851" s="73"/>
      <c r="B851" s="77"/>
      <c r="C851" s="74"/>
      <c r="D851" s="74" t="s">
        <v>954</v>
      </c>
      <c r="E851" s="78" t="s">
        <v>96</v>
      </c>
      <c r="F851" s="76" t="s">
        <v>390</v>
      </c>
      <c r="G851" s="76" t="s">
        <v>1167</v>
      </c>
      <c r="H851" s="70"/>
    </row>
    <row r="852" spans="1:8" x14ac:dyDescent="0.2">
      <c r="A852" s="73"/>
      <c r="B852" s="77"/>
      <c r="C852" s="74"/>
      <c r="D852" s="74" t="s">
        <v>954</v>
      </c>
      <c r="E852" s="78" t="s">
        <v>137</v>
      </c>
      <c r="F852" s="76" t="s">
        <v>390</v>
      </c>
      <c r="G852" s="76" t="s">
        <v>1167</v>
      </c>
      <c r="H852" s="70"/>
    </row>
    <row r="853" spans="1:8" x14ac:dyDescent="0.2">
      <c r="A853" s="73"/>
      <c r="B853" s="77"/>
      <c r="C853" s="74"/>
      <c r="D853" s="74" t="s">
        <v>954</v>
      </c>
      <c r="E853" s="78" t="s">
        <v>96</v>
      </c>
      <c r="F853" s="76" t="s">
        <v>1641</v>
      </c>
      <c r="G853" s="76" t="s">
        <v>1167</v>
      </c>
      <c r="H853" s="70"/>
    </row>
    <row r="854" spans="1:8" x14ac:dyDescent="0.2">
      <c r="A854" s="73"/>
      <c r="B854" s="77"/>
      <c r="C854" s="74"/>
      <c r="D854" s="74" t="s">
        <v>954</v>
      </c>
      <c r="E854" s="78" t="s">
        <v>137</v>
      </c>
      <c r="F854" s="76" t="s">
        <v>1641</v>
      </c>
      <c r="G854" s="76" t="s">
        <v>1167</v>
      </c>
      <c r="H854" s="70"/>
    </row>
    <row r="855" spans="1:8" x14ac:dyDescent="0.2">
      <c r="A855" s="73"/>
      <c r="B855" s="77"/>
      <c r="C855" s="74"/>
      <c r="D855" s="74" t="s">
        <v>954</v>
      </c>
      <c r="E855" s="78" t="s">
        <v>96</v>
      </c>
      <c r="F855" s="76" t="s">
        <v>1642</v>
      </c>
      <c r="G855" s="76" t="s">
        <v>1167</v>
      </c>
      <c r="H855" s="70"/>
    </row>
    <row r="856" spans="1:8" x14ac:dyDescent="0.2">
      <c r="A856" s="73"/>
      <c r="B856" s="77"/>
      <c r="C856" s="74"/>
      <c r="D856" s="74" t="s">
        <v>954</v>
      </c>
      <c r="E856" s="78" t="s">
        <v>137</v>
      </c>
      <c r="F856" s="76" t="s">
        <v>1642</v>
      </c>
      <c r="G856" s="76" t="s">
        <v>1167</v>
      </c>
      <c r="H856" s="70"/>
    </row>
    <row r="857" spans="1:8" x14ac:dyDescent="0.2">
      <c r="A857" s="73"/>
      <c r="B857" s="77"/>
      <c r="C857" s="74"/>
      <c r="D857" s="74" t="s">
        <v>954</v>
      </c>
      <c r="E857" s="78" t="s">
        <v>96</v>
      </c>
      <c r="F857" s="76" t="s">
        <v>1690</v>
      </c>
      <c r="G857" s="76" t="s">
        <v>1167</v>
      </c>
      <c r="H857" s="70"/>
    </row>
    <row r="858" spans="1:8" x14ac:dyDescent="0.2">
      <c r="A858" s="73"/>
      <c r="B858" s="77"/>
      <c r="C858" s="74"/>
      <c r="D858" s="74" t="s">
        <v>954</v>
      </c>
      <c r="E858" s="78" t="s">
        <v>137</v>
      </c>
      <c r="F858" s="76" t="s">
        <v>1690</v>
      </c>
      <c r="G858" s="76" t="s">
        <v>1167</v>
      </c>
      <c r="H858" s="70"/>
    </row>
    <row r="859" spans="1:8" x14ac:dyDescent="0.2">
      <c r="A859" s="73"/>
      <c r="B859" s="77"/>
      <c r="C859" s="74"/>
      <c r="D859" s="74" t="s">
        <v>954</v>
      </c>
      <c r="E859" s="78" t="s">
        <v>96</v>
      </c>
      <c r="F859" s="76" t="s">
        <v>1691</v>
      </c>
      <c r="G859" s="76" t="s">
        <v>1167</v>
      </c>
      <c r="H859" s="70"/>
    </row>
    <row r="860" spans="1:8" x14ac:dyDescent="0.2">
      <c r="A860" s="73"/>
      <c r="B860" s="77"/>
      <c r="C860" s="74"/>
      <c r="D860" s="74" t="s">
        <v>954</v>
      </c>
      <c r="E860" s="78" t="s">
        <v>137</v>
      </c>
      <c r="F860" s="76" t="s">
        <v>1691</v>
      </c>
      <c r="G860" s="76" t="s">
        <v>1167</v>
      </c>
      <c r="H860" s="70"/>
    </row>
    <row r="861" spans="1:8" x14ac:dyDescent="0.2">
      <c r="A861" s="73"/>
      <c r="B861" s="77"/>
      <c r="C861" s="74"/>
      <c r="D861" s="74" t="s">
        <v>954</v>
      </c>
      <c r="E861" s="78" t="s">
        <v>96</v>
      </c>
      <c r="F861" s="76" t="s">
        <v>1644</v>
      </c>
      <c r="G861" s="76" t="s">
        <v>1167</v>
      </c>
      <c r="H861" s="70"/>
    </row>
    <row r="862" spans="1:8" x14ac:dyDescent="0.2">
      <c r="A862" s="73"/>
      <c r="B862" s="77"/>
      <c r="C862" s="74"/>
      <c r="D862" s="74" t="s">
        <v>954</v>
      </c>
      <c r="E862" s="78" t="s">
        <v>137</v>
      </c>
      <c r="F862" s="76" t="s">
        <v>1644</v>
      </c>
      <c r="G862" s="76" t="s">
        <v>1167</v>
      </c>
      <c r="H862" s="70"/>
    </row>
    <row r="863" spans="1:8" x14ac:dyDescent="0.2">
      <c r="A863" s="73"/>
      <c r="B863" s="77"/>
      <c r="C863" s="74"/>
      <c r="D863" s="74" t="s">
        <v>954</v>
      </c>
      <c r="E863" s="78" t="s">
        <v>96</v>
      </c>
      <c r="F863" s="76" t="s">
        <v>1692</v>
      </c>
      <c r="G863" s="76" t="s">
        <v>1167</v>
      </c>
      <c r="H863" s="70"/>
    </row>
    <row r="864" spans="1:8" x14ac:dyDescent="0.2">
      <c r="A864" s="73"/>
      <c r="B864" s="77"/>
      <c r="C864" s="74"/>
      <c r="D864" s="74" t="s">
        <v>954</v>
      </c>
      <c r="E864" s="78" t="s">
        <v>137</v>
      </c>
      <c r="F864" s="76" t="s">
        <v>1692</v>
      </c>
      <c r="G864" s="76" t="s">
        <v>1167</v>
      </c>
      <c r="H864" s="70"/>
    </row>
    <row r="865" spans="1:8" x14ac:dyDescent="0.2">
      <c r="A865" s="73"/>
      <c r="B865" s="77"/>
      <c r="C865" s="74"/>
      <c r="D865" s="74" t="s">
        <v>954</v>
      </c>
      <c r="E865" s="78" t="s">
        <v>96</v>
      </c>
      <c r="F865" s="76" t="s">
        <v>1645</v>
      </c>
      <c r="G865" s="76" t="s">
        <v>1167</v>
      </c>
      <c r="H865" s="70"/>
    </row>
    <row r="866" spans="1:8" x14ac:dyDescent="0.2">
      <c r="A866" s="73"/>
      <c r="B866" s="77"/>
      <c r="C866" s="74"/>
      <c r="D866" s="74" t="s">
        <v>954</v>
      </c>
      <c r="E866" s="78" t="s">
        <v>137</v>
      </c>
      <c r="F866" s="76" t="s">
        <v>1645</v>
      </c>
      <c r="G866" s="76" t="s">
        <v>1167</v>
      </c>
      <c r="H866" s="70"/>
    </row>
    <row r="867" spans="1:8" x14ac:dyDescent="0.2">
      <c r="A867" s="73"/>
      <c r="B867" s="77"/>
      <c r="C867" s="74"/>
      <c r="D867" s="74" t="s">
        <v>954</v>
      </c>
      <c r="E867" s="78" t="s">
        <v>96</v>
      </c>
      <c r="F867" s="76" t="s">
        <v>398</v>
      </c>
      <c r="G867" s="76" t="s">
        <v>1167</v>
      </c>
      <c r="H867" s="70"/>
    </row>
    <row r="868" spans="1:8" x14ac:dyDescent="0.2">
      <c r="A868" s="73"/>
      <c r="B868" s="77"/>
      <c r="C868" s="74"/>
      <c r="D868" s="74" t="s">
        <v>954</v>
      </c>
      <c r="E868" s="78" t="s">
        <v>137</v>
      </c>
      <c r="F868" s="76" t="s">
        <v>398</v>
      </c>
      <c r="G868" s="76" t="s">
        <v>1167</v>
      </c>
      <c r="H868" s="70"/>
    </row>
    <row r="869" spans="1:8" x14ac:dyDescent="0.2">
      <c r="A869" s="73"/>
      <c r="B869" s="77"/>
      <c r="C869" s="74"/>
      <c r="D869" s="74" t="s">
        <v>954</v>
      </c>
      <c r="E869" s="78" t="s">
        <v>96</v>
      </c>
      <c r="F869" s="76" t="s">
        <v>1693</v>
      </c>
      <c r="G869" s="76" t="s">
        <v>1167</v>
      </c>
      <c r="H869" s="70"/>
    </row>
    <row r="870" spans="1:8" x14ac:dyDescent="0.2">
      <c r="A870" s="73"/>
      <c r="B870" s="77"/>
      <c r="C870" s="74"/>
      <c r="D870" s="74" t="s">
        <v>954</v>
      </c>
      <c r="E870" s="78" t="s">
        <v>137</v>
      </c>
      <c r="F870" s="76" t="s">
        <v>1693</v>
      </c>
      <c r="G870" s="76" t="s">
        <v>1167</v>
      </c>
      <c r="H870" s="70"/>
    </row>
    <row r="871" spans="1:8" x14ac:dyDescent="0.2">
      <c r="A871" s="73"/>
      <c r="B871" s="77"/>
      <c r="C871" s="74"/>
      <c r="D871" s="74" t="s">
        <v>954</v>
      </c>
      <c r="E871" s="78" t="s">
        <v>96</v>
      </c>
      <c r="F871" s="76" t="s">
        <v>402</v>
      </c>
      <c r="G871" s="76" t="s">
        <v>1167</v>
      </c>
      <c r="H871" s="70"/>
    </row>
    <row r="872" spans="1:8" x14ac:dyDescent="0.2">
      <c r="A872" s="73"/>
      <c r="B872" s="77"/>
      <c r="C872" s="74"/>
      <c r="D872" s="74" t="s">
        <v>954</v>
      </c>
      <c r="E872" s="78" t="s">
        <v>137</v>
      </c>
      <c r="F872" s="76" t="s">
        <v>402</v>
      </c>
      <c r="G872" s="76" t="s">
        <v>1167</v>
      </c>
      <c r="H872" s="70"/>
    </row>
    <row r="873" spans="1:8" x14ac:dyDescent="0.2">
      <c r="A873" s="73"/>
      <c r="B873" s="77"/>
      <c r="C873" s="74"/>
      <c r="D873" s="74" t="s">
        <v>954</v>
      </c>
      <c r="E873" s="78" t="s">
        <v>96</v>
      </c>
      <c r="F873" s="76" t="s">
        <v>1694</v>
      </c>
      <c r="G873" s="76" t="s">
        <v>1167</v>
      </c>
      <c r="H873" s="70"/>
    </row>
    <row r="874" spans="1:8" x14ac:dyDescent="0.2">
      <c r="A874" s="73"/>
      <c r="B874" s="77"/>
      <c r="C874" s="74"/>
      <c r="D874" s="74" t="s">
        <v>954</v>
      </c>
      <c r="E874" s="78" t="s">
        <v>137</v>
      </c>
      <c r="F874" s="76" t="s">
        <v>1694</v>
      </c>
      <c r="G874" s="76" t="s">
        <v>1167</v>
      </c>
      <c r="H874" s="70"/>
    </row>
    <row r="875" spans="1:8" x14ac:dyDescent="0.2">
      <c r="A875" s="73"/>
      <c r="B875" s="77"/>
      <c r="C875" s="74"/>
      <c r="D875" s="74" t="s">
        <v>954</v>
      </c>
      <c r="E875" s="78" t="s">
        <v>119</v>
      </c>
      <c r="F875" s="76" t="s">
        <v>390</v>
      </c>
      <c r="G875" s="76" t="s">
        <v>1168</v>
      </c>
      <c r="H875" s="70"/>
    </row>
    <row r="876" spans="1:8" x14ac:dyDescent="0.2">
      <c r="A876" s="73"/>
      <c r="B876" s="77"/>
      <c r="C876" s="74"/>
      <c r="D876" s="74" t="s">
        <v>954</v>
      </c>
      <c r="E876" s="78" t="s">
        <v>119</v>
      </c>
      <c r="F876" s="76" t="s">
        <v>1641</v>
      </c>
      <c r="G876" s="76" t="s">
        <v>1168</v>
      </c>
      <c r="H876" s="70"/>
    </row>
    <row r="877" spans="1:8" x14ac:dyDescent="0.2">
      <c r="A877" s="73"/>
      <c r="B877" s="77"/>
      <c r="C877" s="74"/>
      <c r="D877" s="74" t="s">
        <v>954</v>
      </c>
      <c r="E877" s="78" t="s">
        <v>119</v>
      </c>
      <c r="F877" s="76" t="s">
        <v>1642</v>
      </c>
      <c r="G877" s="76" t="s">
        <v>1168</v>
      </c>
      <c r="H877" s="70"/>
    </row>
    <row r="878" spans="1:8" x14ac:dyDescent="0.2">
      <c r="A878" s="73"/>
      <c r="B878" s="77"/>
      <c r="C878" s="74"/>
      <c r="D878" s="74" t="s">
        <v>954</v>
      </c>
      <c r="E878" s="78" t="s">
        <v>119</v>
      </c>
      <c r="F878" s="76" t="s">
        <v>1690</v>
      </c>
      <c r="G878" s="76" t="s">
        <v>1168</v>
      </c>
      <c r="H878" s="70"/>
    </row>
    <row r="879" spans="1:8" x14ac:dyDescent="0.2">
      <c r="A879" s="73"/>
      <c r="B879" s="77"/>
      <c r="C879" s="74"/>
      <c r="D879" s="74" t="s">
        <v>954</v>
      </c>
      <c r="E879" s="78" t="s">
        <v>119</v>
      </c>
      <c r="F879" s="76" t="s">
        <v>1691</v>
      </c>
      <c r="G879" s="76" t="s">
        <v>1168</v>
      </c>
      <c r="H879" s="70"/>
    </row>
    <row r="880" spans="1:8" x14ac:dyDescent="0.2">
      <c r="A880" s="73"/>
      <c r="B880" s="77"/>
      <c r="C880" s="74"/>
      <c r="D880" s="74" t="s">
        <v>954</v>
      </c>
      <c r="E880" s="78" t="s">
        <v>119</v>
      </c>
      <c r="F880" s="76" t="s">
        <v>1644</v>
      </c>
      <c r="G880" s="76" t="s">
        <v>1168</v>
      </c>
      <c r="H880" s="70"/>
    </row>
    <row r="881" spans="1:8" x14ac:dyDescent="0.2">
      <c r="A881" s="73"/>
      <c r="B881" s="77"/>
      <c r="C881" s="74"/>
      <c r="D881" s="74" t="s">
        <v>954</v>
      </c>
      <c r="E881" s="78" t="s">
        <v>119</v>
      </c>
      <c r="F881" s="76" t="s">
        <v>1692</v>
      </c>
      <c r="G881" s="76" t="s">
        <v>1168</v>
      </c>
      <c r="H881" s="70"/>
    </row>
    <row r="882" spans="1:8" x14ac:dyDescent="0.2">
      <c r="A882" s="73"/>
      <c r="B882" s="77"/>
      <c r="C882" s="74"/>
      <c r="D882" s="74" t="s">
        <v>954</v>
      </c>
      <c r="E882" s="78" t="s">
        <v>119</v>
      </c>
      <c r="F882" s="76" t="s">
        <v>1645</v>
      </c>
      <c r="G882" s="76" t="s">
        <v>1168</v>
      </c>
      <c r="H882" s="70"/>
    </row>
    <row r="883" spans="1:8" x14ac:dyDescent="0.2">
      <c r="A883" s="73"/>
      <c r="B883" s="77"/>
      <c r="C883" s="74"/>
      <c r="D883" s="74" t="s">
        <v>954</v>
      </c>
      <c r="E883" s="78" t="s">
        <v>119</v>
      </c>
      <c r="F883" s="76" t="s">
        <v>398</v>
      </c>
      <c r="G883" s="76" t="s">
        <v>1168</v>
      </c>
      <c r="H883" s="70"/>
    </row>
    <row r="884" spans="1:8" x14ac:dyDescent="0.2">
      <c r="A884" s="73"/>
      <c r="B884" s="77"/>
      <c r="C884" s="74"/>
      <c r="D884" s="74" t="s">
        <v>954</v>
      </c>
      <c r="E884" s="78" t="s">
        <v>119</v>
      </c>
      <c r="F884" s="76" t="s">
        <v>1693</v>
      </c>
      <c r="G884" s="76" t="s">
        <v>1168</v>
      </c>
      <c r="H884" s="70"/>
    </row>
    <row r="885" spans="1:8" x14ac:dyDescent="0.2">
      <c r="A885" s="73"/>
      <c r="B885" s="77"/>
      <c r="C885" s="74"/>
      <c r="D885" s="74" t="s">
        <v>954</v>
      </c>
      <c r="E885" s="78" t="s">
        <v>119</v>
      </c>
      <c r="F885" s="76" t="s">
        <v>402</v>
      </c>
      <c r="G885" s="76" t="s">
        <v>1168</v>
      </c>
      <c r="H885" s="70"/>
    </row>
    <row r="886" spans="1:8" x14ac:dyDescent="0.2">
      <c r="A886" s="73"/>
      <c r="B886" s="77"/>
      <c r="C886" s="74"/>
      <c r="D886" s="74" t="s">
        <v>954</v>
      </c>
      <c r="E886" s="78" t="s">
        <v>119</v>
      </c>
      <c r="F886" s="76" t="s">
        <v>1694</v>
      </c>
      <c r="G886" s="76" t="s">
        <v>1168</v>
      </c>
      <c r="H886" s="70"/>
    </row>
    <row r="887" spans="1:8" ht="16" x14ac:dyDescent="0.2">
      <c r="A887" s="73"/>
      <c r="B887" s="85"/>
      <c r="C887" s="74"/>
      <c r="D887" s="74" t="s">
        <v>954</v>
      </c>
      <c r="E887" s="78" t="s">
        <v>96</v>
      </c>
      <c r="F887" s="76" t="s">
        <v>1646</v>
      </c>
      <c r="G887" s="88" t="s">
        <v>592</v>
      </c>
      <c r="H887" s="70"/>
    </row>
    <row r="888" spans="1:8" ht="16" x14ac:dyDescent="0.2">
      <c r="A888" s="73"/>
      <c r="B888" s="85"/>
      <c r="C888" s="74"/>
      <c r="D888" s="74" t="s">
        <v>954</v>
      </c>
      <c r="E888" s="78" t="s">
        <v>96</v>
      </c>
      <c r="F888" s="76" t="s">
        <v>1647</v>
      </c>
      <c r="G888" s="88" t="s">
        <v>592</v>
      </c>
      <c r="H888" s="70"/>
    </row>
    <row r="889" spans="1:8" ht="16" x14ac:dyDescent="0.2">
      <c r="A889" s="73"/>
      <c r="B889" s="85"/>
      <c r="C889" s="74"/>
      <c r="D889" s="74" t="s">
        <v>954</v>
      </c>
      <c r="E889" s="78" t="s">
        <v>96</v>
      </c>
      <c r="F889" s="76" t="s">
        <v>1648</v>
      </c>
      <c r="G889" s="88" t="s">
        <v>592</v>
      </c>
      <c r="H889" s="70"/>
    </row>
    <row r="890" spans="1:8" ht="16" x14ac:dyDescent="0.2">
      <c r="A890" s="73"/>
      <c r="B890" s="85"/>
      <c r="C890" s="74"/>
      <c r="D890" s="74" t="s">
        <v>954</v>
      </c>
      <c r="E890" s="78" t="s">
        <v>96</v>
      </c>
      <c r="F890" s="76" t="s">
        <v>1649</v>
      </c>
      <c r="G890" s="88" t="s">
        <v>592</v>
      </c>
      <c r="H890" s="70"/>
    </row>
    <row r="891" spans="1:8" ht="16" x14ac:dyDescent="0.2">
      <c r="A891" s="73"/>
      <c r="B891" s="85"/>
      <c r="C891" s="74"/>
      <c r="D891" s="74" t="s">
        <v>954</v>
      </c>
      <c r="E891" s="78" t="s">
        <v>96</v>
      </c>
      <c r="F891" s="76" t="s">
        <v>1650</v>
      </c>
      <c r="G891" s="88" t="s">
        <v>592</v>
      </c>
      <c r="H891" s="70"/>
    </row>
    <row r="892" spans="1:8" ht="16" x14ac:dyDescent="0.2">
      <c r="A892" s="73"/>
      <c r="B892" s="85"/>
      <c r="C892" s="74"/>
      <c r="D892" s="74" t="s">
        <v>954</v>
      </c>
      <c r="E892" s="78" t="s">
        <v>96</v>
      </c>
      <c r="F892" s="76" t="s">
        <v>1651</v>
      </c>
      <c r="G892" s="88" t="s">
        <v>592</v>
      </c>
      <c r="H892" s="70"/>
    </row>
    <row r="893" spans="1:8" ht="16" x14ac:dyDescent="0.2">
      <c r="A893" s="73"/>
      <c r="B893" s="85"/>
      <c r="C893" s="74"/>
      <c r="D893" s="74" t="s">
        <v>954</v>
      </c>
      <c r="E893" s="78" t="s">
        <v>96</v>
      </c>
      <c r="F893" s="76" t="s">
        <v>1695</v>
      </c>
      <c r="G893" s="88" t="s">
        <v>592</v>
      </c>
      <c r="H893" s="70"/>
    </row>
    <row r="894" spans="1:8" ht="16" x14ac:dyDescent="0.2">
      <c r="A894" s="73"/>
      <c r="B894" s="85"/>
      <c r="C894" s="74"/>
      <c r="D894" s="74" t="s">
        <v>954</v>
      </c>
      <c r="E894" s="78" t="s">
        <v>96</v>
      </c>
      <c r="F894" s="76" t="s">
        <v>1696</v>
      </c>
      <c r="G894" s="88" t="s">
        <v>592</v>
      </c>
      <c r="H894" s="70"/>
    </row>
    <row r="895" spans="1:8" ht="16" x14ac:dyDescent="0.2">
      <c r="A895" s="73"/>
      <c r="B895" s="85"/>
      <c r="C895" s="74"/>
      <c r="D895" s="74" t="s">
        <v>954</v>
      </c>
      <c r="E895" s="78" t="s">
        <v>96</v>
      </c>
      <c r="F895" s="76" t="s">
        <v>1697</v>
      </c>
      <c r="G895" s="88" t="s">
        <v>592</v>
      </c>
      <c r="H895" s="70"/>
    </row>
    <row r="896" spans="1:8" ht="16" x14ac:dyDescent="0.2">
      <c r="A896" s="73"/>
      <c r="B896" s="85"/>
      <c r="C896" s="74"/>
      <c r="D896" s="74" t="s">
        <v>954</v>
      </c>
      <c r="E896" s="78" t="s">
        <v>96</v>
      </c>
      <c r="F896" s="76" t="s">
        <v>1698</v>
      </c>
      <c r="G896" s="88" t="s">
        <v>592</v>
      </c>
      <c r="H896" s="70"/>
    </row>
    <row r="897" spans="1:8" ht="16" x14ac:dyDescent="0.2">
      <c r="A897" s="73"/>
      <c r="B897" s="85"/>
      <c r="C897" s="74"/>
      <c r="D897" s="74" t="s">
        <v>954</v>
      </c>
      <c r="E897" s="78" t="s">
        <v>96</v>
      </c>
      <c r="F897" s="76" t="s">
        <v>1699</v>
      </c>
      <c r="G897" s="88" t="s">
        <v>592</v>
      </c>
      <c r="H897" s="70"/>
    </row>
    <row r="898" spans="1:8" ht="16" x14ac:dyDescent="0.2">
      <c r="A898" s="73"/>
      <c r="B898" s="85"/>
      <c r="C898" s="74"/>
      <c r="D898" s="74" t="s">
        <v>954</v>
      </c>
      <c r="E898" s="78" t="s">
        <v>96</v>
      </c>
      <c r="F898" s="76" t="s">
        <v>1700</v>
      </c>
      <c r="G898" s="88" t="s">
        <v>592</v>
      </c>
      <c r="H898" s="70"/>
    </row>
    <row r="899" spans="1:8" x14ac:dyDescent="0.2">
      <c r="A899" s="73"/>
      <c r="B899" s="77"/>
      <c r="C899" s="74"/>
      <c r="D899" s="74" t="s">
        <v>954</v>
      </c>
      <c r="E899" s="78" t="s">
        <v>96</v>
      </c>
      <c r="F899" s="76" t="s">
        <v>1646</v>
      </c>
      <c r="G899" s="76" t="s">
        <v>1170</v>
      </c>
      <c r="H899" s="70"/>
    </row>
    <row r="900" spans="1:8" x14ac:dyDescent="0.2">
      <c r="A900" s="73"/>
      <c r="B900" s="77"/>
      <c r="C900" s="74"/>
      <c r="D900" s="74" t="s">
        <v>954</v>
      </c>
      <c r="E900" s="78" t="s">
        <v>96</v>
      </c>
      <c r="F900" s="76" t="s">
        <v>1647</v>
      </c>
      <c r="G900" s="76" t="s">
        <v>1170</v>
      </c>
      <c r="H900" s="70"/>
    </row>
    <row r="901" spans="1:8" x14ac:dyDescent="0.2">
      <c r="A901" s="73"/>
      <c r="B901" s="77"/>
      <c r="C901" s="74"/>
      <c r="D901" s="74" t="s">
        <v>954</v>
      </c>
      <c r="E901" s="78" t="s">
        <v>96</v>
      </c>
      <c r="F901" s="76" t="s">
        <v>1648</v>
      </c>
      <c r="G901" s="76" t="s">
        <v>1170</v>
      </c>
      <c r="H901" s="70"/>
    </row>
    <row r="902" spans="1:8" x14ac:dyDescent="0.2">
      <c r="A902" s="73"/>
      <c r="B902" s="77"/>
      <c r="C902" s="74"/>
      <c r="D902" s="74" t="s">
        <v>954</v>
      </c>
      <c r="E902" s="78" t="s">
        <v>96</v>
      </c>
      <c r="F902" s="76" t="s">
        <v>1649</v>
      </c>
      <c r="G902" s="76" t="s">
        <v>1170</v>
      </c>
      <c r="H902" s="70"/>
    </row>
    <row r="903" spans="1:8" x14ac:dyDescent="0.2">
      <c r="A903" s="73"/>
      <c r="B903" s="77"/>
      <c r="C903" s="74"/>
      <c r="D903" s="74" t="s">
        <v>954</v>
      </c>
      <c r="E903" s="78" t="s">
        <v>96</v>
      </c>
      <c r="F903" s="76" t="s">
        <v>1650</v>
      </c>
      <c r="G903" s="76" t="s">
        <v>1170</v>
      </c>
      <c r="H903" s="70"/>
    </row>
    <row r="904" spans="1:8" x14ac:dyDescent="0.2">
      <c r="A904" s="73"/>
      <c r="B904" s="77"/>
      <c r="C904" s="74"/>
      <c r="D904" s="74" t="s">
        <v>954</v>
      </c>
      <c r="E904" s="78" t="s">
        <v>96</v>
      </c>
      <c r="F904" s="76" t="s">
        <v>1651</v>
      </c>
      <c r="G904" s="76" t="s">
        <v>1170</v>
      </c>
      <c r="H904" s="70"/>
    </row>
    <row r="905" spans="1:8" x14ac:dyDescent="0.2">
      <c r="A905" s="73"/>
      <c r="B905" s="77"/>
      <c r="C905" s="74"/>
      <c r="D905" s="74" t="s">
        <v>954</v>
      </c>
      <c r="E905" s="78" t="s">
        <v>96</v>
      </c>
      <c r="F905" s="76" t="s">
        <v>1696</v>
      </c>
      <c r="G905" s="76" t="s">
        <v>1170</v>
      </c>
      <c r="H905" s="70"/>
    </row>
    <row r="906" spans="1:8" x14ac:dyDescent="0.2">
      <c r="A906" s="73"/>
      <c r="B906" s="77"/>
      <c r="C906" s="74"/>
      <c r="D906" s="74" t="s">
        <v>954</v>
      </c>
      <c r="E906" s="78" t="s">
        <v>96</v>
      </c>
      <c r="F906" s="76" t="s">
        <v>1697</v>
      </c>
      <c r="G906" s="76" t="s">
        <v>1170</v>
      </c>
      <c r="H906" s="70"/>
    </row>
    <row r="907" spans="1:8" x14ac:dyDescent="0.2">
      <c r="A907" s="73"/>
      <c r="B907" s="77"/>
      <c r="C907" s="74"/>
      <c r="D907" s="74" t="s">
        <v>954</v>
      </c>
      <c r="E907" s="78" t="s">
        <v>96</v>
      </c>
      <c r="F907" s="76" t="s">
        <v>1698</v>
      </c>
      <c r="G907" s="76" t="s">
        <v>1170</v>
      </c>
      <c r="H907" s="70"/>
    </row>
    <row r="908" spans="1:8" x14ac:dyDescent="0.2">
      <c r="A908" s="73"/>
      <c r="B908" s="77"/>
      <c r="C908" s="74"/>
      <c r="D908" s="74" t="s">
        <v>954</v>
      </c>
      <c r="E908" s="78" t="s">
        <v>96</v>
      </c>
      <c r="F908" s="76" t="s">
        <v>1699</v>
      </c>
      <c r="G908" s="76" t="s">
        <v>1170</v>
      </c>
      <c r="H908" s="70"/>
    </row>
    <row r="909" spans="1:8" x14ac:dyDescent="0.2">
      <c r="A909" s="73"/>
      <c r="B909" s="77"/>
      <c r="C909" s="74"/>
      <c r="D909" s="74" t="s">
        <v>954</v>
      </c>
      <c r="E909" s="78" t="s">
        <v>96</v>
      </c>
      <c r="F909" s="76" t="s">
        <v>1700</v>
      </c>
      <c r="G909" s="76" t="s">
        <v>1170</v>
      </c>
      <c r="H909" s="70"/>
    </row>
    <row r="910" spans="1:8" x14ac:dyDescent="0.2">
      <c r="A910" s="73"/>
      <c r="B910" s="77"/>
      <c r="C910" s="74"/>
      <c r="D910" s="74" t="s">
        <v>954</v>
      </c>
      <c r="E910" s="78" t="s">
        <v>112</v>
      </c>
      <c r="F910" s="76" t="s">
        <v>1646</v>
      </c>
      <c r="G910" s="76" t="s">
        <v>1169</v>
      </c>
      <c r="H910" s="70"/>
    </row>
    <row r="911" spans="1:8" x14ac:dyDescent="0.2">
      <c r="A911" s="73"/>
      <c r="B911" s="77"/>
      <c r="C911" s="74"/>
      <c r="D911" s="74" t="s">
        <v>954</v>
      </c>
      <c r="E911" s="78" t="s">
        <v>112</v>
      </c>
      <c r="F911" s="76" t="s">
        <v>1647</v>
      </c>
      <c r="G911" s="76" t="s">
        <v>1169</v>
      </c>
      <c r="H911" s="70"/>
    </row>
    <row r="912" spans="1:8" x14ac:dyDescent="0.2">
      <c r="A912" s="73"/>
      <c r="B912" s="77"/>
      <c r="C912" s="74"/>
      <c r="D912" s="74" t="s">
        <v>954</v>
      </c>
      <c r="E912" s="78" t="s">
        <v>112</v>
      </c>
      <c r="F912" s="76" t="s">
        <v>1648</v>
      </c>
      <c r="G912" s="76" t="s">
        <v>1169</v>
      </c>
      <c r="H912" s="70"/>
    </row>
    <row r="913" spans="1:8" x14ac:dyDescent="0.2">
      <c r="A913" s="73"/>
      <c r="B913" s="77"/>
      <c r="C913" s="74"/>
      <c r="D913" s="74" t="s">
        <v>954</v>
      </c>
      <c r="E913" s="78" t="s">
        <v>112</v>
      </c>
      <c r="F913" s="76" t="s">
        <v>1649</v>
      </c>
      <c r="G913" s="76" t="s">
        <v>1169</v>
      </c>
      <c r="H913" s="70"/>
    </row>
    <row r="914" spans="1:8" x14ac:dyDescent="0.2">
      <c r="A914" s="73"/>
      <c r="B914" s="77"/>
      <c r="C914" s="74"/>
      <c r="D914" s="74" t="s">
        <v>954</v>
      </c>
      <c r="E914" s="78" t="s">
        <v>112</v>
      </c>
      <c r="F914" s="76" t="s">
        <v>1650</v>
      </c>
      <c r="G914" s="76" t="s">
        <v>1169</v>
      </c>
      <c r="H914" s="70"/>
    </row>
    <row r="915" spans="1:8" x14ac:dyDescent="0.2">
      <c r="A915" s="73"/>
      <c r="B915" s="77"/>
      <c r="C915" s="74"/>
      <c r="D915" s="74" t="s">
        <v>954</v>
      </c>
      <c r="E915" s="78" t="s">
        <v>112</v>
      </c>
      <c r="F915" s="76" t="s">
        <v>1651</v>
      </c>
      <c r="G915" s="76" t="s">
        <v>1169</v>
      </c>
      <c r="H915" s="70"/>
    </row>
    <row r="916" spans="1:8" x14ac:dyDescent="0.2">
      <c r="A916" s="73"/>
      <c r="B916" s="77"/>
      <c r="C916" s="74"/>
      <c r="D916" s="74" t="s">
        <v>954</v>
      </c>
      <c r="E916" s="78" t="s">
        <v>112</v>
      </c>
      <c r="F916" s="76" t="s">
        <v>1696</v>
      </c>
      <c r="G916" s="76" t="s">
        <v>1169</v>
      </c>
      <c r="H916" s="70"/>
    </row>
    <row r="917" spans="1:8" x14ac:dyDescent="0.2">
      <c r="A917" s="73"/>
      <c r="B917" s="77"/>
      <c r="C917" s="74"/>
      <c r="D917" s="74" t="s">
        <v>954</v>
      </c>
      <c r="E917" s="78" t="s">
        <v>112</v>
      </c>
      <c r="F917" s="76" t="s">
        <v>1697</v>
      </c>
      <c r="G917" s="76" t="s">
        <v>1169</v>
      </c>
      <c r="H917" s="70"/>
    </row>
    <row r="918" spans="1:8" x14ac:dyDescent="0.2">
      <c r="A918" s="73"/>
      <c r="B918" s="77"/>
      <c r="C918" s="74"/>
      <c r="D918" s="74" t="s">
        <v>954</v>
      </c>
      <c r="E918" s="78" t="s">
        <v>112</v>
      </c>
      <c r="F918" s="76" t="s">
        <v>1698</v>
      </c>
      <c r="G918" s="76" t="s">
        <v>1169</v>
      </c>
      <c r="H918" s="70"/>
    </row>
    <row r="919" spans="1:8" x14ac:dyDescent="0.2">
      <c r="A919" s="73"/>
      <c r="B919" s="77"/>
      <c r="C919" s="74"/>
      <c r="D919" s="74" t="s">
        <v>954</v>
      </c>
      <c r="E919" s="78" t="s">
        <v>112</v>
      </c>
      <c r="F919" s="76" t="s">
        <v>1699</v>
      </c>
      <c r="G919" s="76" t="s">
        <v>1169</v>
      </c>
      <c r="H919" s="70"/>
    </row>
    <row r="920" spans="1:8" x14ac:dyDescent="0.2">
      <c r="A920" s="73"/>
      <c r="B920" s="77"/>
      <c r="C920" s="74"/>
      <c r="D920" s="74" t="s">
        <v>954</v>
      </c>
      <c r="E920" s="78" t="s">
        <v>112</v>
      </c>
      <c r="F920" s="76" t="s">
        <v>1700</v>
      </c>
      <c r="G920" s="76" t="s">
        <v>1169</v>
      </c>
      <c r="H920" s="70"/>
    </row>
    <row r="921" spans="1:8" x14ac:dyDescent="0.2">
      <c r="A921" s="73"/>
      <c r="B921" s="77"/>
      <c r="C921" s="74"/>
      <c r="D921" s="74" t="s">
        <v>954</v>
      </c>
      <c r="E921" s="78" t="s">
        <v>96</v>
      </c>
      <c r="F921" s="76" t="s">
        <v>394</v>
      </c>
      <c r="G921" s="76" t="s">
        <v>1171</v>
      </c>
      <c r="H921" s="70"/>
    </row>
    <row r="922" spans="1:8" x14ac:dyDescent="0.2">
      <c r="A922" s="73"/>
      <c r="B922" s="77"/>
      <c r="C922" s="74"/>
      <c r="D922" s="74" t="s">
        <v>954</v>
      </c>
      <c r="E922" s="78" t="s">
        <v>96</v>
      </c>
      <c r="F922" s="76" t="s">
        <v>1652</v>
      </c>
      <c r="G922" s="76" t="s">
        <v>1171</v>
      </c>
      <c r="H922" s="70"/>
    </row>
    <row r="923" spans="1:8" x14ac:dyDescent="0.2">
      <c r="A923" s="73"/>
      <c r="B923" s="77"/>
      <c r="C923" s="74"/>
      <c r="D923" s="74" t="s">
        <v>954</v>
      </c>
      <c r="E923" s="78" t="s">
        <v>96</v>
      </c>
      <c r="F923" s="76" t="s">
        <v>1653</v>
      </c>
      <c r="G923" s="76" t="s">
        <v>1171</v>
      </c>
      <c r="H923" s="70"/>
    </row>
    <row r="924" spans="1:8" x14ac:dyDescent="0.2">
      <c r="A924" s="73"/>
      <c r="B924" s="77"/>
      <c r="C924" s="74"/>
      <c r="D924" s="74" t="s">
        <v>954</v>
      </c>
      <c r="E924" s="78" t="s">
        <v>96</v>
      </c>
      <c r="F924" s="76" t="s">
        <v>1654</v>
      </c>
      <c r="G924" s="76" t="s">
        <v>1171</v>
      </c>
      <c r="H924" s="70"/>
    </row>
    <row r="925" spans="1:8" x14ac:dyDescent="0.2">
      <c r="A925" s="73"/>
      <c r="B925" s="77"/>
      <c r="C925" s="74"/>
      <c r="D925" s="74" t="s">
        <v>954</v>
      </c>
      <c r="E925" s="78" t="s">
        <v>96</v>
      </c>
      <c r="F925" s="76" t="s">
        <v>1655</v>
      </c>
      <c r="G925" s="76" t="s">
        <v>1171</v>
      </c>
      <c r="H925" s="70"/>
    </row>
    <row r="926" spans="1:8" x14ac:dyDescent="0.2">
      <c r="A926" s="73"/>
      <c r="B926" s="77"/>
      <c r="C926" s="74"/>
      <c r="D926" s="74" t="s">
        <v>954</v>
      </c>
      <c r="E926" s="78" t="s">
        <v>96</v>
      </c>
      <c r="F926" s="76" t="s">
        <v>1657</v>
      </c>
      <c r="G926" s="76" t="s">
        <v>1171</v>
      </c>
      <c r="H926" s="70"/>
    </row>
    <row r="927" spans="1:8" x14ac:dyDescent="0.2">
      <c r="A927" s="73"/>
      <c r="B927" s="77"/>
      <c r="C927" s="74"/>
      <c r="D927" s="74" t="s">
        <v>954</v>
      </c>
      <c r="E927" s="78" t="s">
        <v>96</v>
      </c>
      <c r="F927" s="76" t="s">
        <v>1658</v>
      </c>
      <c r="G927" s="76" t="s">
        <v>1171</v>
      </c>
      <c r="H927" s="70"/>
    </row>
    <row r="928" spans="1:8" x14ac:dyDescent="0.2">
      <c r="A928" s="73"/>
      <c r="B928" s="77"/>
      <c r="C928" s="74"/>
      <c r="D928" s="74" t="s">
        <v>954</v>
      </c>
      <c r="E928" s="78" t="s">
        <v>96</v>
      </c>
      <c r="F928" s="76" t="s">
        <v>1701</v>
      </c>
      <c r="G928" s="76" t="s">
        <v>1171</v>
      </c>
      <c r="H928" s="70"/>
    </row>
    <row r="929" spans="1:8" x14ac:dyDescent="0.2">
      <c r="A929" s="73"/>
      <c r="B929" s="77"/>
      <c r="C929" s="74"/>
      <c r="D929" s="74" t="s">
        <v>954</v>
      </c>
      <c r="E929" s="78" t="s">
        <v>96</v>
      </c>
      <c r="F929" s="76" t="s">
        <v>1702</v>
      </c>
      <c r="G929" s="76" t="s">
        <v>1171</v>
      </c>
      <c r="H929" s="70"/>
    </row>
    <row r="930" spans="1:8" x14ac:dyDescent="0.2">
      <c r="A930" s="73"/>
      <c r="B930" s="77"/>
      <c r="C930" s="74"/>
      <c r="D930" s="74" t="s">
        <v>954</v>
      </c>
      <c r="E930" s="78" t="s">
        <v>96</v>
      </c>
      <c r="F930" s="76" t="s">
        <v>1703</v>
      </c>
      <c r="G930" s="76" t="s">
        <v>1171</v>
      </c>
      <c r="H930" s="70"/>
    </row>
    <row r="931" spans="1:8" x14ac:dyDescent="0.2">
      <c r="A931" s="73"/>
      <c r="B931" s="77"/>
      <c r="C931" s="74"/>
      <c r="D931" s="74" t="s">
        <v>954</v>
      </c>
      <c r="E931" s="78" t="s">
        <v>96</v>
      </c>
      <c r="F931" s="76" t="s">
        <v>1704</v>
      </c>
      <c r="G931" s="76" t="s">
        <v>1171</v>
      </c>
      <c r="H931" s="70"/>
    </row>
    <row r="932" spans="1:8" x14ac:dyDescent="0.2">
      <c r="A932" s="73"/>
      <c r="B932" s="77"/>
      <c r="C932" s="74"/>
      <c r="D932" s="74" t="s">
        <v>954</v>
      </c>
      <c r="E932" s="78" t="s">
        <v>96</v>
      </c>
      <c r="F932" s="76" t="s">
        <v>1705</v>
      </c>
      <c r="G932" s="76" t="s">
        <v>1171</v>
      </c>
      <c r="H932" s="70"/>
    </row>
    <row r="933" spans="1:8" x14ac:dyDescent="0.2">
      <c r="A933" s="73"/>
      <c r="B933" s="85"/>
      <c r="C933" s="74"/>
      <c r="D933" s="74" t="s">
        <v>954</v>
      </c>
      <c r="E933" s="78" t="s">
        <v>96</v>
      </c>
      <c r="F933" s="76" t="s">
        <v>394</v>
      </c>
      <c r="G933" s="76" t="s">
        <v>1194</v>
      </c>
      <c r="H933" s="70"/>
    </row>
    <row r="934" spans="1:8" x14ac:dyDescent="0.2">
      <c r="A934" s="73"/>
      <c r="B934" s="85"/>
      <c r="C934" s="74"/>
      <c r="D934" s="74" t="s">
        <v>954</v>
      </c>
      <c r="E934" s="78" t="s">
        <v>96</v>
      </c>
      <c r="F934" s="76" t="s">
        <v>1652</v>
      </c>
      <c r="G934" s="76" t="s">
        <v>1194</v>
      </c>
      <c r="H934" s="70"/>
    </row>
    <row r="935" spans="1:8" x14ac:dyDescent="0.2">
      <c r="A935" s="73"/>
      <c r="B935" s="85"/>
      <c r="C935" s="74"/>
      <c r="D935" s="74" t="s">
        <v>954</v>
      </c>
      <c r="E935" s="78" t="s">
        <v>96</v>
      </c>
      <c r="F935" s="76" t="s">
        <v>1653</v>
      </c>
      <c r="G935" s="76" t="s">
        <v>1194</v>
      </c>
      <c r="H935" s="70"/>
    </row>
    <row r="936" spans="1:8" x14ac:dyDescent="0.2">
      <c r="A936" s="73"/>
      <c r="B936" s="85"/>
      <c r="C936" s="74"/>
      <c r="D936" s="74" t="s">
        <v>954</v>
      </c>
      <c r="E936" s="78" t="s">
        <v>96</v>
      </c>
      <c r="F936" s="76" t="s">
        <v>1654</v>
      </c>
      <c r="G936" s="76" t="s">
        <v>1194</v>
      </c>
      <c r="H936" s="70"/>
    </row>
    <row r="937" spans="1:8" x14ac:dyDescent="0.2">
      <c r="A937" s="73"/>
      <c r="B937" s="85"/>
      <c r="C937" s="74"/>
      <c r="D937" s="74" t="s">
        <v>954</v>
      </c>
      <c r="E937" s="78" t="s">
        <v>96</v>
      </c>
      <c r="F937" s="76" t="s">
        <v>1655</v>
      </c>
      <c r="G937" s="76" t="s">
        <v>1194</v>
      </c>
      <c r="H937" s="70"/>
    </row>
    <row r="938" spans="1:8" x14ac:dyDescent="0.2">
      <c r="A938" s="73"/>
      <c r="B938" s="85"/>
      <c r="C938" s="74"/>
      <c r="D938" s="74" t="s">
        <v>954</v>
      </c>
      <c r="E938" s="78" t="s">
        <v>96</v>
      </c>
      <c r="F938" s="76" t="s">
        <v>1656</v>
      </c>
      <c r="G938" s="76" t="s">
        <v>1194</v>
      </c>
      <c r="H938" s="70"/>
    </row>
    <row r="939" spans="1:8" x14ac:dyDescent="0.2">
      <c r="A939" s="73"/>
      <c r="B939" s="85"/>
      <c r="C939" s="74"/>
      <c r="D939" s="74" t="s">
        <v>954</v>
      </c>
      <c r="E939" s="78" t="s">
        <v>96</v>
      </c>
      <c r="F939" s="76" t="s">
        <v>1657</v>
      </c>
      <c r="G939" s="76" t="s">
        <v>1194</v>
      </c>
      <c r="H939" s="70"/>
    </row>
    <row r="940" spans="1:8" x14ac:dyDescent="0.2">
      <c r="A940" s="73"/>
      <c r="B940" s="85"/>
      <c r="C940" s="74"/>
      <c r="D940" s="74" t="s">
        <v>954</v>
      </c>
      <c r="E940" s="78" t="s">
        <v>96</v>
      </c>
      <c r="F940" s="76" t="s">
        <v>1658</v>
      </c>
      <c r="G940" s="76" t="s">
        <v>1194</v>
      </c>
      <c r="H940" s="70"/>
    </row>
    <row r="941" spans="1:8" x14ac:dyDescent="0.2">
      <c r="A941" s="73"/>
      <c r="B941" s="85"/>
      <c r="C941" s="74"/>
      <c r="D941" s="74" t="s">
        <v>954</v>
      </c>
      <c r="E941" s="78" t="s">
        <v>96</v>
      </c>
      <c r="F941" s="76" t="s">
        <v>1701</v>
      </c>
      <c r="G941" s="76" t="s">
        <v>1194</v>
      </c>
      <c r="H941" s="70"/>
    </row>
    <row r="942" spans="1:8" x14ac:dyDescent="0.2">
      <c r="A942" s="73"/>
      <c r="B942" s="85"/>
      <c r="C942" s="74"/>
      <c r="D942" s="74" t="s">
        <v>954</v>
      </c>
      <c r="E942" s="78" t="s">
        <v>96</v>
      </c>
      <c r="F942" s="76" t="s">
        <v>1702</v>
      </c>
      <c r="G942" s="76" t="s">
        <v>1194</v>
      </c>
      <c r="H942" s="70"/>
    </row>
    <row r="943" spans="1:8" x14ac:dyDescent="0.2">
      <c r="A943" s="73"/>
      <c r="B943" s="85"/>
      <c r="C943" s="74"/>
      <c r="D943" s="74" t="s">
        <v>954</v>
      </c>
      <c r="E943" s="78" t="s">
        <v>96</v>
      </c>
      <c r="F943" s="76" t="s">
        <v>1703</v>
      </c>
      <c r="G943" s="76" t="s">
        <v>1194</v>
      </c>
      <c r="H943" s="70"/>
    </row>
    <row r="944" spans="1:8" x14ac:dyDescent="0.2">
      <c r="A944" s="73"/>
      <c r="B944" s="85"/>
      <c r="C944" s="74"/>
      <c r="D944" s="74" t="s">
        <v>954</v>
      </c>
      <c r="E944" s="78" t="s">
        <v>96</v>
      </c>
      <c r="F944" s="76" t="s">
        <v>1704</v>
      </c>
      <c r="G944" s="76" t="s">
        <v>1194</v>
      </c>
      <c r="H944" s="70"/>
    </row>
    <row r="945" spans="1:8" x14ac:dyDescent="0.2">
      <c r="A945" s="73"/>
      <c r="B945" s="85"/>
      <c r="C945" s="74"/>
      <c r="D945" s="74" t="s">
        <v>954</v>
      </c>
      <c r="E945" s="78" t="s">
        <v>96</v>
      </c>
      <c r="F945" s="76" t="s">
        <v>1705</v>
      </c>
      <c r="G945" s="76" t="s">
        <v>1194</v>
      </c>
      <c r="H945" s="70"/>
    </row>
    <row r="946" spans="1:8" x14ac:dyDescent="0.2">
      <c r="A946" s="73"/>
      <c r="B946" s="77"/>
      <c r="C946" s="74"/>
      <c r="D946" s="74" t="s">
        <v>954</v>
      </c>
      <c r="E946" s="78" t="s">
        <v>96</v>
      </c>
      <c r="F946" s="76" t="s">
        <v>1659</v>
      </c>
      <c r="G946" s="76" t="s">
        <v>1172</v>
      </c>
      <c r="H946" s="70"/>
    </row>
    <row r="947" spans="1:8" x14ac:dyDescent="0.2">
      <c r="A947" s="73"/>
      <c r="B947" s="77"/>
      <c r="C947" s="74"/>
      <c r="D947" s="74" t="s">
        <v>954</v>
      </c>
      <c r="E947" s="78" t="s">
        <v>96</v>
      </c>
      <c r="F947" s="76" t="s">
        <v>1660</v>
      </c>
      <c r="G947" s="76" t="s">
        <v>1172</v>
      </c>
      <c r="H947" s="70"/>
    </row>
    <row r="948" spans="1:8" x14ac:dyDescent="0.2">
      <c r="A948" s="73"/>
      <c r="B948" s="77"/>
      <c r="C948" s="74"/>
      <c r="D948" s="74" t="s">
        <v>954</v>
      </c>
      <c r="E948" s="78" t="s">
        <v>96</v>
      </c>
      <c r="F948" s="76" t="s">
        <v>1661</v>
      </c>
      <c r="G948" s="76" t="s">
        <v>1172</v>
      </c>
      <c r="H948" s="70"/>
    </row>
    <row r="949" spans="1:8" x14ac:dyDescent="0.2">
      <c r="A949" s="73"/>
      <c r="B949" s="77"/>
      <c r="C949" s="74"/>
      <c r="D949" s="74" t="s">
        <v>954</v>
      </c>
      <c r="E949" s="78" t="s">
        <v>96</v>
      </c>
      <c r="F949" s="76" t="s">
        <v>1662</v>
      </c>
      <c r="G949" s="76" t="s">
        <v>1172</v>
      </c>
      <c r="H949" s="70"/>
    </row>
    <row r="950" spans="1:8" x14ac:dyDescent="0.2">
      <c r="A950" s="73"/>
      <c r="B950" s="77"/>
      <c r="C950" s="74"/>
      <c r="D950" s="74" t="s">
        <v>954</v>
      </c>
      <c r="E950" s="78" t="s">
        <v>96</v>
      </c>
      <c r="F950" s="76" t="s">
        <v>1663</v>
      </c>
      <c r="G950" s="76" t="s">
        <v>1172</v>
      </c>
      <c r="H950" s="70"/>
    </row>
    <row r="951" spans="1:8" x14ac:dyDescent="0.2">
      <c r="A951" s="73"/>
      <c r="B951" s="77"/>
      <c r="C951" s="74"/>
      <c r="D951" s="74" t="s">
        <v>954</v>
      </c>
      <c r="E951" s="78" t="s">
        <v>96</v>
      </c>
      <c r="F951" s="76" t="s">
        <v>1664</v>
      </c>
      <c r="G951" s="76" t="s">
        <v>1172</v>
      </c>
      <c r="H951" s="70"/>
    </row>
    <row r="952" spans="1:8" x14ac:dyDescent="0.2">
      <c r="A952" s="73"/>
      <c r="B952" s="77"/>
      <c r="C952" s="74"/>
      <c r="D952" s="74" t="s">
        <v>954</v>
      </c>
      <c r="E952" s="78" t="s">
        <v>96</v>
      </c>
      <c r="F952" s="76" t="s">
        <v>1706</v>
      </c>
      <c r="G952" s="76" t="s">
        <v>1172</v>
      </c>
      <c r="H952" s="70"/>
    </row>
    <row r="953" spans="1:8" x14ac:dyDescent="0.2">
      <c r="A953" s="73"/>
      <c r="B953" s="77"/>
      <c r="C953" s="74"/>
      <c r="D953" s="74" t="s">
        <v>954</v>
      </c>
      <c r="E953" s="78" t="s">
        <v>96</v>
      </c>
      <c r="F953" s="76" t="s">
        <v>1707</v>
      </c>
      <c r="G953" s="76" t="s">
        <v>1172</v>
      </c>
      <c r="H953" s="70"/>
    </row>
    <row r="954" spans="1:8" x14ac:dyDescent="0.2">
      <c r="A954" s="73"/>
      <c r="B954" s="77"/>
      <c r="C954" s="74"/>
      <c r="D954" s="74" t="s">
        <v>954</v>
      </c>
      <c r="E954" s="78" t="s">
        <v>96</v>
      </c>
      <c r="F954" s="76" t="s">
        <v>1708</v>
      </c>
      <c r="G954" s="76" t="s">
        <v>1172</v>
      </c>
      <c r="H954" s="70"/>
    </row>
    <row r="955" spans="1:8" x14ac:dyDescent="0.2">
      <c r="A955" s="73"/>
      <c r="B955" s="77"/>
      <c r="C955" s="74"/>
      <c r="D955" s="74" t="s">
        <v>954</v>
      </c>
      <c r="E955" s="78" t="s">
        <v>96</v>
      </c>
      <c r="F955" s="76" t="s">
        <v>1709</v>
      </c>
      <c r="G955" s="76" t="s">
        <v>1172</v>
      </c>
      <c r="H955" s="70"/>
    </row>
    <row r="956" spans="1:8" x14ac:dyDescent="0.2">
      <c r="A956" s="73"/>
      <c r="B956" s="77"/>
      <c r="C956" s="74"/>
      <c r="D956" s="74" t="s">
        <v>954</v>
      </c>
      <c r="E956" s="78" t="s">
        <v>96</v>
      </c>
      <c r="F956" s="76" t="s">
        <v>1710</v>
      </c>
      <c r="G956" s="76" t="s">
        <v>1172</v>
      </c>
      <c r="H956" s="70"/>
    </row>
    <row r="957" spans="1:8" x14ac:dyDescent="0.2">
      <c r="A957" s="73"/>
      <c r="B957" s="85"/>
      <c r="C957" s="74"/>
      <c r="D957" s="74" t="s">
        <v>954</v>
      </c>
      <c r="E957" s="78" t="s">
        <v>96</v>
      </c>
      <c r="F957" s="76" t="s">
        <v>1659</v>
      </c>
      <c r="G957" s="76" t="s">
        <v>1195</v>
      </c>
      <c r="H957" s="70"/>
    </row>
    <row r="958" spans="1:8" x14ac:dyDescent="0.2">
      <c r="A958" s="73"/>
      <c r="B958" s="85"/>
      <c r="C958" s="74"/>
      <c r="D958" s="74" t="s">
        <v>954</v>
      </c>
      <c r="E958" s="78" t="s">
        <v>96</v>
      </c>
      <c r="F958" s="76" t="s">
        <v>1660</v>
      </c>
      <c r="G958" s="76" t="s">
        <v>1195</v>
      </c>
      <c r="H958" s="70"/>
    </row>
    <row r="959" spans="1:8" x14ac:dyDescent="0.2">
      <c r="A959" s="73"/>
      <c r="B959" s="85"/>
      <c r="C959" s="74"/>
      <c r="D959" s="74" t="s">
        <v>954</v>
      </c>
      <c r="E959" s="78" t="s">
        <v>96</v>
      </c>
      <c r="F959" s="76" t="s">
        <v>1661</v>
      </c>
      <c r="G959" s="76" t="s">
        <v>1195</v>
      </c>
      <c r="H959" s="70"/>
    </row>
    <row r="960" spans="1:8" x14ac:dyDescent="0.2">
      <c r="A960" s="73"/>
      <c r="B960" s="85"/>
      <c r="C960" s="74"/>
      <c r="D960" s="74" t="s">
        <v>954</v>
      </c>
      <c r="E960" s="78" t="s">
        <v>96</v>
      </c>
      <c r="F960" s="76" t="s">
        <v>1662</v>
      </c>
      <c r="G960" s="76" t="s">
        <v>1195</v>
      </c>
      <c r="H960" s="70"/>
    </row>
    <row r="961" spans="1:8" x14ac:dyDescent="0.2">
      <c r="A961" s="73"/>
      <c r="B961" s="85"/>
      <c r="C961" s="74"/>
      <c r="D961" s="74" t="s">
        <v>954</v>
      </c>
      <c r="E961" s="78" t="s">
        <v>96</v>
      </c>
      <c r="F961" s="76" t="s">
        <v>1663</v>
      </c>
      <c r="G961" s="76" t="s">
        <v>1195</v>
      </c>
      <c r="H961" s="70"/>
    </row>
    <row r="962" spans="1:8" x14ac:dyDescent="0.2">
      <c r="A962" s="73"/>
      <c r="B962" s="85"/>
      <c r="C962" s="74"/>
      <c r="D962" s="74" t="s">
        <v>954</v>
      </c>
      <c r="E962" s="78" t="s">
        <v>96</v>
      </c>
      <c r="F962" s="76" t="s">
        <v>1664</v>
      </c>
      <c r="G962" s="76" t="s">
        <v>1195</v>
      </c>
      <c r="H962" s="70"/>
    </row>
    <row r="963" spans="1:8" x14ac:dyDescent="0.2">
      <c r="A963" s="73"/>
      <c r="B963" s="85"/>
      <c r="C963" s="74"/>
      <c r="D963" s="74" t="s">
        <v>954</v>
      </c>
      <c r="E963" s="78" t="s">
        <v>96</v>
      </c>
      <c r="F963" s="76" t="s">
        <v>1665</v>
      </c>
      <c r="G963" s="76" t="s">
        <v>1195</v>
      </c>
      <c r="H963" s="70"/>
    </row>
    <row r="964" spans="1:8" x14ac:dyDescent="0.2">
      <c r="A964" s="73"/>
      <c r="B964" s="85"/>
      <c r="C964" s="74"/>
      <c r="D964" s="74" t="s">
        <v>954</v>
      </c>
      <c r="E964" s="78" t="s">
        <v>96</v>
      </c>
      <c r="F964" s="76" t="s">
        <v>1706</v>
      </c>
      <c r="G964" s="76" t="s">
        <v>1195</v>
      </c>
      <c r="H964" s="70"/>
    </row>
    <row r="965" spans="1:8" x14ac:dyDescent="0.2">
      <c r="A965" s="73"/>
      <c r="B965" s="85"/>
      <c r="C965" s="74"/>
      <c r="D965" s="74" t="s">
        <v>954</v>
      </c>
      <c r="E965" s="78" t="s">
        <v>96</v>
      </c>
      <c r="F965" s="76" t="s">
        <v>1707</v>
      </c>
      <c r="G965" s="76" t="s">
        <v>1195</v>
      </c>
      <c r="H965" s="70"/>
    </row>
    <row r="966" spans="1:8" x14ac:dyDescent="0.2">
      <c r="A966" s="73"/>
      <c r="B966" s="85"/>
      <c r="C966" s="74"/>
      <c r="D966" s="74" t="s">
        <v>954</v>
      </c>
      <c r="E966" s="78" t="s">
        <v>96</v>
      </c>
      <c r="F966" s="76" t="s">
        <v>1708</v>
      </c>
      <c r="G966" s="76" t="s">
        <v>1195</v>
      </c>
      <c r="H966" s="70"/>
    </row>
    <row r="967" spans="1:8" x14ac:dyDescent="0.2">
      <c r="A967" s="73"/>
      <c r="B967" s="85"/>
      <c r="C967" s="74"/>
      <c r="D967" s="74" t="s">
        <v>954</v>
      </c>
      <c r="E967" s="78" t="s">
        <v>96</v>
      </c>
      <c r="F967" s="76" t="s">
        <v>1709</v>
      </c>
      <c r="G967" s="76" t="s">
        <v>1195</v>
      </c>
      <c r="H967" s="70"/>
    </row>
    <row r="968" spans="1:8" x14ac:dyDescent="0.2">
      <c r="A968" s="73"/>
      <c r="B968" s="85"/>
      <c r="C968" s="74"/>
      <c r="D968" s="74" t="s">
        <v>954</v>
      </c>
      <c r="E968" s="78" t="s">
        <v>96</v>
      </c>
      <c r="F968" s="76" t="s">
        <v>1710</v>
      </c>
      <c r="G968" s="76" t="s">
        <v>1195</v>
      </c>
      <c r="H968" s="70"/>
    </row>
    <row r="969" spans="1:8" ht="16" x14ac:dyDescent="0.2">
      <c r="A969" s="73"/>
      <c r="B969" s="77"/>
      <c r="C969" s="74"/>
      <c r="D969" s="74" t="s">
        <v>954</v>
      </c>
      <c r="E969" s="78" t="s">
        <v>119</v>
      </c>
      <c r="F969" s="76" t="s">
        <v>1667</v>
      </c>
      <c r="G969" s="88" t="s">
        <v>1052</v>
      </c>
      <c r="H969" s="70"/>
    </row>
    <row r="970" spans="1:8" ht="16" x14ac:dyDescent="0.2">
      <c r="A970" s="73"/>
      <c r="B970" s="77"/>
      <c r="C970" s="74"/>
      <c r="D970" s="74" t="s">
        <v>954</v>
      </c>
      <c r="E970" s="78" t="s">
        <v>119</v>
      </c>
      <c r="F970" s="76" t="s">
        <v>1668</v>
      </c>
      <c r="G970" s="88" t="s">
        <v>1052</v>
      </c>
      <c r="H970" s="70"/>
    </row>
    <row r="971" spans="1:8" ht="16" x14ac:dyDescent="0.2">
      <c r="A971" s="73"/>
      <c r="B971" s="77"/>
      <c r="C971" s="74"/>
      <c r="D971" s="74" t="s">
        <v>954</v>
      </c>
      <c r="E971" s="78" t="s">
        <v>119</v>
      </c>
      <c r="F971" s="76" t="s">
        <v>1711</v>
      </c>
      <c r="G971" s="88" t="s">
        <v>1052</v>
      </c>
      <c r="H971" s="70"/>
    </row>
    <row r="972" spans="1:8" ht="16" x14ac:dyDescent="0.2">
      <c r="A972" s="73"/>
      <c r="B972" s="85"/>
      <c r="C972" s="74"/>
      <c r="D972" s="74" t="s">
        <v>954</v>
      </c>
      <c r="E972" s="78" t="s">
        <v>96</v>
      </c>
      <c r="F972" s="76" t="s">
        <v>1711</v>
      </c>
      <c r="G972" s="88" t="s">
        <v>589</v>
      </c>
      <c r="H972" s="70"/>
    </row>
    <row r="973" spans="1:8" ht="16" x14ac:dyDescent="0.2">
      <c r="A973" s="73"/>
      <c r="B973" s="85"/>
      <c r="C973" s="74"/>
      <c r="D973" s="74" t="s">
        <v>954</v>
      </c>
      <c r="E973" s="78" t="s">
        <v>96</v>
      </c>
      <c r="F973" s="76" t="s">
        <v>1668</v>
      </c>
      <c r="G973" s="88" t="s">
        <v>589</v>
      </c>
      <c r="H973" s="70"/>
    </row>
    <row r="974" spans="1:8" ht="16" x14ac:dyDescent="0.2">
      <c r="A974" s="73"/>
      <c r="B974" s="85"/>
      <c r="C974" s="74"/>
      <c r="D974" s="74" t="s">
        <v>954</v>
      </c>
      <c r="E974" s="78" t="s">
        <v>96</v>
      </c>
      <c r="F974" s="76" t="s">
        <v>1712</v>
      </c>
      <c r="G974" s="88" t="s">
        <v>589</v>
      </c>
      <c r="H974" s="70"/>
    </row>
    <row r="975" spans="1:8" ht="16" x14ac:dyDescent="0.2">
      <c r="A975" s="73"/>
      <c r="B975" s="77"/>
      <c r="C975" s="74"/>
      <c r="D975" s="74" t="s">
        <v>954</v>
      </c>
      <c r="E975" s="78" t="s">
        <v>112</v>
      </c>
      <c r="F975" s="76" t="s">
        <v>1668</v>
      </c>
      <c r="G975" s="88" t="s">
        <v>1166</v>
      </c>
      <c r="H975" s="70"/>
    </row>
    <row r="976" spans="1:8" ht="16" x14ac:dyDescent="0.2">
      <c r="A976" s="73"/>
      <c r="B976" s="77"/>
      <c r="C976" s="74"/>
      <c r="D976" s="74" t="s">
        <v>954</v>
      </c>
      <c r="E976" s="78" t="s">
        <v>112</v>
      </c>
      <c r="F976" s="76" t="s">
        <v>1711</v>
      </c>
      <c r="G976" s="88" t="s">
        <v>1166</v>
      </c>
      <c r="H976" s="70"/>
    </row>
    <row r="977" spans="1:8" ht="16" x14ac:dyDescent="0.2">
      <c r="A977" s="73"/>
      <c r="B977" s="77"/>
      <c r="C977" s="74"/>
      <c r="D977" s="74" t="s">
        <v>954</v>
      </c>
      <c r="E977" s="78" t="s">
        <v>96</v>
      </c>
      <c r="F977" s="76" t="s">
        <v>1668</v>
      </c>
      <c r="G977" s="88" t="s">
        <v>1165</v>
      </c>
      <c r="H977" s="70"/>
    </row>
    <row r="978" spans="1:8" ht="16" x14ac:dyDescent="0.2">
      <c r="A978" s="73"/>
      <c r="B978" s="77"/>
      <c r="C978" s="74"/>
      <c r="D978" s="74" t="s">
        <v>954</v>
      </c>
      <c r="E978" s="78" t="s">
        <v>96</v>
      </c>
      <c r="F978" s="76" t="s">
        <v>1711</v>
      </c>
      <c r="G978" s="88" t="s">
        <v>1165</v>
      </c>
      <c r="H978" s="70"/>
    </row>
    <row r="979" spans="1:8" ht="16" x14ac:dyDescent="0.2">
      <c r="A979" s="73"/>
      <c r="B979" s="77"/>
      <c r="C979" s="74"/>
      <c r="D979" s="74" t="s">
        <v>954</v>
      </c>
      <c r="E979" s="78" t="s">
        <v>137</v>
      </c>
      <c r="F979" s="76" t="s">
        <v>1668</v>
      </c>
      <c r="G979" s="88" t="s">
        <v>1165</v>
      </c>
      <c r="H979" s="70"/>
    </row>
    <row r="980" spans="1:8" ht="16" x14ac:dyDescent="0.2">
      <c r="A980" s="73"/>
      <c r="B980" s="77"/>
      <c r="C980" s="74"/>
      <c r="D980" s="74" t="s">
        <v>954</v>
      </c>
      <c r="E980" s="78" t="s">
        <v>137</v>
      </c>
      <c r="F980" s="76" t="s">
        <v>1711</v>
      </c>
      <c r="G980" s="88" t="s">
        <v>1165</v>
      </c>
      <c r="H980" s="70"/>
    </row>
    <row r="981" spans="1:8" ht="16" x14ac:dyDescent="0.2">
      <c r="A981" s="73"/>
      <c r="B981" s="85"/>
      <c r="C981" s="74"/>
      <c r="D981" s="74" t="s">
        <v>952</v>
      </c>
      <c r="E981" s="78" t="s">
        <v>96</v>
      </c>
      <c r="F981" s="76" t="s">
        <v>226</v>
      </c>
      <c r="G981" s="75" t="s">
        <v>557</v>
      </c>
      <c r="H981" s="70"/>
    </row>
    <row r="982" spans="1:8" ht="16" x14ac:dyDescent="0.2">
      <c r="A982" s="73"/>
      <c r="B982" s="77"/>
      <c r="C982" s="74"/>
      <c r="D982" s="74" t="s">
        <v>952</v>
      </c>
      <c r="E982" s="78" t="s">
        <v>96</v>
      </c>
      <c r="F982" s="76" t="s">
        <v>390</v>
      </c>
      <c r="G982" s="75" t="s">
        <v>1148</v>
      </c>
      <c r="H982" s="70"/>
    </row>
    <row r="983" spans="1:8" ht="16" x14ac:dyDescent="0.2">
      <c r="A983" s="73"/>
      <c r="B983" s="77"/>
      <c r="C983" s="74"/>
      <c r="D983" s="74" t="s">
        <v>952</v>
      </c>
      <c r="E983" s="78" t="s">
        <v>96</v>
      </c>
      <c r="F983" s="76" t="s">
        <v>1641</v>
      </c>
      <c r="G983" s="75" t="s">
        <v>1148</v>
      </c>
      <c r="H983" s="70"/>
    </row>
    <row r="984" spans="1:8" ht="16" x14ac:dyDescent="0.2">
      <c r="A984" s="73"/>
      <c r="B984" s="77"/>
      <c r="C984" s="74"/>
      <c r="D984" s="74" t="s">
        <v>952</v>
      </c>
      <c r="E984" s="78" t="s">
        <v>96</v>
      </c>
      <c r="F984" s="76" t="s">
        <v>1642</v>
      </c>
      <c r="G984" s="75" t="s">
        <v>1148</v>
      </c>
      <c r="H984" s="70"/>
    </row>
    <row r="985" spans="1:8" ht="16" x14ac:dyDescent="0.2">
      <c r="A985" s="73"/>
      <c r="B985" s="77"/>
      <c r="C985" s="74"/>
      <c r="D985" s="74" t="s">
        <v>952</v>
      </c>
      <c r="E985" s="78" t="s">
        <v>96</v>
      </c>
      <c r="F985" s="76" t="s">
        <v>1690</v>
      </c>
      <c r="G985" s="75" t="s">
        <v>1148</v>
      </c>
      <c r="H985" s="70"/>
    </row>
    <row r="986" spans="1:8" ht="16" x14ac:dyDescent="0.2">
      <c r="A986" s="73"/>
      <c r="B986" s="77"/>
      <c r="C986" s="74"/>
      <c r="D986" s="74" t="s">
        <v>952</v>
      </c>
      <c r="E986" s="78" t="s">
        <v>96</v>
      </c>
      <c r="F986" s="76" t="s">
        <v>1691</v>
      </c>
      <c r="G986" s="75" t="s">
        <v>1148</v>
      </c>
      <c r="H986" s="70"/>
    </row>
    <row r="987" spans="1:8" ht="16" x14ac:dyDescent="0.2">
      <c r="A987" s="73"/>
      <c r="B987" s="77"/>
      <c r="C987" s="74"/>
      <c r="D987" s="74" t="s">
        <v>952</v>
      </c>
      <c r="E987" s="78" t="s">
        <v>96</v>
      </c>
      <c r="F987" s="76" t="s">
        <v>1644</v>
      </c>
      <c r="G987" s="75" t="s">
        <v>1148</v>
      </c>
      <c r="H987" s="70"/>
    </row>
    <row r="988" spans="1:8" ht="16" x14ac:dyDescent="0.2">
      <c r="A988" s="73"/>
      <c r="B988" s="77"/>
      <c r="C988" s="74"/>
      <c r="D988" s="74" t="s">
        <v>952</v>
      </c>
      <c r="E988" s="78" t="s">
        <v>96</v>
      </c>
      <c r="F988" s="76" t="s">
        <v>1692</v>
      </c>
      <c r="G988" s="75" t="s">
        <v>1148</v>
      </c>
      <c r="H988" s="70"/>
    </row>
    <row r="989" spans="1:8" x14ac:dyDescent="0.2">
      <c r="A989" s="73"/>
      <c r="B989" s="77"/>
      <c r="C989" s="74"/>
      <c r="D989" s="74" t="s">
        <v>952</v>
      </c>
      <c r="E989" s="78" t="s">
        <v>96</v>
      </c>
      <c r="F989" s="76" t="s">
        <v>1646</v>
      </c>
      <c r="G989" s="76" t="s">
        <v>1149</v>
      </c>
      <c r="H989" s="70"/>
    </row>
    <row r="990" spans="1:8" x14ac:dyDescent="0.2">
      <c r="A990" s="73"/>
      <c r="B990" s="77"/>
      <c r="C990" s="74"/>
      <c r="D990" s="74" t="s">
        <v>952</v>
      </c>
      <c r="E990" s="78" t="s">
        <v>96</v>
      </c>
      <c r="F990" s="76" t="s">
        <v>1696</v>
      </c>
      <c r="G990" s="76" t="s">
        <v>1149</v>
      </c>
      <c r="H990" s="70"/>
    </row>
    <row r="991" spans="1:8" x14ac:dyDescent="0.2">
      <c r="A991" s="73"/>
      <c r="B991" s="77"/>
      <c r="C991" s="74"/>
      <c r="D991" s="74" t="s">
        <v>952</v>
      </c>
      <c r="E991" s="78" t="s">
        <v>96</v>
      </c>
      <c r="F991" s="76" t="s">
        <v>1647</v>
      </c>
      <c r="G991" s="76" t="s">
        <v>1149</v>
      </c>
      <c r="H991" s="70"/>
    </row>
    <row r="992" spans="1:8" x14ac:dyDescent="0.2">
      <c r="A992" s="73"/>
      <c r="B992" s="77"/>
      <c r="C992" s="74"/>
      <c r="D992" s="74" t="s">
        <v>952</v>
      </c>
      <c r="E992" s="78" t="s">
        <v>96</v>
      </c>
      <c r="F992" s="76" t="s">
        <v>1648</v>
      </c>
      <c r="G992" s="76" t="s">
        <v>1149</v>
      </c>
      <c r="H992" s="70"/>
    </row>
    <row r="993" spans="1:8" x14ac:dyDescent="0.2">
      <c r="A993" s="73"/>
      <c r="B993" s="77"/>
      <c r="C993" s="74"/>
      <c r="D993" s="74" t="s">
        <v>952</v>
      </c>
      <c r="E993" s="78" t="s">
        <v>96</v>
      </c>
      <c r="F993" s="76" t="s">
        <v>1649</v>
      </c>
      <c r="G993" s="76" t="s">
        <v>1149</v>
      </c>
      <c r="H993" s="70"/>
    </row>
    <row r="994" spans="1:8" x14ac:dyDescent="0.2">
      <c r="A994" s="73"/>
      <c r="B994" s="77"/>
      <c r="C994" s="74"/>
      <c r="D994" s="74" t="s">
        <v>952</v>
      </c>
      <c r="E994" s="78" t="s">
        <v>96</v>
      </c>
      <c r="F994" s="76" t="s">
        <v>1650</v>
      </c>
      <c r="G994" s="76" t="s">
        <v>1149</v>
      </c>
      <c r="H994" s="70"/>
    </row>
    <row r="995" spans="1:8" x14ac:dyDescent="0.2">
      <c r="A995" s="73"/>
      <c r="B995" s="77"/>
      <c r="C995" s="74"/>
      <c r="D995" s="74" t="s">
        <v>952</v>
      </c>
      <c r="E995" s="78" t="s">
        <v>96</v>
      </c>
      <c r="F995" s="76" t="s">
        <v>1651</v>
      </c>
      <c r="G995" s="76" t="s">
        <v>1149</v>
      </c>
      <c r="H995" s="70"/>
    </row>
    <row r="996" spans="1:8" x14ac:dyDescent="0.2">
      <c r="A996" s="73"/>
      <c r="B996" s="77"/>
      <c r="C996" s="74"/>
      <c r="D996" s="74" t="s">
        <v>952</v>
      </c>
      <c r="E996" s="78" t="s">
        <v>96</v>
      </c>
      <c r="F996" s="76" t="s">
        <v>394</v>
      </c>
      <c r="G996" s="76" t="s">
        <v>1150</v>
      </c>
      <c r="H996" s="70"/>
    </row>
    <row r="997" spans="1:8" x14ac:dyDescent="0.2">
      <c r="A997" s="73"/>
      <c r="B997" s="77"/>
      <c r="C997" s="74"/>
      <c r="D997" s="74" t="s">
        <v>952</v>
      </c>
      <c r="E997" s="78" t="s">
        <v>96</v>
      </c>
      <c r="F997" s="76" t="s">
        <v>1652</v>
      </c>
      <c r="G997" s="76" t="s">
        <v>1150</v>
      </c>
      <c r="H997" s="70"/>
    </row>
    <row r="998" spans="1:8" x14ac:dyDescent="0.2">
      <c r="A998" s="73"/>
      <c r="B998" s="77"/>
      <c r="C998" s="74"/>
      <c r="D998" s="74" t="s">
        <v>952</v>
      </c>
      <c r="E998" s="78" t="s">
        <v>96</v>
      </c>
      <c r="F998" s="76" t="s">
        <v>1653</v>
      </c>
      <c r="G998" s="76" t="s">
        <v>1150</v>
      </c>
      <c r="H998" s="70"/>
    </row>
    <row r="999" spans="1:8" x14ac:dyDescent="0.2">
      <c r="A999" s="73"/>
      <c r="B999" s="77"/>
      <c r="C999" s="74"/>
      <c r="D999" s="74" t="s">
        <v>952</v>
      </c>
      <c r="E999" s="78" t="s">
        <v>96</v>
      </c>
      <c r="F999" s="76" t="s">
        <v>1654</v>
      </c>
      <c r="G999" s="76" t="s">
        <v>1150</v>
      </c>
      <c r="H999" s="70"/>
    </row>
    <row r="1000" spans="1:8" x14ac:dyDescent="0.2">
      <c r="A1000" s="73"/>
      <c r="B1000" s="77"/>
      <c r="C1000" s="74"/>
      <c r="D1000" s="74" t="s">
        <v>952</v>
      </c>
      <c r="E1000" s="78" t="s">
        <v>96</v>
      </c>
      <c r="F1000" s="76" t="s">
        <v>1655</v>
      </c>
      <c r="G1000" s="76" t="s">
        <v>1150</v>
      </c>
      <c r="H1000" s="70"/>
    </row>
    <row r="1001" spans="1:8" x14ac:dyDescent="0.2">
      <c r="A1001" s="73"/>
      <c r="B1001" s="77"/>
      <c r="C1001" s="74"/>
      <c r="D1001" s="74" t="s">
        <v>952</v>
      </c>
      <c r="E1001" s="78" t="s">
        <v>96</v>
      </c>
      <c r="F1001" s="76" t="s">
        <v>1657</v>
      </c>
      <c r="G1001" s="76" t="s">
        <v>1150</v>
      </c>
      <c r="H1001" s="70"/>
    </row>
    <row r="1002" spans="1:8" x14ac:dyDescent="0.2">
      <c r="A1002" s="73"/>
      <c r="B1002" s="77"/>
      <c r="C1002" s="74"/>
      <c r="D1002" s="74" t="s">
        <v>952</v>
      </c>
      <c r="E1002" s="78" t="s">
        <v>96</v>
      </c>
      <c r="F1002" s="76" t="s">
        <v>1701</v>
      </c>
      <c r="G1002" s="76" t="s">
        <v>1150</v>
      </c>
      <c r="H1002" s="70"/>
    </row>
    <row r="1003" spans="1:8" x14ac:dyDescent="0.2">
      <c r="A1003" s="73"/>
      <c r="B1003" s="77"/>
      <c r="C1003" s="74"/>
      <c r="D1003" s="74" t="s">
        <v>952</v>
      </c>
      <c r="E1003" s="78" t="s">
        <v>96</v>
      </c>
      <c r="F1003" s="76" t="s">
        <v>1658</v>
      </c>
      <c r="G1003" s="76" t="s">
        <v>1150</v>
      </c>
      <c r="H1003" s="70"/>
    </row>
    <row r="1004" spans="1:8" x14ac:dyDescent="0.2">
      <c r="A1004" s="73"/>
      <c r="B1004" s="77"/>
      <c r="C1004" s="74"/>
      <c r="D1004" s="74" t="s">
        <v>952</v>
      </c>
      <c r="E1004" s="78" t="s">
        <v>96</v>
      </c>
      <c r="F1004" s="76" t="s">
        <v>1659</v>
      </c>
      <c r="G1004" s="76" t="s">
        <v>1151</v>
      </c>
      <c r="H1004" s="70"/>
    </row>
    <row r="1005" spans="1:8" x14ac:dyDescent="0.2">
      <c r="A1005" s="73"/>
      <c r="B1005" s="77"/>
      <c r="C1005" s="74"/>
      <c r="D1005" s="74" t="s">
        <v>952</v>
      </c>
      <c r="E1005" s="78" t="s">
        <v>96</v>
      </c>
      <c r="F1005" s="76" t="s">
        <v>1660</v>
      </c>
      <c r="G1005" s="76" t="s">
        <v>1151</v>
      </c>
      <c r="H1005" s="70"/>
    </row>
    <row r="1006" spans="1:8" x14ac:dyDescent="0.2">
      <c r="A1006" s="73"/>
      <c r="B1006" s="77"/>
      <c r="C1006" s="74"/>
      <c r="D1006" s="74" t="s">
        <v>952</v>
      </c>
      <c r="E1006" s="78" t="s">
        <v>96</v>
      </c>
      <c r="F1006" s="76" t="s">
        <v>1661</v>
      </c>
      <c r="G1006" s="76" t="s">
        <v>1151</v>
      </c>
      <c r="H1006" s="70"/>
    </row>
    <row r="1007" spans="1:8" x14ac:dyDescent="0.2">
      <c r="A1007" s="73"/>
      <c r="B1007" s="77"/>
      <c r="C1007" s="74"/>
      <c r="D1007" s="74" t="s">
        <v>952</v>
      </c>
      <c r="E1007" s="78" t="s">
        <v>96</v>
      </c>
      <c r="F1007" s="76" t="s">
        <v>1706</v>
      </c>
      <c r="G1007" s="76" t="s">
        <v>1151</v>
      </c>
      <c r="H1007" s="70"/>
    </row>
    <row r="1008" spans="1:8" x14ac:dyDescent="0.2">
      <c r="A1008" s="73"/>
      <c r="B1008" s="77"/>
      <c r="C1008" s="74"/>
      <c r="D1008" s="74" t="s">
        <v>952</v>
      </c>
      <c r="E1008" s="78" t="s">
        <v>96</v>
      </c>
      <c r="F1008" s="76" t="s">
        <v>1662</v>
      </c>
      <c r="G1008" s="76" t="s">
        <v>1151</v>
      </c>
      <c r="H1008" s="70"/>
    </row>
    <row r="1009" spans="1:8" x14ac:dyDescent="0.2">
      <c r="A1009" s="73"/>
      <c r="B1009" s="77"/>
      <c r="C1009" s="74"/>
      <c r="D1009" s="74" t="s">
        <v>952</v>
      </c>
      <c r="E1009" s="78" t="s">
        <v>96</v>
      </c>
      <c r="F1009" s="76" t="s">
        <v>1663</v>
      </c>
      <c r="G1009" s="76" t="s">
        <v>1151</v>
      </c>
      <c r="H1009" s="70"/>
    </row>
    <row r="1010" spans="1:8" x14ac:dyDescent="0.2">
      <c r="A1010" s="73"/>
      <c r="B1010" s="77"/>
      <c r="C1010" s="74"/>
      <c r="D1010" s="74" t="s">
        <v>952</v>
      </c>
      <c r="E1010" s="78" t="s">
        <v>96</v>
      </c>
      <c r="F1010" s="76" t="s">
        <v>1664</v>
      </c>
      <c r="G1010" s="76" t="s">
        <v>1151</v>
      </c>
      <c r="H1010" s="70"/>
    </row>
    <row r="1011" spans="1:8" x14ac:dyDescent="0.2">
      <c r="A1011" s="73"/>
      <c r="B1011" s="85"/>
      <c r="C1011" s="74"/>
      <c r="D1011" s="74" t="s">
        <v>955</v>
      </c>
      <c r="E1011" s="78" t="s">
        <v>96</v>
      </c>
      <c r="F1011" s="76" t="s">
        <v>226</v>
      </c>
      <c r="G1011" s="89" t="s">
        <v>563</v>
      </c>
      <c r="H1011" s="70"/>
    </row>
    <row r="1012" spans="1:8" ht="16" x14ac:dyDescent="0.2">
      <c r="A1012" s="73"/>
      <c r="B1012" s="77"/>
      <c r="C1012" s="74"/>
      <c r="D1012" s="74" t="s">
        <v>955</v>
      </c>
      <c r="E1012" s="78" t="s">
        <v>105</v>
      </c>
      <c r="F1012" s="76" t="s">
        <v>2095</v>
      </c>
      <c r="G1012" s="75" t="s">
        <v>565</v>
      </c>
      <c r="H1012" s="70"/>
    </row>
    <row r="1013" spans="1:8" ht="16" x14ac:dyDescent="0.2">
      <c r="A1013" s="73"/>
      <c r="B1013" s="77"/>
      <c r="C1013" s="74"/>
      <c r="D1013" s="74" t="s">
        <v>955</v>
      </c>
      <c r="E1013" s="78" t="s">
        <v>105</v>
      </c>
      <c r="F1013" s="76" t="s">
        <v>282</v>
      </c>
      <c r="G1013" s="75" t="s">
        <v>565</v>
      </c>
      <c r="H1013" s="70"/>
    </row>
    <row r="1014" spans="1:8" ht="16" x14ac:dyDescent="0.2">
      <c r="A1014" s="73"/>
      <c r="B1014" s="77"/>
      <c r="C1014" s="74"/>
      <c r="D1014" s="74" t="s">
        <v>955</v>
      </c>
      <c r="E1014" s="78" t="s">
        <v>105</v>
      </c>
      <c r="F1014" s="76" t="s">
        <v>2124</v>
      </c>
      <c r="G1014" s="75" t="s">
        <v>565</v>
      </c>
      <c r="H1014" s="70"/>
    </row>
    <row r="1015" spans="1:8" ht="16" x14ac:dyDescent="0.2">
      <c r="A1015" s="73"/>
      <c r="B1015" s="77"/>
      <c r="C1015" s="74"/>
      <c r="D1015" s="74" t="s">
        <v>955</v>
      </c>
      <c r="E1015" s="78" t="s">
        <v>105</v>
      </c>
      <c r="F1015" s="76" t="s">
        <v>2125</v>
      </c>
      <c r="G1015" s="75" t="s">
        <v>565</v>
      </c>
      <c r="H1015" s="70"/>
    </row>
    <row r="1016" spans="1:8" ht="16" x14ac:dyDescent="0.2">
      <c r="A1016" s="73"/>
      <c r="B1016" s="77"/>
      <c r="C1016" s="74"/>
      <c r="D1016" s="74" t="s">
        <v>955</v>
      </c>
      <c r="E1016" s="78" t="s">
        <v>105</v>
      </c>
      <c r="F1016" s="76" t="s">
        <v>2126</v>
      </c>
      <c r="G1016" s="75" t="s">
        <v>565</v>
      </c>
      <c r="H1016" s="70"/>
    </row>
    <row r="1017" spans="1:8" ht="16" x14ac:dyDescent="0.2">
      <c r="A1017" s="73"/>
      <c r="B1017" s="77"/>
      <c r="C1017" s="74"/>
      <c r="D1017" s="74" t="s">
        <v>955</v>
      </c>
      <c r="E1017" s="78" t="s">
        <v>105</v>
      </c>
      <c r="F1017" s="76" t="s">
        <v>2132</v>
      </c>
      <c r="G1017" s="75" t="s">
        <v>565</v>
      </c>
      <c r="H1017" s="70"/>
    </row>
    <row r="1018" spans="1:8" ht="16" x14ac:dyDescent="0.2">
      <c r="A1018" s="73"/>
      <c r="B1018" s="77"/>
      <c r="C1018" s="74"/>
      <c r="D1018" s="74" t="s">
        <v>955</v>
      </c>
      <c r="E1018" s="78" t="s">
        <v>105</v>
      </c>
      <c r="F1018" s="76" t="s">
        <v>2133</v>
      </c>
      <c r="G1018" s="75" t="s">
        <v>565</v>
      </c>
      <c r="H1018" s="70"/>
    </row>
    <row r="1019" spans="1:8" ht="16" x14ac:dyDescent="0.2">
      <c r="A1019" s="73"/>
      <c r="B1019" s="77"/>
      <c r="C1019" s="74"/>
      <c r="D1019" s="74" t="s">
        <v>955</v>
      </c>
      <c r="E1019" s="78" t="s">
        <v>105</v>
      </c>
      <c r="F1019" s="76" t="s">
        <v>2134</v>
      </c>
      <c r="G1019" s="75" t="s">
        <v>565</v>
      </c>
      <c r="H1019" s="70"/>
    </row>
    <row r="1020" spans="1:8" ht="16" x14ac:dyDescent="0.2">
      <c r="A1020" s="73"/>
      <c r="B1020" s="77"/>
      <c r="C1020" s="74"/>
      <c r="D1020" s="74" t="s">
        <v>955</v>
      </c>
      <c r="E1020" s="78" t="s">
        <v>105</v>
      </c>
      <c r="F1020" s="76" t="s">
        <v>2135</v>
      </c>
      <c r="G1020" s="75" t="s">
        <v>565</v>
      </c>
      <c r="H1020" s="70"/>
    </row>
    <row r="1021" spans="1:8" ht="16" x14ac:dyDescent="0.2">
      <c r="A1021" s="73"/>
      <c r="B1021" s="77"/>
      <c r="C1021" s="74"/>
      <c r="D1021" s="74" t="s">
        <v>955</v>
      </c>
      <c r="E1021" s="78" t="s">
        <v>105</v>
      </c>
      <c r="F1021" s="76" t="s">
        <v>2127</v>
      </c>
      <c r="G1021" s="75" t="s">
        <v>1174</v>
      </c>
      <c r="H1021" s="70"/>
    </row>
    <row r="1022" spans="1:8" ht="16" x14ac:dyDescent="0.2">
      <c r="A1022" s="73"/>
      <c r="B1022" s="77"/>
      <c r="C1022" s="74"/>
      <c r="D1022" s="74" t="s">
        <v>955</v>
      </c>
      <c r="E1022" s="78" t="s">
        <v>105</v>
      </c>
      <c r="F1022" s="76" t="s">
        <v>2128</v>
      </c>
      <c r="G1022" s="75" t="s">
        <v>1174</v>
      </c>
      <c r="H1022" s="70"/>
    </row>
    <row r="1023" spans="1:8" ht="16" x14ac:dyDescent="0.2">
      <c r="A1023" s="73"/>
      <c r="B1023" s="77"/>
      <c r="C1023" s="74"/>
      <c r="D1023" s="74" t="s">
        <v>955</v>
      </c>
      <c r="E1023" s="78" t="s">
        <v>105</v>
      </c>
      <c r="F1023" s="76" t="s">
        <v>2138</v>
      </c>
      <c r="G1023" s="75" t="s">
        <v>1174</v>
      </c>
      <c r="H1023" s="70"/>
    </row>
    <row r="1024" spans="1:8" ht="16" x14ac:dyDescent="0.2">
      <c r="A1024" s="73"/>
      <c r="B1024" s="77"/>
      <c r="C1024" s="74"/>
      <c r="D1024" s="74" t="s">
        <v>955</v>
      </c>
      <c r="E1024" s="78" t="s">
        <v>105</v>
      </c>
      <c r="F1024" s="76" t="s">
        <v>2136</v>
      </c>
      <c r="G1024" s="75" t="s">
        <v>1174</v>
      </c>
      <c r="H1024" s="70"/>
    </row>
    <row r="1025" spans="1:8" ht="16" x14ac:dyDescent="0.2">
      <c r="A1025" s="73"/>
      <c r="B1025" s="77"/>
      <c r="C1025" s="74"/>
      <c r="D1025" s="74" t="s">
        <v>955</v>
      </c>
      <c r="E1025" s="78" t="s">
        <v>105</v>
      </c>
      <c r="F1025" s="76" t="s">
        <v>2137</v>
      </c>
      <c r="G1025" s="75" t="s">
        <v>1174</v>
      </c>
      <c r="H1025" s="70"/>
    </row>
    <row r="1026" spans="1:8" ht="16" x14ac:dyDescent="0.2">
      <c r="A1026" s="73"/>
      <c r="B1026" s="77"/>
      <c r="C1026" s="74"/>
      <c r="D1026" s="74" t="s">
        <v>955</v>
      </c>
      <c r="E1026" s="78" t="s">
        <v>105</v>
      </c>
      <c r="F1026" s="76" t="s">
        <v>2148</v>
      </c>
      <c r="G1026" s="75" t="s">
        <v>1174</v>
      </c>
      <c r="H1026" s="70"/>
    </row>
    <row r="1027" spans="1:8" ht="16" x14ac:dyDescent="0.2">
      <c r="A1027" s="73"/>
      <c r="B1027" s="77"/>
      <c r="C1027" s="74"/>
      <c r="D1027" s="74" t="s">
        <v>955</v>
      </c>
      <c r="E1027" s="78" t="s">
        <v>96</v>
      </c>
      <c r="F1027" s="76" t="s">
        <v>2095</v>
      </c>
      <c r="G1027" s="75" t="s">
        <v>1176</v>
      </c>
      <c r="H1027" s="70"/>
    </row>
    <row r="1028" spans="1:8" ht="16" x14ac:dyDescent="0.2">
      <c r="A1028" s="73"/>
      <c r="B1028" s="77"/>
      <c r="C1028" s="74"/>
      <c r="D1028" s="74" t="s">
        <v>955</v>
      </c>
      <c r="E1028" s="78" t="s">
        <v>96</v>
      </c>
      <c r="F1028" s="76" t="s">
        <v>282</v>
      </c>
      <c r="G1028" s="75" t="s">
        <v>1176</v>
      </c>
      <c r="H1028" s="70"/>
    </row>
    <row r="1029" spans="1:8" ht="16" x14ac:dyDescent="0.2">
      <c r="A1029" s="73"/>
      <c r="B1029" s="77"/>
      <c r="C1029" s="74"/>
      <c r="D1029" s="74" t="s">
        <v>955</v>
      </c>
      <c r="E1029" s="78" t="s">
        <v>96</v>
      </c>
      <c r="F1029" s="76" t="s">
        <v>2124</v>
      </c>
      <c r="G1029" s="75" t="s">
        <v>1176</v>
      </c>
      <c r="H1029" s="70"/>
    </row>
    <row r="1030" spans="1:8" ht="16" x14ac:dyDescent="0.2">
      <c r="A1030" s="73"/>
      <c r="B1030" s="77"/>
      <c r="C1030" s="74"/>
      <c r="D1030" s="74" t="s">
        <v>955</v>
      </c>
      <c r="E1030" s="78" t="s">
        <v>96</v>
      </c>
      <c r="F1030" s="76" t="s">
        <v>2125</v>
      </c>
      <c r="G1030" s="75" t="s">
        <v>1176</v>
      </c>
      <c r="H1030" s="70"/>
    </row>
    <row r="1031" spans="1:8" ht="16" x14ac:dyDescent="0.2">
      <c r="A1031" s="73"/>
      <c r="B1031" s="77"/>
      <c r="C1031" s="74"/>
      <c r="D1031" s="74" t="s">
        <v>955</v>
      </c>
      <c r="E1031" s="78" t="s">
        <v>96</v>
      </c>
      <c r="F1031" s="76" t="s">
        <v>2126</v>
      </c>
      <c r="G1031" s="75" t="s">
        <v>1176</v>
      </c>
      <c r="H1031" s="70"/>
    </row>
    <row r="1032" spans="1:8" ht="16" x14ac:dyDescent="0.2">
      <c r="A1032" s="73"/>
      <c r="B1032" s="77"/>
      <c r="C1032" s="74"/>
      <c r="D1032" s="74" t="s">
        <v>955</v>
      </c>
      <c r="E1032" s="78" t="s">
        <v>137</v>
      </c>
      <c r="F1032" s="76" t="s">
        <v>2095</v>
      </c>
      <c r="G1032" s="75" t="s">
        <v>1176</v>
      </c>
      <c r="H1032" s="70"/>
    </row>
    <row r="1033" spans="1:8" ht="16" x14ac:dyDescent="0.2">
      <c r="A1033" s="73"/>
      <c r="B1033" s="77"/>
      <c r="C1033" s="74"/>
      <c r="D1033" s="74" t="s">
        <v>955</v>
      </c>
      <c r="E1033" s="78" t="s">
        <v>137</v>
      </c>
      <c r="F1033" s="76" t="s">
        <v>282</v>
      </c>
      <c r="G1033" s="75" t="s">
        <v>1176</v>
      </c>
      <c r="H1033" s="70"/>
    </row>
    <row r="1034" spans="1:8" ht="16" x14ac:dyDescent="0.2">
      <c r="A1034" s="73"/>
      <c r="B1034" s="77"/>
      <c r="C1034" s="74"/>
      <c r="D1034" s="74" t="s">
        <v>955</v>
      </c>
      <c r="E1034" s="78" t="s">
        <v>137</v>
      </c>
      <c r="F1034" s="76" t="s">
        <v>2124</v>
      </c>
      <c r="G1034" s="75" t="s">
        <v>1176</v>
      </c>
      <c r="H1034" s="70"/>
    </row>
    <row r="1035" spans="1:8" ht="16" x14ac:dyDescent="0.2">
      <c r="A1035" s="73"/>
      <c r="B1035" s="77"/>
      <c r="C1035" s="74"/>
      <c r="D1035" s="74" t="s">
        <v>955</v>
      </c>
      <c r="E1035" s="78" t="s">
        <v>137</v>
      </c>
      <c r="F1035" s="76" t="s">
        <v>2125</v>
      </c>
      <c r="G1035" s="75" t="s">
        <v>1176</v>
      </c>
      <c r="H1035" s="70"/>
    </row>
    <row r="1036" spans="1:8" ht="16" x14ac:dyDescent="0.2">
      <c r="A1036" s="73"/>
      <c r="B1036" s="77"/>
      <c r="C1036" s="74"/>
      <c r="D1036" s="74" t="s">
        <v>955</v>
      </c>
      <c r="E1036" s="78" t="s">
        <v>137</v>
      </c>
      <c r="F1036" s="76" t="s">
        <v>2126</v>
      </c>
      <c r="G1036" s="75" t="s">
        <v>1176</v>
      </c>
      <c r="H1036" s="70"/>
    </row>
    <row r="1037" spans="1:8" ht="16" x14ac:dyDescent="0.2">
      <c r="A1037" s="73"/>
      <c r="B1037" s="85"/>
      <c r="C1037" s="74"/>
      <c r="D1037" s="74" t="s">
        <v>955</v>
      </c>
      <c r="E1037" s="78" t="s">
        <v>96</v>
      </c>
      <c r="F1037" s="76" t="s">
        <v>2095</v>
      </c>
      <c r="G1037" s="75" t="s">
        <v>1196</v>
      </c>
      <c r="H1037" s="70"/>
    </row>
    <row r="1038" spans="1:8" ht="16" x14ac:dyDescent="0.2">
      <c r="A1038" s="73"/>
      <c r="B1038" s="85"/>
      <c r="C1038" s="74"/>
      <c r="D1038" s="74" t="s">
        <v>955</v>
      </c>
      <c r="E1038" s="78" t="s">
        <v>96</v>
      </c>
      <c r="F1038" s="76" t="s">
        <v>282</v>
      </c>
      <c r="G1038" s="75" t="s">
        <v>1196</v>
      </c>
      <c r="H1038" s="70"/>
    </row>
    <row r="1039" spans="1:8" ht="16" x14ac:dyDescent="0.2">
      <c r="A1039" s="73"/>
      <c r="B1039" s="85"/>
      <c r="C1039" s="74"/>
      <c r="D1039" s="74" t="s">
        <v>955</v>
      </c>
      <c r="E1039" s="78" t="s">
        <v>96</v>
      </c>
      <c r="F1039" s="76" t="s">
        <v>2147</v>
      </c>
      <c r="G1039" s="75" t="s">
        <v>1196</v>
      </c>
      <c r="H1039" s="70"/>
    </row>
    <row r="1040" spans="1:8" ht="16" x14ac:dyDescent="0.2">
      <c r="A1040" s="73"/>
      <c r="B1040" s="85"/>
      <c r="C1040" s="74"/>
      <c r="D1040" s="74" t="s">
        <v>955</v>
      </c>
      <c r="E1040" s="78" t="s">
        <v>96</v>
      </c>
      <c r="F1040" s="76" t="s">
        <v>2149</v>
      </c>
      <c r="G1040" s="75" t="s">
        <v>1196</v>
      </c>
      <c r="H1040" s="70"/>
    </row>
    <row r="1041" spans="1:8" ht="16" x14ac:dyDescent="0.2">
      <c r="A1041" s="73"/>
      <c r="B1041" s="85"/>
      <c r="C1041" s="74"/>
      <c r="D1041" s="74" t="s">
        <v>955</v>
      </c>
      <c r="E1041" s="78" t="s">
        <v>96</v>
      </c>
      <c r="F1041" s="76" t="s">
        <v>2126</v>
      </c>
      <c r="G1041" s="75" t="s">
        <v>1196</v>
      </c>
      <c r="H1041" s="70"/>
    </row>
    <row r="1042" spans="1:8" ht="16" x14ac:dyDescent="0.2">
      <c r="A1042" s="73"/>
      <c r="B1042" s="85"/>
      <c r="C1042" s="74"/>
      <c r="D1042" s="74" t="s">
        <v>955</v>
      </c>
      <c r="E1042" s="78" t="s">
        <v>137</v>
      </c>
      <c r="F1042" s="76" t="s">
        <v>2095</v>
      </c>
      <c r="G1042" s="75" t="s">
        <v>1196</v>
      </c>
      <c r="H1042" s="70"/>
    </row>
    <row r="1043" spans="1:8" ht="16" x14ac:dyDescent="0.2">
      <c r="A1043" s="73"/>
      <c r="B1043" s="85"/>
      <c r="C1043" s="74"/>
      <c r="D1043" s="74" t="s">
        <v>955</v>
      </c>
      <c r="E1043" s="78" t="s">
        <v>137</v>
      </c>
      <c r="F1043" s="76" t="s">
        <v>282</v>
      </c>
      <c r="G1043" s="75" t="s">
        <v>1196</v>
      </c>
      <c r="H1043" s="70"/>
    </row>
    <row r="1044" spans="1:8" ht="16" x14ac:dyDescent="0.2">
      <c r="A1044" s="73"/>
      <c r="B1044" s="85"/>
      <c r="C1044" s="74"/>
      <c r="D1044" s="74" t="s">
        <v>955</v>
      </c>
      <c r="E1044" s="78" t="s">
        <v>137</v>
      </c>
      <c r="F1044" s="76" t="s">
        <v>2147</v>
      </c>
      <c r="G1044" s="75" t="s">
        <v>1196</v>
      </c>
      <c r="H1044" s="70"/>
    </row>
    <row r="1045" spans="1:8" ht="16" x14ac:dyDescent="0.2">
      <c r="A1045" s="73"/>
      <c r="B1045" s="85"/>
      <c r="C1045" s="74"/>
      <c r="D1045" s="74" t="s">
        <v>955</v>
      </c>
      <c r="E1045" s="78" t="s">
        <v>137</v>
      </c>
      <c r="F1045" s="76" t="s">
        <v>2149</v>
      </c>
      <c r="G1045" s="75" t="s">
        <v>1196</v>
      </c>
      <c r="H1045" s="70"/>
    </row>
    <row r="1046" spans="1:8" ht="16" x14ac:dyDescent="0.2">
      <c r="A1046" s="73"/>
      <c r="B1046" s="85"/>
      <c r="C1046" s="74"/>
      <c r="D1046" s="74" t="s">
        <v>955</v>
      </c>
      <c r="E1046" s="78" t="s">
        <v>137</v>
      </c>
      <c r="F1046" s="76" t="s">
        <v>2126</v>
      </c>
      <c r="G1046" s="75" t="s">
        <v>1196</v>
      </c>
      <c r="H1046" s="70"/>
    </row>
    <row r="1047" spans="1:8" ht="16" x14ac:dyDescent="0.2">
      <c r="A1047" s="73"/>
      <c r="B1047" s="77"/>
      <c r="C1047" s="74"/>
      <c r="D1047" s="74" t="s">
        <v>955</v>
      </c>
      <c r="E1047" s="78" t="s">
        <v>96</v>
      </c>
      <c r="F1047" s="76" t="s">
        <v>2127</v>
      </c>
      <c r="G1047" s="75" t="s">
        <v>1175</v>
      </c>
      <c r="H1047" s="70"/>
    </row>
    <row r="1048" spans="1:8" ht="16" x14ac:dyDescent="0.2">
      <c r="A1048" s="73"/>
      <c r="B1048" s="77"/>
      <c r="C1048" s="74"/>
      <c r="D1048" s="74" t="s">
        <v>955</v>
      </c>
      <c r="E1048" s="78" t="s">
        <v>96</v>
      </c>
      <c r="F1048" s="76" t="s">
        <v>2138</v>
      </c>
      <c r="G1048" s="75" t="s">
        <v>1175</v>
      </c>
      <c r="H1048" s="70"/>
    </row>
    <row r="1049" spans="1:8" ht="16" x14ac:dyDescent="0.2">
      <c r="A1049" s="73"/>
      <c r="B1049" s="77"/>
      <c r="C1049" s="74"/>
      <c r="D1049" s="74" t="s">
        <v>955</v>
      </c>
      <c r="E1049" s="78" t="s">
        <v>96</v>
      </c>
      <c r="F1049" s="76" t="s">
        <v>2128</v>
      </c>
      <c r="G1049" s="75" t="s">
        <v>1175</v>
      </c>
      <c r="H1049" s="70"/>
    </row>
    <row r="1050" spans="1:8" ht="16" x14ac:dyDescent="0.2">
      <c r="A1050" s="73"/>
      <c r="B1050" s="77"/>
      <c r="C1050" s="74"/>
      <c r="D1050" s="74" t="s">
        <v>955</v>
      </c>
      <c r="E1050" s="78" t="s">
        <v>96</v>
      </c>
      <c r="F1050" s="76" t="s">
        <v>2127</v>
      </c>
      <c r="G1050" s="75" t="s">
        <v>1175</v>
      </c>
      <c r="H1050" s="70"/>
    </row>
    <row r="1051" spans="1:8" ht="16" x14ac:dyDescent="0.2">
      <c r="A1051" s="73"/>
      <c r="B1051" s="77"/>
      <c r="C1051" s="74"/>
      <c r="D1051" s="74" t="s">
        <v>955</v>
      </c>
      <c r="E1051" s="78" t="s">
        <v>96</v>
      </c>
      <c r="F1051" s="76" t="s">
        <v>2138</v>
      </c>
      <c r="G1051" s="75" t="s">
        <v>1175</v>
      </c>
      <c r="H1051" s="70"/>
    </row>
    <row r="1052" spans="1:8" ht="16" x14ac:dyDescent="0.2">
      <c r="A1052" s="73"/>
      <c r="B1052" s="77"/>
      <c r="C1052" s="74"/>
      <c r="D1052" s="74" t="s">
        <v>955</v>
      </c>
      <c r="E1052" s="78" t="s">
        <v>96</v>
      </c>
      <c r="F1052" s="76" t="s">
        <v>2128</v>
      </c>
      <c r="G1052" s="75" t="s">
        <v>1175</v>
      </c>
      <c r="H1052" s="70"/>
    </row>
    <row r="1053" spans="1:8" ht="16" x14ac:dyDescent="0.2">
      <c r="A1053" s="73"/>
      <c r="B1053" s="77"/>
      <c r="C1053" s="74"/>
      <c r="D1053" s="74" t="s">
        <v>955</v>
      </c>
      <c r="E1053" s="78" t="s">
        <v>96</v>
      </c>
      <c r="F1053" s="76" t="s">
        <v>2143</v>
      </c>
      <c r="G1053" s="75" t="s">
        <v>1177</v>
      </c>
      <c r="H1053" s="70"/>
    </row>
    <row r="1054" spans="1:8" ht="16" x14ac:dyDescent="0.2">
      <c r="A1054" s="73"/>
      <c r="B1054" s="77"/>
      <c r="C1054" s="74"/>
      <c r="D1054" s="74" t="s">
        <v>955</v>
      </c>
      <c r="E1054" s="78" t="s">
        <v>96</v>
      </c>
      <c r="F1054" s="76" t="s">
        <v>2144</v>
      </c>
      <c r="G1054" s="75" t="s">
        <v>1177</v>
      </c>
      <c r="H1054" s="70"/>
    </row>
    <row r="1055" spans="1:8" ht="16" x14ac:dyDescent="0.2">
      <c r="A1055" s="73"/>
      <c r="B1055" s="77"/>
      <c r="C1055" s="74"/>
      <c r="D1055" s="74" t="s">
        <v>955</v>
      </c>
      <c r="E1055" s="78" t="s">
        <v>96</v>
      </c>
      <c r="F1055" s="76" t="s">
        <v>2145</v>
      </c>
      <c r="G1055" s="75" t="s">
        <v>1221</v>
      </c>
      <c r="H1055" s="70"/>
    </row>
    <row r="1056" spans="1:8" ht="16" x14ac:dyDescent="0.2">
      <c r="A1056" s="73"/>
      <c r="B1056" s="77"/>
      <c r="C1056" s="74"/>
      <c r="D1056" s="74" t="s">
        <v>955</v>
      </c>
      <c r="E1056" s="78" t="s">
        <v>96</v>
      </c>
      <c r="F1056" s="76" t="s">
        <v>2146</v>
      </c>
      <c r="G1056" s="75" t="s">
        <v>1221</v>
      </c>
      <c r="H1056" s="70"/>
    </row>
    <row r="1057" spans="1:8" ht="16" x14ac:dyDescent="0.2">
      <c r="A1057" s="73"/>
      <c r="B1057" s="77"/>
      <c r="C1057" s="74"/>
      <c r="D1057" s="74" t="s">
        <v>955</v>
      </c>
      <c r="E1057" s="78" t="s">
        <v>105</v>
      </c>
      <c r="F1057" s="76" t="s">
        <v>1634</v>
      </c>
      <c r="G1057" s="75" t="s">
        <v>1173</v>
      </c>
      <c r="H1057" s="70"/>
    </row>
    <row r="1058" spans="1:8" ht="16" x14ac:dyDescent="0.2">
      <c r="A1058" s="73"/>
      <c r="B1058" s="77"/>
      <c r="C1058" s="74"/>
      <c r="D1058" s="74" t="s">
        <v>955</v>
      </c>
      <c r="E1058" s="78" t="s">
        <v>105</v>
      </c>
      <c r="F1058" s="76" t="s">
        <v>1636</v>
      </c>
      <c r="G1058" s="75" t="s">
        <v>1173</v>
      </c>
      <c r="H1058" s="70"/>
    </row>
    <row r="1059" spans="1:8" ht="16" x14ac:dyDescent="0.2">
      <c r="A1059" s="73"/>
      <c r="B1059" s="77"/>
      <c r="C1059" s="74"/>
      <c r="D1059" s="74" t="s">
        <v>955</v>
      </c>
      <c r="E1059" s="78" t="s">
        <v>105</v>
      </c>
      <c r="F1059" s="76" t="s">
        <v>1635</v>
      </c>
      <c r="G1059" s="75" t="s">
        <v>1173</v>
      </c>
      <c r="H1059" s="70"/>
    </row>
    <row r="1060" spans="1:8" ht="16" x14ac:dyDescent="0.2">
      <c r="A1060" s="73"/>
      <c r="B1060" s="77"/>
      <c r="C1060" s="74"/>
      <c r="D1060" s="74" t="s">
        <v>955</v>
      </c>
      <c r="E1060" s="78" t="s">
        <v>105</v>
      </c>
      <c r="F1060" s="76" t="s">
        <v>1713</v>
      </c>
      <c r="G1060" s="75" t="s">
        <v>1173</v>
      </c>
      <c r="H1060" s="70"/>
    </row>
    <row r="1061" spans="1:8" ht="16" x14ac:dyDescent="0.2">
      <c r="A1061" s="73"/>
      <c r="B1061" s="77"/>
      <c r="C1061" s="74"/>
      <c r="D1061" s="74" t="s">
        <v>955</v>
      </c>
      <c r="E1061" s="78" t="s">
        <v>105</v>
      </c>
      <c r="F1061" s="76" t="s">
        <v>1637</v>
      </c>
      <c r="G1061" s="75" t="s">
        <v>1173</v>
      </c>
      <c r="H1061" s="70"/>
    </row>
    <row r="1062" spans="1:8" ht="16" x14ac:dyDescent="0.2">
      <c r="A1062" s="73"/>
      <c r="B1062" s="77"/>
      <c r="C1062" s="74"/>
      <c r="D1062" s="74" t="s">
        <v>955</v>
      </c>
      <c r="E1062" s="78" t="s">
        <v>105</v>
      </c>
      <c r="F1062" s="76" t="s">
        <v>1638</v>
      </c>
      <c r="G1062" s="75" t="s">
        <v>1173</v>
      </c>
      <c r="H1062" s="70"/>
    </row>
    <row r="1063" spans="1:8" ht="16" x14ac:dyDescent="0.2">
      <c r="A1063" s="73"/>
      <c r="B1063" s="77"/>
      <c r="C1063" s="74"/>
      <c r="D1063" s="74" t="s">
        <v>955</v>
      </c>
      <c r="E1063" s="78" t="s">
        <v>105</v>
      </c>
      <c r="F1063" s="76" t="s">
        <v>1639</v>
      </c>
      <c r="G1063" s="75" t="s">
        <v>1173</v>
      </c>
      <c r="H1063" s="70"/>
    </row>
    <row r="1064" spans="1:8" ht="16" x14ac:dyDescent="0.2">
      <c r="A1064" s="73"/>
      <c r="B1064" s="77"/>
      <c r="C1064" s="74"/>
      <c r="D1064" s="74" t="s">
        <v>955</v>
      </c>
      <c r="E1064" s="78" t="s">
        <v>105</v>
      </c>
      <c r="F1064" s="76" t="s">
        <v>1640</v>
      </c>
      <c r="G1064" s="75" t="s">
        <v>1173</v>
      </c>
      <c r="H1064" s="70"/>
    </row>
    <row r="1065" spans="1:8" ht="16" x14ac:dyDescent="0.2">
      <c r="A1065" s="73"/>
      <c r="B1065" s="77"/>
      <c r="C1065" s="74"/>
      <c r="D1065" s="74" t="s">
        <v>955</v>
      </c>
      <c r="E1065" s="78" t="s">
        <v>105</v>
      </c>
      <c r="F1065" s="76" t="s">
        <v>1634</v>
      </c>
      <c r="G1065" s="75" t="s">
        <v>1173</v>
      </c>
      <c r="H1065" s="70"/>
    </row>
    <row r="1066" spans="1:8" ht="16" x14ac:dyDescent="0.2">
      <c r="A1066" s="73"/>
      <c r="B1066" s="77"/>
      <c r="C1066" s="74"/>
      <c r="D1066" s="74" t="s">
        <v>955</v>
      </c>
      <c r="E1066" s="78" t="s">
        <v>105</v>
      </c>
      <c r="F1066" s="76" t="s">
        <v>1636</v>
      </c>
      <c r="G1066" s="75" t="s">
        <v>1173</v>
      </c>
      <c r="H1066" s="70"/>
    </row>
    <row r="1067" spans="1:8" ht="16" x14ac:dyDescent="0.2">
      <c r="A1067" s="73"/>
      <c r="B1067" s="77"/>
      <c r="C1067" s="74"/>
      <c r="D1067" s="74" t="s">
        <v>955</v>
      </c>
      <c r="E1067" s="78" t="s">
        <v>105</v>
      </c>
      <c r="F1067" s="76" t="s">
        <v>1635</v>
      </c>
      <c r="G1067" s="75" t="s">
        <v>1173</v>
      </c>
      <c r="H1067" s="70"/>
    </row>
    <row r="1068" spans="1:8" ht="16" x14ac:dyDescent="0.2">
      <c r="A1068" s="73"/>
      <c r="B1068" s="77"/>
      <c r="C1068" s="74"/>
      <c r="D1068" s="74" t="s">
        <v>955</v>
      </c>
      <c r="E1068" s="78" t="s">
        <v>105</v>
      </c>
      <c r="F1068" s="76" t="s">
        <v>1713</v>
      </c>
      <c r="G1068" s="75" t="s">
        <v>1173</v>
      </c>
      <c r="H1068" s="70"/>
    </row>
    <row r="1069" spans="1:8" ht="16" x14ac:dyDescent="0.2">
      <c r="A1069" s="73"/>
      <c r="B1069" s="77"/>
      <c r="C1069" s="74"/>
      <c r="D1069" s="74" t="s">
        <v>955</v>
      </c>
      <c r="E1069" s="78" t="s">
        <v>105</v>
      </c>
      <c r="F1069" s="76" t="s">
        <v>1637</v>
      </c>
      <c r="G1069" s="75" t="s">
        <v>1173</v>
      </c>
      <c r="H1069" s="70"/>
    </row>
    <row r="1070" spans="1:8" ht="16" x14ac:dyDescent="0.2">
      <c r="A1070" s="73"/>
      <c r="B1070" s="77"/>
      <c r="C1070" s="74"/>
      <c r="D1070" s="74" t="s">
        <v>955</v>
      </c>
      <c r="E1070" s="78" t="s">
        <v>105</v>
      </c>
      <c r="F1070" s="76" t="s">
        <v>1638</v>
      </c>
      <c r="G1070" s="75" t="s">
        <v>1173</v>
      </c>
      <c r="H1070" s="70"/>
    </row>
    <row r="1071" spans="1:8" ht="16" x14ac:dyDescent="0.2">
      <c r="A1071" s="73"/>
      <c r="B1071" s="77"/>
      <c r="C1071" s="74"/>
      <c r="D1071" s="74" t="s">
        <v>955</v>
      </c>
      <c r="E1071" s="78" t="s">
        <v>105</v>
      </c>
      <c r="F1071" s="76" t="s">
        <v>1639</v>
      </c>
      <c r="G1071" s="75" t="s">
        <v>1173</v>
      </c>
      <c r="H1071" s="70"/>
    </row>
    <row r="1072" spans="1:8" ht="16" x14ac:dyDescent="0.2">
      <c r="A1072" s="73"/>
      <c r="B1072" s="77"/>
      <c r="C1072" s="74"/>
      <c r="D1072" s="74" t="s">
        <v>955</v>
      </c>
      <c r="E1072" s="78" t="s">
        <v>105</v>
      </c>
      <c r="F1072" s="76" t="s">
        <v>1640</v>
      </c>
      <c r="G1072" s="75" t="s">
        <v>1173</v>
      </c>
      <c r="H1072" s="70"/>
    </row>
    <row r="1073" spans="1:8" ht="16" x14ac:dyDescent="0.2">
      <c r="A1073" s="73"/>
      <c r="B1073" s="77"/>
      <c r="C1073" s="74"/>
      <c r="D1073" s="74" t="s">
        <v>955</v>
      </c>
      <c r="E1073" s="78" t="s">
        <v>96</v>
      </c>
      <c r="F1073" s="76" t="s">
        <v>1674</v>
      </c>
      <c r="G1073" s="75" t="s">
        <v>1213</v>
      </c>
      <c r="H1073" s="70"/>
    </row>
    <row r="1074" spans="1:8" ht="16" x14ac:dyDescent="0.2">
      <c r="A1074" s="73"/>
      <c r="B1074" s="77"/>
      <c r="C1074" s="74"/>
      <c r="D1074" s="74" t="s">
        <v>955</v>
      </c>
      <c r="E1074" s="78" t="s">
        <v>96</v>
      </c>
      <c r="F1074" s="76" t="s">
        <v>1682</v>
      </c>
      <c r="G1074" s="75" t="s">
        <v>1222</v>
      </c>
      <c r="H1074" s="70"/>
    </row>
    <row r="1075" spans="1:8" ht="16" x14ac:dyDescent="0.2">
      <c r="A1075" s="73"/>
      <c r="B1075" s="77"/>
      <c r="C1075" s="74"/>
      <c r="D1075" s="74" t="s">
        <v>955</v>
      </c>
      <c r="E1075" s="78" t="s">
        <v>96</v>
      </c>
      <c r="F1075" s="76" t="s">
        <v>1675</v>
      </c>
      <c r="G1075" s="75" t="s">
        <v>1213</v>
      </c>
      <c r="H1075" s="70"/>
    </row>
    <row r="1076" spans="1:8" ht="16" x14ac:dyDescent="0.2">
      <c r="A1076" s="73"/>
      <c r="B1076" s="77"/>
      <c r="C1076" s="74"/>
      <c r="D1076" s="74" t="s">
        <v>955</v>
      </c>
      <c r="E1076" s="78" t="s">
        <v>96</v>
      </c>
      <c r="F1076" s="76" t="s">
        <v>1683</v>
      </c>
      <c r="G1076" s="75" t="s">
        <v>1222</v>
      </c>
      <c r="H1076" s="70"/>
    </row>
    <row r="1077" spans="1:8" ht="16" x14ac:dyDescent="0.2">
      <c r="A1077" s="73"/>
      <c r="B1077" s="77"/>
      <c r="C1077" s="74"/>
      <c r="D1077" s="74" t="s">
        <v>955</v>
      </c>
      <c r="E1077" s="78" t="s">
        <v>96</v>
      </c>
      <c r="F1077" s="76" t="s">
        <v>1678</v>
      </c>
      <c r="G1077" s="75" t="s">
        <v>1214</v>
      </c>
      <c r="H1077" s="70"/>
    </row>
    <row r="1078" spans="1:8" ht="16" x14ac:dyDescent="0.2">
      <c r="A1078" s="73"/>
      <c r="B1078" s="77"/>
      <c r="C1078" s="74"/>
      <c r="D1078" s="74" t="s">
        <v>955</v>
      </c>
      <c r="E1078" s="78" t="s">
        <v>96</v>
      </c>
      <c r="F1078" s="76" t="s">
        <v>1686</v>
      </c>
      <c r="G1078" s="75" t="s">
        <v>1223</v>
      </c>
      <c r="H1078" s="70"/>
    </row>
    <row r="1079" spans="1:8" ht="16" x14ac:dyDescent="0.2">
      <c r="A1079" s="73"/>
      <c r="B1079" s="77"/>
      <c r="C1079" s="74"/>
      <c r="D1079" s="74" t="s">
        <v>955</v>
      </c>
      <c r="E1079" s="78" t="s">
        <v>96</v>
      </c>
      <c r="F1079" s="76" t="s">
        <v>1679</v>
      </c>
      <c r="G1079" s="75" t="s">
        <v>1214</v>
      </c>
      <c r="H1079" s="70"/>
    </row>
    <row r="1080" spans="1:8" ht="16" x14ac:dyDescent="0.2">
      <c r="A1080" s="73"/>
      <c r="B1080" s="77"/>
      <c r="C1080" s="74"/>
      <c r="D1080" s="74" t="s">
        <v>955</v>
      </c>
      <c r="E1080" s="78" t="s">
        <v>96</v>
      </c>
      <c r="F1080" s="76" t="s">
        <v>1687</v>
      </c>
      <c r="G1080" s="75" t="s">
        <v>1223</v>
      </c>
      <c r="H1080" s="70"/>
    </row>
    <row r="1081" spans="1:8" ht="16" x14ac:dyDescent="0.2">
      <c r="A1081" s="73"/>
      <c r="B1081" s="77"/>
      <c r="C1081" s="74"/>
      <c r="D1081" s="74" t="s">
        <v>955</v>
      </c>
      <c r="E1081" s="78" t="s">
        <v>96</v>
      </c>
      <c r="F1081" s="76" t="s">
        <v>1680</v>
      </c>
      <c r="G1081" s="75" t="s">
        <v>1214</v>
      </c>
      <c r="H1081" s="70"/>
    </row>
    <row r="1082" spans="1:8" ht="16" x14ac:dyDescent="0.2">
      <c r="A1082" s="73"/>
      <c r="B1082" s="77"/>
      <c r="C1082" s="74"/>
      <c r="D1082" s="74" t="s">
        <v>955</v>
      </c>
      <c r="E1082" s="78" t="s">
        <v>96</v>
      </c>
      <c r="F1082" s="76" t="s">
        <v>1688</v>
      </c>
      <c r="G1082" s="75" t="s">
        <v>1223</v>
      </c>
      <c r="H1082" s="70"/>
    </row>
    <row r="1083" spans="1:8" ht="16" x14ac:dyDescent="0.2">
      <c r="A1083" s="73"/>
      <c r="B1083" s="77"/>
      <c r="C1083" s="74"/>
      <c r="D1083" s="74" t="s">
        <v>955</v>
      </c>
      <c r="E1083" s="78" t="s">
        <v>96</v>
      </c>
      <c r="F1083" s="76" t="s">
        <v>1677</v>
      </c>
      <c r="G1083" s="75" t="s">
        <v>1213</v>
      </c>
      <c r="H1083" s="70"/>
    </row>
    <row r="1084" spans="1:8" ht="16" x14ac:dyDescent="0.2">
      <c r="A1084" s="73"/>
      <c r="B1084" s="77"/>
      <c r="C1084" s="74"/>
      <c r="D1084" s="74" t="s">
        <v>955</v>
      </c>
      <c r="E1084" s="78" t="s">
        <v>96</v>
      </c>
      <c r="F1084" s="76" t="s">
        <v>1685</v>
      </c>
      <c r="G1084" s="75" t="s">
        <v>1222</v>
      </c>
      <c r="H1084" s="70"/>
    </row>
    <row r="1085" spans="1:8" ht="16" x14ac:dyDescent="0.2">
      <c r="A1085" s="73"/>
      <c r="B1085" s="77"/>
      <c r="C1085" s="74"/>
      <c r="D1085" s="74" t="s">
        <v>955</v>
      </c>
      <c r="E1085" s="78" t="s">
        <v>96</v>
      </c>
      <c r="F1085" s="76" t="s">
        <v>1681</v>
      </c>
      <c r="G1085" s="75" t="s">
        <v>1214</v>
      </c>
      <c r="H1085" s="70"/>
    </row>
    <row r="1086" spans="1:8" ht="16" x14ac:dyDescent="0.2">
      <c r="A1086" s="73"/>
      <c r="B1086" s="77"/>
      <c r="C1086" s="74"/>
      <c r="D1086" s="74" t="s">
        <v>955</v>
      </c>
      <c r="E1086" s="78" t="s">
        <v>96</v>
      </c>
      <c r="F1086" s="76" t="s">
        <v>1689</v>
      </c>
      <c r="G1086" s="75" t="s">
        <v>1223</v>
      </c>
      <c r="H1086" s="70"/>
    </row>
    <row r="1087" spans="1:8" ht="16" x14ac:dyDescent="0.2">
      <c r="A1087" s="73"/>
      <c r="B1087" s="77"/>
      <c r="C1087" s="74"/>
      <c r="D1087" s="74" t="s">
        <v>955</v>
      </c>
      <c r="E1087" s="78" t="s">
        <v>96</v>
      </c>
      <c r="F1087" s="76" t="s">
        <v>1676</v>
      </c>
      <c r="G1087" s="75" t="s">
        <v>1213</v>
      </c>
      <c r="H1087" s="70"/>
    </row>
    <row r="1088" spans="1:8" ht="16" x14ac:dyDescent="0.2">
      <c r="A1088" s="73"/>
      <c r="B1088" s="77"/>
      <c r="C1088" s="74"/>
      <c r="D1088" s="74" t="s">
        <v>955</v>
      </c>
      <c r="E1088" s="78" t="s">
        <v>96</v>
      </c>
      <c r="F1088" s="76" t="s">
        <v>1684</v>
      </c>
      <c r="G1088" s="75" t="s">
        <v>1222</v>
      </c>
      <c r="H1088" s="70"/>
    </row>
    <row r="1089" spans="1:8" ht="16" x14ac:dyDescent="0.2">
      <c r="A1089" s="73"/>
      <c r="B1089" s="85"/>
      <c r="C1089" s="74"/>
      <c r="D1089" s="74" t="s">
        <v>955</v>
      </c>
      <c r="E1089" s="78" t="s">
        <v>96</v>
      </c>
      <c r="F1089" s="76" t="s">
        <v>390</v>
      </c>
      <c r="G1089" s="75" t="s">
        <v>579</v>
      </c>
      <c r="H1089" s="70"/>
    </row>
    <row r="1090" spans="1:8" ht="16" x14ac:dyDescent="0.2">
      <c r="A1090" s="73"/>
      <c r="B1090" s="85"/>
      <c r="C1090" s="74"/>
      <c r="D1090" s="74" t="s">
        <v>955</v>
      </c>
      <c r="E1090" s="78" t="s">
        <v>96</v>
      </c>
      <c r="F1090" s="76" t="s">
        <v>1641</v>
      </c>
      <c r="G1090" s="75" t="s">
        <v>579</v>
      </c>
      <c r="H1090" s="70"/>
    </row>
    <row r="1091" spans="1:8" ht="16" x14ac:dyDescent="0.2">
      <c r="A1091" s="73"/>
      <c r="B1091" s="85"/>
      <c r="C1091" s="74"/>
      <c r="D1091" s="74" t="s">
        <v>955</v>
      </c>
      <c r="E1091" s="78" t="s">
        <v>96</v>
      </c>
      <c r="F1091" s="76" t="s">
        <v>1715</v>
      </c>
      <c r="G1091" s="75" t="s">
        <v>579</v>
      </c>
      <c r="H1091" s="70"/>
    </row>
    <row r="1092" spans="1:8" ht="16" x14ac:dyDescent="0.2">
      <c r="A1092" s="73"/>
      <c r="B1092" s="85"/>
      <c r="C1092" s="74"/>
      <c r="D1092" s="74" t="s">
        <v>955</v>
      </c>
      <c r="E1092" s="78" t="s">
        <v>96</v>
      </c>
      <c r="F1092" s="76" t="s">
        <v>1642</v>
      </c>
      <c r="G1092" s="75" t="s">
        <v>579</v>
      </c>
      <c r="H1092" s="70"/>
    </row>
    <row r="1093" spans="1:8" ht="16" x14ac:dyDescent="0.2">
      <c r="A1093" s="73"/>
      <c r="B1093" s="85"/>
      <c r="C1093" s="74"/>
      <c r="D1093" s="74" t="s">
        <v>955</v>
      </c>
      <c r="E1093" s="78" t="s">
        <v>96</v>
      </c>
      <c r="F1093" s="76" t="s">
        <v>1690</v>
      </c>
      <c r="G1093" s="75" t="s">
        <v>579</v>
      </c>
      <c r="H1093" s="70"/>
    </row>
    <row r="1094" spans="1:8" ht="16" x14ac:dyDescent="0.2">
      <c r="A1094" s="73"/>
      <c r="B1094" s="85"/>
      <c r="C1094" s="74"/>
      <c r="D1094" s="74" t="s">
        <v>955</v>
      </c>
      <c r="E1094" s="78" t="s">
        <v>96</v>
      </c>
      <c r="F1094" s="76" t="s">
        <v>1691</v>
      </c>
      <c r="G1094" s="75" t="s">
        <v>579</v>
      </c>
      <c r="H1094" s="70"/>
    </row>
    <row r="1095" spans="1:8" ht="16" x14ac:dyDescent="0.2">
      <c r="A1095" s="73"/>
      <c r="B1095" s="85"/>
      <c r="C1095" s="74"/>
      <c r="D1095" s="74" t="s">
        <v>955</v>
      </c>
      <c r="E1095" s="78" t="s">
        <v>96</v>
      </c>
      <c r="F1095" s="76" t="s">
        <v>1644</v>
      </c>
      <c r="G1095" s="75" t="s">
        <v>579</v>
      </c>
      <c r="H1095" s="70"/>
    </row>
    <row r="1096" spans="1:8" ht="16" x14ac:dyDescent="0.2">
      <c r="A1096" s="73"/>
      <c r="B1096" s="85"/>
      <c r="C1096" s="74"/>
      <c r="D1096" s="74" t="s">
        <v>955</v>
      </c>
      <c r="E1096" s="78" t="s">
        <v>96</v>
      </c>
      <c r="F1096" s="76" t="s">
        <v>1692</v>
      </c>
      <c r="G1096" s="75" t="s">
        <v>579</v>
      </c>
      <c r="H1096" s="70"/>
    </row>
    <row r="1097" spans="1:8" ht="16" x14ac:dyDescent="0.2">
      <c r="A1097" s="73"/>
      <c r="B1097" s="85"/>
      <c r="C1097" s="74"/>
      <c r="D1097" s="74" t="s">
        <v>955</v>
      </c>
      <c r="E1097" s="78" t="s">
        <v>96</v>
      </c>
      <c r="F1097" s="76" t="s">
        <v>1645</v>
      </c>
      <c r="G1097" s="75" t="s">
        <v>579</v>
      </c>
      <c r="H1097" s="70"/>
    </row>
    <row r="1098" spans="1:8" ht="16" x14ac:dyDescent="0.2">
      <c r="A1098" s="73"/>
      <c r="B1098" s="85"/>
      <c r="C1098" s="74"/>
      <c r="D1098" s="74" t="s">
        <v>955</v>
      </c>
      <c r="E1098" s="78" t="s">
        <v>96</v>
      </c>
      <c r="F1098" s="76" t="s">
        <v>398</v>
      </c>
      <c r="G1098" s="75" t="s">
        <v>579</v>
      </c>
      <c r="H1098" s="70"/>
    </row>
    <row r="1099" spans="1:8" ht="16" x14ac:dyDescent="0.2">
      <c r="A1099" s="73"/>
      <c r="B1099" s="85"/>
      <c r="C1099" s="74"/>
      <c r="D1099" s="74" t="s">
        <v>955</v>
      </c>
      <c r="E1099" s="78" t="s">
        <v>96</v>
      </c>
      <c r="F1099" s="76" t="s">
        <v>1693</v>
      </c>
      <c r="G1099" s="75" t="s">
        <v>579</v>
      </c>
      <c r="H1099" s="70"/>
    </row>
    <row r="1100" spans="1:8" ht="16" x14ac:dyDescent="0.2">
      <c r="A1100" s="73"/>
      <c r="B1100" s="85"/>
      <c r="C1100" s="74"/>
      <c r="D1100" s="74" t="s">
        <v>955</v>
      </c>
      <c r="E1100" s="78" t="s">
        <v>96</v>
      </c>
      <c r="F1100" s="76" t="s">
        <v>402</v>
      </c>
      <c r="G1100" s="75" t="s">
        <v>579</v>
      </c>
      <c r="H1100" s="70"/>
    </row>
    <row r="1101" spans="1:8" ht="16" x14ac:dyDescent="0.2">
      <c r="A1101" s="73"/>
      <c r="B1101" s="85"/>
      <c r="C1101" s="74"/>
      <c r="D1101" s="74" t="s">
        <v>955</v>
      </c>
      <c r="E1101" s="78" t="s">
        <v>96</v>
      </c>
      <c r="F1101" s="76" t="s">
        <v>1694</v>
      </c>
      <c r="G1101" s="75" t="s">
        <v>579</v>
      </c>
      <c r="H1101" s="70"/>
    </row>
    <row r="1102" spans="1:8" x14ac:dyDescent="0.2">
      <c r="A1102" s="73"/>
      <c r="B1102" s="85"/>
      <c r="C1102" s="74"/>
      <c r="D1102" s="74" t="s">
        <v>955</v>
      </c>
      <c r="E1102" s="78" t="s">
        <v>96</v>
      </c>
      <c r="F1102" s="76" t="s">
        <v>390</v>
      </c>
      <c r="G1102" s="76" t="s">
        <v>1186</v>
      </c>
      <c r="H1102" s="70"/>
    </row>
    <row r="1103" spans="1:8" x14ac:dyDescent="0.2">
      <c r="A1103" s="73"/>
      <c r="B1103" s="85"/>
      <c r="C1103" s="74"/>
      <c r="D1103" s="74" t="s">
        <v>955</v>
      </c>
      <c r="E1103" s="78" t="s">
        <v>96</v>
      </c>
      <c r="F1103" s="76" t="s">
        <v>1641</v>
      </c>
      <c r="G1103" s="76" t="s">
        <v>1186</v>
      </c>
      <c r="H1103" s="70"/>
    </row>
    <row r="1104" spans="1:8" x14ac:dyDescent="0.2">
      <c r="A1104" s="73"/>
      <c r="B1104" s="85"/>
      <c r="C1104" s="74"/>
      <c r="D1104" s="74" t="s">
        <v>955</v>
      </c>
      <c r="E1104" s="78" t="s">
        <v>96</v>
      </c>
      <c r="F1104" s="76" t="s">
        <v>1715</v>
      </c>
      <c r="G1104" s="76" t="s">
        <v>1186</v>
      </c>
      <c r="H1104" s="70"/>
    </row>
    <row r="1105" spans="1:8" x14ac:dyDescent="0.2">
      <c r="A1105" s="73"/>
      <c r="B1105" s="85"/>
      <c r="C1105" s="74"/>
      <c r="D1105" s="74" t="s">
        <v>955</v>
      </c>
      <c r="E1105" s="78" t="s">
        <v>96</v>
      </c>
      <c r="F1105" s="76" t="s">
        <v>1642</v>
      </c>
      <c r="G1105" s="76" t="s">
        <v>1186</v>
      </c>
      <c r="H1105" s="70"/>
    </row>
    <row r="1106" spans="1:8" x14ac:dyDescent="0.2">
      <c r="A1106" s="73"/>
      <c r="B1106" s="85"/>
      <c r="C1106" s="74"/>
      <c r="D1106" s="74" t="s">
        <v>955</v>
      </c>
      <c r="E1106" s="78" t="s">
        <v>96</v>
      </c>
      <c r="F1106" s="76" t="s">
        <v>1690</v>
      </c>
      <c r="G1106" s="76" t="s">
        <v>1186</v>
      </c>
      <c r="H1106" s="70"/>
    </row>
    <row r="1107" spans="1:8" x14ac:dyDescent="0.2">
      <c r="A1107" s="73"/>
      <c r="B1107" s="85"/>
      <c r="C1107" s="74"/>
      <c r="D1107" s="74" t="s">
        <v>955</v>
      </c>
      <c r="E1107" s="78" t="s">
        <v>96</v>
      </c>
      <c r="F1107" s="76" t="s">
        <v>1691</v>
      </c>
      <c r="G1107" s="76" t="s">
        <v>1186</v>
      </c>
      <c r="H1107" s="70"/>
    </row>
    <row r="1108" spans="1:8" x14ac:dyDescent="0.2">
      <c r="A1108" s="73"/>
      <c r="B1108" s="85"/>
      <c r="C1108" s="74"/>
      <c r="D1108" s="74" t="s">
        <v>955</v>
      </c>
      <c r="E1108" s="78" t="s">
        <v>96</v>
      </c>
      <c r="F1108" s="76" t="s">
        <v>1644</v>
      </c>
      <c r="G1108" s="76" t="s">
        <v>1186</v>
      </c>
      <c r="H1108" s="70"/>
    </row>
    <row r="1109" spans="1:8" x14ac:dyDescent="0.2">
      <c r="A1109" s="73"/>
      <c r="B1109" s="85"/>
      <c r="C1109" s="74"/>
      <c r="D1109" s="74" t="s">
        <v>955</v>
      </c>
      <c r="E1109" s="78" t="s">
        <v>96</v>
      </c>
      <c r="F1109" s="76" t="s">
        <v>1692</v>
      </c>
      <c r="G1109" s="76" t="s">
        <v>1186</v>
      </c>
      <c r="H1109" s="70"/>
    </row>
    <row r="1110" spans="1:8" x14ac:dyDescent="0.2">
      <c r="A1110" s="73"/>
      <c r="B1110" s="85"/>
      <c r="C1110" s="74"/>
      <c r="D1110" s="74" t="s">
        <v>955</v>
      </c>
      <c r="E1110" s="78" t="s">
        <v>96</v>
      </c>
      <c r="F1110" s="76" t="s">
        <v>1645</v>
      </c>
      <c r="G1110" s="76" t="s">
        <v>1186</v>
      </c>
      <c r="H1110" s="70"/>
    </row>
    <row r="1111" spans="1:8" x14ac:dyDescent="0.2">
      <c r="A1111" s="73"/>
      <c r="B1111" s="85"/>
      <c r="C1111" s="74"/>
      <c r="D1111" s="74" t="s">
        <v>955</v>
      </c>
      <c r="E1111" s="78" t="s">
        <v>96</v>
      </c>
      <c r="F1111" s="76" t="s">
        <v>398</v>
      </c>
      <c r="G1111" s="76" t="s">
        <v>1186</v>
      </c>
      <c r="H1111" s="70"/>
    </row>
    <row r="1112" spans="1:8" x14ac:dyDescent="0.2">
      <c r="A1112" s="73"/>
      <c r="B1112" s="85"/>
      <c r="C1112" s="74"/>
      <c r="D1112" s="74" t="s">
        <v>955</v>
      </c>
      <c r="E1112" s="78" t="s">
        <v>96</v>
      </c>
      <c r="F1112" s="76" t="s">
        <v>1693</v>
      </c>
      <c r="G1112" s="76" t="s">
        <v>1186</v>
      </c>
      <c r="H1112" s="70"/>
    </row>
    <row r="1113" spans="1:8" x14ac:dyDescent="0.2">
      <c r="A1113" s="73"/>
      <c r="B1113" s="85"/>
      <c r="C1113" s="74"/>
      <c r="D1113" s="74" t="s">
        <v>955</v>
      </c>
      <c r="E1113" s="78" t="s">
        <v>96</v>
      </c>
      <c r="F1113" s="76" t="s">
        <v>402</v>
      </c>
      <c r="G1113" s="76" t="s">
        <v>1186</v>
      </c>
      <c r="H1113" s="70"/>
    </row>
    <row r="1114" spans="1:8" x14ac:dyDescent="0.2">
      <c r="A1114" s="73"/>
      <c r="B1114" s="85"/>
      <c r="C1114" s="74"/>
      <c r="D1114" s="74" t="s">
        <v>955</v>
      </c>
      <c r="E1114" s="78" t="s">
        <v>96</v>
      </c>
      <c r="F1114" s="76" t="s">
        <v>1694</v>
      </c>
      <c r="G1114" s="76" t="s">
        <v>1186</v>
      </c>
      <c r="H1114" s="70"/>
    </row>
    <row r="1115" spans="1:8" ht="16" x14ac:dyDescent="0.2">
      <c r="A1115" s="73"/>
      <c r="B1115" s="85"/>
      <c r="C1115" s="74"/>
      <c r="D1115" s="74" t="s">
        <v>955</v>
      </c>
      <c r="E1115" s="78" t="s">
        <v>96</v>
      </c>
      <c r="F1115" s="76" t="s">
        <v>1646</v>
      </c>
      <c r="G1115" s="75" t="s">
        <v>581</v>
      </c>
      <c r="H1115" s="70"/>
    </row>
    <row r="1116" spans="1:8" ht="16" x14ac:dyDescent="0.2">
      <c r="A1116" s="73"/>
      <c r="B1116" s="85"/>
      <c r="C1116" s="74"/>
      <c r="D1116" s="74" t="s">
        <v>955</v>
      </c>
      <c r="E1116" s="78" t="s">
        <v>96</v>
      </c>
      <c r="F1116" s="76" t="s">
        <v>1717</v>
      </c>
      <c r="G1116" s="75" t="s">
        <v>581</v>
      </c>
      <c r="H1116" s="70"/>
    </row>
    <row r="1117" spans="1:8" ht="16" x14ac:dyDescent="0.2">
      <c r="A1117" s="73"/>
      <c r="B1117" s="85"/>
      <c r="C1117" s="74"/>
      <c r="D1117" s="74" t="s">
        <v>955</v>
      </c>
      <c r="E1117" s="78" t="s">
        <v>96</v>
      </c>
      <c r="F1117" s="76" t="s">
        <v>1649</v>
      </c>
      <c r="G1117" s="75" t="s">
        <v>581</v>
      </c>
      <c r="H1117" s="70"/>
    </row>
    <row r="1118" spans="1:8" ht="16" x14ac:dyDescent="0.2">
      <c r="A1118" s="73"/>
      <c r="B1118" s="85"/>
      <c r="C1118" s="74"/>
      <c r="D1118" s="74" t="s">
        <v>955</v>
      </c>
      <c r="E1118" s="78" t="s">
        <v>96</v>
      </c>
      <c r="F1118" s="76" t="s">
        <v>1650</v>
      </c>
      <c r="G1118" s="75" t="s">
        <v>581</v>
      </c>
      <c r="H1118" s="70"/>
    </row>
    <row r="1119" spans="1:8" ht="16" x14ac:dyDescent="0.2">
      <c r="A1119" s="73"/>
      <c r="B1119" s="85"/>
      <c r="C1119" s="74"/>
      <c r="D1119" s="74" t="s">
        <v>955</v>
      </c>
      <c r="E1119" s="78" t="s">
        <v>96</v>
      </c>
      <c r="F1119" s="76" t="s">
        <v>1651</v>
      </c>
      <c r="G1119" s="75" t="s">
        <v>581</v>
      </c>
      <c r="H1119" s="70"/>
    </row>
    <row r="1120" spans="1:8" ht="16" x14ac:dyDescent="0.2">
      <c r="A1120" s="73"/>
      <c r="B1120" s="85"/>
      <c r="C1120" s="74"/>
      <c r="D1120" s="74" t="s">
        <v>955</v>
      </c>
      <c r="E1120" s="78" t="s">
        <v>96</v>
      </c>
      <c r="F1120" s="76" t="s">
        <v>1696</v>
      </c>
      <c r="G1120" s="75" t="s">
        <v>581</v>
      </c>
      <c r="H1120" s="70"/>
    </row>
    <row r="1121" spans="1:8" ht="16" x14ac:dyDescent="0.2">
      <c r="A1121" s="73"/>
      <c r="B1121" s="85"/>
      <c r="C1121" s="74"/>
      <c r="D1121" s="74" t="s">
        <v>955</v>
      </c>
      <c r="E1121" s="78" t="s">
        <v>96</v>
      </c>
      <c r="F1121" s="76" t="s">
        <v>1647</v>
      </c>
      <c r="G1121" s="75" t="s">
        <v>581</v>
      </c>
      <c r="H1121" s="70"/>
    </row>
    <row r="1122" spans="1:8" ht="16" x14ac:dyDescent="0.2">
      <c r="A1122" s="73"/>
      <c r="B1122" s="85"/>
      <c r="C1122" s="74"/>
      <c r="D1122" s="74" t="s">
        <v>955</v>
      </c>
      <c r="E1122" s="78" t="s">
        <v>96</v>
      </c>
      <c r="F1122" s="76" t="s">
        <v>1648</v>
      </c>
      <c r="G1122" s="75" t="s">
        <v>581</v>
      </c>
      <c r="H1122" s="70"/>
    </row>
    <row r="1123" spans="1:8" ht="16" x14ac:dyDescent="0.2">
      <c r="A1123" s="73"/>
      <c r="B1123" s="85"/>
      <c r="C1123" s="74"/>
      <c r="D1123" s="74" t="s">
        <v>955</v>
      </c>
      <c r="E1123" s="78" t="s">
        <v>96</v>
      </c>
      <c r="F1123" s="76" t="s">
        <v>1697</v>
      </c>
      <c r="G1123" s="75" t="s">
        <v>581</v>
      </c>
      <c r="H1123" s="70"/>
    </row>
    <row r="1124" spans="1:8" ht="16" x14ac:dyDescent="0.2">
      <c r="A1124" s="73"/>
      <c r="B1124" s="85"/>
      <c r="C1124" s="74"/>
      <c r="D1124" s="74" t="s">
        <v>955</v>
      </c>
      <c r="E1124" s="78" t="s">
        <v>96</v>
      </c>
      <c r="F1124" s="76" t="s">
        <v>1698</v>
      </c>
      <c r="G1124" s="75" t="s">
        <v>581</v>
      </c>
      <c r="H1124" s="70"/>
    </row>
    <row r="1125" spans="1:8" ht="16" x14ac:dyDescent="0.2">
      <c r="A1125" s="73"/>
      <c r="B1125" s="85"/>
      <c r="C1125" s="74"/>
      <c r="D1125" s="74" t="s">
        <v>955</v>
      </c>
      <c r="E1125" s="78" t="s">
        <v>96</v>
      </c>
      <c r="F1125" s="76" t="s">
        <v>1699</v>
      </c>
      <c r="G1125" s="75" t="s">
        <v>581</v>
      </c>
      <c r="H1125" s="70"/>
    </row>
    <row r="1126" spans="1:8" ht="16" x14ac:dyDescent="0.2">
      <c r="A1126" s="73"/>
      <c r="B1126" s="85"/>
      <c r="C1126" s="74"/>
      <c r="D1126" s="74" t="s">
        <v>955</v>
      </c>
      <c r="E1126" s="78" t="s">
        <v>96</v>
      </c>
      <c r="F1126" s="76" t="s">
        <v>1700</v>
      </c>
      <c r="G1126" s="75" t="s">
        <v>581</v>
      </c>
      <c r="H1126" s="70"/>
    </row>
    <row r="1127" spans="1:8" x14ac:dyDescent="0.2">
      <c r="A1127" s="73"/>
      <c r="B1127" s="85"/>
      <c r="C1127" s="74"/>
      <c r="D1127" s="74" t="s">
        <v>955</v>
      </c>
      <c r="E1127" s="78" t="s">
        <v>96</v>
      </c>
      <c r="F1127" s="76" t="s">
        <v>394</v>
      </c>
      <c r="G1127" s="76" t="s">
        <v>1188</v>
      </c>
      <c r="H1127" s="70"/>
    </row>
    <row r="1128" spans="1:8" x14ac:dyDescent="0.2">
      <c r="A1128" s="73"/>
      <c r="B1128" s="85"/>
      <c r="C1128" s="74"/>
      <c r="D1128" s="74" t="s">
        <v>955</v>
      </c>
      <c r="E1128" s="78" t="s">
        <v>96</v>
      </c>
      <c r="F1128" s="76" t="s">
        <v>1652</v>
      </c>
      <c r="G1128" s="76" t="s">
        <v>1188</v>
      </c>
      <c r="H1128" s="70"/>
    </row>
    <row r="1129" spans="1:8" x14ac:dyDescent="0.2">
      <c r="A1129" s="73"/>
      <c r="B1129" s="85"/>
      <c r="C1129" s="74"/>
      <c r="D1129" s="74" t="s">
        <v>955</v>
      </c>
      <c r="E1129" s="78" t="s">
        <v>96</v>
      </c>
      <c r="F1129" s="76" t="s">
        <v>1718</v>
      </c>
      <c r="G1129" s="76" t="s">
        <v>1188</v>
      </c>
      <c r="H1129" s="70"/>
    </row>
    <row r="1130" spans="1:8" x14ac:dyDescent="0.2">
      <c r="A1130" s="73"/>
      <c r="B1130" s="85"/>
      <c r="C1130" s="74"/>
      <c r="D1130" s="74" t="s">
        <v>955</v>
      </c>
      <c r="E1130" s="78" t="s">
        <v>96</v>
      </c>
      <c r="F1130" s="76" t="s">
        <v>1653</v>
      </c>
      <c r="G1130" s="76" t="s">
        <v>1188</v>
      </c>
      <c r="H1130" s="70"/>
    </row>
    <row r="1131" spans="1:8" x14ac:dyDescent="0.2">
      <c r="A1131" s="73"/>
      <c r="B1131" s="85"/>
      <c r="C1131" s="74"/>
      <c r="D1131" s="74" t="s">
        <v>955</v>
      </c>
      <c r="E1131" s="78" t="s">
        <v>96</v>
      </c>
      <c r="F1131" s="76" t="s">
        <v>1654</v>
      </c>
      <c r="G1131" s="76" t="s">
        <v>1188</v>
      </c>
      <c r="H1131" s="70"/>
    </row>
    <row r="1132" spans="1:8" x14ac:dyDescent="0.2">
      <c r="A1132" s="73"/>
      <c r="B1132" s="85"/>
      <c r="C1132" s="74"/>
      <c r="D1132" s="74" t="s">
        <v>955</v>
      </c>
      <c r="E1132" s="78" t="s">
        <v>96</v>
      </c>
      <c r="F1132" s="76" t="s">
        <v>1655</v>
      </c>
      <c r="G1132" s="76" t="s">
        <v>1188</v>
      </c>
      <c r="H1132" s="70"/>
    </row>
    <row r="1133" spans="1:8" x14ac:dyDescent="0.2">
      <c r="A1133" s="73"/>
      <c r="B1133" s="85"/>
      <c r="C1133" s="74"/>
      <c r="D1133" s="74" t="s">
        <v>955</v>
      </c>
      <c r="E1133" s="78" t="s">
        <v>96</v>
      </c>
      <c r="F1133" s="76" t="s">
        <v>1657</v>
      </c>
      <c r="G1133" s="76" t="s">
        <v>1188</v>
      </c>
      <c r="H1133" s="70"/>
    </row>
    <row r="1134" spans="1:8" x14ac:dyDescent="0.2">
      <c r="A1134" s="73"/>
      <c r="B1134" s="85"/>
      <c r="C1134" s="74"/>
      <c r="D1134" s="74" t="s">
        <v>955</v>
      </c>
      <c r="E1134" s="78" t="s">
        <v>96</v>
      </c>
      <c r="F1134" s="76" t="s">
        <v>1701</v>
      </c>
      <c r="G1134" s="76" t="s">
        <v>1188</v>
      </c>
      <c r="H1134" s="70"/>
    </row>
    <row r="1135" spans="1:8" x14ac:dyDescent="0.2">
      <c r="A1135" s="73"/>
      <c r="B1135" s="85"/>
      <c r="C1135" s="74"/>
      <c r="D1135" s="74" t="s">
        <v>955</v>
      </c>
      <c r="E1135" s="78" t="s">
        <v>96</v>
      </c>
      <c r="F1135" s="76" t="s">
        <v>1658</v>
      </c>
      <c r="G1135" s="76" t="s">
        <v>1188</v>
      </c>
      <c r="H1135" s="70"/>
    </row>
    <row r="1136" spans="1:8" x14ac:dyDescent="0.2">
      <c r="A1136" s="73"/>
      <c r="B1136" s="85"/>
      <c r="C1136" s="74"/>
      <c r="D1136" s="74" t="s">
        <v>955</v>
      </c>
      <c r="E1136" s="78" t="s">
        <v>96</v>
      </c>
      <c r="F1136" s="76" t="s">
        <v>1702</v>
      </c>
      <c r="G1136" s="76" t="s">
        <v>1188</v>
      </c>
      <c r="H1136" s="70"/>
    </row>
    <row r="1137" spans="1:8" x14ac:dyDescent="0.2">
      <c r="A1137" s="73"/>
      <c r="B1137" s="85"/>
      <c r="C1137" s="74"/>
      <c r="D1137" s="74" t="s">
        <v>955</v>
      </c>
      <c r="E1137" s="78" t="s">
        <v>96</v>
      </c>
      <c r="F1137" s="76" t="s">
        <v>1703</v>
      </c>
      <c r="G1137" s="76" t="s">
        <v>1188</v>
      </c>
      <c r="H1137" s="70"/>
    </row>
    <row r="1138" spans="1:8" x14ac:dyDescent="0.2">
      <c r="A1138" s="73"/>
      <c r="B1138" s="85"/>
      <c r="C1138" s="74"/>
      <c r="D1138" s="74" t="s">
        <v>955</v>
      </c>
      <c r="E1138" s="78" t="s">
        <v>96</v>
      </c>
      <c r="F1138" s="76" t="s">
        <v>1704</v>
      </c>
      <c r="G1138" s="76" t="s">
        <v>1188</v>
      </c>
      <c r="H1138" s="70"/>
    </row>
    <row r="1139" spans="1:8" x14ac:dyDescent="0.2">
      <c r="A1139" s="73"/>
      <c r="B1139" s="85"/>
      <c r="C1139" s="74"/>
      <c r="D1139" s="74" t="s">
        <v>955</v>
      </c>
      <c r="E1139" s="78" t="s">
        <v>96</v>
      </c>
      <c r="F1139" s="76" t="s">
        <v>1705</v>
      </c>
      <c r="G1139" s="76" t="s">
        <v>1188</v>
      </c>
      <c r="H1139" s="70"/>
    </row>
    <row r="1140" spans="1:8" x14ac:dyDescent="0.2">
      <c r="A1140" s="73"/>
      <c r="B1140" s="85"/>
      <c r="C1140" s="74"/>
      <c r="D1140" s="74" t="s">
        <v>955</v>
      </c>
      <c r="E1140" s="78" t="s">
        <v>96</v>
      </c>
      <c r="F1140" s="76" t="s">
        <v>394</v>
      </c>
      <c r="G1140" s="76" t="s">
        <v>1187</v>
      </c>
      <c r="H1140" s="70"/>
    </row>
    <row r="1141" spans="1:8" x14ac:dyDescent="0.2">
      <c r="A1141" s="73"/>
      <c r="B1141" s="85"/>
      <c r="C1141" s="74"/>
      <c r="D1141" s="74" t="s">
        <v>955</v>
      </c>
      <c r="E1141" s="78" t="s">
        <v>96</v>
      </c>
      <c r="F1141" s="76" t="s">
        <v>1652</v>
      </c>
      <c r="G1141" s="76" t="s">
        <v>1187</v>
      </c>
      <c r="H1141" s="70"/>
    </row>
    <row r="1142" spans="1:8" x14ac:dyDescent="0.2">
      <c r="A1142" s="73"/>
      <c r="B1142" s="85"/>
      <c r="C1142" s="74"/>
      <c r="D1142" s="74" t="s">
        <v>955</v>
      </c>
      <c r="E1142" s="78" t="s">
        <v>96</v>
      </c>
      <c r="F1142" s="76" t="s">
        <v>1718</v>
      </c>
      <c r="G1142" s="76" t="s">
        <v>1187</v>
      </c>
      <c r="H1142" s="70"/>
    </row>
    <row r="1143" spans="1:8" x14ac:dyDescent="0.2">
      <c r="A1143" s="73"/>
      <c r="B1143" s="85"/>
      <c r="C1143" s="74"/>
      <c r="D1143" s="74" t="s">
        <v>955</v>
      </c>
      <c r="E1143" s="78" t="s">
        <v>96</v>
      </c>
      <c r="F1143" s="76" t="s">
        <v>1653</v>
      </c>
      <c r="G1143" s="76" t="s">
        <v>1187</v>
      </c>
      <c r="H1143" s="70"/>
    </row>
    <row r="1144" spans="1:8" x14ac:dyDescent="0.2">
      <c r="A1144" s="73"/>
      <c r="B1144" s="85"/>
      <c r="C1144" s="74"/>
      <c r="D1144" s="74" t="s">
        <v>955</v>
      </c>
      <c r="E1144" s="78" t="s">
        <v>96</v>
      </c>
      <c r="F1144" s="76" t="s">
        <v>1654</v>
      </c>
      <c r="G1144" s="76" t="s">
        <v>1187</v>
      </c>
      <c r="H1144" s="70"/>
    </row>
    <row r="1145" spans="1:8" x14ac:dyDescent="0.2">
      <c r="A1145" s="73"/>
      <c r="B1145" s="85"/>
      <c r="C1145" s="74"/>
      <c r="D1145" s="74" t="s">
        <v>955</v>
      </c>
      <c r="E1145" s="78" t="s">
        <v>96</v>
      </c>
      <c r="F1145" s="76" t="s">
        <v>1655</v>
      </c>
      <c r="G1145" s="76" t="s">
        <v>1187</v>
      </c>
      <c r="H1145" s="70"/>
    </row>
    <row r="1146" spans="1:8" x14ac:dyDescent="0.2">
      <c r="A1146" s="73"/>
      <c r="B1146" s="85"/>
      <c r="C1146" s="74"/>
      <c r="D1146" s="74" t="s">
        <v>955</v>
      </c>
      <c r="E1146" s="78" t="s">
        <v>96</v>
      </c>
      <c r="F1146" s="76" t="s">
        <v>1657</v>
      </c>
      <c r="G1146" s="76" t="s">
        <v>1187</v>
      </c>
      <c r="H1146" s="70"/>
    </row>
    <row r="1147" spans="1:8" x14ac:dyDescent="0.2">
      <c r="A1147" s="73"/>
      <c r="B1147" s="85"/>
      <c r="C1147" s="74"/>
      <c r="D1147" s="74" t="s">
        <v>955</v>
      </c>
      <c r="E1147" s="78" t="s">
        <v>96</v>
      </c>
      <c r="F1147" s="76" t="s">
        <v>1701</v>
      </c>
      <c r="G1147" s="76" t="s">
        <v>1187</v>
      </c>
      <c r="H1147" s="70"/>
    </row>
    <row r="1148" spans="1:8" x14ac:dyDescent="0.2">
      <c r="A1148" s="73"/>
      <c r="B1148" s="85"/>
      <c r="C1148" s="74"/>
      <c r="D1148" s="74" t="s">
        <v>955</v>
      </c>
      <c r="E1148" s="78" t="s">
        <v>96</v>
      </c>
      <c r="F1148" s="76" t="s">
        <v>1658</v>
      </c>
      <c r="G1148" s="76" t="s">
        <v>1187</v>
      </c>
      <c r="H1148" s="70"/>
    </row>
    <row r="1149" spans="1:8" x14ac:dyDescent="0.2">
      <c r="A1149" s="73"/>
      <c r="B1149" s="85"/>
      <c r="C1149" s="74"/>
      <c r="D1149" s="74" t="s">
        <v>955</v>
      </c>
      <c r="E1149" s="78" t="s">
        <v>96</v>
      </c>
      <c r="F1149" s="76" t="s">
        <v>1702</v>
      </c>
      <c r="G1149" s="76" t="s">
        <v>1187</v>
      </c>
      <c r="H1149" s="70"/>
    </row>
    <row r="1150" spans="1:8" x14ac:dyDescent="0.2">
      <c r="A1150" s="73"/>
      <c r="B1150" s="85"/>
      <c r="C1150" s="74"/>
      <c r="D1150" s="74" t="s">
        <v>955</v>
      </c>
      <c r="E1150" s="78" t="s">
        <v>96</v>
      </c>
      <c r="F1150" s="76" t="s">
        <v>1703</v>
      </c>
      <c r="G1150" s="76" t="s">
        <v>1187</v>
      </c>
      <c r="H1150" s="70"/>
    </row>
    <row r="1151" spans="1:8" x14ac:dyDescent="0.2">
      <c r="A1151" s="73"/>
      <c r="B1151" s="85"/>
      <c r="C1151" s="74"/>
      <c r="D1151" s="74" t="s">
        <v>955</v>
      </c>
      <c r="E1151" s="78" t="s">
        <v>96</v>
      </c>
      <c r="F1151" s="76" t="s">
        <v>1704</v>
      </c>
      <c r="G1151" s="76" t="s">
        <v>1187</v>
      </c>
      <c r="H1151" s="70"/>
    </row>
    <row r="1152" spans="1:8" x14ac:dyDescent="0.2">
      <c r="A1152" s="73"/>
      <c r="B1152" s="85"/>
      <c r="C1152" s="74"/>
      <c r="D1152" s="74" t="s">
        <v>955</v>
      </c>
      <c r="E1152" s="78" t="s">
        <v>96</v>
      </c>
      <c r="F1152" s="76" t="s">
        <v>1705</v>
      </c>
      <c r="G1152" s="76" t="s">
        <v>1187</v>
      </c>
      <c r="H1152" s="70"/>
    </row>
    <row r="1153" spans="1:8" x14ac:dyDescent="0.2">
      <c r="A1153" s="73"/>
      <c r="B1153" s="85"/>
      <c r="C1153" s="74"/>
      <c r="D1153" s="74" t="s">
        <v>955</v>
      </c>
      <c r="E1153" s="78" t="s">
        <v>96</v>
      </c>
      <c r="F1153" s="76" t="s">
        <v>1659</v>
      </c>
      <c r="G1153" s="76" t="s">
        <v>1189</v>
      </c>
      <c r="H1153" s="70"/>
    </row>
    <row r="1154" spans="1:8" x14ac:dyDescent="0.2">
      <c r="A1154" s="73"/>
      <c r="B1154" s="85"/>
      <c r="C1154" s="74"/>
      <c r="D1154" s="74" t="s">
        <v>955</v>
      </c>
      <c r="E1154" s="78" t="s">
        <v>96</v>
      </c>
      <c r="F1154" s="76" t="s">
        <v>1719</v>
      </c>
      <c r="G1154" s="76" t="s">
        <v>1189</v>
      </c>
      <c r="H1154" s="70"/>
    </row>
    <row r="1155" spans="1:8" x14ac:dyDescent="0.2">
      <c r="A1155" s="73"/>
      <c r="B1155" s="85"/>
      <c r="C1155" s="74"/>
      <c r="D1155" s="74" t="s">
        <v>955</v>
      </c>
      <c r="E1155" s="78" t="s">
        <v>96</v>
      </c>
      <c r="F1155" s="76" t="s">
        <v>1662</v>
      </c>
      <c r="G1155" s="76" t="s">
        <v>1189</v>
      </c>
      <c r="H1155" s="70"/>
    </row>
    <row r="1156" spans="1:8" x14ac:dyDescent="0.2">
      <c r="A1156" s="73"/>
      <c r="B1156" s="85"/>
      <c r="C1156" s="74"/>
      <c r="D1156" s="74" t="s">
        <v>955</v>
      </c>
      <c r="E1156" s="78" t="s">
        <v>96</v>
      </c>
      <c r="F1156" s="76" t="s">
        <v>1663</v>
      </c>
      <c r="G1156" s="76" t="s">
        <v>1189</v>
      </c>
      <c r="H1156" s="70"/>
    </row>
    <row r="1157" spans="1:8" x14ac:dyDescent="0.2">
      <c r="A1157" s="73"/>
      <c r="B1157" s="85"/>
      <c r="C1157" s="74"/>
      <c r="D1157" s="74" t="s">
        <v>955</v>
      </c>
      <c r="E1157" s="78" t="s">
        <v>96</v>
      </c>
      <c r="F1157" s="76" t="s">
        <v>1664</v>
      </c>
      <c r="G1157" s="76" t="s">
        <v>1189</v>
      </c>
      <c r="H1157" s="70"/>
    </row>
    <row r="1158" spans="1:8" x14ac:dyDescent="0.2">
      <c r="A1158" s="73"/>
      <c r="B1158" s="85"/>
      <c r="C1158" s="74"/>
      <c r="D1158" s="74" t="s">
        <v>955</v>
      </c>
      <c r="E1158" s="78" t="s">
        <v>96</v>
      </c>
      <c r="F1158" s="76" t="s">
        <v>1706</v>
      </c>
      <c r="G1158" s="76" t="s">
        <v>1189</v>
      </c>
      <c r="H1158" s="70"/>
    </row>
    <row r="1159" spans="1:8" x14ac:dyDescent="0.2">
      <c r="A1159" s="73"/>
      <c r="B1159" s="85"/>
      <c r="C1159" s="74"/>
      <c r="D1159" s="74" t="s">
        <v>955</v>
      </c>
      <c r="E1159" s="78" t="s">
        <v>96</v>
      </c>
      <c r="F1159" s="76" t="s">
        <v>1660</v>
      </c>
      <c r="G1159" s="76" t="s">
        <v>1189</v>
      </c>
      <c r="H1159" s="70"/>
    </row>
    <row r="1160" spans="1:8" x14ac:dyDescent="0.2">
      <c r="A1160" s="73"/>
      <c r="B1160" s="85"/>
      <c r="C1160" s="74"/>
      <c r="D1160" s="74" t="s">
        <v>955</v>
      </c>
      <c r="E1160" s="78" t="s">
        <v>96</v>
      </c>
      <c r="F1160" s="76" t="s">
        <v>1661</v>
      </c>
      <c r="G1160" s="76" t="s">
        <v>1189</v>
      </c>
      <c r="H1160" s="70"/>
    </row>
    <row r="1161" spans="1:8" x14ac:dyDescent="0.2">
      <c r="A1161" s="73"/>
      <c r="B1161" s="85"/>
      <c r="C1161" s="74"/>
      <c r="D1161" s="74" t="s">
        <v>955</v>
      </c>
      <c r="E1161" s="78" t="s">
        <v>96</v>
      </c>
      <c r="F1161" s="76" t="s">
        <v>1707</v>
      </c>
      <c r="G1161" s="76" t="s">
        <v>1189</v>
      </c>
      <c r="H1161" s="70"/>
    </row>
    <row r="1162" spans="1:8" x14ac:dyDescent="0.2">
      <c r="A1162" s="73"/>
      <c r="B1162" s="85"/>
      <c r="C1162" s="74"/>
      <c r="D1162" s="74" t="s">
        <v>955</v>
      </c>
      <c r="E1162" s="78" t="s">
        <v>96</v>
      </c>
      <c r="F1162" s="76" t="s">
        <v>1708</v>
      </c>
      <c r="G1162" s="76" t="s">
        <v>1189</v>
      </c>
      <c r="H1162" s="70"/>
    </row>
    <row r="1163" spans="1:8" x14ac:dyDescent="0.2">
      <c r="A1163" s="73"/>
      <c r="B1163" s="85"/>
      <c r="C1163" s="74"/>
      <c r="D1163" s="74" t="s">
        <v>955</v>
      </c>
      <c r="E1163" s="78" t="s">
        <v>96</v>
      </c>
      <c r="F1163" s="76" t="s">
        <v>1709</v>
      </c>
      <c r="G1163" s="76" t="s">
        <v>1189</v>
      </c>
      <c r="H1163" s="70"/>
    </row>
    <row r="1164" spans="1:8" x14ac:dyDescent="0.2">
      <c r="A1164" s="73"/>
      <c r="B1164" s="85"/>
      <c r="C1164" s="74"/>
      <c r="D1164" s="74" t="s">
        <v>955</v>
      </c>
      <c r="E1164" s="78" t="s">
        <v>96</v>
      </c>
      <c r="F1164" s="76" t="s">
        <v>1710</v>
      </c>
      <c r="G1164" s="76" t="s">
        <v>1189</v>
      </c>
      <c r="H1164" s="70"/>
    </row>
    <row r="1165" spans="1:8" ht="16" x14ac:dyDescent="0.2">
      <c r="A1165" s="73"/>
      <c r="B1165" s="85"/>
      <c r="C1165" s="74"/>
      <c r="D1165" s="74" t="s">
        <v>955</v>
      </c>
      <c r="E1165" s="78" t="s">
        <v>96</v>
      </c>
      <c r="F1165" s="76" t="s">
        <v>390</v>
      </c>
      <c r="G1165" s="75" t="s">
        <v>1197</v>
      </c>
      <c r="H1165" s="70"/>
    </row>
    <row r="1166" spans="1:8" ht="16" x14ac:dyDescent="0.2">
      <c r="A1166" s="73"/>
      <c r="B1166" s="85"/>
      <c r="C1166" s="74"/>
      <c r="D1166" s="74" t="s">
        <v>955</v>
      </c>
      <c r="E1166" s="78" t="s">
        <v>96</v>
      </c>
      <c r="F1166" s="76" t="s">
        <v>1641</v>
      </c>
      <c r="G1166" s="75" t="s">
        <v>1197</v>
      </c>
      <c r="H1166" s="70"/>
    </row>
    <row r="1167" spans="1:8" ht="16" x14ac:dyDescent="0.2">
      <c r="A1167" s="73"/>
      <c r="B1167" s="85"/>
      <c r="C1167" s="74"/>
      <c r="D1167" s="74" t="s">
        <v>955</v>
      </c>
      <c r="E1167" s="78" t="s">
        <v>96</v>
      </c>
      <c r="F1167" s="76" t="s">
        <v>1642</v>
      </c>
      <c r="G1167" s="75" t="s">
        <v>1197</v>
      </c>
      <c r="H1167" s="70"/>
    </row>
    <row r="1168" spans="1:8" ht="16" x14ac:dyDescent="0.2">
      <c r="A1168" s="73"/>
      <c r="B1168" s="85"/>
      <c r="C1168" s="74"/>
      <c r="D1168" s="74" t="s">
        <v>955</v>
      </c>
      <c r="E1168" s="78" t="s">
        <v>96</v>
      </c>
      <c r="F1168" s="76" t="s">
        <v>1690</v>
      </c>
      <c r="G1168" s="75" t="s">
        <v>1197</v>
      </c>
      <c r="H1168" s="70"/>
    </row>
    <row r="1169" spans="1:8" ht="16" x14ac:dyDescent="0.2">
      <c r="A1169" s="73"/>
      <c r="B1169" s="85"/>
      <c r="C1169" s="74"/>
      <c r="D1169" s="74" t="s">
        <v>955</v>
      </c>
      <c r="E1169" s="78" t="s">
        <v>96</v>
      </c>
      <c r="F1169" s="76" t="s">
        <v>1691</v>
      </c>
      <c r="G1169" s="75" t="s">
        <v>1197</v>
      </c>
      <c r="H1169" s="70"/>
    </row>
    <row r="1170" spans="1:8" ht="16" x14ac:dyDescent="0.2">
      <c r="A1170" s="73"/>
      <c r="B1170" s="85"/>
      <c r="C1170" s="74"/>
      <c r="D1170" s="74" t="s">
        <v>955</v>
      </c>
      <c r="E1170" s="78" t="s">
        <v>96</v>
      </c>
      <c r="F1170" s="76" t="s">
        <v>1643</v>
      </c>
      <c r="G1170" s="75" t="s">
        <v>1197</v>
      </c>
      <c r="H1170" s="70"/>
    </row>
    <row r="1171" spans="1:8" ht="16" x14ac:dyDescent="0.2">
      <c r="A1171" s="73"/>
      <c r="B1171" s="85"/>
      <c r="C1171" s="74"/>
      <c r="D1171" s="74" t="s">
        <v>955</v>
      </c>
      <c r="E1171" s="78" t="s">
        <v>96</v>
      </c>
      <c r="F1171" s="76" t="s">
        <v>1644</v>
      </c>
      <c r="G1171" s="75" t="s">
        <v>1197</v>
      </c>
      <c r="H1171" s="70"/>
    </row>
    <row r="1172" spans="1:8" ht="16" x14ac:dyDescent="0.2">
      <c r="A1172" s="73"/>
      <c r="B1172" s="85"/>
      <c r="C1172" s="74"/>
      <c r="D1172" s="74" t="s">
        <v>955</v>
      </c>
      <c r="E1172" s="78" t="s">
        <v>96</v>
      </c>
      <c r="F1172" s="76" t="s">
        <v>1692</v>
      </c>
      <c r="G1172" s="75" t="s">
        <v>1197</v>
      </c>
      <c r="H1172" s="70"/>
    </row>
    <row r="1173" spans="1:8" ht="16" x14ac:dyDescent="0.2">
      <c r="A1173" s="73"/>
      <c r="B1173" s="85"/>
      <c r="C1173" s="74"/>
      <c r="D1173" s="74" t="s">
        <v>955</v>
      </c>
      <c r="E1173" s="78" t="s">
        <v>96</v>
      </c>
      <c r="F1173" s="76" t="s">
        <v>1645</v>
      </c>
      <c r="G1173" s="75" t="s">
        <v>1197</v>
      </c>
      <c r="H1173" s="70"/>
    </row>
    <row r="1174" spans="1:8" ht="16" x14ac:dyDescent="0.2">
      <c r="A1174" s="73"/>
      <c r="B1174" s="85"/>
      <c r="C1174" s="74"/>
      <c r="D1174" s="74" t="s">
        <v>955</v>
      </c>
      <c r="E1174" s="78" t="s">
        <v>96</v>
      </c>
      <c r="F1174" s="76" t="s">
        <v>398</v>
      </c>
      <c r="G1174" s="75" t="s">
        <v>1197</v>
      </c>
      <c r="H1174" s="70"/>
    </row>
    <row r="1175" spans="1:8" ht="16" x14ac:dyDescent="0.2">
      <c r="A1175" s="73"/>
      <c r="B1175" s="85"/>
      <c r="C1175" s="74"/>
      <c r="D1175" s="74" t="s">
        <v>955</v>
      </c>
      <c r="E1175" s="78" t="s">
        <v>96</v>
      </c>
      <c r="F1175" s="76" t="s">
        <v>1693</v>
      </c>
      <c r="G1175" s="75" t="s">
        <v>1197</v>
      </c>
      <c r="H1175" s="70"/>
    </row>
    <row r="1176" spans="1:8" ht="16" x14ac:dyDescent="0.2">
      <c r="A1176" s="73"/>
      <c r="B1176" s="85"/>
      <c r="C1176" s="74"/>
      <c r="D1176" s="74" t="s">
        <v>955</v>
      </c>
      <c r="E1176" s="78" t="s">
        <v>96</v>
      </c>
      <c r="F1176" s="76" t="s">
        <v>402</v>
      </c>
      <c r="G1176" s="75" t="s">
        <v>1197</v>
      </c>
      <c r="H1176" s="70"/>
    </row>
    <row r="1177" spans="1:8" ht="16" x14ac:dyDescent="0.2">
      <c r="A1177" s="73"/>
      <c r="B1177" s="85"/>
      <c r="C1177" s="74"/>
      <c r="D1177" s="74" t="s">
        <v>955</v>
      </c>
      <c r="E1177" s="78" t="s">
        <v>96</v>
      </c>
      <c r="F1177" s="76" t="s">
        <v>1694</v>
      </c>
      <c r="G1177" s="75" t="s">
        <v>1197</v>
      </c>
      <c r="H1177" s="70"/>
    </row>
    <row r="1178" spans="1:8" x14ac:dyDescent="0.2">
      <c r="A1178" s="73"/>
      <c r="B1178" s="77"/>
      <c r="C1178" s="74"/>
      <c r="D1178" s="74" t="s">
        <v>955</v>
      </c>
      <c r="E1178" s="78" t="s">
        <v>96</v>
      </c>
      <c r="F1178" s="76" t="s">
        <v>390</v>
      </c>
      <c r="G1178" s="76" t="s">
        <v>1178</v>
      </c>
      <c r="H1178" s="70"/>
    </row>
    <row r="1179" spans="1:8" x14ac:dyDescent="0.2">
      <c r="A1179" s="73"/>
      <c r="B1179" s="77"/>
      <c r="C1179" s="74"/>
      <c r="D1179" s="74" t="s">
        <v>955</v>
      </c>
      <c r="E1179" s="78" t="s">
        <v>96</v>
      </c>
      <c r="F1179" s="76" t="s">
        <v>1641</v>
      </c>
      <c r="G1179" s="76" t="s">
        <v>1178</v>
      </c>
      <c r="H1179" s="70"/>
    </row>
    <row r="1180" spans="1:8" x14ac:dyDescent="0.2">
      <c r="A1180" s="73"/>
      <c r="B1180" s="77"/>
      <c r="C1180" s="74"/>
      <c r="D1180" s="74" t="s">
        <v>955</v>
      </c>
      <c r="E1180" s="78" t="s">
        <v>96</v>
      </c>
      <c r="F1180" s="76" t="s">
        <v>1642</v>
      </c>
      <c r="G1180" s="76" t="s">
        <v>1178</v>
      </c>
      <c r="H1180" s="70"/>
    </row>
    <row r="1181" spans="1:8" x14ac:dyDescent="0.2">
      <c r="A1181" s="73"/>
      <c r="B1181" s="77"/>
      <c r="C1181" s="74"/>
      <c r="D1181" s="74" t="s">
        <v>955</v>
      </c>
      <c r="E1181" s="78" t="s">
        <v>96</v>
      </c>
      <c r="F1181" s="76" t="s">
        <v>1690</v>
      </c>
      <c r="G1181" s="76" t="s">
        <v>1178</v>
      </c>
      <c r="H1181" s="70"/>
    </row>
    <row r="1182" spans="1:8" x14ac:dyDescent="0.2">
      <c r="A1182" s="73"/>
      <c r="B1182" s="77"/>
      <c r="C1182" s="74"/>
      <c r="D1182" s="74" t="s">
        <v>955</v>
      </c>
      <c r="E1182" s="78" t="s">
        <v>96</v>
      </c>
      <c r="F1182" s="76" t="s">
        <v>1691</v>
      </c>
      <c r="G1182" s="76" t="s">
        <v>1178</v>
      </c>
      <c r="H1182" s="70"/>
    </row>
    <row r="1183" spans="1:8" x14ac:dyDescent="0.2">
      <c r="A1183" s="73"/>
      <c r="B1183" s="77"/>
      <c r="C1183" s="74"/>
      <c r="D1183" s="74" t="s">
        <v>955</v>
      </c>
      <c r="E1183" s="78" t="s">
        <v>96</v>
      </c>
      <c r="F1183" s="76" t="s">
        <v>1644</v>
      </c>
      <c r="G1183" s="76" t="s">
        <v>1178</v>
      </c>
      <c r="H1183" s="70"/>
    </row>
    <row r="1184" spans="1:8" x14ac:dyDescent="0.2">
      <c r="A1184" s="73"/>
      <c r="B1184" s="77"/>
      <c r="C1184" s="74"/>
      <c r="D1184" s="74" t="s">
        <v>955</v>
      </c>
      <c r="E1184" s="78" t="s">
        <v>96</v>
      </c>
      <c r="F1184" s="76" t="s">
        <v>1692</v>
      </c>
      <c r="G1184" s="76" t="s">
        <v>1178</v>
      </c>
      <c r="H1184" s="70"/>
    </row>
    <row r="1185" spans="1:8" x14ac:dyDescent="0.2">
      <c r="A1185" s="73"/>
      <c r="B1185" s="77"/>
      <c r="C1185" s="74"/>
      <c r="D1185" s="74" t="s">
        <v>955</v>
      </c>
      <c r="E1185" s="78" t="s">
        <v>96</v>
      </c>
      <c r="F1185" s="76" t="s">
        <v>1645</v>
      </c>
      <c r="G1185" s="76" t="s">
        <v>1178</v>
      </c>
      <c r="H1185" s="70"/>
    </row>
    <row r="1186" spans="1:8" x14ac:dyDescent="0.2">
      <c r="A1186" s="73"/>
      <c r="B1186" s="77"/>
      <c r="C1186" s="74"/>
      <c r="D1186" s="74" t="s">
        <v>955</v>
      </c>
      <c r="E1186" s="78" t="s">
        <v>96</v>
      </c>
      <c r="F1186" s="76" t="s">
        <v>398</v>
      </c>
      <c r="G1186" s="76" t="s">
        <v>1178</v>
      </c>
      <c r="H1186" s="70"/>
    </row>
    <row r="1187" spans="1:8" x14ac:dyDescent="0.2">
      <c r="A1187" s="73"/>
      <c r="B1187" s="77"/>
      <c r="C1187" s="74"/>
      <c r="D1187" s="74" t="s">
        <v>955</v>
      </c>
      <c r="E1187" s="78" t="s">
        <v>96</v>
      </c>
      <c r="F1187" s="76" t="s">
        <v>1693</v>
      </c>
      <c r="G1187" s="76" t="s">
        <v>1178</v>
      </c>
      <c r="H1187" s="70"/>
    </row>
    <row r="1188" spans="1:8" x14ac:dyDescent="0.2">
      <c r="A1188" s="73"/>
      <c r="B1188" s="77"/>
      <c r="C1188" s="74"/>
      <c r="D1188" s="74" t="s">
        <v>955</v>
      </c>
      <c r="E1188" s="78" t="s">
        <v>96</v>
      </c>
      <c r="F1188" s="76" t="s">
        <v>402</v>
      </c>
      <c r="G1188" s="76" t="s">
        <v>1178</v>
      </c>
      <c r="H1188" s="70"/>
    </row>
    <row r="1189" spans="1:8" x14ac:dyDescent="0.2">
      <c r="A1189" s="73"/>
      <c r="B1189" s="77"/>
      <c r="C1189" s="74"/>
      <c r="D1189" s="74" t="s">
        <v>955</v>
      </c>
      <c r="E1189" s="78" t="s">
        <v>96</v>
      </c>
      <c r="F1189" s="76" t="s">
        <v>1694</v>
      </c>
      <c r="G1189" s="76" t="s">
        <v>1178</v>
      </c>
      <c r="H1189" s="70"/>
    </row>
    <row r="1190" spans="1:8" ht="16" x14ac:dyDescent="0.2">
      <c r="A1190" s="73"/>
      <c r="B1190" s="85"/>
      <c r="C1190" s="74"/>
      <c r="D1190" s="74" t="s">
        <v>955</v>
      </c>
      <c r="E1190" s="78" t="s">
        <v>96</v>
      </c>
      <c r="F1190" s="76" t="s">
        <v>1646</v>
      </c>
      <c r="G1190" s="75" t="s">
        <v>570</v>
      </c>
      <c r="H1190" s="70"/>
    </row>
    <row r="1191" spans="1:8" ht="16" x14ac:dyDescent="0.2">
      <c r="A1191" s="73"/>
      <c r="B1191" s="85"/>
      <c r="C1191" s="74"/>
      <c r="D1191" s="74" t="s">
        <v>955</v>
      </c>
      <c r="E1191" s="78" t="s">
        <v>96</v>
      </c>
      <c r="F1191" s="76" t="s">
        <v>1649</v>
      </c>
      <c r="G1191" s="75" t="s">
        <v>570</v>
      </c>
      <c r="H1191" s="70"/>
    </row>
    <row r="1192" spans="1:8" ht="16" x14ac:dyDescent="0.2">
      <c r="A1192" s="73"/>
      <c r="B1192" s="85"/>
      <c r="C1192" s="74"/>
      <c r="D1192" s="74" t="s">
        <v>955</v>
      </c>
      <c r="E1192" s="78" t="s">
        <v>96</v>
      </c>
      <c r="F1192" s="76" t="s">
        <v>1650</v>
      </c>
      <c r="G1192" s="75" t="s">
        <v>570</v>
      </c>
      <c r="H1192" s="70"/>
    </row>
    <row r="1193" spans="1:8" ht="16" x14ac:dyDescent="0.2">
      <c r="A1193" s="73"/>
      <c r="B1193" s="85"/>
      <c r="C1193" s="74"/>
      <c r="D1193" s="74" t="s">
        <v>955</v>
      </c>
      <c r="E1193" s="78" t="s">
        <v>96</v>
      </c>
      <c r="F1193" s="76" t="s">
        <v>1651</v>
      </c>
      <c r="G1193" s="75" t="s">
        <v>570</v>
      </c>
      <c r="H1193" s="70"/>
    </row>
    <row r="1194" spans="1:8" ht="16" x14ac:dyDescent="0.2">
      <c r="A1194" s="73"/>
      <c r="B1194" s="85"/>
      <c r="C1194" s="74"/>
      <c r="D1194" s="74" t="s">
        <v>955</v>
      </c>
      <c r="E1194" s="78" t="s">
        <v>96</v>
      </c>
      <c r="F1194" s="76" t="s">
        <v>1696</v>
      </c>
      <c r="G1194" s="75" t="s">
        <v>570</v>
      </c>
      <c r="H1194" s="70"/>
    </row>
    <row r="1195" spans="1:8" ht="16" x14ac:dyDescent="0.2">
      <c r="A1195" s="73"/>
      <c r="B1195" s="85"/>
      <c r="C1195" s="74"/>
      <c r="D1195" s="74" t="s">
        <v>955</v>
      </c>
      <c r="E1195" s="78" t="s">
        <v>96</v>
      </c>
      <c r="F1195" s="76" t="s">
        <v>1647</v>
      </c>
      <c r="G1195" s="75" t="s">
        <v>570</v>
      </c>
      <c r="H1195" s="70"/>
    </row>
    <row r="1196" spans="1:8" ht="16" x14ac:dyDescent="0.2">
      <c r="A1196" s="73"/>
      <c r="B1196" s="85"/>
      <c r="C1196" s="74"/>
      <c r="D1196" s="74" t="s">
        <v>955</v>
      </c>
      <c r="E1196" s="78" t="s">
        <v>96</v>
      </c>
      <c r="F1196" s="76" t="s">
        <v>1648</v>
      </c>
      <c r="G1196" s="75" t="s">
        <v>570</v>
      </c>
      <c r="H1196" s="70"/>
    </row>
    <row r="1197" spans="1:8" ht="16" x14ac:dyDescent="0.2">
      <c r="A1197" s="73"/>
      <c r="B1197" s="85"/>
      <c r="C1197" s="74"/>
      <c r="D1197" s="74" t="s">
        <v>955</v>
      </c>
      <c r="E1197" s="78" t="s">
        <v>96</v>
      </c>
      <c r="F1197" s="76" t="s">
        <v>1697</v>
      </c>
      <c r="G1197" s="75" t="s">
        <v>570</v>
      </c>
      <c r="H1197" s="70"/>
    </row>
    <row r="1198" spans="1:8" ht="16" x14ac:dyDescent="0.2">
      <c r="A1198" s="73"/>
      <c r="B1198" s="85"/>
      <c r="C1198" s="74"/>
      <c r="D1198" s="74" t="s">
        <v>955</v>
      </c>
      <c r="E1198" s="78" t="s">
        <v>96</v>
      </c>
      <c r="F1198" s="76" t="s">
        <v>1698</v>
      </c>
      <c r="G1198" s="75" t="s">
        <v>570</v>
      </c>
      <c r="H1198" s="70"/>
    </row>
    <row r="1199" spans="1:8" ht="16" x14ac:dyDescent="0.2">
      <c r="A1199" s="73"/>
      <c r="B1199" s="85"/>
      <c r="C1199" s="74"/>
      <c r="D1199" s="74" t="s">
        <v>955</v>
      </c>
      <c r="E1199" s="78" t="s">
        <v>96</v>
      </c>
      <c r="F1199" s="76" t="s">
        <v>1699</v>
      </c>
      <c r="G1199" s="75" t="s">
        <v>570</v>
      </c>
      <c r="H1199" s="70"/>
    </row>
    <row r="1200" spans="1:8" ht="16" x14ac:dyDescent="0.2">
      <c r="A1200" s="73"/>
      <c r="B1200" s="85"/>
      <c r="C1200" s="74"/>
      <c r="D1200" s="74" t="s">
        <v>955</v>
      </c>
      <c r="E1200" s="78" t="s">
        <v>96</v>
      </c>
      <c r="F1200" s="76" t="s">
        <v>1700</v>
      </c>
      <c r="G1200" s="75" t="s">
        <v>570</v>
      </c>
      <c r="H1200" s="70"/>
    </row>
    <row r="1201" spans="1:8" ht="16" x14ac:dyDescent="0.2">
      <c r="A1201" s="73"/>
      <c r="B1201" s="85"/>
      <c r="C1201" s="74"/>
      <c r="D1201" s="74" t="s">
        <v>955</v>
      </c>
      <c r="E1201" s="78" t="s">
        <v>96</v>
      </c>
      <c r="F1201" s="76" t="s">
        <v>1646</v>
      </c>
      <c r="G1201" s="75" t="s">
        <v>1198</v>
      </c>
      <c r="H1201" s="70"/>
    </row>
    <row r="1202" spans="1:8" ht="16" x14ac:dyDescent="0.2">
      <c r="A1202" s="73"/>
      <c r="B1202" s="85"/>
      <c r="C1202" s="74"/>
      <c r="D1202" s="74" t="s">
        <v>955</v>
      </c>
      <c r="E1202" s="78" t="s">
        <v>96</v>
      </c>
      <c r="F1202" s="76" t="s">
        <v>1649</v>
      </c>
      <c r="G1202" s="75" t="s">
        <v>1198</v>
      </c>
      <c r="H1202" s="70"/>
    </row>
    <row r="1203" spans="1:8" ht="16" x14ac:dyDescent="0.2">
      <c r="A1203" s="73"/>
      <c r="B1203" s="85"/>
      <c r="C1203" s="74"/>
      <c r="D1203" s="74" t="s">
        <v>955</v>
      </c>
      <c r="E1203" s="78" t="s">
        <v>96</v>
      </c>
      <c r="F1203" s="76" t="s">
        <v>1650</v>
      </c>
      <c r="G1203" s="75" t="s">
        <v>1198</v>
      </c>
      <c r="H1203" s="70"/>
    </row>
    <row r="1204" spans="1:8" ht="16" x14ac:dyDescent="0.2">
      <c r="A1204" s="73"/>
      <c r="B1204" s="85"/>
      <c r="C1204" s="74"/>
      <c r="D1204" s="74" t="s">
        <v>955</v>
      </c>
      <c r="E1204" s="78" t="s">
        <v>96</v>
      </c>
      <c r="F1204" s="76" t="s">
        <v>1651</v>
      </c>
      <c r="G1204" s="75" t="s">
        <v>1198</v>
      </c>
      <c r="H1204" s="70"/>
    </row>
    <row r="1205" spans="1:8" ht="16" x14ac:dyDescent="0.2">
      <c r="A1205" s="73"/>
      <c r="B1205" s="85"/>
      <c r="C1205" s="74"/>
      <c r="D1205" s="74" t="s">
        <v>955</v>
      </c>
      <c r="E1205" s="78" t="s">
        <v>96</v>
      </c>
      <c r="F1205" s="76" t="s">
        <v>1695</v>
      </c>
      <c r="G1205" s="75" t="s">
        <v>1198</v>
      </c>
      <c r="H1205" s="70"/>
    </row>
    <row r="1206" spans="1:8" ht="16" x14ac:dyDescent="0.2">
      <c r="A1206" s="73"/>
      <c r="B1206" s="85"/>
      <c r="C1206" s="74"/>
      <c r="D1206" s="74" t="s">
        <v>955</v>
      </c>
      <c r="E1206" s="78" t="s">
        <v>96</v>
      </c>
      <c r="F1206" s="76" t="s">
        <v>1696</v>
      </c>
      <c r="G1206" s="75" t="s">
        <v>1198</v>
      </c>
      <c r="H1206" s="70"/>
    </row>
    <row r="1207" spans="1:8" ht="16" x14ac:dyDescent="0.2">
      <c r="A1207" s="73"/>
      <c r="B1207" s="85"/>
      <c r="C1207" s="74"/>
      <c r="D1207" s="74" t="s">
        <v>955</v>
      </c>
      <c r="E1207" s="78" t="s">
        <v>96</v>
      </c>
      <c r="F1207" s="76" t="s">
        <v>1647</v>
      </c>
      <c r="G1207" s="75" t="s">
        <v>1198</v>
      </c>
      <c r="H1207" s="70"/>
    </row>
    <row r="1208" spans="1:8" ht="16" x14ac:dyDescent="0.2">
      <c r="A1208" s="73"/>
      <c r="B1208" s="85"/>
      <c r="C1208" s="74"/>
      <c r="D1208" s="74" t="s">
        <v>955</v>
      </c>
      <c r="E1208" s="78" t="s">
        <v>96</v>
      </c>
      <c r="F1208" s="76" t="s">
        <v>1648</v>
      </c>
      <c r="G1208" s="75" t="s">
        <v>1198</v>
      </c>
      <c r="H1208" s="70"/>
    </row>
    <row r="1209" spans="1:8" ht="16" x14ac:dyDescent="0.2">
      <c r="A1209" s="73"/>
      <c r="B1209" s="85"/>
      <c r="C1209" s="74"/>
      <c r="D1209" s="74" t="s">
        <v>955</v>
      </c>
      <c r="E1209" s="78" t="s">
        <v>96</v>
      </c>
      <c r="F1209" s="76" t="s">
        <v>1697</v>
      </c>
      <c r="G1209" s="75" t="s">
        <v>1198</v>
      </c>
      <c r="H1209" s="70"/>
    </row>
    <row r="1210" spans="1:8" ht="16" x14ac:dyDescent="0.2">
      <c r="A1210" s="73"/>
      <c r="B1210" s="85"/>
      <c r="C1210" s="74"/>
      <c r="D1210" s="74" t="s">
        <v>955</v>
      </c>
      <c r="E1210" s="78" t="s">
        <v>96</v>
      </c>
      <c r="F1210" s="76" t="s">
        <v>1698</v>
      </c>
      <c r="G1210" s="75" t="s">
        <v>1198</v>
      </c>
      <c r="H1210" s="70"/>
    </row>
    <row r="1211" spans="1:8" ht="16" x14ac:dyDescent="0.2">
      <c r="A1211" s="73"/>
      <c r="B1211" s="85"/>
      <c r="C1211" s="74"/>
      <c r="D1211" s="74" t="s">
        <v>955</v>
      </c>
      <c r="E1211" s="78" t="s">
        <v>96</v>
      </c>
      <c r="F1211" s="76" t="s">
        <v>1699</v>
      </c>
      <c r="G1211" s="75" t="s">
        <v>1198</v>
      </c>
      <c r="H1211" s="70"/>
    </row>
    <row r="1212" spans="1:8" ht="16" x14ac:dyDescent="0.2">
      <c r="A1212" s="73"/>
      <c r="B1212" s="85"/>
      <c r="C1212" s="74"/>
      <c r="D1212" s="74" t="s">
        <v>955</v>
      </c>
      <c r="E1212" s="78" t="s">
        <v>96</v>
      </c>
      <c r="F1212" s="76" t="s">
        <v>1700</v>
      </c>
      <c r="G1212" s="75" t="s">
        <v>1198</v>
      </c>
      <c r="H1212" s="70"/>
    </row>
    <row r="1213" spans="1:8" x14ac:dyDescent="0.2">
      <c r="A1213" s="73"/>
      <c r="B1213" s="77"/>
      <c r="C1213" s="74"/>
      <c r="D1213" s="74" t="s">
        <v>955</v>
      </c>
      <c r="E1213" s="78" t="s">
        <v>96</v>
      </c>
      <c r="F1213" s="76" t="s">
        <v>1646</v>
      </c>
      <c r="G1213" s="76" t="s">
        <v>1179</v>
      </c>
      <c r="H1213" s="70"/>
    </row>
    <row r="1214" spans="1:8" x14ac:dyDescent="0.2">
      <c r="A1214" s="73"/>
      <c r="B1214" s="77"/>
      <c r="C1214" s="74"/>
      <c r="D1214" s="74" t="s">
        <v>955</v>
      </c>
      <c r="E1214" s="78" t="s">
        <v>96</v>
      </c>
      <c r="F1214" s="76" t="s">
        <v>1649</v>
      </c>
      <c r="G1214" s="76" t="s">
        <v>1179</v>
      </c>
      <c r="H1214" s="70"/>
    </row>
    <row r="1215" spans="1:8" x14ac:dyDescent="0.2">
      <c r="A1215" s="73"/>
      <c r="B1215" s="77"/>
      <c r="C1215" s="74"/>
      <c r="D1215" s="74" t="s">
        <v>955</v>
      </c>
      <c r="E1215" s="78" t="s">
        <v>96</v>
      </c>
      <c r="F1215" s="76" t="s">
        <v>1650</v>
      </c>
      <c r="G1215" s="76" t="s">
        <v>1179</v>
      </c>
      <c r="H1215" s="70"/>
    </row>
    <row r="1216" spans="1:8" x14ac:dyDescent="0.2">
      <c r="A1216" s="73"/>
      <c r="B1216" s="77"/>
      <c r="C1216" s="74"/>
      <c r="D1216" s="74" t="s">
        <v>955</v>
      </c>
      <c r="E1216" s="78" t="s">
        <v>96</v>
      </c>
      <c r="F1216" s="76" t="s">
        <v>1651</v>
      </c>
      <c r="G1216" s="76" t="s">
        <v>1179</v>
      </c>
      <c r="H1216" s="70"/>
    </row>
    <row r="1217" spans="1:8" x14ac:dyDescent="0.2">
      <c r="A1217" s="73"/>
      <c r="B1217" s="77"/>
      <c r="C1217" s="74"/>
      <c r="D1217" s="74" t="s">
        <v>955</v>
      </c>
      <c r="E1217" s="78" t="s">
        <v>96</v>
      </c>
      <c r="F1217" s="76" t="s">
        <v>1696</v>
      </c>
      <c r="G1217" s="76" t="s">
        <v>1179</v>
      </c>
      <c r="H1217" s="70"/>
    </row>
    <row r="1218" spans="1:8" x14ac:dyDescent="0.2">
      <c r="A1218" s="73"/>
      <c r="B1218" s="77"/>
      <c r="C1218" s="74"/>
      <c r="D1218" s="74" t="s">
        <v>955</v>
      </c>
      <c r="E1218" s="78" t="s">
        <v>96</v>
      </c>
      <c r="F1218" s="76" t="s">
        <v>1647</v>
      </c>
      <c r="G1218" s="76" t="s">
        <v>1179</v>
      </c>
      <c r="H1218" s="70"/>
    </row>
    <row r="1219" spans="1:8" x14ac:dyDescent="0.2">
      <c r="A1219" s="73"/>
      <c r="B1219" s="77"/>
      <c r="C1219" s="74"/>
      <c r="D1219" s="74" t="s">
        <v>955</v>
      </c>
      <c r="E1219" s="78" t="s">
        <v>96</v>
      </c>
      <c r="F1219" s="76" t="s">
        <v>1648</v>
      </c>
      <c r="G1219" s="76" t="s">
        <v>1179</v>
      </c>
      <c r="H1219" s="70"/>
    </row>
    <row r="1220" spans="1:8" x14ac:dyDescent="0.2">
      <c r="A1220" s="73"/>
      <c r="B1220" s="77"/>
      <c r="C1220" s="74"/>
      <c r="D1220" s="74" t="s">
        <v>955</v>
      </c>
      <c r="E1220" s="78" t="s">
        <v>96</v>
      </c>
      <c r="F1220" s="76" t="s">
        <v>1697</v>
      </c>
      <c r="G1220" s="76" t="s">
        <v>1179</v>
      </c>
      <c r="H1220" s="70"/>
    </row>
    <row r="1221" spans="1:8" x14ac:dyDescent="0.2">
      <c r="A1221" s="73"/>
      <c r="B1221" s="77"/>
      <c r="C1221" s="74"/>
      <c r="D1221" s="74" t="s">
        <v>955</v>
      </c>
      <c r="E1221" s="78" t="s">
        <v>96</v>
      </c>
      <c r="F1221" s="76" t="s">
        <v>1698</v>
      </c>
      <c r="G1221" s="76" t="s">
        <v>1179</v>
      </c>
      <c r="H1221" s="70"/>
    </row>
    <row r="1222" spans="1:8" x14ac:dyDescent="0.2">
      <c r="A1222" s="73"/>
      <c r="B1222" s="77"/>
      <c r="C1222" s="74"/>
      <c r="D1222" s="74" t="s">
        <v>955</v>
      </c>
      <c r="E1222" s="78" t="s">
        <v>96</v>
      </c>
      <c r="F1222" s="76" t="s">
        <v>1699</v>
      </c>
      <c r="G1222" s="76" t="s">
        <v>1179</v>
      </c>
      <c r="H1222" s="70"/>
    </row>
    <row r="1223" spans="1:8" x14ac:dyDescent="0.2">
      <c r="A1223" s="73"/>
      <c r="B1223" s="77"/>
      <c r="C1223" s="74"/>
      <c r="D1223" s="74" t="s">
        <v>955</v>
      </c>
      <c r="E1223" s="78" t="s">
        <v>96</v>
      </c>
      <c r="F1223" s="76" t="s">
        <v>1700</v>
      </c>
      <c r="G1223" s="76" t="s">
        <v>1179</v>
      </c>
      <c r="H1223" s="70"/>
    </row>
    <row r="1224" spans="1:8" x14ac:dyDescent="0.2">
      <c r="A1224" s="73"/>
      <c r="B1224" s="77"/>
      <c r="C1224" s="74"/>
      <c r="D1224" s="74" t="s">
        <v>955</v>
      </c>
      <c r="E1224" s="78" t="s">
        <v>96</v>
      </c>
      <c r="F1224" s="76" t="s">
        <v>394</v>
      </c>
      <c r="G1224" s="76" t="s">
        <v>1180</v>
      </c>
      <c r="H1224" s="70"/>
    </row>
    <row r="1225" spans="1:8" x14ac:dyDescent="0.2">
      <c r="A1225" s="73"/>
      <c r="B1225" s="77"/>
      <c r="C1225" s="74"/>
      <c r="D1225" s="74" t="s">
        <v>955</v>
      </c>
      <c r="E1225" s="78" t="s">
        <v>96</v>
      </c>
      <c r="F1225" s="76" t="s">
        <v>1652</v>
      </c>
      <c r="G1225" s="76" t="s">
        <v>1180</v>
      </c>
      <c r="H1225" s="70"/>
    </row>
    <row r="1226" spans="1:8" x14ac:dyDescent="0.2">
      <c r="A1226" s="73"/>
      <c r="B1226" s="77"/>
      <c r="C1226" s="74"/>
      <c r="D1226" s="74" t="s">
        <v>955</v>
      </c>
      <c r="E1226" s="78" t="s">
        <v>96</v>
      </c>
      <c r="F1226" s="76" t="s">
        <v>1653</v>
      </c>
      <c r="G1226" s="76" t="s">
        <v>1180</v>
      </c>
      <c r="H1226" s="70"/>
    </row>
    <row r="1227" spans="1:8" x14ac:dyDescent="0.2">
      <c r="A1227" s="73"/>
      <c r="B1227" s="77"/>
      <c r="C1227" s="74"/>
      <c r="D1227" s="74" t="s">
        <v>955</v>
      </c>
      <c r="E1227" s="78" t="s">
        <v>96</v>
      </c>
      <c r="F1227" s="76" t="s">
        <v>1654</v>
      </c>
      <c r="G1227" s="76" t="s">
        <v>1180</v>
      </c>
      <c r="H1227" s="70"/>
    </row>
    <row r="1228" spans="1:8" x14ac:dyDescent="0.2">
      <c r="A1228" s="73"/>
      <c r="B1228" s="77"/>
      <c r="C1228" s="74"/>
      <c r="D1228" s="74" t="s">
        <v>955</v>
      </c>
      <c r="E1228" s="78" t="s">
        <v>96</v>
      </c>
      <c r="F1228" s="76" t="s">
        <v>1655</v>
      </c>
      <c r="G1228" s="76" t="s">
        <v>1180</v>
      </c>
      <c r="H1228" s="70"/>
    </row>
    <row r="1229" spans="1:8" x14ac:dyDescent="0.2">
      <c r="A1229" s="73"/>
      <c r="B1229" s="77"/>
      <c r="C1229" s="74"/>
      <c r="D1229" s="74" t="s">
        <v>955</v>
      </c>
      <c r="E1229" s="78" t="s">
        <v>96</v>
      </c>
      <c r="F1229" s="76" t="s">
        <v>1657</v>
      </c>
      <c r="G1229" s="76" t="s">
        <v>1180</v>
      </c>
      <c r="H1229" s="70"/>
    </row>
    <row r="1230" spans="1:8" x14ac:dyDescent="0.2">
      <c r="A1230" s="73"/>
      <c r="B1230" s="77"/>
      <c r="C1230" s="74"/>
      <c r="D1230" s="74" t="s">
        <v>955</v>
      </c>
      <c r="E1230" s="78" t="s">
        <v>96</v>
      </c>
      <c r="F1230" s="76" t="s">
        <v>1701</v>
      </c>
      <c r="G1230" s="76" t="s">
        <v>1180</v>
      </c>
      <c r="H1230" s="70"/>
    </row>
    <row r="1231" spans="1:8" x14ac:dyDescent="0.2">
      <c r="A1231" s="73"/>
      <c r="B1231" s="77"/>
      <c r="C1231" s="74"/>
      <c r="D1231" s="74" t="s">
        <v>955</v>
      </c>
      <c r="E1231" s="78" t="s">
        <v>96</v>
      </c>
      <c r="F1231" s="76" t="s">
        <v>1658</v>
      </c>
      <c r="G1231" s="76" t="s">
        <v>1180</v>
      </c>
      <c r="H1231" s="70"/>
    </row>
    <row r="1232" spans="1:8" x14ac:dyDescent="0.2">
      <c r="A1232" s="73"/>
      <c r="B1232" s="77"/>
      <c r="C1232" s="74"/>
      <c r="D1232" s="74" t="s">
        <v>955</v>
      </c>
      <c r="E1232" s="78" t="s">
        <v>96</v>
      </c>
      <c r="F1232" s="76" t="s">
        <v>1702</v>
      </c>
      <c r="G1232" s="76" t="s">
        <v>1180</v>
      </c>
      <c r="H1232" s="70"/>
    </row>
    <row r="1233" spans="1:8" x14ac:dyDescent="0.2">
      <c r="A1233" s="73"/>
      <c r="B1233" s="77"/>
      <c r="C1233" s="74"/>
      <c r="D1233" s="74" t="s">
        <v>955</v>
      </c>
      <c r="E1233" s="78" t="s">
        <v>96</v>
      </c>
      <c r="F1233" s="76" t="s">
        <v>1703</v>
      </c>
      <c r="G1233" s="76" t="s">
        <v>1180</v>
      </c>
      <c r="H1233" s="70"/>
    </row>
    <row r="1234" spans="1:8" x14ac:dyDescent="0.2">
      <c r="A1234" s="73"/>
      <c r="B1234" s="77"/>
      <c r="C1234" s="74"/>
      <c r="D1234" s="74" t="s">
        <v>955</v>
      </c>
      <c r="E1234" s="78" t="s">
        <v>96</v>
      </c>
      <c r="F1234" s="76" t="s">
        <v>1704</v>
      </c>
      <c r="G1234" s="76" t="s">
        <v>1180</v>
      </c>
      <c r="H1234" s="70"/>
    </row>
    <row r="1235" spans="1:8" x14ac:dyDescent="0.2">
      <c r="A1235" s="73"/>
      <c r="B1235" s="77"/>
      <c r="C1235" s="74"/>
      <c r="D1235" s="74" t="s">
        <v>955</v>
      </c>
      <c r="E1235" s="78" t="s">
        <v>96</v>
      </c>
      <c r="F1235" s="76" t="s">
        <v>1705</v>
      </c>
      <c r="G1235" s="76" t="s">
        <v>1180</v>
      </c>
      <c r="H1235" s="70"/>
    </row>
    <row r="1236" spans="1:8" x14ac:dyDescent="0.2">
      <c r="A1236" s="73"/>
      <c r="B1236" s="77"/>
      <c r="C1236" s="74"/>
      <c r="D1236" s="74" t="s">
        <v>955</v>
      </c>
      <c r="E1236" s="78" t="s">
        <v>96</v>
      </c>
      <c r="F1236" s="76" t="s">
        <v>1659</v>
      </c>
      <c r="G1236" s="76" t="s">
        <v>1182</v>
      </c>
      <c r="H1236" s="70"/>
    </row>
    <row r="1237" spans="1:8" x14ac:dyDescent="0.2">
      <c r="A1237" s="73"/>
      <c r="B1237" s="77"/>
      <c r="C1237" s="74"/>
      <c r="D1237" s="74" t="s">
        <v>955</v>
      </c>
      <c r="E1237" s="78" t="s">
        <v>96</v>
      </c>
      <c r="F1237" s="76" t="s">
        <v>1662</v>
      </c>
      <c r="G1237" s="76" t="s">
        <v>1182</v>
      </c>
      <c r="H1237" s="70"/>
    </row>
    <row r="1238" spans="1:8" x14ac:dyDescent="0.2">
      <c r="A1238" s="73"/>
      <c r="B1238" s="77"/>
      <c r="C1238" s="74"/>
      <c r="D1238" s="74" t="s">
        <v>955</v>
      </c>
      <c r="E1238" s="78" t="s">
        <v>96</v>
      </c>
      <c r="F1238" s="76" t="s">
        <v>1663</v>
      </c>
      <c r="G1238" s="76" t="s">
        <v>1182</v>
      </c>
      <c r="H1238" s="70"/>
    </row>
    <row r="1239" spans="1:8" x14ac:dyDescent="0.2">
      <c r="A1239" s="73"/>
      <c r="B1239" s="77"/>
      <c r="C1239" s="74"/>
      <c r="D1239" s="74" t="s">
        <v>955</v>
      </c>
      <c r="E1239" s="78" t="s">
        <v>96</v>
      </c>
      <c r="F1239" s="76" t="s">
        <v>1664</v>
      </c>
      <c r="G1239" s="76" t="s">
        <v>1182</v>
      </c>
      <c r="H1239" s="70"/>
    </row>
    <row r="1240" spans="1:8" x14ac:dyDescent="0.2">
      <c r="A1240" s="73"/>
      <c r="B1240" s="77"/>
      <c r="C1240" s="74"/>
      <c r="D1240" s="74" t="s">
        <v>955</v>
      </c>
      <c r="E1240" s="78" t="s">
        <v>96</v>
      </c>
      <c r="F1240" s="76" t="s">
        <v>1706</v>
      </c>
      <c r="G1240" s="76" t="s">
        <v>1182</v>
      </c>
      <c r="H1240" s="70"/>
    </row>
    <row r="1241" spans="1:8" x14ac:dyDescent="0.2">
      <c r="A1241" s="73"/>
      <c r="B1241" s="77"/>
      <c r="C1241" s="74"/>
      <c r="D1241" s="74" t="s">
        <v>955</v>
      </c>
      <c r="E1241" s="78" t="s">
        <v>96</v>
      </c>
      <c r="F1241" s="76" t="s">
        <v>1660</v>
      </c>
      <c r="G1241" s="76" t="s">
        <v>1182</v>
      </c>
      <c r="H1241" s="70"/>
    </row>
    <row r="1242" spans="1:8" x14ac:dyDescent="0.2">
      <c r="A1242" s="73"/>
      <c r="B1242" s="77"/>
      <c r="C1242" s="74"/>
      <c r="D1242" s="74" t="s">
        <v>955</v>
      </c>
      <c r="E1242" s="78" t="s">
        <v>96</v>
      </c>
      <c r="F1242" s="76" t="s">
        <v>1661</v>
      </c>
      <c r="G1242" s="76" t="s">
        <v>1182</v>
      </c>
      <c r="H1242" s="70"/>
    </row>
    <row r="1243" spans="1:8" x14ac:dyDescent="0.2">
      <c r="A1243" s="73"/>
      <c r="B1243" s="77"/>
      <c r="C1243" s="74"/>
      <c r="D1243" s="74" t="s">
        <v>955</v>
      </c>
      <c r="E1243" s="78" t="s">
        <v>96</v>
      </c>
      <c r="F1243" s="76" t="s">
        <v>1707</v>
      </c>
      <c r="G1243" s="76" t="s">
        <v>1182</v>
      </c>
      <c r="H1243" s="70"/>
    </row>
    <row r="1244" spans="1:8" x14ac:dyDescent="0.2">
      <c r="A1244" s="73"/>
      <c r="B1244" s="77"/>
      <c r="C1244" s="74"/>
      <c r="D1244" s="74" t="s">
        <v>955</v>
      </c>
      <c r="E1244" s="78" t="s">
        <v>96</v>
      </c>
      <c r="F1244" s="76" t="s">
        <v>1708</v>
      </c>
      <c r="G1244" s="76" t="s">
        <v>1182</v>
      </c>
      <c r="H1244" s="70"/>
    </row>
    <row r="1245" spans="1:8" x14ac:dyDescent="0.2">
      <c r="A1245" s="73"/>
      <c r="B1245" s="77"/>
      <c r="C1245" s="74"/>
      <c r="D1245" s="74" t="s">
        <v>955</v>
      </c>
      <c r="E1245" s="78" t="s">
        <v>96</v>
      </c>
      <c r="F1245" s="76" t="s">
        <v>1709</v>
      </c>
      <c r="G1245" s="76" t="s">
        <v>1182</v>
      </c>
      <c r="H1245" s="70"/>
    </row>
    <row r="1246" spans="1:8" x14ac:dyDescent="0.2">
      <c r="A1246" s="73"/>
      <c r="B1246" s="77"/>
      <c r="C1246" s="74"/>
      <c r="D1246" s="74" t="s">
        <v>955</v>
      </c>
      <c r="E1246" s="78" t="s">
        <v>96</v>
      </c>
      <c r="F1246" s="76" t="s">
        <v>1710</v>
      </c>
      <c r="G1246" s="76" t="s">
        <v>1182</v>
      </c>
      <c r="H1246" s="70"/>
    </row>
    <row r="1247" spans="1:8" x14ac:dyDescent="0.2">
      <c r="A1247" s="73"/>
      <c r="B1247" s="85"/>
      <c r="C1247" s="74"/>
      <c r="D1247" s="74" t="s">
        <v>955</v>
      </c>
      <c r="E1247" s="78" t="s">
        <v>96</v>
      </c>
      <c r="F1247" s="76" t="s">
        <v>1659</v>
      </c>
      <c r="G1247" s="76" t="s">
        <v>1181</v>
      </c>
      <c r="H1247" s="70"/>
    </row>
    <row r="1248" spans="1:8" x14ac:dyDescent="0.2">
      <c r="A1248" s="73"/>
      <c r="B1248" s="85"/>
      <c r="C1248" s="74"/>
      <c r="D1248" s="74" t="s">
        <v>955</v>
      </c>
      <c r="E1248" s="78" t="s">
        <v>96</v>
      </c>
      <c r="F1248" s="76" t="s">
        <v>1662</v>
      </c>
      <c r="G1248" s="76" t="s">
        <v>1181</v>
      </c>
      <c r="H1248" s="70"/>
    </row>
    <row r="1249" spans="1:8" x14ac:dyDescent="0.2">
      <c r="A1249" s="73"/>
      <c r="B1249" s="85"/>
      <c r="C1249" s="74"/>
      <c r="D1249" s="74" t="s">
        <v>955</v>
      </c>
      <c r="E1249" s="78" t="s">
        <v>96</v>
      </c>
      <c r="F1249" s="76" t="s">
        <v>1663</v>
      </c>
      <c r="G1249" s="76" t="s">
        <v>1181</v>
      </c>
      <c r="H1249" s="70"/>
    </row>
    <row r="1250" spans="1:8" x14ac:dyDescent="0.2">
      <c r="A1250" s="73"/>
      <c r="B1250" s="85"/>
      <c r="C1250" s="74"/>
      <c r="D1250" s="74" t="s">
        <v>955</v>
      </c>
      <c r="E1250" s="78" t="s">
        <v>96</v>
      </c>
      <c r="F1250" s="76" t="s">
        <v>1664</v>
      </c>
      <c r="G1250" s="76" t="s">
        <v>1181</v>
      </c>
      <c r="H1250" s="70"/>
    </row>
    <row r="1251" spans="1:8" x14ac:dyDescent="0.2">
      <c r="A1251" s="73"/>
      <c r="B1251" s="85"/>
      <c r="C1251" s="74"/>
      <c r="D1251" s="74" t="s">
        <v>955</v>
      </c>
      <c r="E1251" s="78" t="s">
        <v>96</v>
      </c>
      <c r="F1251" s="76" t="s">
        <v>1706</v>
      </c>
      <c r="G1251" s="76" t="s">
        <v>1181</v>
      </c>
      <c r="H1251" s="70"/>
    </row>
    <row r="1252" spans="1:8" x14ac:dyDescent="0.2">
      <c r="A1252" s="73"/>
      <c r="B1252" s="85"/>
      <c r="C1252" s="74"/>
      <c r="D1252" s="74" t="s">
        <v>955</v>
      </c>
      <c r="E1252" s="78" t="s">
        <v>96</v>
      </c>
      <c r="F1252" s="76" t="s">
        <v>1660</v>
      </c>
      <c r="G1252" s="76" t="s">
        <v>1181</v>
      </c>
      <c r="H1252" s="70"/>
    </row>
    <row r="1253" spans="1:8" x14ac:dyDescent="0.2">
      <c r="A1253" s="73"/>
      <c r="B1253" s="85"/>
      <c r="C1253" s="74"/>
      <c r="D1253" s="74" t="s">
        <v>955</v>
      </c>
      <c r="E1253" s="78" t="s">
        <v>96</v>
      </c>
      <c r="F1253" s="76" t="s">
        <v>1661</v>
      </c>
      <c r="G1253" s="76" t="s">
        <v>1181</v>
      </c>
      <c r="H1253" s="70"/>
    </row>
    <row r="1254" spans="1:8" x14ac:dyDescent="0.2">
      <c r="A1254" s="73"/>
      <c r="B1254" s="85"/>
      <c r="C1254" s="74"/>
      <c r="D1254" s="74" t="s">
        <v>955</v>
      </c>
      <c r="E1254" s="78" t="s">
        <v>96</v>
      </c>
      <c r="F1254" s="76" t="s">
        <v>1707</v>
      </c>
      <c r="G1254" s="76" t="s">
        <v>1181</v>
      </c>
      <c r="H1254" s="70"/>
    </row>
    <row r="1255" spans="1:8" x14ac:dyDescent="0.2">
      <c r="A1255" s="73"/>
      <c r="B1255" s="85"/>
      <c r="C1255" s="74"/>
      <c r="D1255" s="74" t="s">
        <v>955</v>
      </c>
      <c r="E1255" s="78" t="s">
        <v>96</v>
      </c>
      <c r="F1255" s="76" t="s">
        <v>1708</v>
      </c>
      <c r="G1255" s="76" t="s">
        <v>1181</v>
      </c>
      <c r="H1255" s="70"/>
    </row>
    <row r="1256" spans="1:8" x14ac:dyDescent="0.2">
      <c r="A1256" s="73"/>
      <c r="B1256" s="85"/>
      <c r="C1256" s="74"/>
      <c r="D1256" s="74" t="s">
        <v>955</v>
      </c>
      <c r="E1256" s="78" t="s">
        <v>96</v>
      </c>
      <c r="F1256" s="76" t="s">
        <v>1709</v>
      </c>
      <c r="G1256" s="76" t="s">
        <v>1181</v>
      </c>
      <c r="H1256" s="70"/>
    </row>
    <row r="1257" spans="1:8" x14ac:dyDescent="0.2">
      <c r="A1257" s="73"/>
      <c r="B1257" s="85"/>
      <c r="C1257" s="74"/>
      <c r="D1257" s="74" t="s">
        <v>955</v>
      </c>
      <c r="E1257" s="78" t="s">
        <v>96</v>
      </c>
      <c r="F1257" s="76" t="s">
        <v>1710</v>
      </c>
      <c r="G1257" s="76" t="s">
        <v>1181</v>
      </c>
      <c r="H1257" s="70"/>
    </row>
    <row r="1258" spans="1:8" x14ac:dyDescent="0.2">
      <c r="A1258" s="73"/>
      <c r="B1258" s="85"/>
      <c r="C1258" s="74"/>
      <c r="D1258" s="74" t="s">
        <v>955</v>
      </c>
      <c r="E1258" s="78" t="s">
        <v>96</v>
      </c>
      <c r="F1258" s="76" t="s">
        <v>1659</v>
      </c>
      <c r="G1258" s="76" t="s">
        <v>1200</v>
      </c>
      <c r="H1258" s="70"/>
    </row>
    <row r="1259" spans="1:8" x14ac:dyDescent="0.2">
      <c r="A1259" s="73"/>
      <c r="B1259" s="85"/>
      <c r="C1259" s="74"/>
      <c r="D1259" s="74" t="s">
        <v>955</v>
      </c>
      <c r="E1259" s="78" t="s">
        <v>96</v>
      </c>
      <c r="F1259" s="76" t="s">
        <v>1662</v>
      </c>
      <c r="G1259" s="76" t="s">
        <v>1200</v>
      </c>
      <c r="H1259" s="70"/>
    </row>
    <row r="1260" spans="1:8" x14ac:dyDescent="0.2">
      <c r="A1260" s="73"/>
      <c r="B1260" s="85"/>
      <c r="C1260" s="74"/>
      <c r="D1260" s="74" t="s">
        <v>955</v>
      </c>
      <c r="E1260" s="78" t="s">
        <v>96</v>
      </c>
      <c r="F1260" s="76" t="s">
        <v>1663</v>
      </c>
      <c r="G1260" s="76" t="s">
        <v>1200</v>
      </c>
      <c r="H1260" s="70"/>
    </row>
    <row r="1261" spans="1:8" x14ac:dyDescent="0.2">
      <c r="A1261" s="73"/>
      <c r="B1261" s="85"/>
      <c r="C1261" s="74"/>
      <c r="D1261" s="74" t="s">
        <v>955</v>
      </c>
      <c r="E1261" s="78" t="s">
        <v>96</v>
      </c>
      <c r="F1261" s="76" t="s">
        <v>1664</v>
      </c>
      <c r="G1261" s="76" t="s">
        <v>1200</v>
      </c>
      <c r="H1261" s="70"/>
    </row>
    <row r="1262" spans="1:8" x14ac:dyDescent="0.2">
      <c r="A1262" s="73"/>
      <c r="B1262" s="85"/>
      <c r="C1262" s="74"/>
      <c r="D1262" s="74" t="s">
        <v>955</v>
      </c>
      <c r="E1262" s="78" t="s">
        <v>96</v>
      </c>
      <c r="F1262" s="76" t="s">
        <v>1665</v>
      </c>
      <c r="G1262" s="76" t="s">
        <v>1200</v>
      </c>
      <c r="H1262" s="70"/>
    </row>
    <row r="1263" spans="1:8" x14ac:dyDescent="0.2">
      <c r="A1263" s="73"/>
      <c r="B1263" s="85"/>
      <c r="C1263" s="74"/>
      <c r="D1263" s="74" t="s">
        <v>955</v>
      </c>
      <c r="E1263" s="78" t="s">
        <v>96</v>
      </c>
      <c r="F1263" s="76" t="s">
        <v>1706</v>
      </c>
      <c r="G1263" s="76" t="s">
        <v>1200</v>
      </c>
      <c r="H1263" s="70"/>
    </row>
    <row r="1264" spans="1:8" x14ac:dyDescent="0.2">
      <c r="A1264" s="73"/>
      <c r="B1264" s="85"/>
      <c r="C1264" s="74"/>
      <c r="D1264" s="74" t="s">
        <v>955</v>
      </c>
      <c r="E1264" s="78" t="s">
        <v>96</v>
      </c>
      <c r="F1264" s="76" t="s">
        <v>1660</v>
      </c>
      <c r="G1264" s="76" t="s">
        <v>1200</v>
      </c>
      <c r="H1264" s="70"/>
    </row>
    <row r="1265" spans="1:8" x14ac:dyDescent="0.2">
      <c r="A1265" s="73"/>
      <c r="B1265" s="85"/>
      <c r="C1265" s="74"/>
      <c r="D1265" s="74" t="s">
        <v>955</v>
      </c>
      <c r="E1265" s="78" t="s">
        <v>96</v>
      </c>
      <c r="F1265" s="76" t="s">
        <v>1661</v>
      </c>
      <c r="G1265" s="76" t="s">
        <v>1200</v>
      </c>
      <c r="H1265" s="70"/>
    </row>
    <row r="1266" spans="1:8" x14ac:dyDescent="0.2">
      <c r="A1266" s="73"/>
      <c r="B1266" s="85"/>
      <c r="C1266" s="74"/>
      <c r="D1266" s="74" t="s">
        <v>955</v>
      </c>
      <c r="E1266" s="78" t="s">
        <v>96</v>
      </c>
      <c r="F1266" s="76" t="s">
        <v>1707</v>
      </c>
      <c r="G1266" s="76" t="s">
        <v>1200</v>
      </c>
      <c r="H1266" s="70"/>
    </row>
    <row r="1267" spans="1:8" x14ac:dyDescent="0.2">
      <c r="A1267" s="73"/>
      <c r="B1267" s="85"/>
      <c r="C1267" s="74"/>
      <c r="D1267" s="74" t="s">
        <v>955</v>
      </c>
      <c r="E1267" s="78" t="s">
        <v>96</v>
      </c>
      <c r="F1267" s="76" t="s">
        <v>1708</v>
      </c>
      <c r="G1267" s="76" t="s">
        <v>1200</v>
      </c>
      <c r="H1267" s="70"/>
    </row>
    <row r="1268" spans="1:8" x14ac:dyDescent="0.2">
      <c r="A1268" s="73"/>
      <c r="B1268" s="85"/>
      <c r="C1268" s="74"/>
      <c r="D1268" s="74" t="s">
        <v>955</v>
      </c>
      <c r="E1268" s="78" t="s">
        <v>96</v>
      </c>
      <c r="F1268" s="76" t="s">
        <v>1709</v>
      </c>
      <c r="G1268" s="76" t="s">
        <v>1200</v>
      </c>
      <c r="H1268" s="70"/>
    </row>
    <row r="1269" spans="1:8" x14ac:dyDescent="0.2">
      <c r="A1269" s="73"/>
      <c r="B1269" s="85"/>
      <c r="C1269" s="74"/>
      <c r="D1269" s="74" t="s">
        <v>955</v>
      </c>
      <c r="E1269" s="78" t="s">
        <v>96</v>
      </c>
      <c r="F1269" s="76" t="s">
        <v>1710</v>
      </c>
      <c r="G1269" s="76" t="s">
        <v>1200</v>
      </c>
      <c r="H1269" s="70"/>
    </row>
    <row r="1270" spans="1:8" x14ac:dyDescent="0.2">
      <c r="A1270" s="73"/>
      <c r="B1270" s="85"/>
      <c r="C1270" s="74"/>
      <c r="D1270" s="74" t="s">
        <v>955</v>
      </c>
      <c r="E1270" s="78" t="s">
        <v>96</v>
      </c>
      <c r="F1270" s="76" t="s">
        <v>394</v>
      </c>
      <c r="G1270" s="76" t="s">
        <v>1199</v>
      </c>
      <c r="H1270" s="70"/>
    </row>
    <row r="1271" spans="1:8" x14ac:dyDescent="0.2">
      <c r="A1271" s="73"/>
      <c r="B1271" s="85"/>
      <c r="C1271" s="74"/>
      <c r="D1271" s="74" t="s">
        <v>955</v>
      </c>
      <c r="E1271" s="78" t="s">
        <v>96</v>
      </c>
      <c r="F1271" s="76" t="s">
        <v>1652</v>
      </c>
      <c r="G1271" s="76" t="s">
        <v>1199</v>
      </c>
      <c r="H1271" s="70"/>
    </row>
    <row r="1272" spans="1:8" x14ac:dyDescent="0.2">
      <c r="A1272" s="73"/>
      <c r="B1272" s="85"/>
      <c r="C1272" s="74"/>
      <c r="D1272" s="74" t="s">
        <v>955</v>
      </c>
      <c r="E1272" s="78" t="s">
        <v>96</v>
      </c>
      <c r="F1272" s="76" t="s">
        <v>1653</v>
      </c>
      <c r="G1272" s="76" t="s">
        <v>1199</v>
      </c>
      <c r="H1272" s="70"/>
    </row>
    <row r="1273" spans="1:8" x14ac:dyDescent="0.2">
      <c r="A1273" s="73"/>
      <c r="B1273" s="85"/>
      <c r="C1273" s="74"/>
      <c r="D1273" s="74" t="s">
        <v>955</v>
      </c>
      <c r="E1273" s="78" t="s">
        <v>96</v>
      </c>
      <c r="F1273" s="76" t="s">
        <v>1654</v>
      </c>
      <c r="G1273" s="76" t="s">
        <v>1199</v>
      </c>
      <c r="H1273" s="70"/>
    </row>
    <row r="1274" spans="1:8" x14ac:dyDescent="0.2">
      <c r="A1274" s="73"/>
      <c r="B1274" s="85"/>
      <c r="C1274" s="74"/>
      <c r="D1274" s="74" t="s">
        <v>955</v>
      </c>
      <c r="E1274" s="78" t="s">
        <v>96</v>
      </c>
      <c r="F1274" s="76" t="s">
        <v>1655</v>
      </c>
      <c r="G1274" s="76" t="s">
        <v>1199</v>
      </c>
      <c r="H1274" s="70"/>
    </row>
    <row r="1275" spans="1:8" x14ac:dyDescent="0.2">
      <c r="A1275" s="73"/>
      <c r="B1275" s="85"/>
      <c r="C1275" s="74"/>
      <c r="D1275" s="74" t="s">
        <v>955</v>
      </c>
      <c r="E1275" s="78" t="s">
        <v>96</v>
      </c>
      <c r="F1275" s="76" t="s">
        <v>1656</v>
      </c>
      <c r="G1275" s="76" t="s">
        <v>1199</v>
      </c>
      <c r="H1275" s="70"/>
    </row>
    <row r="1276" spans="1:8" x14ac:dyDescent="0.2">
      <c r="A1276" s="73"/>
      <c r="B1276" s="85"/>
      <c r="C1276" s="74"/>
      <c r="D1276" s="74" t="s">
        <v>955</v>
      </c>
      <c r="E1276" s="78" t="s">
        <v>96</v>
      </c>
      <c r="F1276" s="76" t="s">
        <v>1657</v>
      </c>
      <c r="G1276" s="76" t="s">
        <v>1199</v>
      </c>
      <c r="H1276" s="70"/>
    </row>
    <row r="1277" spans="1:8" x14ac:dyDescent="0.2">
      <c r="A1277" s="73"/>
      <c r="B1277" s="85"/>
      <c r="C1277" s="74"/>
      <c r="D1277" s="74" t="s">
        <v>955</v>
      </c>
      <c r="E1277" s="78" t="s">
        <v>96</v>
      </c>
      <c r="F1277" s="76" t="s">
        <v>1701</v>
      </c>
      <c r="G1277" s="76" t="s">
        <v>1199</v>
      </c>
      <c r="H1277" s="70"/>
    </row>
    <row r="1278" spans="1:8" x14ac:dyDescent="0.2">
      <c r="A1278" s="73"/>
      <c r="B1278" s="85"/>
      <c r="C1278" s="74"/>
      <c r="D1278" s="74" t="s">
        <v>955</v>
      </c>
      <c r="E1278" s="78" t="s">
        <v>96</v>
      </c>
      <c r="F1278" s="76" t="s">
        <v>1658</v>
      </c>
      <c r="G1278" s="76" t="s">
        <v>1199</v>
      </c>
      <c r="H1278" s="70"/>
    </row>
    <row r="1279" spans="1:8" x14ac:dyDescent="0.2">
      <c r="A1279" s="73"/>
      <c r="B1279" s="85"/>
      <c r="C1279" s="74"/>
      <c r="D1279" s="74" t="s">
        <v>955</v>
      </c>
      <c r="E1279" s="78" t="s">
        <v>96</v>
      </c>
      <c r="F1279" s="76" t="s">
        <v>1702</v>
      </c>
      <c r="G1279" s="76" t="s">
        <v>1199</v>
      </c>
      <c r="H1279" s="70"/>
    </row>
    <row r="1280" spans="1:8" x14ac:dyDescent="0.2">
      <c r="A1280" s="73"/>
      <c r="B1280" s="85"/>
      <c r="C1280" s="74"/>
      <c r="D1280" s="74" t="s">
        <v>955</v>
      </c>
      <c r="E1280" s="78" t="s">
        <v>96</v>
      </c>
      <c r="F1280" s="76" t="s">
        <v>1703</v>
      </c>
      <c r="G1280" s="76" t="s">
        <v>1199</v>
      </c>
      <c r="H1280" s="70"/>
    </row>
    <row r="1281" spans="1:8" x14ac:dyDescent="0.2">
      <c r="A1281" s="73"/>
      <c r="B1281" s="85"/>
      <c r="C1281" s="74"/>
      <c r="D1281" s="74" t="s">
        <v>955</v>
      </c>
      <c r="E1281" s="78" t="s">
        <v>96</v>
      </c>
      <c r="F1281" s="76" t="s">
        <v>1704</v>
      </c>
      <c r="G1281" s="76" t="s">
        <v>1199</v>
      </c>
      <c r="H1281" s="70"/>
    </row>
    <row r="1282" spans="1:8" x14ac:dyDescent="0.2">
      <c r="A1282" s="73"/>
      <c r="B1282" s="85"/>
      <c r="C1282" s="74"/>
      <c r="D1282" s="74" t="s">
        <v>955</v>
      </c>
      <c r="E1282" s="78" t="s">
        <v>96</v>
      </c>
      <c r="F1282" s="76" t="s">
        <v>1705</v>
      </c>
      <c r="G1282" s="76" t="s">
        <v>1199</v>
      </c>
      <c r="H1282" s="70"/>
    </row>
    <row r="1283" spans="1:8" x14ac:dyDescent="0.2">
      <c r="A1283" s="73"/>
      <c r="B1283" s="77"/>
      <c r="C1283" s="74"/>
      <c r="D1283" s="74" t="s">
        <v>957</v>
      </c>
      <c r="E1283" s="78" t="s">
        <v>105</v>
      </c>
      <c r="F1283" s="76" t="s">
        <v>1720</v>
      </c>
      <c r="G1283" s="76" t="s">
        <v>1183</v>
      </c>
      <c r="H1283" s="70"/>
    </row>
    <row r="1284" spans="1:8" x14ac:dyDescent="0.2">
      <c r="A1284" s="73"/>
      <c r="B1284" s="77"/>
      <c r="C1284" s="74"/>
      <c r="D1284" s="74" t="s">
        <v>957</v>
      </c>
      <c r="E1284" s="78" t="s">
        <v>105</v>
      </c>
      <c r="F1284" s="76" t="s">
        <v>1721</v>
      </c>
      <c r="G1284" s="76" t="s">
        <v>1183</v>
      </c>
      <c r="H1284" s="70"/>
    </row>
    <row r="1285" spans="1:8" ht="16" x14ac:dyDescent="0.2">
      <c r="A1285" s="73"/>
      <c r="B1285" s="77"/>
      <c r="C1285" s="74"/>
      <c r="D1285" s="74" t="s">
        <v>957</v>
      </c>
      <c r="E1285" s="78" t="s">
        <v>105</v>
      </c>
      <c r="F1285" s="76" t="s">
        <v>1722</v>
      </c>
      <c r="G1285" s="75" t="s">
        <v>575</v>
      </c>
      <c r="H1285" s="70"/>
    </row>
    <row r="1286" spans="1:8" ht="16" x14ac:dyDescent="0.2">
      <c r="A1286" s="73"/>
      <c r="B1286" s="77"/>
      <c r="C1286" s="74"/>
      <c r="D1286" s="74" t="s">
        <v>957</v>
      </c>
      <c r="E1286" s="78" t="s">
        <v>105</v>
      </c>
      <c r="F1286" s="76" t="s">
        <v>116</v>
      </c>
      <c r="G1286" s="75" t="s">
        <v>575</v>
      </c>
      <c r="H1286" s="70"/>
    </row>
    <row r="1287" spans="1:8" ht="16" x14ac:dyDescent="0.2">
      <c r="A1287" s="73"/>
      <c r="B1287" s="77"/>
      <c r="C1287" s="74"/>
      <c r="D1287" s="74" t="s">
        <v>957</v>
      </c>
      <c r="E1287" s="78" t="s">
        <v>105</v>
      </c>
      <c r="F1287" s="76" t="s">
        <v>1225</v>
      </c>
      <c r="G1287" s="75" t="s">
        <v>573</v>
      </c>
      <c r="H1287" s="70"/>
    </row>
    <row r="1288" spans="1:8" ht="16" x14ac:dyDescent="0.2">
      <c r="A1288" s="73"/>
      <c r="B1288" s="77"/>
      <c r="C1288" s="74"/>
      <c r="D1288" s="74" t="s">
        <v>957</v>
      </c>
      <c r="E1288" s="78" t="s">
        <v>105</v>
      </c>
      <c r="F1288" s="76" t="s">
        <v>1225</v>
      </c>
      <c r="G1288" s="75" t="s">
        <v>573</v>
      </c>
      <c r="H1288" s="70"/>
    </row>
    <row r="1289" spans="1:8" ht="16" x14ac:dyDescent="0.2">
      <c r="A1289" s="73"/>
      <c r="B1289" s="85"/>
      <c r="C1289" s="74"/>
      <c r="D1289" s="74" t="s">
        <v>957</v>
      </c>
      <c r="E1289" s="78" t="s">
        <v>112</v>
      </c>
      <c r="F1289" s="76" t="s">
        <v>243</v>
      </c>
      <c r="G1289" s="75" t="s">
        <v>1184</v>
      </c>
      <c r="H1289" s="70"/>
    </row>
    <row r="1290" spans="1:8" ht="16" x14ac:dyDescent="0.2">
      <c r="A1290" s="73"/>
      <c r="B1290" s="85"/>
      <c r="C1290" s="74"/>
      <c r="D1290" s="74" t="s">
        <v>957</v>
      </c>
      <c r="E1290" s="78" t="s">
        <v>966</v>
      </c>
      <c r="F1290" s="76" t="s">
        <v>243</v>
      </c>
      <c r="G1290" s="75" t="s">
        <v>1184</v>
      </c>
      <c r="H1290" s="70"/>
    </row>
    <row r="1291" spans="1:8" ht="16" x14ac:dyDescent="0.2">
      <c r="A1291" s="73"/>
      <c r="B1291" s="85"/>
      <c r="C1291" s="74"/>
      <c r="D1291" s="74" t="s">
        <v>957</v>
      </c>
      <c r="E1291" s="78" t="s">
        <v>128</v>
      </c>
      <c r="F1291" s="76" t="s">
        <v>243</v>
      </c>
      <c r="G1291" s="75" t="s">
        <v>1184</v>
      </c>
      <c r="H1291" s="70"/>
    </row>
    <row r="1292" spans="1:8" ht="16" x14ac:dyDescent="0.2">
      <c r="A1292" s="80"/>
      <c r="B1292" s="83"/>
      <c r="C1292" s="74"/>
      <c r="D1292" s="74" t="s">
        <v>946</v>
      </c>
      <c r="E1292" s="84" t="s">
        <v>112</v>
      </c>
      <c r="F1292" s="82" t="s">
        <v>1462</v>
      </c>
      <c r="G1292" s="81" t="s">
        <v>519</v>
      </c>
      <c r="H1292" s="70"/>
    </row>
    <row r="1293" spans="1:8" ht="16" x14ac:dyDescent="0.2">
      <c r="A1293" s="80"/>
      <c r="B1293" s="83"/>
      <c r="C1293" s="74"/>
      <c r="D1293" s="74" t="s">
        <v>946</v>
      </c>
      <c r="E1293" s="84" t="s">
        <v>112</v>
      </c>
      <c r="F1293" s="82" t="s">
        <v>1472</v>
      </c>
      <c r="G1293" s="81" t="s">
        <v>517</v>
      </c>
      <c r="H1293" s="70"/>
    </row>
    <row r="1294" spans="1:8" ht="16" x14ac:dyDescent="0.2">
      <c r="A1294" s="80"/>
      <c r="B1294" s="83"/>
      <c r="C1294" s="74"/>
      <c r="D1294" s="74" t="s">
        <v>946</v>
      </c>
      <c r="E1294" s="84" t="s">
        <v>112</v>
      </c>
      <c r="F1294" s="82" t="s">
        <v>1474</v>
      </c>
      <c r="G1294" s="81" t="s">
        <v>517</v>
      </c>
      <c r="H1294" s="70"/>
    </row>
    <row r="1295" spans="1:8" ht="16" x14ac:dyDescent="0.2">
      <c r="A1295" s="73"/>
      <c r="B1295" s="85"/>
      <c r="C1295" s="74"/>
      <c r="D1295" s="74" t="s">
        <v>956</v>
      </c>
      <c r="E1295" s="78" t="s">
        <v>99</v>
      </c>
      <c r="F1295" s="76" t="s">
        <v>2150</v>
      </c>
      <c r="G1295" s="75" t="s">
        <v>930</v>
      </c>
      <c r="H1295" s="70"/>
    </row>
    <row r="1296" spans="1:8" ht="16" x14ac:dyDescent="0.2">
      <c r="A1296" s="73"/>
      <c r="B1296" s="77"/>
      <c r="C1296" s="74"/>
      <c r="D1296" s="74" t="s">
        <v>1397</v>
      </c>
      <c r="E1296" s="78" t="s">
        <v>96</v>
      </c>
      <c r="F1296" s="76" t="s">
        <v>124</v>
      </c>
      <c r="G1296" s="75" t="s">
        <v>1185</v>
      </c>
      <c r="H1296" s="70"/>
    </row>
    <row r="1297" spans="1:8" ht="16" x14ac:dyDescent="0.2">
      <c r="A1297" s="73"/>
      <c r="B1297" s="77"/>
      <c r="C1297" s="74"/>
      <c r="D1297" s="74" t="s">
        <v>1397</v>
      </c>
      <c r="E1297" s="78" t="s">
        <v>96</v>
      </c>
      <c r="F1297" s="76" t="s">
        <v>124</v>
      </c>
      <c r="G1297" s="75" t="s">
        <v>1207</v>
      </c>
      <c r="H1297" s="70"/>
    </row>
    <row r="1298" spans="1:8" x14ac:dyDescent="0.2">
      <c r="A1298" s="73"/>
      <c r="B1298" s="77"/>
      <c r="C1298" s="74"/>
      <c r="D1298" s="74" t="s">
        <v>1397</v>
      </c>
      <c r="E1298" s="78" t="s">
        <v>96</v>
      </c>
      <c r="F1298" s="76" t="s">
        <v>1449</v>
      </c>
      <c r="G1298" s="76" t="s">
        <v>1044</v>
      </c>
      <c r="H1298" s="70"/>
    </row>
    <row r="1299" spans="1:8" x14ac:dyDescent="0.2">
      <c r="A1299" s="73"/>
      <c r="B1299" s="77"/>
      <c r="C1299" s="74"/>
      <c r="D1299" s="74" t="s">
        <v>1397</v>
      </c>
      <c r="E1299" s="78" t="s">
        <v>96</v>
      </c>
      <c r="F1299" s="76" t="s">
        <v>124</v>
      </c>
      <c r="G1299" s="76" t="s">
        <v>1044</v>
      </c>
      <c r="H1299" s="70"/>
    </row>
    <row r="1300" spans="1:8" x14ac:dyDescent="0.2">
      <c r="A1300" s="73"/>
      <c r="B1300" s="77"/>
      <c r="C1300" s="74"/>
      <c r="D1300" s="74" t="s">
        <v>1397</v>
      </c>
      <c r="E1300" s="78" t="s">
        <v>96</v>
      </c>
      <c r="F1300" s="76" t="s">
        <v>1449</v>
      </c>
      <c r="G1300" s="76" t="s">
        <v>1048</v>
      </c>
      <c r="H1300" s="70"/>
    </row>
    <row r="1301" spans="1:8" x14ac:dyDescent="0.2">
      <c r="A1301" s="73"/>
      <c r="B1301" s="77"/>
      <c r="C1301" s="74"/>
      <c r="D1301" s="74" t="s">
        <v>1397</v>
      </c>
      <c r="E1301" s="78" t="s">
        <v>96</v>
      </c>
      <c r="F1301" s="76" t="s">
        <v>124</v>
      </c>
      <c r="G1301" s="76" t="s">
        <v>1048</v>
      </c>
      <c r="H1301" s="70"/>
    </row>
    <row r="1302" spans="1:8" x14ac:dyDescent="0.2">
      <c r="A1302" s="73"/>
      <c r="B1302" s="77"/>
      <c r="C1302" s="74"/>
      <c r="D1302" s="74" t="s">
        <v>1397</v>
      </c>
      <c r="E1302" s="78" t="s">
        <v>105</v>
      </c>
      <c r="F1302" s="76" t="s">
        <v>1449</v>
      </c>
      <c r="G1302" s="76" t="s">
        <v>1042</v>
      </c>
      <c r="H1302" s="70"/>
    </row>
    <row r="1303" spans="1:8" x14ac:dyDescent="0.2">
      <c r="A1303" s="73"/>
      <c r="B1303" s="77"/>
      <c r="C1303" s="74"/>
      <c r="D1303" s="74" t="s">
        <v>1397</v>
      </c>
      <c r="E1303" s="78" t="s">
        <v>105</v>
      </c>
      <c r="F1303" s="76" t="s">
        <v>124</v>
      </c>
      <c r="G1303" s="76" t="s">
        <v>1042</v>
      </c>
      <c r="H1303" s="70"/>
    </row>
    <row r="1304" spans="1:8" x14ac:dyDescent="0.2">
      <c r="A1304" s="73"/>
      <c r="B1304" s="77"/>
      <c r="C1304" s="74"/>
      <c r="D1304" s="74" t="s">
        <v>1397</v>
      </c>
      <c r="E1304" s="78" t="s">
        <v>105</v>
      </c>
      <c r="F1304" s="76" t="s">
        <v>1449</v>
      </c>
      <c r="G1304" s="76" t="s">
        <v>1046</v>
      </c>
      <c r="H1304" s="70"/>
    </row>
    <row r="1305" spans="1:8" x14ac:dyDescent="0.2">
      <c r="A1305" s="73"/>
      <c r="B1305" s="77"/>
      <c r="C1305" s="74"/>
      <c r="D1305" s="74" t="s">
        <v>1397</v>
      </c>
      <c r="E1305" s="78" t="s">
        <v>105</v>
      </c>
      <c r="F1305" s="76" t="s">
        <v>124</v>
      </c>
      <c r="G1305" s="76" t="s">
        <v>1046</v>
      </c>
      <c r="H1305" s="70"/>
    </row>
    <row r="1306" spans="1:8" x14ac:dyDescent="0.2">
      <c r="A1306" s="73"/>
      <c r="B1306" s="77"/>
      <c r="C1306" s="74"/>
      <c r="D1306" s="74" t="s">
        <v>1397</v>
      </c>
      <c r="E1306" s="78" t="s">
        <v>112</v>
      </c>
      <c r="F1306" s="76" t="s">
        <v>1723</v>
      </c>
      <c r="G1306" s="76" t="s">
        <v>1201</v>
      </c>
      <c r="H1306" s="70"/>
    </row>
    <row r="1307" spans="1:8" x14ac:dyDescent="0.2">
      <c r="A1307" s="73"/>
      <c r="B1307" s="77"/>
      <c r="C1307" s="74"/>
      <c r="D1307" s="74" t="s">
        <v>1397</v>
      </c>
      <c r="E1307" s="78" t="s">
        <v>112</v>
      </c>
      <c r="F1307" s="76" t="s">
        <v>124</v>
      </c>
      <c r="G1307" s="76" t="s">
        <v>1201</v>
      </c>
      <c r="H1307" s="70"/>
    </row>
    <row r="1308" spans="1:8" x14ac:dyDescent="0.2">
      <c r="A1308" s="73"/>
      <c r="B1308" s="77"/>
      <c r="C1308" s="74"/>
      <c r="D1308" s="74" t="s">
        <v>1397</v>
      </c>
      <c r="E1308" s="78" t="s">
        <v>112</v>
      </c>
      <c r="F1308" s="76" t="s">
        <v>1723</v>
      </c>
      <c r="G1308" s="76" t="s">
        <v>1202</v>
      </c>
      <c r="H1308" s="70"/>
    </row>
    <row r="1309" spans="1:8" x14ac:dyDescent="0.2">
      <c r="A1309" s="73"/>
      <c r="B1309" s="77"/>
      <c r="C1309" s="74"/>
      <c r="D1309" s="74" t="s">
        <v>1397</v>
      </c>
      <c r="E1309" s="78" t="s">
        <v>112</v>
      </c>
      <c r="F1309" s="76" t="s">
        <v>124</v>
      </c>
      <c r="G1309" s="76" t="s">
        <v>1202</v>
      </c>
      <c r="H1309" s="70"/>
    </row>
    <row r="1310" spans="1:8" x14ac:dyDescent="0.2">
      <c r="A1310" s="80"/>
      <c r="B1310" s="83"/>
      <c r="C1310" s="74"/>
      <c r="D1310" s="74" t="s">
        <v>948</v>
      </c>
      <c r="E1310" s="84" t="s">
        <v>112</v>
      </c>
      <c r="F1310" s="82" t="s">
        <v>1233</v>
      </c>
      <c r="G1310" s="90" t="s">
        <v>1137</v>
      </c>
      <c r="H1310" s="70"/>
    </row>
    <row r="1311" spans="1:8" x14ac:dyDescent="0.2">
      <c r="A1311" s="80"/>
      <c r="B1311" s="83"/>
      <c r="C1311" s="74"/>
      <c r="D1311" s="74" t="s">
        <v>948</v>
      </c>
      <c r="E1311" s="84" t="s">
        <v>966</v>
      </c>
      <c r="F1311" s="82" t="s">
        <v>1233</v>
      </c>
      <c r="G1311" s="90" t="s">
        <v>1137</v>
      </c>
      <c r="H1311" s="70"/>
    </row>
    <row r="1312" spans="1:8" ht="16" x14ac:dyDescent="0.2">
      <c r="A1312" s="73"/>
      <c r="B1312" s="77"/>
      <c r="C1312" s="74"/>
      <c r="D1312" s="74" t="s">
        <v>958</v>
      </c>
      <c r="E1312" s="78" t="s">
        <v>96</v>
      </c>
      <c r="F1312" s="76" t="s">
        <v>2139</v>
      </c>
      <c r="G1312" s="75" t="s">
        <v>515</v>
      </c>
      <c r="H1312" s="70"/>
    </row>
    <row r="1313" spans="1:8" ht="16" x14ac:dyDescent="0.2">
      <c r="A1313" s="73"/>
      <c r="B1313" s="77"/>
      <c r="C1313" s="74"/>
      <c r="D1313" s="74" t="s">
        <v>958</v>
      </c>
      <c r="E1313" s="78" t="s">
        <v>112</v>
      </c>
      <c r="F1313" s="76" t="s">
        <v>2139</v>
      </c>
      <c r="G1313" s="75" t="s">
        <v>515</v>
      </c>
      <c r="H1313" s="70"/>
    </row>
    <row r="1314" spans="1:8" ht="16" x14ac:dyDescent="0.2">
      <c r="A1314" s="73"/>
      <c r="B1314" s="77"/>
      <c r="C1314" s="74"/>
      <c r="D1314" s="74" t="s">
        <v>958</v>
      </c>
      <c r="E1314" s="78" t="s">
        <v>119</v>
      </c>
      <c r="F1314" s="76" t="s">
        <v>2139</v>
      </c>
      <c r="G1314" s="75" t="s">
        <v>515</v>
      </c>
      <c r="H1314" s="70"/>
    </row>
    <row r="1315" spans="1:8" ht="16" x14ac:dyDescent="0.2">
      <c r="A1315" s="73"/>
      <c r="B1315" s="77"/>
      <c r="C1315" s="74"/>
      <c r="D1315" s="74" t="s">
        <v>958</v>
      </c>
      <c r="E1315" s="78" t="s">
        <v>96</v>
      </c>
      <c r="F1315" s="76" t="s">
        <v>2140</v>
      </c>
      <c r="G1315" s="75" t="s">
        <v>515</v>
      </c>
      <c r="H1315" s="70"/>
    </row>
    <row r="1316" spans="1:8" ht="16" x14ac:dyDescent="0.2">
      <c r="A1316" s="73"/>
      <c r="B1316" s="77"/>
      <c r="C1316" s="74"/>
      <c r="D1316" s="74" t="s">
        <v>958</v>
      </c>
      <c r="E1316" s="78" t="s">
        <v>112</v>
      </c>
      <c r="F1316" s="76" t="s">
        <v>2140</v>
      </c>
      <c r="G1316" s="75" t="s">
        <v>515</v>
      </c>
      <c r="H1316" s="70"/>
    </row>
    <row r="1317" spans="1:8" ht="16" x14ac:dyDescent="0.2">
      <c r="A1317" s="73"/>
      <c r="B1317" s="77"/>
      <c r="C1317" s="74"/>
      <c r="D1317" s="74" t="s">
        <v>958</v>
      </c>
      <c r="E1317" s="78" t="s">
        <v>119</v>
      </c>
      <c r="F1317" s="76" t="s">
        <v>2140</v>
      </c>
      <c r="G1317" s="75" t="s">
        <v>515</v>
      </c>
      <c r="H1317" s="70"/>
    </row>
    <row r="1318" spans="1:8" ht="16" x14ac:dyDescent="0.2">
      <c r="A1318" s="73"/>
      <c r="B1318" s="77"/>
      <c r="C1318" s="74"/>
      <c r="D1318" s="74" t="s">
        <v>958</v>
      </c>
      <c r="E1318" s="78" t="s">
        <v>105</v>
      </c>
      <c r="F1318" s="76" t="s">
        <v>2140</v>
      </c>
      <c r="G1318" s="75" t="s">
        <v>515</v>
      </c>
      <c r="H1318" s="70"/>
    </row>
    <row r="1319" spans="1:8" ht="16" x14ac:dyDescent="0.2">
      <c r="A1319" s="73"/>
      <c r="B1319" s="77"/>
      <c r="C1319" s="74"/>
      <c r="D1319" s="74" t="s">
        <v>958</v>
      </c>
      <c r="E1319" s="78" t="s">
        <v>96</v>
      </c>
      <c r="F1319" s="76" t="s">
        <v>2141</v>
      </c>
      <c r="G1319" s="75" t="s">
        <v>1018</v>
      </c>
      <c r="H1319" s="70"/>
    </row>
    <row r="1320" spans="1:8" ht="16" x14ac:dyDescent="0.2">
      <c r="A1320" s="73"/>
      <c r="B1320" s="77"/>
      <c r="C1320" s="74"/>
      <c r="D1320" s="74" t="s">
        <v>958</v>
      </c>
      <c r="E1320" s="78" t="s">
        <v>112</v>
      </c>
      <c r="F1320" s="76" t="s">
        <v>2141</v>
      </c>
      <c r="G1320" s="75" t="s">
        <v>1018</v>
      </c>
      <c r="H1320" s="70"/>
    </row>
    <row r="1321" spans="1:8" ht="16" x14ac:dyDescent="0.2">
      <c r="A1321" s="73"/>
      <c r="B1321" s="77"/>
      <c r="C1321" s="74"/>
      <c r="D1321" s="74" t="s">
        <v>958</v>
      </c>
      <c r="E1321" s="78" t="s">
        <v>119</v>
      </c>
      <c r="F1321" s="76" t="s">
        <v>2141</v>
      </c>
      <c r="G1321" s="75" t="s">
        <v>1018</v>
      </c>
      <c r="H1321" s="70"/>
    </row>
    <row r="1322" spans="1:8" ht="16" x14ac:dyDescent="0.2">
      <c r="A1322" s="73"/>
      <c r="B1322" s="77"/>
      <c r="C1322" s="74"/>
      <c r="D1322" s="74" t="s">
        <v>958</v>
      </c>
      <c r="E1322" s="78" t="s">
        <v>96</v>
      </c>
      <c r="F1322" s="76" t="s">
        <v>2142</v>
      </c>
      <c r="G1322" s="75" t="s">
        <v>1018</v>
      </c>
      <c r="H1322" s="70"/>
    </row>
    <row r="1323" spans="1:8" ht="16" x14ac:dyDescent="0.2">
      <c r="A1323" s="73"/>
      <c r="B1323" s="77"/>
      <c r="C1323" s="74"/>
      <c r="D1323" s="74" t="s">
        <v>958</v>
      </c>
      <c r="E1323" s="78" t="s">
        <v>112</v>
      </c>
      <c r="F1323" s="76" t="s">
        <v>2142</v>
      </c>
      <c r="G1323" s="75" t="s">
        <v>1018</v>
      </c>
      <c r="H1323" s="70"/>
    </row>
    <row r="1324" spans="1:8" ht="16" x14ac:dyDescent="0.2">
      <c r="A1324" s="73"/>
      <c r="B1324" s="77"/>
      <c r="C1324" s="74"/>
      <c r="D1324" s="74" t="s">
        <v>958</v>
      </c>
      <c r="E1324" s="78" t="s">
        <v>119</v>
      </c>
      <c r="F1324" s="76" t="s">
        <v>2142</v>
      </c>
      <c r="G1324" s="75" t="s">
        <v>1018</v>
      </c>
      <c r="H1324" s="70"/>
    </row>
    <row r="1325" spans="1:8" ht="16" x14ac:dyDescent="0.2">
      <c r="A1325" s="73"/>
      <c r="B1325" s="77"/>
      <c r="C1325" s="74"/>
      <c r="D1325" s="74" t="s">
        <v>958</v>
      </c>
      <c r="E1325" s="78" t="s">
        <v>96</v>
      </c>
      <c r="F1325" s="76" t="s">
        <v>2095</v>
      </c>
      <c r="G1325" s="75" t="s">
        <v>1205</v>
      </c>
      <c r="H1325" s="70"/>
    </row>
    <row r="1326" spans="1:8" ht="16" x14ac:dyDescent="0.2">
      <c r="A1326" s="73"/>
      <c r="B1326" s="77"/>
      <c r="C1326" s="74"/>
      <c r="D1326" s="74" t="s">
        <v>958</v>
      </c>
      <c r="E1326" s="78" t="s">
        <v>112</v>
      </c>
      <c r="F1326" s="76" t="s">
        <v>2095</v>
      </c>
      <c r="G1326" s="75" t="s">
        <v>1205</v>
      </c>
      <c r="H1326" s="70"/>
    </row>
    <row r="1327" spans="1:8" ht="16" x14ac:dyDescent="0.2">
      <c r="A1327" s="73"/>
      <c r="B1327" s="77"/>
      <c r="C1327" s="74"/>
      <c r="D1327" s="74" t="s">
        <v>958</v>
      </c>
      <c r="E1327" s="78" t="s">
        <v>137</v>
      </c>
      <c r="F1327" s="76" t="s">
        <v>2095</v>
      </c>
      <c r="G1327" s="75" t="s">
        <v>1205</v>
      </c>
      <c r="H1327" s="70"/>
    </row>
    <row r="1328" spans="1:8" ht="16" x14ac:dyDescent="0.2">
      <c r="A1328" s="73"/>
      <c r="B1328" s="77"/>
      <c r="C1328" s="74"/>
      <c r="D1328" s="74" t="s">
        <v>958</v>
      </c>
      <c r="E1328" s="78" t="s">
        <v>96</v>
      </c>
      <c r="F1328" s="76" t="s">
        <v>282</v>
      </c>
      <c r="G1328" s="75" t="s">
        <v>1205</v>
      </c>
      <c r="H1328" s="70"/>
    </row>
    <row r="1329" spans="1:8" ht="16" x14ac:dyDescent="0.2">
      <c r="A1329" s="73"/>
      <c r="B1329" s="77"/>
      <c r="C1329" s="74"/>
      <c r="D1329" s="74" t="s">
        <v>958</v>
      </c>
      <c r="E1329" s="78" t="s">
        <v>112</v>
      </c>
      <c r="F1329" s="76" t="s">
        <v>282</v>
      </c>
      <c r="G1329" s="75" t="s">
        <v>1205</v>
      </c>
      <c r="H1329" s="70"/>
    </row>
    <row r="1330" spans="1:8" ht="16" x14ac:dyDescent="0.2">
      <c r="A1330" s="73"/>
      <c r="B1330" s="77"/>
      <c r="C1330" s="74"/>
      <c r="D1330" s="74" t="s">
        <v>958</v>
      </c>
      <c r="E1330" s="78" t="s">
        <v>137</v>
      </c>
      <c r="F1330" s="76" t="s">
        <v>282</v>
      </c>
      <c r="G1330" s="75" t="s">
        <v>1205</v>
      </c>
      <c r="H1330" s="70"/>
    </row>
    <row r="1331" spans="1:8" ht="16" x14ac:dyDescent="0.2">
      <c r="A1331" s="73"/>
      <c r="B1331" s="77"/>
      <c r="C1331" s="74"/>
      <c r="D1331" s="74" t="s">
        <v>958</v>
      </c>
      <c r="E1331" s="78" t="s">
        <v>96</v>
      </c>
      <c r="F1331" s="76" t="s">
        <v>2126</v>
      </c>
      <c r="G1331" s="75" t="s">
        <v>1205</v>
      </c>
      <c r="H1331" s="70"/>
    </row>
    <row r="1332" spans="1:8" ht="16" x14ac:dyDescent="0.2">
      <c r="A1332" s="73"/>
      <c r="B1332" s="77"/>
      <c r="C1332" s="74"/>
      <c r="D1332" s="74" t="s">
        <v>958</v>
      </c>
      <c r="E1332" s="78" t="s">
        <v>112</v>
      </c>
      <c r="F1332" s="76" t="s">
        <v>2126</v>
      </c>
      <c r="G1332" s="75" t="s">
        <v>1205</v>
      </c>
      <c r="H1332" s="70"/>
    </row>
    <row r="1333" spans="1:8" ht="16" x14ac:dyDescent="0.2">
      <c r="A1333" s="73"/>
      <c r="B1333" s="77"/>
      <c r="C1333" s="74"/>
      <c r="D1333" s="74" t="s">
        <v>958</v>
      </c>
      <c r="E1333" s="78" t="s">
        <v>137</v>
      </c>
      <c r="F1333" s="76" t="s">
        <v>2126</v>
      </c>
      <c r="G1333" s="75" t="s">
        <v>1205</v>
      </c>
      <c r="H1333" s="70"/>
    </row>
    <row r="1334" spans="1:8" ht="16" x14ac:dyDescent="0.2">
      <c r="A1334" s="73"/>
      <c r="B1334" s="77"/>
      <c r="C1334" s="74"/>
      <c r="D1334" s="74" t="s">
        <v>958</v>
      </c>
      <c r="E1334" s="78" t="s">
        <v>96</v>
      </c>
      <c r="F1334" s="76" t="s">
        <v>2124</v>
      </c>
      <c r="G1334" s="75" t="s">
        <v>1205</v>
      </c>
      <c r="H1334" s="70"/>
    </row>
    <row r="1335" spans="1:8" ht="16" x14ac:dyDescent="0.2">
      <c r="A1335" s="73"/>
      <c r="B1335" s="77"/>
      <c r="C1335" s="74"/>
      <c r="D1335" s="74" t="s">
        <v>958</v>
      </c>
      <c r="E1335" s="78" t="s">
        <v>112</v>
      </c>
      <c r="F1335" s="76" t="s">
        <v>2124</v>
      </c>
      <c r="G1335" s="75" t="s">
        <v>1205</v>
      </c>
      <c r="H1335" s="70"/>
    </row>
    <row r="1336" spans="1:8" ht="16" x14ac:dyDescent="0.2">
      <c r="A1336" s="73"/>
      <c r="B1336" s="77"/>
      <c r="C1336" s="74"/>
      <c r="D1336" s="74" t="s">
        <v>958</v>
      </c>
      <c r="E1336" s="78" t="s">
        <v>137</v>
      </c>
      <c r="F1336" s="76" t="s">
        <v>2124</v>
      </c>
      <c r="G1336" s="75" t="s">
        <v>1205</v>
      </c>
      <c r="H1336" s="70"/>
    </row>
    <row r="1337" spans="1:8" ht="16" x14ac:dyDescent="0.2">
      <c r="A1337" s="73"/>
      <c r="B1337" s="77"/>
      <c r="C1337" s="74"/>
      <c r="D1337" s="74" t="s">
        <v>958</v>
      </c>
      <c r="E1337" s="78" t="s">
        <v>96</v>
      </c>
      <c r="F1337" s="76" t="s">
        <v>2125</v>
      </c>
      <c r="G1337" s="75" t="s">
        <v>1205</v>
      </c>
      <c r="H1337" s="70"/>
    </row>
    <row r="1338" spans="1:8" ht="16" x14ac:dyDescent="0.2">
      <c r="A1338" s="73"/>
      <c r="B1338" s="77"/>
      <c r="C1338" s="74"/>
      <c r="D1338" s="74" t="s">
        <v>958</v>
      </c>
      <c r="E1338" s="78" t="s">
        <v>112</v>
      </c>
      <c r="F1338" s="76" t="s">
        <v>2125</v>
      </c>
      <c r="G1338" s="75" t="s">
        <v>1205</v>
      </c>
      <c r="H1338" s="70"/>
    </row>
    <row r="1339" spans="1:8" ht="16" x14ac:dyDescent="0.2">
      <c r="A1339" s="73"/>
      <c r="B1339" s="77"/>
      <c r="C1339" s="74"/>
      <c r="D1339" s="74" t="s">
        <v>958</v>
      </c>
      <c r="E1339" s="78" t="s">
        <v>137</v>
      </c>
      <c r="F1339" s="76" t="s">
        <v>2125</v>
      </c>
      <c r="G1339" s="75" t="s">
        <v>1205</v>
      </c>
      <c r="H1339" s="70"/>
    </row>
    <row r="1340" spans="1:8" ht="16" x14ac:dyDescent="0.2">
      <c r="A1340" s="73"/>
      <c r="B1340" s="77"/>
      <c r="C1340" s="74"/>
      <c r="D1340" s="74" t="s">
        <v>958</v>
      </c>
      <c r="E1340" s="78" t="s">
        <v>96</v>
      </c>
      <c r="F1340" s="76" t="s">
        <v>2127</v>
      </c>
      <c r="G1340" s="75" t="s">
        <v>1203</v>
      </c>
      <c r="H1340" s="70"/>
    </row>
    <row r="1341" spans="1:8" ht="16" x14ac:dyDescent="0.2">
      <c r="A1341" s="73"/>
      <c r="B1341" s="77"/>
      <c r="C1341" s="74"/>
      <c r="D1341" s="74" t="s">
        <v>958</v>
      </c>
      <c r="E1341" s="78" t="s">
        <v>112</v>
      </c>
      <c r="F1341" s="76" t="s">
        <v>2127</v>
      </c>
      <c r="G1341" s="75" t="s">
        <v>1203</v>
      </c>
      <c r="H1341" s="70"/>
    </row>
    <row r="1342" spans="1:8" ht="16" x14ac:dyDescent="0.2">
      <c r="A1342" s="73"/>
      <c r="B1342" s="77"/>
      <c r="C1342" s="74"/>
      <c r="D1342" s="74" t="s">
        <v>958</v>
      </c>
      <c r="E1342" s="78" t="s">
        <v>137</v>
      </c>
      <c r="F1342" s="76" t="s">
        <v>2127</v>
      </c>
      <c r="G1342" s="75" t="s">
        <v>1203</v>
      </c>
      <c r="H1342" s="70"/>
    </row>
    <row r="1343" spans="1:8" ht="16" x14ac:dyDescent="0.2">
      <c r="A1343" s="73"/>
      <c r="B1343" s="77"/>
      <c r="C1343" s="74"/>
      <c r="D1343" s="74" t="s">
        <v>958</v>
      </c>
      <c r="E1343" s="78" t="s">
        <v>96</v>
      </c>
      <c r="F1343" s="76" t="s">
        <v>1595</v>
      </c>
      <c r="G1343" s="75" t="s">
        <v>1203</v>
      </c>
      <c r="H1343" s="70"/>
    </row>
    <row r="1344" spans="1:8" ht="16" x14ac:dyDescent="0.2">
      <c r="A1344" s="73"/>
      <c r="B1344" s="77"/>
      <c r="C1344" s="74"/>
      <c r="D1344" s="74" t="s">
        <v>958</v>
      </c>
      <c r="E1344" s="78" t="s">
        <v>112</v>
      </c>
      <c r="F1344" s="76" t="s">
        <v>1595</v>
      </c>
      <c r="G1344" s="75" t="s">
        <v>1203</v>
      </c>
      <c r="H1344" s="70"/>
    </row>
    <row r="1345" spans="1:8" ht="16" x14ac:dyDescent="0.2">
      <c r="A1345" s="73"/>
      <c r="B1345" s="77"/>
      <c r="C1345" s="74"/>
      <c r="D1345" s="74" t="s">
        <v>958</v>
      </c>
      <c r="E1345" s="78" t="s">
        <v>137</v>
      </c>
      <c r="F1345" s="76" t="s">
        <v>1595</v>
      </c>
      <c r="G1345" s="75" t="s">
        <v>1203</v>
      </c>
      <c r="H1345" s="70"/>
    </row>
    <row r="1346" spans="1:8" ht="16" x14ac:dyDescent="0.2">
      <c r="A1346" s="73"/>
      <c r="B1346" s="77"/>
      <c r="C1346" s="74"/>
      <c r="D1346" s="74" t="s">
        <v>958</v>
      </c>
      <c r="E1346" s="78" t="s">
        <v>96</v>
      </c>
      <c r="F1346" s="76" t="s">
        <v>2138</v>
      </c>
      <c r="G1346" s="75" t="s">
        <v>1203</v>
      </c>
      <c r="H1346" s="70"/>
    </row>
    <row r="1347" spans="1:8" ht="16" x14ac:dyDescent="0.2">
      <c r="A1347" s="73"/>
      <c r="B1347" s="77"/>
      <c r="C1347" s="74"/>
      <c r="D1347" s="74" t="s">
        <v>958</v>
      </c>
      <c r="E1347" s="78" t="s">
        <v>112</v>
      </c>
      <c r="F1347" s="76" t="s">
        <v>2138</v>
      </c>
      <c r="G1347" s="75" t="s">
        <v>1203</v>
      </c>
      <c r="H1347" s="70"/>
    </row>
    <row r="1348" spans="1:8" ht="16" x14ac:dyDescent="0.2">
      <c r="A1348" s="73"/>
      <c r="B1348" s="77"/>
      <c r="C1348" s="74"/>
      <c r="D1348" s="74" t="s">
        <v>958</v>
      </c>
      <c r="E1348" s="78" t="s">
        <v>137</v>
      </c>
      <c r="F1348" s="76" t="s">
        <v>2138</v>
      </c>
      <c r="G1348" s="75" t="s">
        <v>1203</v>
      </c>
      <c r="H1348" s="70"/>
    </row>
    <row r="1349" spans="1:8" ht="16" x14ac:dyDescent="0.2">
      <c r="A1349" s="73"/>
      <c r="B1349" s="77"/>
      <c r="C1349" s="74"/>
      <c r="D1349" s="74" t="s">
        <v>958</v>
      </c>
      <c r="E1349" s="78" t="s">
        <v>96</v>
      </c>
      <c r="F1349" s="76" t="s">
        <v>2128</v>
      </c>
      <c r="G1349" s="75" t="s">
        <v>1203</v>
      </c>
      <c r="H1349" s="70"/>
    </row>
    <row r="1350" spans="1:8" ht="16" x14ac:dyDescent="0.2">
      <c r="A1350" s="73"/>
      <c r="B1350" s="77"/>
      <c r="C1350" s="74"/>
      <c r="D1350" s="74" t="s">
        <v>958</v>
      </c>
      <c r="E1350" s="78" t="s">
        <v>112</v>
      </c>
      <c r="F1350" s="76" t="s">
        <v>2128</v>
      </c>
      <c r="G1350" s="75" t="s">
        <v>1203</v>
      </c>
      <c r="H1350" s="70"/>
    </row>
    <row r="1351" spans="1:8" ht="16" x14ac:dyDescent="0.2">
      <c r="A1351" s="73"/>
      <c r="B1351" s="77"/>
      <c r="C1351" s="74"/>
      <c r="D1351" s="74" t="s">
        <v>958</v>
      </c>
      <c r="E1351" s="78" t="s">
        <v>137</v>
      </c>
      <c r="F1351" s="76" t="s">
        <v>2128</v>
      </c>
      <c r="G1351" s="75" t="s">
        <v>1203</v>
      </c>
      <c r="H1351" s="70"/>
    </row>
    <row r="1352" spans="1:8" ht="16" x14ac:dyDescent="0.2">
      <c r="A1352" s="73"/>
      <c r="B1352" s="77"/>
      <c r="C1352" s="74"/>
      <c r="D1352" s="74" t="s">
        <v>958</v>
      </c>
      <c r="E1352" s="78" t="s">
        <v>96</v>
      </c>
      <c r="F1352" s="76" t="s">
        <v>2151</v>
      </c>
      <c r="G1352" s="75" t="s">
        <v>1203</v>
      </c>
      <c r="H1352" s="70"/>
    </row>
    <row r="1353" spans="1:8" ht="16" x14ac:dyDescent="0.2">
      <c r="A1353" s="73"/>
      <c r="B1353" s="77"/>
      <c r="C1353" s="74"/>
      <c r="D1353" s="74" t="s">
        <v>958</v>
      </c>
      <c r="E1353" s="78" t="s">
        <v>112</v>
      </c>
      <c r="F1353" s="76" t="s">
        <v>2151</v>
      </c>
      <c r="G1353" s="75" t="s">
        <v>1203</v>
      </c>
      <c r="H1353" s="70"/>
    </row>
    <row r="1354" spans="1:8" ht="16" x14ac:dyDescent="0.2">
      <c r="A1354" s="73"/>
      <c r="B1354" s="77"/>
      <c r="C1354" s="74"/>
      <c r="D1354" s="74" t="s">
        <v>958</v>
      </c>
      <c r="E1354" s="78" t="s">
        <v>137</v>
      </c>
      <c r="F1354" s="76" t="s">
        <v>2151</v>
      </c>
      <c r="G1354" s="75" t="s">
        <v>1203</v>
      </c>
      <c r="H1354" s="70"/>
    </row>
    <row r="1355" spans="1:8" x14ac:dyDescent="0.2">
      <c r="A1355" s="73"/>
      <c r="B1355" s="77"/>
      <c r="C1355" s="74"/>
      <c r="D1355" s="74" t="s">
        <v>958</v>
      </c>
      <c r="E1355" s="78" t="s">
        <v>119</v>
      </c>
      <c r="F1355" s="76" t="s">
        <v>2095</v>
      </c>
      <c r="G1355" s="76" t="s">
        <v>1206</v>
      </c>
      <c r="H1355" s="70"/>
    </row>
    <row r="1356" spans="1:8" x14ac:dyDescent="0.2">
      <c r="A1356" s="73"/>
      <c r="B1356" s="77"/>
      <c r="C1356" s="74"/>
      <c r="D1356" s="74" t="s">
        <v>958</v>
      </c>
      <c r="E1356" s="78" t="s">
        <v>966</v>
      </c>
      <c r="F1356" s="76" t="s">
        <v>2095</v>
      </c>
      <c r="G1356" s="76" t="s">
        <v>1206</v>
      </c>
      <c r="H1356" s="70"/>
    </row>
    <row r="1357" spans="1:8" x14ac:dyDescent="0.2">
      <c r="A1357" s="73"/>
      <c r="B1357" s="77"/>
      <c r="C1357" s="74"/>
      <c r="D1357" s="74" t="s">
        <v>958</v>
      </c>
      <c r="E1357" s="78" t="s">
        <v>119</v>
      </c>
      <c r="F1357" s="76" t="s">
        <v>282</v>
      </c>
      <c r="G1357" s="76" t="s">
        <v>1206</v>
      </c>
      <c r="H1357" s="70"/>
    </row>
    <row r="1358" spans="1:8" x14ac:dyDescent="0.2">
      <c r="A1358" s="73"/>
      <c r="B1358" s="77"/>
      <c r="C1358" s="74"/>
      <c r="D1358" s="74" t="s">
        <v>958</v>
      </c>
      <c r="E1358" s="78" t="s">
        <v>966</v>
      </c>
      <c r="F1358" s="76" t="s">
        <v>282</v>
      </c>
      <c r="G1358" s="76" t="s">
        <v>1206</v>
      </c>
      <c r="H1358" s="70"/>
    </row>
    <row r="1359" spans="1:8" x14ac:dyDescent="0.2">
      <c r="A1359" s="73"/>
      <c r="B1359" s="77"/>
      <c r="C1359" s="74"/>
      <c r="D1359" s="74" t="s">
        <v>958</v>
      </c>
      <c r="E1359" s="78" t="s">
        <v>119</v>
      </c>
      <c r="F1359" s="76" t="s">
        <v>2126</v>
      </c>
      <c r="G1359" s="76" t="s">
        <v>1206</v>
      </c>
      <c r="H1359" s="70"/>
    </row>
    <row r="1360" spans="1:8" x14ac:dyDescent="0.2">
      <c r="A1360" s="73"/>
      <c r="B1360" s="77"/>
      <c r="C1360" s="74"/>
      <c r="D1360" s="74" t="s">
        <v>958</v>
      </c>
      <c r="E1360" s="78" t="s">
        <v>966</v>
      </c>
      <c r="F1360" s="76" t="s">
        <v>2126</v>
      </c>
      <c r="G1360" s="76" t="s">
        <v>1206</v>
      </c>
      <c r="H1360" s="70"/>
    </row>
    <row r="1361" spans="1:8" x14ac:dyDescent="0.2">
      <c r="A1361" s="73"/>
      <c r="B1361" s="77"/>
      <c r="C1361" s="74"/>
      <c r="D1361" s="74" t="s">
        <v>958</v>
      </c>
      <c r="E1361" s="78" t="s">
        <v>119</v>
      </c>
      <c r="F1361" s="76" t="s">
        <v>2124</v>
      </c>
      <c r="G1361" s="76" t="s">
        <v>1206</v>
      </c>
      <c r="H1361" s="70"/>
    </row>
    <row r="1362" spans="1:8" x14ac:dyDescent="0.2">
      <c r="A1362" s="73"/>
      <c r="B1362" s="77"/>
      <c r="C1362" s="74"/>
      <c r="D1362" s="74" t="s">
        <v>958</v>
      </c>
      <c r="E1362" s="78" t="s">
        <v>966</v>
      </c>
      <c r="F1362" s="76" t="s">
        <v>2124</v>
      </c>
      <c r="G1362" s="76" t="s">
        <v>1206</v>
      </c>
      <c r="H1362" s="70"/>
    </row>
    <row r="1363" spans="1:8" x14ac:dyDescent="0.2">
      <c r="A1363" s="73"/>
      <c r="B1363" s="77"/>
      <c r="C1363" s="74"/>
      <c r="D1363" s="74" t="s">
        <v>958</v>
      </c>
      <c r="E1363" s="78" t="s">
        <v>119</v>
      </c>
      <c r="F1363" s="76" t="s">
        <v>2125</v>
      </c>
      <c r="G1363" s="76" t="s">
        <v>1206</v>
      </c>
      <c r="H1363" s="70"/>
    </row>
    <row r="1364" spans="1:8" x14ac:dyDescent="0.2">
      <c r="A1364" s="73"/>
      <c r="B1364" s="77"/>
      <c r="C1364" s="74"/>
      <c r="D1364" s="74" t="s">
        <v>958</v>
      </c>
      <c r="E1364" s="78" t="s">
        <v>966</v>
      </c>
      <c r="F1364" s="76" t="s">
        <v>2125</v>
      </c>
      <c r="G1364" s="76" t="s">
        <v>1206</v>
      </c>
      <c r="H1364" s="70"/>
    </row>
    <row r="1365" spans="1:8" x14ac:dyDescent="0.2">
      <c r="A1365" s="73"/>
      <c r="B1365" s="77"/>
      <c r="C1365" s="74"/>
      <c r="D1365" s="74" t="s">
        <v>958</v>
      </c>
      <c r="E1365" s="78" t="s">
        <v>119</v>
      </c>
      <c r="F1365" s="76" t="s">
        <v>2127</v>
      </c>
      <c r="G1365" s="76" t="s">
        <v>1204</v>
      </c>
      <c r="H1365" s="70"/>
    </row>
    <row r="1366" spans="1:8" x14ac:dyDescent="0.2">
      <c r="A1366" s="73"/>
      <c r="B1366" s="77"/>
      <c r="C1366" s="74"/>
      <c r="D1366" s="74" t="s">
        <v>958</v>
      </c>
      <c r="E1366" s="78" t="s">
        <v>966</v>
      </c>
      <c r="F1366" s="76" t="s">
        <v>2127</v>
      </c>
      <c r="G1366" s="76" t="s">
        <v>1204</v>
      </c>
      <c r="H1366" s="70"/>
    </row>
    <row r="1367" spans="1:8" x14ac:dyDescent="0.2">
      <c r="A1367" s="73"/>
      <c r="B1367" s="77"/>
      <c r="C1367" s="74"/>
      <c r="D1367" s="74" t="s">
        <v>958</v>
      </c>
      <c r="E1367" s="78" t="s">
        <v>119</v>
      </c>
      <c r="F1367" s="76" t="s">
        <v>1595</v>
      </c>
      <c r="G1367" s="76" t="s">
        <v>1204</v>
      </c>
      <c r="H1367" s="70"/>
    </row>
    <row r="1368" spans="1:8" x14ac:dyDescent="0.2">
      <c r="A1368" s="73"/>
      <c r="B1368" s="77"/>
      <c r="C1368" s="74"/>
      <c r="D1368" s="74" t="s">
        <v>958</v>
      </c>
      <c r="E1368" s="78" t="s">
        <v>966</v>
      </c>
      <c r="F1368" s="76" t="s">
        <v>1595</v>
      </c>
      <c r="G1368" s="76" t="s">
        <v>1204</v>
      </c>
      <c r="H1368" s="70"/>
    </row>
    <row r="1369" spans="1:8" x14ac:dyDescent="0.2">
      <c r="A1369" s="73"/>
      <c r="B1369" s="77"/>
      <c r="C1369" s="74"/>
      <c r="D1369" s="74" t="s">
        <v>958</v>
      </c>
      <c r="E1369" s="78" t="s">
        <v>119</v>
      </c>
      <c r="F1369" s="76" t="s">
        <v>2138</v>
      </c>
      <c r="G1369" s="76" t="s">
        <v>1204</v>
      </c>
      <c r="H1369" s="70"/>
    </row>
    <row r="1370" spans="1:8" x14ac:dyDescent="0.2">
      <c r="A1370" s="73"/>
      <c r="B1370" s="77"/>
      <c r="C1370" s="74"/>
      <c r="D1370" s="74" t="s">
        <v>958</v>
      </c>
      <c r="E1370" s="78" t="s">
        <v>966</v>
      </c>
      <c r="F1370" s="76" t="s">
        <v>2138</v>
      </c>
      <c r="G1370" s="76" t="s">
        <v>1204</v>
      </c>
      <c r="H1370" s="70"/>
    </row>
    <row r="1371" spans="1:8" x14ac:dyDescent="0.2">
      <c r="A1371" s="73"/>
      <c r="B1371" s="77"/>
      <c r="C1371" s="74"/>
      <c r="D1371" s="74" t="s">
        <v>958</v>
      </c>
      <c r="E1371" s="78" t="s">
        <v>119</v>
      </c>
      <c r="F1371" s="76" t="s">
        <v>2128</v>
      </c>
      <c r="G1371" s="76" t="s">
        <v>1204</v>
      </c>
      <c r="H1371" s="70"/>
    </row>
    <row r="1372" spans="1:8" x14ac:dyDescent="0.2">
      <c r="A1372" s="73"/>
      <c r="B1372" s="77"/>
      <c r="C1372" s="74"/>
      <c r="D1372" s="74" t="s">
        <v>958</v>
      </c>
      <c r="E1372" s="78" t="s">
        <v>966</v>
      </c>
      <c r="F1372" s="76" t="s">
        <v>2128</v>
      </c>
      <c r="G1372" s="76" t="s">
        <v>1204</v>
      </c>
      <c r="H1372" s="70"/>
    </row>
    <row r="1373" spans="1:8" x14ac:dyDescent="0.2">
      <c r="A1373" s="73"/>
      <c r="B1373" s="77"/>
      <c r="C1373" s="74"/>
      <c r="D1373" s="74" t="s">
        <v>958</v>
      </c>
      <c r="E1373" s="78" t="s">
        <v>119</v>
      </c>
      <c r="F1373" s="76" t="s">
        <v>2151</v>
      </c>
      <c r="G1373" s="76" t="s">
        <v>1204</v>
      </c>
      <c r="H1373" s="70"/>
    </row>
    <row r="1374" spans="1:8" x14ac:dyDescent="0.2">
      <c r="A1374" s="73"/>
      <c r="B1374" s="77"/>
      <c r="C1374" s="74"/>
      <c r="D1374" s="74" t="s">
        <v>958</v>
      </c>
      <c r="E1374" s="78" t="s">
        <v>966</v>
      </c>
      <c r="F1374" s="76" t="s">
        <v>2151</v>
      </c>
      <c r="G1374" s="76" t="s">
        <v>1204</v>
      </c>
      <c r="H1374" s="70"/>
    </row>
    <row r="1375" spans="1:8" ht="16" x14ac:dyDescent="0.2">
      <c r="A1375" s="73"/>
      <c r="B1375" s="85"/>
      <c r="C1375" s="74"/>
      <c r="D1375" s="74" t="s">
        <v>958</v>
      </c>
      <c r="E1375" s="78" t="s">
        <v>96</v>
      </c>
      <c r="F1375" s="76" t="s">
        <v>2147</v>
      </c>
      <c r="G1375" s="75" t="s">
        <v>595</v>
      </c>
      <c r="H1375" s="70"/>
    </row>
    <row r="1376" spans="1:8" ht="16" x14ac:dyDescent="0.2">
      <c r="A1376" s="73"/>
      <c r="B1376" s="85"/>
      <c r="C1376" s="74"/>
      <c r="D1376" s="74" t="s">
        <v>958</v>
      </c>
      <c r="E1376" s="78" t="s">
        <v>96</v>
      </c>
      <c r="F1376" s="76" t="s">
        <v>2095</v>
      </c>
      <c r="G1376" s="75" t="s">
        <v>595</v>
      </c>
      <c r="H1376" s="70"/>
    </row>
    <row r="1377" spans="1:8" ht="16" x14ac:dyDescent="0.2">
      <c r="A1377" s="73"/>
      <c r="B1377" s="85"/>
      <c r="C1377" s="74"/>
      <c r="D1377" s="74" t="s">
        <v>958</v>
      </c>
      <c r="E1377" s="78" t="s">
        <v>96</v>
      </c>
      <c r="F1377" s="76" t="s">
        <v>2126</v>
      </c>
      <c r="G1377" s="75" t="s">
        <v>595</v>
      </c>
      <c r="H1377" s="70"/>
    </row>
    <row r="1378" spans="1:8" ht="16" x14ac:dyDescent="0.2">
      <c r="A1378" s="73"/>
      <c r="B1378" s="85"/>
      <c r="C1378" s="74"/>
      <c r="D1378" s="74" t="s">
        <v>958</v>
      </c>
      <c r="E1378" s="78" t="s">
        <v>96</v>
      </c>
      <c r="F1378" s="76" t="s">
        <v>2124</v>
      </c>
      <c r="G1378" s="75" t="s">
        <v>595</v>
      </c>
      <c r="H1378" s="70"/>
    </row>
    <row r="1379" spans="1:8" ht="16" x14ac:dyDescent="0.2">
      <c r="A1379" s="73"/>
      <c r="B1379" s="85"/>
      <c r="C1379" s="74"/>
      <c r="D1379" s="74" t="s">
        <v>958</v>
      </c>
      <c r="E1379" s="78" t="s">
        <v>96</v>
      </c>
      <c r="F1379" s="76" t="s">
        <v>2125</v>
      </c>
      <c r="G1379" s="75" t="s">
        <v>595</v>
      </c>
      <c r="H1379" s="70"/>
    </row>
    <row r="1380" spans="1:8" x14ac:dyDescent="0.2">
      <c r="A1380" s="73"/>
      <c r="B1380" s="77"/>
      <c r="C1380" s="74"/>
      <c r="D1380" s="74" t="s">
        <v>958</v>
      </c>
      <c r="E1380" s="78" t="s">
        <v>112</v>
      </c>
      <c r="F1380" s="76" t="s">
        <v>2132</v>
      </c>
      <c r="G1380" s="76" t="s">
        <v>1061</v>
      </c>
      <c r="H1380" s="70"/>
    </row>
    <row r="1381" spans="1:8" x14ac:dyDescent="0.2">
      <c r="A1381" s="73"/>
      <c r="B1381" s="77"/>
      <c r="C1381" s="74"/>
      <c r="D1381" s="74" t="s">
        <v>958</v>
      </c>
      <c r="E1381" s="78" t="s">
        <v>966</v>
      </c>
      <c r="F1381" s="76" t="s">
        <v>2132</v>
      </c>
      <c r="G1381" s="76" t="s">
        <v>1061</v>
      </c>
      <c r="H1381" s="70"/>
    </row>
    <row r="1382" spans="1:8" x14ac:dyDescent="0.2">
      <c r="A1382" s="73"/>
      <c r="B1382" s="77"/>
      <c r="C1382" s="74"/>
      <c r="D1382" s="74" t="s">
        <v>958</v>
      </c>
      <c r="E1382" s="78" t="s">
        <v>112</v>
      </c>
      <c r="F1382" s="76" t="s">
        <v>1545</v>
      </c>
      <c r="G1382" s="76" t="s">
        <v>1061</v>
      </c>
      <c r="H1382" s="70"/>
    </row>
    <row r="1383" spans="1:8" x14ac:dyDescent="0.2">
      <c r="A1383" s="73"/>
      <c r="B1383" s="77"/>
      <c r="C1383" s="74"/>
      <c r="D1383" s="74" t="s">
        <v>958</v>
      </c>
      <c r="E1383" s="78" t="s">
        <v>966</v>
      </c>
      <c r="F1383" s="76" t="s">
        <v>1545</v>
      </c>
      <c r="G1383" s="76" t="s">
        <v>1061</v>
      </c>
      <c r="H1383" s="70"/>
    </row>
    <row r="1384" spans="1:8" x14ac:dyDescent="0.2">
      <c r="A1384" s="73"/>
      <c r="B1384" s="77"/>
      <c r="C1384" s="74"/>
      <c r="D1384" s="74" t="s">
        <v>958</v>
      </c>
      <c r="E1384" s="78" t="s">
        <v>112</v>
      </c>
      <c r="F1384" s="76" t="s">
        <v>2132</v>
      </c>
      <c r="G1384" s="76" t="s">
        <v>1061</v>
      </c>
      <c r="H1384" s="70"/>
    </row>
    <row r="1385" spans="1:8" x14ac:dyDescent="0.2">
      <c r="A1385" s="73"/>
      <c r="B1385" s="77"/>
      <c r="C1385" s="74"/>
      <c r="D1385" s="74" t="s">
        <v>958</v>
      </c>
      <c r="E1385" s="78" t="s">
        <v>966</v>
      </c>
      <c r="F1385" s="76" t="s">
        <v>2132</v>
      </c>
      <c r="G1385" s="76" t="s">
        <v>1061</v>
      </c>
      <c r="H1385" s="70"/>
    </row>
    <row r="1386" spans="1:8" x14ac:dyDescent="0.2">
      <c r="A1386" s="73"/>
      <c r="B1386" s="77"/>
      <c r="C1386" s="74"/>
      <c r="D1386" s="74" t="s">
        <v>958</v>
      </c>
      <c r="E1386" s="78" t="s">
        <v>112</v>
      </c>
      <c r="F1386" s="76" t="s">
        <v>1545</v>
      </c>
      <c r="G1386" s="76" t="s">
        <v>1061</v>
      </c>
      <c r="H1386" s="70"/>
    </row>
    <row r="1387" spans="1:8" x14ac:dyDescent="0.2">
      <c r="A1387" s="73"/>
      <c r="B1387" s="77"/>
      <c r="C1387" s="74"/>
      <c r="D1387" s="74" t="s">
        <v>958</v>
      </c>
      <c r="E1387" s="78" t="s">
        <v>966</v>
      </c>
      <c r="F1387" s="76" t="s">
        <v>1545</v>
      </c>
      <c r="G1387" s="76" t="s">
        <v>1061</v>
      </c>
      <c r="H1387" s="70"/>
    </row>
    <row r="1388" spans="1:8" x14ac:dyDescent="0.2">
      <c r="A1388" s="73"/>
      <c r="B1388" s="77"/>
      <c r="C1388" s="74"/>
      <c r="D1388" s="74" t="s">
        <v>958</v>
      </c>
      <c r="E1388" s="78" t="s">
        <v>96</v>
      </c>
      <c r="F1388" s="76" t="s">
        <v>2129</v>
      </c>
      <c r="G1388" s="76" t="s">
        <v>993</v>
      </c>
      <c r="H1388" s="70"/>
    </row>
    <row r="1389" spans="1:8" x14ac:dyDescent="0.2">
      <c r="A1389" s="73"/>
      <c r="B1389" s="77"/>
      <c r="C1389" s="74"/>
      <c r="D1389" s="74" t="s">
        <v>958</v>
      </c>
      <c r="E1389" s="78" t="s">
        <v>137</v>
      </c>
      <c r="F1389" s="76" t="s">
        <v>2129</v>
      </c>
      <c r="G1389" s="76" t="s">
        <v>993</v>
      </c>
      <c r="H1389" s="70"/>
    </row>
    <row r="1390" spans="1:8" ht="16" x14ac:dyDescent="0.2">
      <c r="A1390" s="73"/>
      <c r="B1390" s="77"/>
      <c r="C1390" s="74"/>
      <c r="D1390" s="74" t="s">
        <v>951</v>
      </c>
      <c r="E1390" s="78" t="s">
        <v>105</v>
      </c>
      <c r="F1390" s="76" t="s">
        <v>96</v>
      </c>
      <c r="G1390" s="75" t="s">
        <v>545</v>
      </c>
      <c r="H1390" s="70"/>
    </row>
    <row r="1391" spans="1:8" ht="16" x14ac:dyDescent="0.2">
      <c r="A1391" s="73"/>
      <c r="B1391" s="77"/>
      <c r="C1391" s="74"/>
      <c r="D1391" s="74" t="s">
        <v>951</v>
      </c>
      <c r="E1391" s="78" t="s">
        <v>105</v>
      </c>
      <c r="F1391" s="76" t="s">
        <v>96</v>
      </c>
      <c r="G1391" s="75" t="s">
        <v>545</v>
      </c>
      <c r="H1391" s="70"/>
    </row>
    <row r="1392" spans="1:8" ht="16" x14ac:dyDescent="0.2">
      <c r="A1392" s="73"/>
      <c r="B1392" s="77"/>
      <c r="C1392" s="74"/>
      <c r="D1392" s="74" t="s">
        <v>951</v>
      </c>
      <c r="E1392" s="78" t="s">
        <v>96</v>
      </c>
      <c r="F1392" s="76" t="s">
        <v>364</v>
      </c>
      <c r="G1392" s="75" t="s">
        <v>555</v>
      </c>
      <c r="H1392" s="70"/>
    </row>
    <row r="1393" spans="1:8" ht="16" x14ac:dyDescent="0.2">
      <c r="A1393" s="73"/>
      <c r="B1393" s="77"/>
      <c r="C1393" s="74"/>
      <c r="D1393" s="74" t="s">
        <v>951</v>
      </c>
      <c r="E1393" s="78" t="s">
        <v>96</v>
      </c>
      <c r="F1393" s="76" t="s">
        <v>1633</v>
      </c>
      <c r="G1393" s="75" t="s">
        <v>929</v>
      </c>
      <c r="H1393" s="70"/>
    </row>
    <row r="1394" spans="1:8" ht="16" x14ac:dyDescent="0.2">
      <c r="A1394" s="73"/>
      <c r="B1394" s="77"/>
      <c r="C1394" s="74"/>
      <c r="D1394" s="74" t="s">
        <v>951</v>
      </c>
      <c r="E1394" s="78" t="s">
        <v>96</v>
      </c>
      <c r="F1394" s="76" t="s">
        <v>282</v>
      </c>
      <c r="G1394" s="75" t="s">
        <v>549</v>
      </c>
      <c r="H1394" s="70"/>
    </row>
    <row r="1395" spans="1:8" ht="16" x14ac:dyDescent="0.2">
      <c r="A1395" s="73"/>
      <c r="B1395" s="77"/>
      <c r="C1395" s="74"/>
      <c r="D1395" s="74" t="s">
        <v>951</v>
      </c>
      <c r="E1395" s="78" t="s">
        <v>96</v>
      </c>
      <c r="F1395" s="76" t="s">
        <v>1601</v>
      </c>
      <c r="G1395" s="75" t="s">
        <v>549</v>
      </c>
      <c r="H1395" s="70"/>
    </row>
    <row r="1396" spans="1:8" ht="16" x14ac:dyDescent="0.2">
      <c r="A1396" s="73"/>
      <c r="B1396" s="77"/>
      <c r="C1396" s="74"/>
      <c r="D1396" s="74" t="s">
        <v>951</v>
      </c>
      <c r="E1396" s="78" t="s">
        <v>96</v>
      </c>
      <c r="F1396" s="76" t="s">
        <v>1599</v>
      </c>
      <c r="G1396" s="75" t="s">
        <v>549</v>
      </c>
      <c r="H1396" s="70"/>
    </row>
    <row r="1397" spans="1:8" ht="16" x14ac:dyDescent="0.2">
      <c r="A1397" s="73"/>
      <c r="B1397" s="77"/>
      <c r="C1397" s="74"/>
      <c r="D1397" s="74" t="s">
        <v>951</v>
      </c>
      <c r="E1397" s="78" t="s">
        <v>96</v>
      </c>
      <c r="F1397" s="76" t="s">
        <v>1600</v>
      </c>
      <c r="G1397" s="75" t="s">
        <v>549</v>
      </c>
      <c r="H1397" s="70"/>
    </row>
    <row r="1398" spans="1:8" ht="16" x14ac:dyDescent="0.2">
      <c r="A1398" s="73"/>
      <c r="B1398" s="77"/>
      <c r="C1398" s="74"/>
      <c r="D1398" s="74" t="s">
        <v>951</v>
      </c>
      <c r="E1398" s="78" t="s">
        <v>105</v>
      </c>
      <c r="F1398" s="76" t="s">
        <v>282</v>
      </c>
      <c r="G1398" s="75" t="s">
        <v>548</v>
      </c>
      <c r="H1398" s="70"/>
    </row>
    <row r="1399" spans="1:8" ht="16" x14ac:dyDescent="0.2">
      <c r="A1399" s="73"/>
      <c r="B1399" s="77"/>
      <c r="C1399" s="74"/>
      <c r="D1399" s="74" t="s">
        <v>951</v>
      </c>
      <c r="E1399" s="78" t="s">
        <v>105</v>
      </c>
      <c r="F1399" s="76" t="s">
        <v>1599</v>
      </c>
      <c r="G1399" s="75" t="s">
        <v>548</v>
      </c>
      <c r="H1399" s="70"/>
    </row>
    <row r="1400" spans="1:8" ht="16" x14ac:dyDescent="0.2">
      <c r="A1400" s="73"/>
      <c r="B1400" s="77"/>
      <c r="C1400" s="74"/>
      <c r="D1400" s="74" t="s">
        <v>951</v>
      </c>
      <c r="E1400" s="78" t="s">
        <v>105</v>
      </c>
      <c r="F1400" s="76" t="s">
        <v>1600</v>
      </c>
      <c r="G1400" s="75" t="s">
        <v>548</v>
      </c>
      <c r="H1400" s="70"/>
    </row>
    <row r="1401" spans="1:8" ht="16" x14ac:dyDescent="0.2">
      <c r="A1401" s="73"/>
      <c r="B1401" s="77"/>
      <c r="C1401" s="74"/>
      <c r="D1401" s="74" t="s">
        <v>951</v>
      </c>
      <c r="E1401" s="78" t="s">
        <v>105</v>
      </c>
      <c r="F1401" s="76" t="s">
        <v>1601</v>
      </c>
      <c r="G1401" s="75" t="s">
        <v>548</v>
      </c>
      <c r="H1401" s="70"/>
    </row>
    <row r="1402" spans="1:8" ht="16" x14ac:dyDescent="0.2">
      <c r="A1402" s="73"/>
      <c r="B1402" s="77"/>
      <c r="C1402" s="74"/>
      <c r="D1402" s="74" t="s">
        <v>951</v>
      </c>
      <c r="E1402" s="78" t="s">
        <v>105</v>
      </c>
      <c r="F1402" s="76" t="s">
        <v>1545</v>
      </c>
      <c r="G1402" s="75" t="s">
        <v>548</v>
      </c>
      <c r="H1402" s="70"/>
    </row>
    <row r="1403" spans="1:8" ht="16" x14ac:dyDescent="0.2">
      <c r="A1403" s="73"/>
      <c r="B1403" s="77"/>
      <c r="C1403" s="74"/>
      <c r="D1403" s="74" t="s">
        <v>951</v>
      </c>
      <c r="E1403" s="78" t="s">
        <v>105</v>
      </c>
      <c r="F1403" s="76" t="s">
        <v>1602</v>
      </c>
      <c r="G1403" s="75" t="s">
        <v>548</v>
      </c>
      <c r="H1403" s="70"/>
    </row>
    <row r="1404" spans="1:8" ht="16" x14ac:dyDescent="0.2">
      <c r="A1404" s="73"/>
      <c r="B1404" s="77"/>
      <c r="C1404" s="74"/>
      <c r="D1404" s="74" t="s">
        <v>951</v>
      </c>
      <c r="E1404" s="78" t="s">
        <v>105</v>
      </c>
      <c r="F1404" s="76" t="s">
        <v>1603</v>
      </c>
      <c r="G1404" s="75" t="s">
        <v>548</v>
      </c>
      <c r="H1404" s="70"/>
    </row>
    <row r="1405" spans="1:8" ht="16" x14ac:dyDescent="0.2">
      <c r="A1405" s="73"/>
      <c r="B1405" s="77"/>
      <c r="C1405" s="74"/>
      <c r="D1405" s="74" t="s">
        <v>951</v>
      </c>
      <c r="E1405" s="78" t="s">
        <v>105</v>
      </c>
      <c r="F1405" s="76" t="s">
        <v>1604</v>
      </c>
      <c r="G1405" s="75" t="s">
        <v>548</v>
      </c>
      <c r="H1405" s="70"/>
    </row>
    <row r="1406" spans="1:8" ht="16" x14ac:dyDescent="0.2">
      <c r="A1406" s="73"/>
      <c r="B1406" s="77"/>
      <c r="C1406" s="74"/>
      <c r="D1406" s="74" t="s">
        <v>951</v>
      </c>
      <c r="E1406" s="78" t="s">
        <v>105</v>
      </c>
      <c r="F1406" s="76" t="s">
        <v>2095</v>
      </c>
      <c r="G1406" s="75" t="s">
        <v>551</v>
      </c>
      <c r="H1406" s="70"/>
    </row>
    <row r="1407" spans="1:8" ht="16" x14ac:dyDescent="0.2">
      <c r="A1407" s="73"/>
      <c r="B1407" s="77"/>
      <c r="C1407" s="74"/>
      <c r="D1407" s="74" t="s">
        <v>951</v>
      </c>
      <c r="E1407" s="78" t="s">
        <v>105</v>
      </c>
      <c r="F1407" s="76" t="s">
        <v>2124</v>
      </c>
      <c r="G1407" s="75" t="s">
        <v>551</v>
      </c>
      <c r="H1407" s="70"/>
    </row>
    <row r="1408" spans="1:8" ht="16" x14ac:dyDescent="0.2">
      <c r="A1408" s="73"/>
      <c r="B1408" s="77"/>
      <c r="C1408" s="74"/>
      <c r="D1408" s="74" t="s">
        <v>951</v>
      </c>
      <c r="E1408" s="78" t="s">
        <v>105</v>
      </c>
      <c r="F1408" s="76" t="s">
        <v>2125</v>
      </c>
      <c r="G1408" s="75" t="s">
        <v>551</v>
      </c>
      <c r="H1408" s="70"/>
    </row>
    <row r="1409" spans="1:8" ht="16" x14ac:dyDescent="0.2">
      <c r="A1409" s="73"/>
      <c r="B1409" s="77"/>
      <c r="C1409" s="74"/>
      <c r="D1409" s="74" t="s">
        <v>951</v>
      </c>
      <c r="E1409" s="78" t="s">
        <v>105</v>
      </c>
      <c r="F1409" s="76" t="s">
        <v>2126</v>
      </c>
      <c r="G1409" s="75" t="s">
        <v>551</v>
      </c>
      <c r="H1409" s="70"/>
    </row>
    <row r="1410" spans="1:8" ht="16" x14ac:dyDescent="0.2">
      <c r="A1410" s="73"/>
      <c r="B1410" s="77"/>
      <c r="C1410" s="74"/>
      <c r="D1410" s="74" t="s">
        <v>951</v>
      </c>
      <c r="E1410" s="78" t="s">
        <v>105</v>
      </c>
      <c r="F1410" s="76" t="s">
        <v>2132</v>
      </c>
      <c r="G1410" s="75" t="s">
        <v>551</v>
      </c>
      <c r="H1410" s="70"/>
    </row>
    <row r="1411" spans="1:8" ht="16" x14ac:dyDescent="0.2">
      <c r="A1411" s="73"/>
      <c r="B1411" s="77"/>
      <c r="C1411" s="74"/>
      <c r="D1411" s="74" t="s">
        <v>951</v>
      </c>
      <c r="E1411" s="78" t="s">
        <v>105</v>
      </c>
      <c r="F1411" s="76" t="s">
        <v>2133</v>
      </c>
      <c r="G1411" s="75" t="s">
        <v>551</v>
      </c>
      <c r="H1411" s="70"/>
    </row>
    <row r="1412" spans="1:8" ht="16" x14ac:dyDescent="0.2">
      <c r="A1412" s="73"/>
      <c r="B1412" s="77"/>
      <c r="C1412" s="74"/>
      <c r="D1412" s="74" t="s">
        <v>951</v>
      </c>
      <c r="E1412" s="78" t="s">
        <v>105</v>
      </c>
      <c r="F1412" s="76" t="s">
        <v>2134</v>
      </c>
      <c r="G1412" s="75" t="s">
        <v>551</v>
      </c>
      <c r="H1412" s="70"/>
    </row>
    <row r="1413" spans="1:8" ht="16" x14ac:dyDescent="0.2">
      <c r="A1413" s="73"/>
      <c r="B1413" s="77"/>
      <c r="C1413" s="74"/>
      <c r="D1413" s="74" t="s">
        <v>951</v>
      </c>
      <c r="E1413" s="78" t="s">
        <v>105</v>
      </c>
      <c r="F1413" s="76" t="s">
        <v>2135</v>
      </c>
      <c r="G1413" s="75" t="s">
        <v>551</v>
      </c>
      <c r="H1413" s="70"/>
    </row>
    <row r="1414" spans="1:8" ht="16" x14ac:dyDescent="0.2">
      <c r="A1414" s="73"/>
      <c r="B1414" s="77"/>
      <c r="C1414" s="74"/>
      <c r="D1414" s="74" t="s">
        <v>951</v>
      </c>
      <c r="E1414" s="78" t="s">
        <v>96</v>
      </c>
      <c r="F1414" s="76" t="s">
        <v>2095</v>
      </c>
      <c r="G1414" s="75" t="s">
        <v>553</v>
      </c>
      <c r="H1414" s="70"/>
    </row>
    <row r="1415" spans="1:8" ht="16" x14ac:dyDescent="0.2">
      <c r="A1415" s="73"/>
      <c r="B1415" s="77"/>
      <c r="C1415" s="74"/>
      <c r="D1415" s="74" t="s">
        <v>951</v>
      </c>
      <c r="E1415" s="78" t="s">
        <v>96</v>
      </c>
      <c r="F1415" s="76" t="s">
        <v>2126</v>
      </c>
      <c r="G1415" s="75" t="s">
        <v>553</v>
      </c>
      <c r="H1415" s="70"/>
    </row>
    <row r="1416" spans="1:8" ht="16" x14ac:dyDescent="0.2">
      <c r="A1416" s="73"/>
      <c r="B1416" s="77"/>
      <c r="C1416" s="74"/>
      <c r="D1416" s="74" t="s">
        <v>951</v>
      </c>
      <c r="E1416" s="78" t="s">
        <v>96</v>
      </c>
      <c r="F1416" s="76" t="s">
        <v>2124</v>
      </c>
      <c r="G1416" s="75" t="s">
        <v>553</v>
      </c>
      <c r="H1416" s="70"/>
    </row>
    <row r="1417" spans="1:8" ht="16" x14ac:dyDescent="0.2">
      <c r="A1417" s="73"/>
      <c r="B1417" s="77"/>
      <c r="C1417" s="74"/>
      <c r="D1417" s="74" t="s">
        <v>951</v>
      </c>
      <c r="E1417" s="78" t="s">
        <v>96</v>
      </c>
      <c r="F1417" s="76" t="s">
        <v>2125</v>
      </c>
      <c r="G1417" s="75" t="s">
        <v>553</v>
      </c>
      <c r="H1417" s="70"/>
    </row>
    <row r="1418" spans="1:8" ht="16" x14ac:dyDescent="0.2">
      <c r="A1418" s="73"/>
      <c r="B1418" s="77"/>
      <c r="C1418" s="74"/>
      <c r="D1418" s="74" t="s">
        <v>951</v>
      </c>
      <c r="E1418" s="78" t="s">
        <v>96</v>
      </c>
      <c r="F1418" s="76" t="s">
        <v>2143</v>
      </c>
      <c r="G1418" s="75" t="s">
        <v>1147</v>
      </c>
      <c r="H1418" s="70"/>
    </row>
    <row r="1419" spans="1:8" ht="16" x14ac:dyDescent="0.2">
      <c r="A1419" s="73"/>
      <c r="B1419" s="77"/>
      <c r="C1419" s="74"/>
      <c r="D1419" s="74" t="s">
        <v>951</v>
      </c>
      <c r="E1419" s="78" t="s">
        <v>96</v>
      </c>
      <c r="F1419" s="76" t="s">
        <v>2144</v>
      </c>
      <c r="G1419" s="75" t="s">
        <v>1147</v>
      </c>
      <c r="H1419" s="70"/>
    </row>
    <row r="1420" spans="1:8" ht="16" x14ac:dyDescent="0.2">
      <c r="A1420" s="73"/>
      <c r="B1420" s="77"/>
      <c r="C1420" s="74"/>
      <c r="D1420" s="74" t="s">
        <v>951</v>
      </c>
      <c r="E1420" s="78" t="s">
        <v>96</v>
      </c>
      <c r="F1420" s="76" t="s">
        <v>2145</v>
      </c>
      <c r="G1420" s="75" t="s">
        <v>1217</v>
      </c>
      <c r="H1420" s="70"/>
    </row>
    <row r="1421" spans="1:8" ht="16" x14ac:dyDescent="0.2">
      <c r="A1421" s="73"/>
      <c r="B1421" s="77"/>
      <c r="C1421" s="74"/>
      <c r="D1421" s="74" t="s">
        <v>951</v>
      </c>
      <c r="E1421" s="78" t="s">
        <v>96</v>
      </c>
      <c r="F1421" s="76" t="s">
        <v>2146</v>
      </c>
      <c r="G1421" s="75" t="s">
        <v>1217</v>
      </c>
      <c r="H1421" s="70"/>
    </row>
    <row r="1422" spans="1:8" ht="16" x14ac:dyDescent="0.2">
      <c r="A1422" s="73"/>
      <c r="B1422" s="77"/>
      <c r="C1422" s="74"/>
      <c r="D1422" s="74" t="s">
        <v>951</v>
      </c>
      <c r="E1422" s="78" t="s">
        <v>96</v>
      </c>
      <c r="F1422" s="76" t="s">
        <v>2127</v>
      </c>
      <c r="G1422" s="75" t="s">
        <v>928</v>
      </c>
      <c r="H1422" s="70"/>
    </row>
    <row r="1423" spans="1:8" ht="16" x14ac:dyDescent="0.2">
      <c r="A1423" s="73"/>
      <c r="B1423" s="77"/>
      <c r="C1423" s="74"/>
      <c r="D1423" s="74" t="s">
        <v>951</v>
      </c>
      <c r="E1423" s="78" t="s">
        <v>96</v>
      </c>
      <c r="F1423" s="76" t="s">
        <v>1595</v>
      </c>
      <c r="G1423" s="75" t="s">
        <v>927</v>
      </c>
      <c r="H1423" s="70"/>
    </row>
    <row r="1424" spans="1:8" ht="16" x14ac:dyDescent="0.2">
      <c r="A1424" s="73"/>
      <c r="B1424" s="77"/>
      <c r="C1424" s="74"/>
      <c r="D1424" s="74" t="s">
        <v>951</v>
      </c>
      <c r="E1424" s="78" t="s">
        <v>96</v>
      </c>
      <c r="F1424" s="76" t="s">
        <v>2128</v>
      </c>
      <c r="G1424" s="75" t="s">
        <v>928</v>
      </c>
      <c r="H1424" s="70"/>
    </row>
    <row r="1425" spans="1:8" ht="16" x14ac:dyDescent="0.2">
      <c r="A1425" s="73"/>
      <c r="B1425" s="77"/>
      <c r="C1425" s="74"/>
      <c r="D1425" s="74" t="s">
        <v>951</v>
      </c>
      <c r="E1425" s="78" t="s">
        <v>96</v>
      </c>
      <c r="F1425" s="76" t="s">
        <v>1596</v>
      </c>
      <c r="G1425" s="75" t="s">
        <v>927</v>
      </c>
      <c r="H1425" s="70"/>
    </row>
    <row r="1426" spans="1:8" x14ac:dyDescent="0.2">
      <c r="A1426" s="73"/>
      <c r="B1426" s="85"/>
      <c r="C1426" s="74"/>
      <c r="D1426" s="74" t="s">
        <v>951</v>
      </c>
      <c r="E1426" s="78" t="s">
        <v>96</v>
      </c>
      <c r="F1426" s="76" t="s">
        <v>226</v>
      </c>
      <c r="G1426" s="76" t="s">
        <v>1146</v>
      </c>
      <c r="H1426" s="70"/>
    </row>
    <row r="1427" spans="1:8" ht="16" x14ac:dyDescent="0.2">
      <c r="A1427" s="73"/>
      <c r="B1427" s="85"/>
      <c r="C1427" s="74"/>
      <c r="D1427" s="74" t="s">
        <v>943</v>
      </c>
      <c r="E1427" s="78" t="s">
        <v>96</v>
      </c>
      <c r="F1427" s="76" t="s">
        <v>390</v>
      </c>
      <c r="G1427" s="75" t="s">
        <v>583</v>
      </c>
      <c r="H1427" s="70"/>
    </row>
    <row r="1428" spans="1:8" ht="16" x14ac:dyDescent="0.2">
      <c r="A1428" s="73"/>
      <c r="B1428" s="85"/>
      <c r="C1428" s="74"/>
      <c r="D1428" s="74" t="s">
        <v>943</v>
      </c>
      <c r="E1428" s="78" t="s">
        <v>96</v>
      </c>
      <c r="F1428" s="76" t="s">
        <v>1641</v>
      </c>
      <c r="G1428" s="75" t="s">
        <v>583</v>
      </c>
      <c r="H1428" s="70"/>
    </row>
    <row r="1429" spans="1:8" ht="16" x14ac:dyDescent="0.2">
      <c r="A1429" s="73"/>
      <c r="B1429" s="85"/>
      <c r="C1429" s="74"/>
      <c r="D1429" s="74" t="s">
        <v>943</v>
      </c>
      <c r="E1429" s="78" t="s">
        <v>96</v>
      </c>
      <c r="F1429" s="76" t="s">
        <v>1642</v>
      </c>
      <c r="G1429" s="75" t="s">
        <v>583</v>
      </c>
      <c r="H1429" s="70"/>
    </row>
    <row r="1430" spans="1:8" ht="16" x14ac:dyDescent="0.2">
      <c r="A1430" s="73"/>
      <c r="B1430" s="85"/>
      <c r="C1430" s="74"/>
      <c r="D1430" s="74" t="s">
        <v>943</v>
      </c>
      <c r="E1430" s="78" t="s">
        <v>96</v>
      </c>
      <c r="F1430" s="76" t="s">
        <v>1690</v>
      </c>
      <c r="G1430" s="75" t="s">
        <v>583</v>
      </c>
      <c r="H1430" s="70"/>
    </row>
    <row r="1431" spans="1:8" ht="16" x14ac:dyDescent="0.2">
      <c r="A1431" s="73"/>
      <c r="B1431" s="85"/>
      <c r="C1431" s="74"/>
      <c r="D1431" s="74" t="s">
        <v>943</v>
      </c>
      <c r="E1431" s="78" t="s">
        <v>96</v>
      </c>
      <c r="F1431" s="76" t="s">
        <v>1691</v>
      </c>
      <c r="G1431" s="75" t="s">
        <v>583</v>
      </c>
      <c r="H1431" s="70"/>
    </row>
    <row r="1432" spans="1:8" ht="16" x14ac:dyDescent="0.2">
      <c r="A1432" s="73"/>
      <c r="B1432" s="85"/>
      <c r="C1432" s="74"/>
      <c r="D1432" s="74" t="s">
        <v>943</v>
      </c>
      <c r="E1432" s="78" t="s">
        <v>96</v>
      </c>
      <c r="F1432" s="76" t="s">
        <v>1643</v>
      </c>
      <c r="G1432" s="75" t="s">
        <v>583</v>
      </c>
      <c r="H1432" s="70"/>
    </row>
    <row r="1433" spans="1:8" ht="16" x14ac:dyDescent="0.2">
      <c r="A1433" s="73"/>
      <c r="B1433" s="85"/>
      <c r="C1433" s="74"/>
      <c r="D1433" s="74" t="s">
        <v>943</v>
      </c>
      <c r="E1433" s="78" t="s">
        <v>96</v>
      </c>
      <c r="F1433" s="76" t="s">
        <v>1644</v>
      </c>
      <c r="G1433" s="75" t="s">
        <v>583</v>
      </c>
      <c r="H1433" s="70"/>
    </row>
    <row r="1434" spans="1:8" ht="16" x14ac:dyDescent="0.2">
      <c r="A1434" s="73"/>
      <c r="B1434" s="85"/>
      <c r="C1434" s="74"/>
      <c r="D1434" s="74" t="s">
        <v>943</v>
      </c>
      <c r="E1434" s="78" t="s">
        <v>96</v>
      </c>
      <c r="F1434" s="76" t="s">
        <v>1692</v>
      </c>
      <c r="G1434" s="75" t="s">
        <v>583</v>
      </c>
      <c r="H1434" s="70"/>
    </row>
    <row r="1435" spans="1:8" ht="16" x14ac:dyDescent="0.2">
      <c r="A1435" s="73"/>
      <c r="B1435" s="85"/>
      <c r="C1435" s="74"/>
      <c r="D1435" s="74" t="s">
        <v>943</v>
      </c>
      <c r="E1435" s="78" t="s">
        <v>96</v>
      </c>
      <c r="F1435" s="76" t="s">
        <v>1645</v>
      </c>
      <c r="G1435" s="75" t="s">
        <v>583</v>
      </c>
      <c r="H1435" s="70"/>
    </row>
    <row r="1436" spans="1:8" ht="16" x14ac:dyDescent="0.2">
      <c r="A1436" s="73"/>
      <c r="B1436" s="85"/>
      <c r="C1436" s="74"/>
      <c r="D1436" s="74" t="s">
        <v>943</v>
      </c>
      <c r="E1436" s="78" t="s">
        <v>96</v>
      </c>
      <c r="F1436" s="76" t="s">
        <v>398</v>
      </c>
      <c r="G1436" s="75" t="s">
        <v>583</v>
      </c>
      <c r="H1436" s="70"/>
    </row>
    <row r="1437" spans="1:8" ht="16" x14ac:dyDescent="0.2">
      <c r="A1437" s="73"/>
      <c r="B1437" s="85"/>
      <c r="C1437" s="74"/>
      <c r="D1437" s="74" t="s">
        <v>943</v>
      </c>
      <c r="E1437" s="78" t="s">
        <v>96</v>
      </c>
      <c r="F1437" s="76" t="s">
        <v>1693</v>
      </c>
      <c r="G1437" s="75" t="s">
        <v>583</v>
      </c>
      <c r="H1437" s="70"/>
    </row>
    <row r="1438" spans="1:8" ht="16" x14ac:dyDescent="0.2">
      <c r="A1438" s="73"/>
      <c r="B1438" s="85"/>
      <c r="C1438" s="74"/>
      <c r="D1438" s="74" t="s">
        <v>943</v>
      </c>
      <c r="E1438" s="78" t="s">
        <v>96</v>
      </c>
      <c r="F1438" s="76" t="s">
        <v>402</v>
      </c>
      <c r="G1438" s="75" t="s">
        <v>583</v>
      </c>
      <c r="H1438" s="70"/>
    </row>
    <row r="1439" spans="1:8" ht="16" x14ac:dyDescent="0.2">
      <c r="A1439" s="73"/>
      <c r="B1439" s="85"/>
      <c r="C1439" s="74"/>
      <c r="D1439" s="74" t="s">
        <v>943</v>
      </c>
      <c r="E1439" s="78" t="s">
        <v>96</v>
      </c>
      <c r="F1439" s="76" t="s">
        <v>1694</v>
      </c>
      <c r="G1439" s="75" t="s">
        <v>583</v>
      </c>
      <c r="H1439" s="70"/>
    </row>
    <row r="1440" spans="1:8" ht="16" x14ac:dyDescent="0.2">
      <c r="A1440" s="73"/>
      <c r="B1440" s="85"/>
      <c r="C1440" s="74"/>
      <c r="D1440" s="74" t="s">
        <v>943</v>
      </c>
      <c r="E1440" s="78" t="s">
        <v>96</v>
      </c>
      <c r="F1440" s="76" t="s">
        <v>1646</v>
      </c>
      <c r="G1440" s="75" t="s">
        <v>585</v>
      </c>
      <c r="H1440" s="70"/>
    </row>
    <row r="1441" spans="1:8" ht="16" x14ac:dyDescent="0.2">
      <c r="A1441" s="73"/>
      <c r="B1441" s="85"/>
      <c r="C1441" s="74"/>
      <c r="D1441" s="74" t="s">
        <v>943</v>
      </c>
      <c r="E1441" s="78" t="s">
        <v>96</v>
      </c>
      <c r="F1441" s="76" t="s">
        <v>1649</v>
      </c>
      <c r="G1441" s="75" t="s">
        <v>585</v>
      </c>
      <c r="H1441" s="70"/>
    </row>
    <row r="1442" spans="1:8" ht="16" x14ac:dyDescent="0.2">
      <c r="A1442" s="73"/>
      <c r="B1442" s="85"/>
      <c r="C1442" s="74"/>
      <c r="D1442" s="74" t="s">
        <v>943</v>
      </c>
      <c r="E1442" s="78" t="s">
        <v>96</v>
      </c>
      <c r="F1442" s="76" t="s">
        <v>1650</v>
      </c>
      <c r="G1442" s="75" t="s">
        <v>585</v>
      </c>
      <c r="H1442" s="70"/>
    </row>
    <row r="1443" spans="1:8" ht="16" x14ac:dyDescent="0.2">
      <c r="A1443" s="73"/>
      <c r="B1443" s="85"/>
      <c r="C1443" s="74"/>
      <c r="D1443" s="74" t="s">
        <v>943</v>
      </c>
      <c r="E1443" s="78" t="s">
        <v>96</v>
      </c>
      <c r="F1443" s="76" t="s">
        <v>1651</v>
      </c>
      <c r="G1443" s="75" t="s">
        <v>585</v>
      </c>
      <c r="H1443" s="70"/>
    </row>
    <row r="1444" spans="1:8" ht="16" x14ac:dyDescent="0.2">
      <c r="A1444" s="73"/>
      <c r="B1444" s="85"/>
      <c r="C1444" s="74"/>
      <c r="D1444" s="74" t="s">
        <v>943</v>
      </c>
      <c r="E1444" s="78" t="s">
        <v>96</v>
      </c>
      <c r="F1444" s="76" t="s">
        <v>1695</v>
      </c>
      <c r="G1444" s="75" t="s">
        <v>585</v>
      </c>
      <c r="H1444" s="70"/>
    </row>
    <row r="1445" spans="1:8" ht="16" x14ac:dyDescent="0.2">
      <c r="A1445" s="73"/>
      <c r="B1445" s="85"/>
      <c r="C1445" s="74"/>
      <c r="D1445" s="74" t="s">
        <v>943</v>
      </c>
      <c r="E1445" s="78" t="s">
        <v>96</v>
      </c>
      <c r="F1445" s="76" t="s">
        <v>1696</v>
      </c>
      <c r="G1445" s="75" t="s">
        <v>585</v>
      </c>
      <c r="H1445" s="70"/>
    </row>
    <row r="1446" spans="1:8" ht="16" x14ac:dyDescent="0.2">
      <c r="A1446" s="73"/>
      <c r="B1446" s="85"/>
      <c r="C1446" s="74"/>
      <c r="D1446" s="74" t="s">
        <v>943</v>
      </c>
      <c r="E1446" s="78" t="s">
        <v>96</v>
      </c>
      <c r="F1446" s="76" t="s">
        <v>1647</v>
      </c>
      <c r="G1446" s="75" t="s">
        <v>585</v>
      </c>
      <c r="H1446" s="70"/>
    </row>
    <row r="1447" spans="1:8" ht="16" x14ac:dyDescent="0.2">
      <c r="A1447" s="73"/>
      <c r="B1447" s="85"/>
      <c r="C1447" s="74"/>
      <c r="D1447" s="74" t="s">
        <v>943</v>
      </c>
      <c r="E1447" s="78" t="s">
        <v>96</v>
      </c>
      <c r="F1447" s="76" t="s">
        <v>1648</v>
      </c>
      <c r="G1447" s="75" t="s">
        <v>585</v>
      </c>
      <c r="H1447" s="70"/>
    </row>
    <row r="1448" spans="1:8" ht="16" x14ac:dyDescent="0.2">
      <c r="A1448" s="73"/>
      <c r="B1448" s="85"/>
      <c r="C1448" s="74"/>
      <c r="D1448" s="74" t="s">
        <v>943</v>
      </c>
      <c r="E1448" s="78" t="s">
        <v>96</v>
      </c>
      <c r="F1448" s="76" t="s">
        <v>1697</v>
      </c>
      <c r="G1448" s="75" t="s">
        <v>585</v>
      </c>
      <c r="H1448" s="70"/>
    </row>
    <row r="1449" spans="1:8" ht="16" x14ac:dyDescent="0.2">
      <c r="A1449" s="73"/>
      <c r="B1449" s="85"/>
      <c r="C1449" s="74"/>
      <c r="D1449" s="74" t="s">
        <v>943</v>
      </c>
      <c r="E1449" s="78" t="s">
        <v>96</v>
      </c>
      <c r="F1449" s="76" t="s">
        <v>1698</v>
      </c>
      <c r="G1449" s="75" t="s">
        <v>585</v>
      </c>
      <c r="H1449" s="70"/>
    </row>
    <row r="1450" spans="1:8" ht="16" x14ac:dyDescent="0.2">
      <c r="A1450" s="73"/>
      <c r="B1450" s="85"/>
      <c r="C1450" s="74"/>
      <c r="D1450" s="74" t="s">
        <v>943</v>
      </c>
      <c r="E1450" s="78" t="s">
        <v>96</v>
      </c>
      <c r="F1450" s="76" t="s">
        <v>1699</v>
      </c>
      <c r="G1450" s="75" t="s">
        <v>585</v>
      </c>
      <c r="H1450" s="70"/>
    </row>
    <row r="1451" spans="1:8" ht="16" x14ac:dyDescent="0.2">
      <c r="A1451" s="73"/>
      <c r="B1451" s="85"/>
      <c r="C1451" s="74"/>
      <c r="D1451" s="74" t="s">
        <v>943</v>
      </c>
      <c r="E1451" s="78" t="s">
        <v>96</v>
      </c>
      <c r="F1451" s="76" t="s">
        <v>1700</v>
      </c>
      <c r="G1451" s="75" t="s">
        <v>585</v>
      </c>
      <c r="H1451" s="70"/>
    </row>
    <row r="1452" spans="1:8" x14ac:dyDescent="0.2">
      <c r="A1452" s="73"/>
      <c r="B1452" s="77"/>
      <c r="C1452" s="74"/>
      <c r="D1452" s="74" t="s">
        <v>943</v>
      </c>
      <c r="E1452" s="78" t="s">
        <v>96</v>
      </c>
      <c r="F1452" s="76" t="s">
        <v>226</v>
      </c>
      <c r="G1452" s="86" t="s">
        <v>498</v>
      </c>
      <c r="H1452" s="70"/>
    </row>
    <row r="1453" spans="1:8" ht="16" x14ac:dyDescent="0.2">
      <c r="A1453" s="73"/>
      <c r="B1453" s="77"/>
      <c r="C1453" s="74"/>
      <c r="D1453" s="74" t="s">
        <v>943</v>
      </c>
      <c r="E1453" s="78" t="s">
        <v>105</v>
      </c>
      <c r="F1453" s="76" t="s">
        <v>1634</v>
      </c>
      <c r="G1453" s="75" t="s">
        <v>502</v>
      </c>
      <c r="H1453" s="70"/>
    </row>
    <row r="1454" spans="1:8" ht="16" x14ac:dyDescent="0.2">
      <c r="A1454" s="73"/>
      <c r="B1454" s="77"/>
      <c r="C1454" s="74"/>
      <c r="D1454" s="74" t="s">
        <v>943</v>
      </c>
      <c r="E1454" s="78" t="s">
        <v>105</v>
      </c>
      <c r="F1454" s="76" t="s">
        <v>1636</v>
      </c>
      <c r="G1454" s="75" t="s">
        <v>502</v>
      </c>
      <c r="H1454" s="70"/>
    </row>
    <row r="1455" spans="1:8" ht="16" x14ac:dyDescent="0.2">
      <c r="A1455" s="73"/>
      <c r="B1455" s="77"/>
      <c r="C1455" s="74"/>
      <c r="D1455" s="74" t="s">
        <v>943</v>
      </c>
      <c r="E1455" s="78" t="s">
        <v>105</v>
      </c>
      <c r="F1455" s="76" t="s">
        <v>1635</v>
      </c>
      <c r="G1455" s="75" t="s">
        <v>502</v>
      </c>
      <c r="H1455" s="70"/>
    </row>
    <row r="1456" spans="1:8" ht="16" x14ac:dyDescent="0.2">
      <c r="A1456" s="73"/>
      <c r="B1456" s="77"/>
      <c r="C1456" s="74"/>
      <c r="D1456" s="74" t="s">
        <v>943</v>
      </c>
      <c r="E1456" s="78" t="s">
        <v>105</v>
      </c>
      <c r="F1456" s="76" t="s">
        <v>1713</v>
      </c>
      <c r="G1456" s="75" t="s">
        <v>502</v>
      </c>
      <c r="H1456" s="70"/>
    </row>
    <row r="1457" spans="1:8" ht="16" x14ac:dyDescent="0.2">
      <c r="A1457" s="73"/>
      <c r="B1457" s="77"/>
      <c r="C1457" s="74"/>
      <c r="D1457" s="74" t="s">
        <v>943</v>
      </c>
      <c r="E1457" s="78" t="s">
        <v>105</v>
      </c>
      <c r="F1457" s="76" t="s">
        <v>1637</v>
      </c>
      <c r="G1457" s="75" t="s">
        <v>502</v>
      </c>
      <c r="H1457" s="70"/>
    </row>
    <row r="1458" spans="1:8" ht="16" x14ac:dyDescent="0.2">
      <c r="A1458" s="73"/>
      <c r="B1458" s="77"/>
      <c r="C1458" s="74"/>
      <c r="D1458" s="74" t="s">
        <v>943</v>
      </c>
      <c r="E1458" s="78" t="s">
        <v>105</v>
      </c>
      <c r="F1458" s="76" t="s">
        <v>1638</v>
      </c>
      <c r="G1458" s="75" t="s">
        <v>502</v>
      </c>
      <c r="H1458" s="70"/>
    </row>
    <row r="1459" spans="1:8" ht="16" x14ac:dyDescent="0.2">
      <c r="A1459" s="73"/>
      <c r="B1459" s="77"/>
      <c r="C1459" s="74"/>
      <c r="D1459" s="74" t="s">
        <v>943</v>
      </c>
      <c r="E1459" s="78" t="s">
        <v>105</v>
      </c>
      <c r="F1459" s="76" t="s">
        <v>1639</v>
      </c>
      <c r="G1459" s="75" t="s">
        <v>502</v>
      </c>
      <c r="H1459" s="70"/>
    </row>
    <row r="1460" spans="1:8" ht="16" x14ac:dyDescent="0.2">
      <c r="A1460" s="73"/>
      <c r="B1460" s="77"/>
      <c r="C1460" s="74"/>
      <c r="D1460" s="74" t="s">
        <v>943</v>
      </c>
      <c r="E1460" s="78" t="s">
        <v>105</v>
      </c>
      <c r="F1460" s="76" t="s">
        <v>1640</v>
      </c>
      <c r="G1460" s="75" t="s">
        <v>502</v>
      </c>
      <c r="H1460" s="70"/>
    </row>
    <row r="1461" spans="1:8" ht="16" x14ac:dyDescent="0.2">
      <c r="A1461" s="73"/>
      <c r="B1461" s="77"/>
      <c r="C1461" s="74"/>
      <c r="D1461" s="74" t="s">
        <v>943</v>
      </c>
      <c r="E1461" s="78" t="s">
        <v>105</v>
      </c>
      <c r="F1461" s="76" t="s">
        <v>1634</v>
      </c>
      <c r="G1461" s="75" t="s">
        <v>502</v>
      </c>
      <c r="H1461" s="70"/>
    </row>
    <row r="1462" spans="1:8" ht="16" x14ac:dyDescent="0.2">
      <c r="A1462" s="73"/>
      <c r="B1462" s="77"/>
      <c r="C1462" s="74"/>
      <c r="D1462" s="74" t="s">
        <v>943</v>
      </c>
      <c r="E1462" s="78" t="s">
        <v>105</v>
      </c>
      <c r="F1462" s="76" t="s">
        <v>1636</v>
      </c>
      <c r="G1462" s="75" t="s">
        <v>502</v>
      </c>
      <c r="H1462" s="70"/>
    </row>
    <row r="1463" spans="1:8" ht="16" x14ac:dyDescent="0.2">
      <c r="A1463" s="73"/>
      <c r="B1463" s="77"/>
      <c r="C1463" s="74"/>
      <c r="D1463" s="74" t="s">
        <v>943</v>
      </c>
      <c r="E1463" s="78" t="s">
        <v>105</v>
      </c>
      <c r="F1463" s="76" t="s">
        <v>1635</v>
      </c>
      <c r="G1463" s="75" t="s">
        <v>502</v>
      </c>
      <c r="H1463" s="70"/>
    </row>
    <row r="1464" spans="1:8" ht="16" x14ac:dyDescent="0.2">
      <c r="A1464" s="73"/>
      <c r="B1464" s="77"/>
      <c r="C1464" s="74"/>
      <c r="D1464" s="74" t="s">
        <v>943</v>
      </c>
      <c r="E1464" s="78" t="s">
        <v>105</v>
      </c>
      <c r="F1464" s="76" t="s">
        <v>1713</v>
      </c>
      <c r="G1464" s="75" t="s">
        <v>502</v>
      </c>
      <c r="H1464" s="70"/>
    </row>
    <row r="1465" spans="1:8" ht="16" x14ac:dyDescent="0.2">
      <c r="A1465" s="73"/>
      <c r="B1465" s="77"/>
      <c r="C1465" s="74"/>
      <c r="D1465" s="74" t="s">
        <v>943</v>
      </c>
      <c r="E1465" s="78" t="s">
        <v>105</v>
      </c>
      <c r="F1465" s="76" t="s">
        <v>1637</v>
      </c>
      <c r="G1465" s="75" t="s">
        <v>502</v>
      </c>
      <c r="H1465" s="70"/>
    </row>
    <row r="1466" spans="1:8" ht="16" x14ac:dyDescent="0.2">
      <c r="A1466" s="73"/>
      <c r="B1466" s="77"/>
      <c r="C1466" s="74"/>
      <c r="D1466" s="74" t="s">
        <v>943</v>
      </c>
      <c r="E1466" s="78" t="s">
        <v>105</v>
      </c>
      <c r="F1466" s="76" t="s">
        <v>1638</v>
      </c>
      <c r="G1466" s="75" t="s">
        <v>502</v>
      </c>
      <c r="H1466" s="70"/>
    </row>
    <row r="1467" spans="1:8" ht="16" x14ac:dyDescent="0.2">
      <c r="A1467" s="73"/>
      <c r="B1467" s="77"/>
      <c r="C1467" s="74"/>
      <c r="D1467" s="74" t="s">
        <v>943</v>
      </c>
      <c r="E1467" s="78" t="s">
        <v>105</v>
      </c>
      <c r="F1467" s="76" t="s">
        <v>1639</v>
      </c>
      <c r="G1467" s="75" t="s">
        <v>502</v>
      </c>
      <c r="H1467" s="70"/>
    </row>
    <row r="1468" spans="1:8" ht="16" x14ac:dyDescent="0.2">
      <c r="A1468" s="73"/>
      <c r="B1468" s="77"/>
      <c r="C1468" s="74"/>
      <c r="D1468" s="74" t="s">
        <v>943</v>
      </c>
      <c r="E1468" s="78" t="s">
        <v>105</v>
      </c>
      <c r="F1468" s="76" t="s">
        <v>1640</v>
      </c>
      <c r="G1468" s="75" t="s">
        <v>502</v>
      </c>
      <c r="H1468" s="70"/>
    </row>
    <row r="1469" spans="1:8" ht="16" x14ac:dyDescent="0.2">
      <c r="A1469" s="73"/>
      <c r="B1469" s="77"/>
      <c r="C1469" s="74"/>
      <c r="D1469" s="74" t="s">
        <v>943</v>
      </c>
      <c r="E1469" s="78" t="s">
        <v>96</v>
      </c>
      <c r="F1469" s="76" t="s">
        <v>1674</v>
      </c>
      <c r="G1469" s="75" t="s">
        <v>1209</v>
      </c>
      <c r="H1469" s="70"/>
    </row>
    <row r="1470" spans="1:8" ht="16" x14ac:dyDescent="0.2">
      <c r="A1470" s="73"/>
      <c r="B1470" s="77"/>
      <c r="C1470" s="74"/>
      <c r="D1470" s="74" t="s">
        <v>943</v>
      </c>
      <c r="E1470" s="78" t="s">
        <v>96</v>
      </c>
      <c r="F1470" s="76" t="s">
        <v>1676</v>
      </c>
      <c r="G1470" s="75" t="s">
        <v>1209</v>
      </c>
      <c r="H1470" s="70"/>
    </row>
    <row r="1471" spans="1:8" ht="16" x14ac:dyDescent="0.2">
      <c r="A1471" s="73"/>
      <c r="B1471" s="77"/>
      <c r="C1471" s="74"/>
      <c r="D1471" s="74" t="s">
        <v>943</v>
      </c>
      <c r="E1471" s="78" t="s">
        <v>96</v>
      </c>
      <c r="F1471" s="76" t="s">
        <v>1675</v>
      </c>
      <c r="G1471" s="75" t="s">
        <v>1209</v>
      </c>
      <c r="H1471" s="70"/>
    </row>
    <row r="1472" spans="1:8" ht="16" x14ac:dyDescent="0.2">
      <c r="A1472" s="73"/>
      <c r="B1472" s="77"/>
      <c r="C1472" s="74"/>
      <c r="D1472" s="74" t="s">
        <v>943</v>
      </c>
      <c r="E1472" s="78" t="s">
        <v>96</v>
      </c>
      <c r="F1472" s="76" t="s">
        <v>1678</v>
      </c>
      <c r="G1472" s="75" t="s">
        <v>1210</v>
      </c>
      <c r="H1472" s="70"/>
    </row>
    <row r="1473" spans="1:8" ht="16" x14ac:dyDescent="0.2">
      <c r="A1473" s="73"/>
      <c r="B1473" s="77"/>
      <c r="C1473" s="74"/>
      <c r="D1473" s="74" t="s">
        <v>943</v>
      </c>
      <c r="E1473" s="78" t="s">
        <v>96</v>
      </c>
      <c r="F1473" s="76" t="s">
        <v>1679</v>
      </c>
      <c r="G1473" s="75" t="s">
        <v>1210</v>
      </c>
      <c r="H1473" s="70"/>
    </row>
    <row r="1474" spans="1:8" ht="16" x14ac:dyDescent="0.2">
      <c r="A1474" s="73"/>
      <c r="B1474" s="77"/>
      <c r="C1474" s="74"/>
      <c r="D1474" s="74" t="s">
        <v>943</v>
      </c>
      <c r="E1474" s="78" t="s">
        <v>96</v>
      </c>
      <c r="F1474" s="76" t="s">
        <v>1680</v>
      </c>
      <c r="G1474" s="75" t="s">
        <v>1210</v>
      </c>
      <c r="H1474" s="70"/>
    </row>
    <row r="1475" spans="1:8" ht="16" x14ac:dyDescent="0.2">
      <c r="A1475" s="73"/>
      <c r="B1475" s="77"/>
      <c r="C1475" s="74"/>
      <c r="D1475" s="74" t="s">
        <v>943</v>
      </c>
      <c r="E1475" s="78" t="s">
        <v>96</v>
      </c>
      <c r="F1475" s="76" t="s">
        <v>1677</v>
      </c>
      <c r="G1475" s="75" t="s">
        <v>1209</v>
      </c>
      <c r="H1475" s="70"/>
    </row>
    <row r="1476" spans="1:8" ht="16" x14ac:dyDescent="0.2">
      <c r="A1476" s="73"/>
      <c r="B1476" s="77"/>
      <c r="C1476" s="74"/>
      <c r="D1476" s="74" t="s">
        <v>943</v>
      </c>
      <c r="E1476" s="78" t="s">
        <v>96</v>
      </c>
      <c r="F1476" s="76" t="s">
        <v>1682</v>
      </c>
      <c r="G1476" s="75" t="s">
        <v>1215</v>
      </c>
      <c r="H1476" s="70"/>
    </row>
    <row r="1477" spans="1:8" ht="16" x14ac:dyDescent="0.2">
      <c r="A1477" s="73"/>
      <c r="B1477" s="77"/>
      <c r="C1477" s="74"/>
      <c r="D1477" s="74" t="s">
        <v>943</v>
      </c>
      <c r="E1477" s="78" t="s">
        <v>96</v>
      </c>
      <c r="F1477" s="76" t="s">
        <v>1684</v>
      </c>
      <c r="G1477" s="75" t="s">
        <v>1215</v>
      </c>
      <c r="H1477" s="70"/>
    </row>
    <row r="1478" spans="1:8" ht="16" x14ac:dyDescent="0.2">
      <c r="A1478" s="73"/>
      <c r="B1478" s="77"/>
      <c r="C1478" s="74"/>
      <c r="D1478" s="74" t="s">
        <v>943</v>
      </c>
      <c r="E1478" s="78" t="s">
        <v>96</v>
      </c>
      <c r="F1478" s="76" t="s">
        <v>1683</v>
      </c>
      <c r="G1478" s="75" t="s">
        <v>1215</v>
      </c>
      <c r="H1478" s="70"/>
    </row>
    <row r="1479" spans="1:8" ht="16" x14ac:dyDescent="0.2">
      <c r="A1479" s="73"/>
      <c r="B1479" s="77"/>
      <c r="C1479" s="74"/>
      <c r="D1479" s="74" t="s">
        <v>943</v>
      </c>
      <c r="E1479" s="78" t="s">
        <v>96</v>
      </c>
      <c r="F1479" s="76" t="s">
        <v>1686</v>
      </c>
      <c r="G1479" s="75" t="s">
        <v>1216</v>
      </c>
      <c r="H1479" s="70"/>
    </row>
    <row r="1480" spans="1:8" ht="16" x14ac:dyDescent="0.2">
      <c r="A1480" s="73"/>
      <c r="B1480" s="77"/>
      <c r="C1480" s="74"/>
      <c r="D1480" s="74" t="s">
        <v>943</v>
      </c>
      <c r="E1480" s="78" t="s">
        <v>96</v>
      </c>
      <c r="F1480" s="76" t="s">
        <v>1687</v>
      </c>
      <c r="G1480" s="75" t="s">
        <v>1216</v>
      </c>
      <c r="H1480" s="70"/>
    </row>
    <row r="1481" spans="1:8" ht="16" x14ac:dyDescent="0.2">
      <c r="A1481" s="73"/>
      <c r="B1481" s="77"/>
      <c r="C1481" s="74"/>
      <c r="D1481" s="74" t="s">
        <v>943</v>
      </c>
      <c r="E1481" s="78" t="s">
        <v>96</v>
      </c>
      <c r="F1481" s="76" t="s">
        <v>1688</v>
      </c>
      <c r="G1481" s="75" t="s">
        <v>1216</v>
      </c>
      <c r="H1481" s="70"/>
    </row>
    <row r="1482" spans="1:8" ht="16" x14ac:dyDescent="0.2">
      <c r="A1482" s="73"/>
      <c r="B1482" s="77"/>
      <c r="C1482" s="74"/>
      <c r="D1482" s="74" t="s">
        <v>943</v>
      </c>
      <c r="E1482" s="78" t="s">
        <v>96</v>
      </c>
      <c r="F1482" s="76" t="s">
        <v>1685</v>
      </c>
      <c r="G1482" s="75" t="s">
        <v>1215</v>
      </c>
      <c r="H1482" s="70"/>
    </row>
    <row r="1483" spans="1:8" x14ac:dyDescent="0.2">
      <c r="A1483" s="73"/>
      <c r="B1483" s="85"/>
      <c r="C1483" s="74"/>
      <c r="D1483" s="74" t="s">
        <v>943</v>
      </c>
      <c r="E1483" s="78" t="s">
        <v>96</v>
      </c>
      <c r="F1483" s="76" t="s">
        <v>394</v>
      </c>
      <c r="G1483" s="76" t="s">
        <v>1190</v>
      </c>
      <c r="H1483" s="70"/>
    </row>
    <row r="1484" spans="1:8" x14ac:dyDescent="0.2">
      <c r="A1484" s="73"/>
      <c r="B1484" s="85"/>
      <c r="C1484" s="74"/>
      <c r="D1484" s="74" t="s">
        <v>943</v>
      </c>
      <c r="E1484" s="78" t="s">
        <v>96</v>
      </c>
      <c r="F1484" s="76" t="s">
        <v>1652</v>
      </c>
      <c r="G1484" s="76" t="s">
        <v>1190</v>
      </c>
      <c r="H1484" s="70"/>
    </row>
    <row r="1485" spans="1:8" x14ac:dyDescent="0.2">
      <c r="A1485" s="73"/>
      <c r="B1485" s="85"/>
      <c r="C1485" s="74"/>
      <c r="D1485" s="74" t="s">
        <v>943</v>
      </c>
      <c r="E1485" s="78" t="s">
        <v>96</v>
      </c>
      <c r="F1485" s="76" t="s">
        <v>1653</v>
      </c>
      <c r="G1485" s="76" t="s">
        <v>1190</v>
      </c>
      <c r="H1485" s="70"/>
    </row>
    <row r="1486" spans="1:8" x14ac:dyDescent="0.2">
      <c r="A1486" s="73"/>
      <c r="B1486" s="85"/>
      <c r="C1486" s="74"/>
      <c r="D1486" s="74" t="s">
        <v>943</v>
      </c>
      <c r="E1486" s="78" t="s">
        <v>96</v>
      </c>
      <c r="F1486" s="76" t="s">
        <v>1654</v>
      </c>
      <c r="G1486" s="76" t="s">
        <v>1190</v>
      </c>
      <c r="H1486" s="70"/>
    </row>
    <row r="1487" spans="1:8" x14ac:dyDescent="0.2">
      <c r="A1487" s="73"/>
      <c r="B1487" s="85"/>
      <c r="C1487" s="74"/>
      <c r="D1487" s="74" t="s">
        <v>943</v>
      </c>
      <c r="E1487" s="78" t="s">
        <v>96</v>
      </c>
      <c r="F1487" s="76" t="s">
        <v>1655</v>
      </c>
      <c r="G1487" s="76" t="s">
        <v>1190</v>
      </c>
      <c r="H1487" s="70"/>
    </row>
    <row r="1488" spans="1:8" x14ac:dyDescent="0.2">
      <c r="A1488" s="73"/>
      <c r="B1488" s="85"/>
      <c r="C1488" s="74"/>
      <c r="D1488" s="74" t="s">
        <v>943</v>
      </c>
      <c r="E1488" s="78" t="s">
        <v>96</v>
      </c>
      <c r="F1488" s="76" t="s">
        <v>1656</v>
      </c>
      <c r="G1488" s="76" t="s">
        <v>1190</v>
      </c>
      <c r="H1488" s="70"/>
    </row>
    <row r="1489" spans="1:8" x14ac:dyDescent="0.2">
      <c r="A1489" s="73"/>
      <c r="B1489" s="85"/>
      <c r="C1489" s="74"/>
      <c r="D1489" s="74" t="s">
        <v>943</v>
      </c>
      <c r="E1489" s="78" t="s">
        <v>96</v>
      </c>
      <c r="F1489" s="76" t="s">
        <v>1657</v>
      </c>
      <c r="G1489" s="76" t="s">
        <v>1190</v>
      </c>
      <c r="H1489" s="70"/>
    </row>
    <row r="1490" spans="1:8" x14ac:dyDescent="0.2">
      <c r="A1490" s="73"/>
      <c r="B1490" s="85"/>
      <c r="C1490" s="74"/>
      <c r="D1490" s="74" t="s">
        <v>943</v>
      </c>
      <c r="E1490" s="78" t="s">
        <v>96</v>
      </c>
      <c r="F1490" s="76" t="s">
        <v>1701</v>
      </c>
      <c r="G1490" s="76" t="s">
        <v>1190</v>
      </c>
      <c r="H1490" s="70"/>
    </row>
    <row r="1491" spans="1:8" x14ac:dyDescent="0.2">
      <c r="A1491" s="73"/>
      <c r="B1491" s="85"/>
      <c r="C1491" s="74"/>
      <c r="D1491" s="74" t="s">
        <v>943</v>
      </c>
      <c r="E1491" s="78" t="s">
        <v>96</v>
      </c>
      <c r="F1491" s="76" t="s">
        <v>1658</v>
      </c>
      <c r="G1491" s="76" t="s">
        <v>1190</v>
      </c>
      <c r="H1491" s="70"/>
    </row>
    <row r="1492" spans="1:8" x14ac:dyDescent="0.2">
      <c r="A1492" s="73"/>
      <c r="B1492" s="85"/>
      <c r="C1492" s="74"/>
      <c r="D1492" s="74" t="s">
        <v>943</v>
      </c>
      <c r="E1492" s="78" t="s">
        <v>96</v>
      </c>
      <c r="F1492" s="76" t="s">
        <v>1702</v>
      </c>
      <c r="G1492" s="76" t="s">
        <v>1190</v>
      </c>
      <c r="H1492" s="70"/>
    </row>
    <row r="1493" spans="1:8" x14ac:dyDescent="0.2">
      <c r="A1493" s="73"/>
      <c r="B1493" s="85"/>
      <c r="C1493" s="74"/>
      <c r="D1493" s="74" t="s">
        <v>943</v>
      </c>
      <c r="E1493" s="78" t="s">
        <v>96</v>
      </c>
      <c r="F1493" s="76" t="s">
        <v>1703</v>
      </c>
      <c r="G1493" s="76" t="s">
        <v>1190</v>
      </c>
      <c r="H1493" s="70"/>
    </row>
    <row r="1494" spans="1:8" x14ac:dyDescent="0.2">
      <c r="A1494" s="73"/>
      <c r="B1494" s="85"/>
      <c r="C1494" s="74"/>
      <c r="D1494" s="74" t="s">
        <v>943</v>
      </c>
      <c r="E1494" s="78" t="s">
        <v>96</v>
      </c>
      <c r="F1494" s="76" t="s">
        <v>1704</v>
      </c>
      <c r="G1494" s="76" t="s">
        <v>1190</v>
      </c>
      <c r="H1494" s="70"/>
    </row>
    <row r="1495" spans="1:8" x14ac:dyDescent="0.2">
      <c r="A1495" s="73"/>
      <c r="B1495" s="85"/>
      <c r="C1495" s="74"/>
      <c r="D1495" s="74" t="s">
        <v>943</v>
      </c>
      <c r="E1495" s="78" t="s">
        <v>96</v>
      </c>
      <c r="F1495" s="76" t="s">
        <v>1705</v>
      </c>
      <c r="G1495" s="76" t="s">
        <v>1190</v>
      </c>
      <c r="H1495" s="70"/>
    </row>
    <row r="1496" spans="1:8" x14ac:dyDescent="0.2">
      <c r="A1496" s="73"/>
      <c r="B1496" s="85"/>
      <c r="C1496" s="74"/>
      <c r="D1496" s="74" t="s">
        <v>943</v>
      </c>
      <c r="E1496" s="78" t="s">
        <v>96</v>
      </c>
      <c r="F1496" s="76" t="s">
        <v>1659</v>
      </c>
      <c r="G1496" s="76" t="s">
        <v>1191</v>
      </c>
      <c r="H1496" s="70"/>
    </row>
    <row r="1497" spans="1:8" x14ac:dyDescent="0.2">
      <c r="A1497" s="73"/>
      <c r="B1497" s="85"/>
      <c r="C1497" s="74"/>
      <c r="D1497" s="74" t="s">
        <v>943</v>
      </c>
      <c r="E1497" s="78" t="s">
        <v>96</v>
      </c>
      <c r="F1497" s="76" t="s">
        <v>1662</v>
      </c>
      <c r="G1497" s="76" t="s">
        <v>1191</v>
      </c>
      <c r="H1497" s="70"/>
    </row>
    <row r="1498" spans="1:8" x14ac:dyDescent="0.2">
      <c r="A1498" s="73"/>
      <c r="B1498" s="85"/>
      <c r="C1498" s="74"/>
      <c r="D1498" s="74" t="s">
        <v>943</v>
      </c>
      <c r="E1498" s="78" t="s">
        <v>96</v>
      </c>
      <c r="F1498" s="76" t="s">
        <v>1663</v>
      </c>
      <c r="G1498" s="76" t="s">
        <v>1191</v>
      </c>
      <c r="H1498" s="70"/>
    </row>
    <row r="1499" spans="1:8" x14ac:dyDescent="0.2">
      <c r="A1499" s="73"/>
      <c r="B1499" s="85"/>
      <c r="C1499" s="74"/>
      <c r="D1499" s="74" t="s">
        <v>943</v>
      </c>
      <c r="E1499" s="78" t="s">
        <v>96</v>
      </c>
      <c r="F1499" s="76" t="s">
        <v>1664</v>
      </c>
      <c r="G1499" s="76" t="s">
        <v>1191</v>
      </c>
      <c r="H1499" s="70"/>
    </row>
    <row r="1500" spans="1:8" x14ac:dyDescent="0.2">
      <c r="A1500" s="73"/>
      <c r="B1500" s="85"/>
      <c r="C1500" s="74"/>
      <c r="D1500" s="74" t="s">
        <v>943</v>
      </c>
      <c r="E1500" s="78" t="s">
        <v>96</v>
      </c>
      <c r="F1500" s="76" t="s">
        <v>1665</v>
      </c>
      <c r="G1500" s="76" t="s">
        <v>1191</v>
      </c>
      <c r="H1500" s="70"/>
    </row>
    <row r="1501" spans="1:8" x14ac:dyDescent="0.2">
      <c r="A1501" s="73"/>
      <c r="B1501" s="85"/>
      <c r="C1501" s="74"/>
      <c r="D1501" s="74" t="s">
        <v>943</v>
      </c>
      <c r="E1501" s="78" t="s">
        <v>96</v>
      </c>
      <c r="F1501" s="76" t="s">
        <v>1706</v>
      </c>
      <c r="G1501" s="76" t="s">
        <v>1191</v>
      </c>
      <c r="H1501" s="70"/>
    </row>
    <row r="1502" spans="1:8" x14ac:dyDescent="0.2">
      <c r="A1502" s="73"/>
      <c r="B1502" s="85"/>
      <c r="C1502" s="74"/>
      <c r="D1502" s="74" t="s">
        <v>943</v>
      </c>
      <c r="E1502" s="78" t="s">
        <v>96</v>
      </c>
      <c r="F1502" s="76" t="s">
        <v>1660</v>
      </c>
      <c r="G1502" s="76" t="s">
        <v>1191</v>
      </c>
      <c r="H1502" s="70"/>
    </row>
    <row r="1503" spans="1:8" x14ac:dyDescent="0.2">
      <c r="A1503" s="73"/>
      <c r="B1503" s="85"/>
      <c r="C1503" s="74"/>
      <c r="D1503" s="74" t="s">
        <v>943</v>
      </c>
      <c r="E1503" s="78" t="s">
        <v>96</v>
      </c>
      <c r="F1503" s="76" t="s">
        <v>1661</v>
      </c>
      <c r="G1503" s="76" t="s">
        <v>1191</v>
      </c>
      <c r="H1503" s="70"/>
    </row>
    <row r="1504" spans="1:8" x14ac:dyDescent="0.2">
      <c r="A1504" s="73"/>
      <c r="B1504" s="85"/>
      <c r="C1504" s="74"/>
      <c r="D1504" s="74" t="s">
        <v>943</v>
      </c>
      <c r="E1504" s="78" t="s">
        <v>96</v>
      </c>
      <c r="F1504" s="76" t="s">
        <v>1707</v>
      </c>
      <c r="G1504" s="76" t="s">
        <v>1191</v>
      </c>
      <c r="H1504" s="70"/>
    </row>
    <row r="1505" spans="1:8" x14ac:dyDescent="0.2">
      <c r="A1505" s="73"/>
      <c r="B1505" s="85"/>
      <c r="C1505" s="74"/>
      <c r="D1505" s="74" t="s">
        <v>943</v>
      </c>
      <c r="E1505" s="78" t="s">
        <v>96</v>
      </c>
      <c r="F1505" s="76" t="s">
        <v>1708</v>
      </c>
      <c r="G1505" s="76" t="s">
        <v>1191</v>
      </c>
      <c r="H1505" s="70"/>
    </row>
    <row r="1506" spans="1:8" x14ac:dyDescent="0.2">
      <c r="A1506" s="73"/>
      <c r="B1506" s="85"/>
      <c r="C1506" s="74"/>
      <c r="D1506" s="74" t="s">
        <v>943</v>
      </c>
      <c r="E1506" s="78" t="s">
        <v>96</v>
      </c>
      <c r="F1506" s="76" t="s">
        <v>1709</v>
      </c>
      <c r="G1506" s="76" t="s">
        <v>1191</v>
      </c>
      <c r="H1506" s="70"/>
    </row>
    <row r="1507" spans="1:8" x14ac:dyDescent="0.2">
      <c r="A1507" s="73"/>
      <c r="B1507" s="85"/>
      <c r="C1507" s="74"/>
      <c r="D1507" s="74" t="s">
        <v>943</v>
      </c>
      <c r="E1507" s="78" t="s">
        <v>96</v>
      </c>
      <c r="F1507" s="76" t="s">
        <v>1710</v>
      </c>
      <c r="G1507" s="76" t="s">
        <v>1191</v>
      </c>
      <c r="H1507" s="70"/>
    </row>
    <row r="1508" spans="1:8" x14ac:dyDescent="0.2">
      <c r="A1508" s="73"/>
      <c r="B1508" s="77"/>
      <c r="C1508" s="74"/>
      <c r="D1508" s="74" t="s">
        <v>943</v>
      </c>
      <c r="E1508" s="78" t="s">
        <v>96</v>
      </c>
      <c r="F1508" s="76" t="s">
        <v>390</v>
      </c>
      <c r="G1508" s="76" t="s">
        <v>1131</v>
      </c>
      <c r="H1508" s="70"/>
    </row>
    <row r="1509" spans="1:8" x14ac:dyDescent="0.2">
      <c r="A1509" s="73"/>
      <c r="B1509" s="77"/>
      <c r="C1509" s="74"/>
      <c r="D1509" s="74" t="s">
        <v>943</v>
      </c>
      <c r="E1509" s="78" t="s">
        <v>96</v>
      </c>
      <c r="F1509" s="76" t="s">
        <v>1641</v>
      </c>
      <c r="G1509" s="76" t="s">
        <v>1131</v>
      </c>
      <c r="H1509" s="70"/>
    </row>
    <row r="1510" spans="1:8" x14ac:dyDescent="0.2">
      <c r="A1510" s="73"/>
      <c r="B1510" s="77"/>
      <c r="C1510" s="74"/>
      <c r="D1510" s="74" t="s">
        <v>943</v>
      </c>
      <c r="E1510" s="78" t="s">
        <v>96</v>
      </c>
      <c r="F1510" s="76" t="s">
        <v>1642</v>
      </c>
      <c r="G1510" s="76" t="s">
        <v>1131</v>
      </c>
      <c r="H1510" s="70"/>
    </row>
    <row r="1511" spans="1:8" x14ac:dyDescent="0.2">
      <c r="A1511" s="73"/>
      <c r="B1511" s="77"/>
      <c r="C1511" s="74"/>
      <c r="D1511" s="74" t="s">
        <v>943</v>
      </c>
      <c r="E1511" s="78" t="s">
        <v>96</v>
      </c>
      <c r="F1511" s="76" t="s">
        <v>1690</v>
      </c>
      <c r="G1511" s="76" t="s">
        <v>1131</v>
      </c>
      <c r="H1511" s="70"/>
    </row>
    <row r="1512" spans="1:8" x14ac:dyDescent="0.2">
      <c r="A1512" s="73"/>
      <c r="B1512" s="77"/>
      <c r="C1512" s="74"/>
      <c r="D1512" s="74" t="s">
        <v>943</v>
      </c>
      <c r="E1512" s="78" t="s">
        <v>96</v>
      </c>
      <c r="F1512" s="76" t="s">
        <v>1691</v>
      </c>
      <c r="G1512" s="76" t="s">
        <v>1131</v>
      </c>
      <c r="H1512" s="70"/>
    </row>
    <row r="1513" spans="1:8" x14ac:dyDescent="0.2">
      <c r="A1513" s="73"/>
      <c r="B1513" s="77"/>
      <c r="C1513" s="74"/>
      <c r="D1513" s="74" t="s">
        <v>943</v>
      </c>
      <c r="E1513" s="78" t="s">
        <v>96</v>
      </c>
      <c r="F1513" s="76" t="s">
        <v>1644</v>
      </c>
      <c r="G1513" s="76" t="s">
        <v>1131</v>
      </c>
      <c r="H1513" s="70"/>
    </row>
    <row r="1514" spans="1:8" x14ac:dyDescent="0.2">
      <c r="A1514" s="73"/>
      <c r="B1514" s="77"/>
      <c r="C1514" s="74"/>
      <c r="D1514" s="74" t="s">
        <v>943</v>
      </c>
      <c r="E1514" s="78" t="s">
        <v>96</v>
      </c>
      <c r="F1514" s="76" t="s">
        <v>1692</v>
      </c>
      <c r="G1514" s="76" t="s">
        <v>1131</v>
      </c>
      <c r="H1514" s="70"/>
    </row>
    <row r="1515" spans="1:8" x14ac:dyDescent="0.2">
      <c r="A1515" s="73"/>
      <c r="B1515" s="77"/>
      <c r="C1515" s="74"/>
      <c r="D1515" s="74" t="s">
        <v>943</v>
      </c>
      <c r="E1515" s="78" t="s">
        <v>96</v>
      </c>
      <c r="F1515" s="76" t="s">
        <v>1645</v>
      </c>
      <c r="G1515" s="76" t="s">
        <v>1131</v>
      </c>
      <c r="H1515" s="70"/>
    </row>
    <row r="1516" spans="1:8" x14ac:dyDescent="0.2">
      <c r="A1516" s="73"/>
      <c r="B1516" s="77"/>
      <c r="C1516" s="74"/>
      <c r="D1516" s="74" t="s">
        <v>943</v>
      </c>
      <c r="E1516" s="78" t="s">
        <v>96</v>
      </c>
      <c r="F1516" s="76" t="s">
        <v>398</v>
      </c>
      <c r="G1516" s="76" t="s">
        <v>1131</v>
      </c>
      <c r="H1516" s="70"/>
    </row>
    <row r="1517" spans="1:8" x14ac:dyDescent="0.2">
      <c r="A1517" s="73"/>
      <c r="B1517" s="77"/>
      <c r="C1517" s="74"/>
      <c r="D1517" s="74" t="s">
        <v>943</v>
      </c>
      <c r="E1517" s="78" t="s">
        <v>96</v>
      </c>
      <c r="F1517" s="76" t="s">
        <v>1693</v>
      </c>
      <c r="G1517" s="76" t="s">
        <v>1131</v>
      </c>
      <c r="H1517" s="70"/>
    </row>
    <row r="1518" spans="1:8" x14ac:dyDescent="0.2">
      <c r="A1518" s="73"/>
      <c r="B1518" s="77"/>
      <c r="C1518" s="74"/>
      <c r="D1518" s="74" t="s">
        <v>943</v>
      </c>
      <c r="E1518" s="78" t="s">
        <v>96</v>
      </c>
      <c r="F1518" s="76" t="s">
        <v>402</v>
      </c>
      <c r="G1518" s="76" t="s">
        <v>1131</v>
      </c>
      <c r="H1518" s="70"/>
    </row>
    <row r="1519" spans="1:8" x14ac:dyDescent="0.2">
      <c r="A1519" s="73"/>
      <c r="B1519" s="77"/>
      <c r="C1519" s="74"/>
      <c r="D1519" s="74" t="s">
        <v>943</v>
      </c>
      <c r="E1519" s="78" t="s">
        <v>96</v>
      </c>
      <c r="F1519" s="76" t="s">
        <v>1694</v>
      </c>
      <c r="G1519" s="76" t="s">
        <v>1131</v>
      </c>
      <c r="H1519" s="70"/>
    </row>
    <row r="1520" spans="1:8" x14ac:dyDescent="0.2">
      <c r="A1520" s="73"/>
      <c r="B1520" s="77"/>
      <c r="C1520" s="74"/>
      <c r="D1520" s="74" t="s">
        <v>943</v>
      </c>
      <c r="E1520" s="78" t="s">
        <v>96</v>
      </c>
      <c r="F1520" s="76" t="s">
        <v>1646</v>
      </c>
      <c r="G1520" s="76" t="s">
        <v>1132</v>
      </c>
      <c r="H1520" s="70"/>
    </row>
    <row r="1521" spans="1:8" x14ac:dyDescent="0.2">
      <c r="A1521" s="73"/>
      <c r="B1521" s="77"/>
      <c r="C1521" s="74"/>
      <c r="D1521" s="74" t="s">
        <v>943</v>
      </c>
      <c r="E1521" s="78" t="s">
        <v>96</v>
      </c>
      <c r="F1521" s="76" t="s">
        <v>1649</v>
      </c>
      <c r="G1521" s="76" t="s">
        <v>1132</v>
      </c>
      <c r="H1521" s="70"/>
    </row>
    <row r="1522" spans="1:8" x14ac:dyDescent="0.2">
      <c r="A1522" s="73"/>
      <c r="B1522" s="77"/>
      <c r="C1522" s="74"/>
      <c r="D1522" s="74" t="s">
        <v>943</v>
      </c>
      <c r="E1522" s="78" t="s">
        <v>96</v>
      </c>
      <c r="F1522" s="76" t="s">
        <v>1650</v>
      </c>
      <c r="G1522" s="76" t="s">
        <v>1132</v>
      </c>
      <c r="H1522" s="70"/>
    </row>
    <row r="1523" spans="1:8" x14ac:dyDescent="0.2">
      <c r="A1523" s="73"/>
      <c r="B1523" s="77"/>
      <c r="C1523" s="74"/>
      <c r="D1523" s="74" t="s">
        <v>943</v>
      </c>
      <c r="E1523" s="78" t="s">
        <v>96</v>
      </c>
      <c r="F1523" s="76" t="s">
        <v>1651</v>
      </c>
      <c r="G1523" s="76" t="s">
        <v>1132</v>
      </c>
      <c r="H1523" s="70"/>
    </row>
    <row r="1524" spans="1:8" x14ac:dyDescent="0.2">
      <c r="A1524" s="73"/>
      <c r="B1524" s="77"/>
      <c r="C1524" s="74"/>
      <c r="D1524" s="74" t="s">
        <v>943</v>
      </c>
      <c r="E1524" s="78" t="s">
        <v>96</v>
      </c>
      <c r="F1524" s="76" t="s">
        <v>1696</v>
      </c>
      <c r="G1524" s="76" t="s">
        <v>1132</v>
      </c>
      <c r="H1524" s="70"/>
    </row>
    <row r="1525" spans="1:8" x14ac:dyDescent="0.2">
      <c r="A1525" s="73"/>
      <c r="B1525" s="77"/>
      <c r="C1525" s="74"/>
      <c r="D1525" s="74" t="s">
        <v>943</v>
      </c>
      <c r="E1525" s="78" t="s">
        <v>96</v>
      </c>
      <c r="F1525" s="76" t="s">
        <v>1647</v>
      </c>
      <c r="G1525" s="76" t="s">
        <v>1132</v>
      </c>
      <c r="H1525" s="70"/>
    </row>
    <row r="1526" spans="1:8" x14ac:dyDescent="0.2">
      <c r="A1526" s="73"/>
      <c r="B1526" s="77"/>
      <c r="C1526" s="74"/>
      <c r="D1526" s="74" t="s">
        <v>943</v>
      </c>
      <c r="E1526" s="78" t="s">
        <v>96</v>
      </c>
      <c r="F1526" s="76" t="s">
        <v>1648</v>
      </c>
      <c r="G1526" s="76" t="s">
        <v>1132</v>
      </c>
      <c r="H1526" s="70"/>
    </row>
    <row r="1527" spans="1:8" x14ac:dyDescent="0.2">
      <c r="A1527" s="73"/>
      <c r="B1527" s="77"/>
      <c r="C1527" s="74"/>
      <c r="D1527" s="74" t="s">
        <v>943</v>
      </c>
      <c r="E1527" s="78" t="s">
        <v>96</v>
      </c>
      <c r="F1527" s="76" t="s">
        <v>1697</v>
      </c>
      <c r="G1527" s="76" t="s">
        <v>1132</v>
      </c>
      <c r="H1527" s="70"/>
    </row>
    <row r="1528" spans="1:8" x14ac:dyDescent="0.2">
      <c r="A1528" s="73"/>
      <c r="B1528" s="77"/>
      <c r="C1528" s="74"/>
      <c r="D1528" s="74" t="s">
        <v>943</v>
      </c>
      <c r="E1528" s="78" t="s">
        <v>96</v>
      </c>
      <c r="F1528" s="76" t="s">
        <v>1698</v>
      </c>
      <c r="G1528" s="76" t="s">
        <v>1132</v>
      </c>
      <c r="H1528" s="70"/>
    </row>
    <row r="1529" spans="1:8" x14ac:dyDescent="0.2">
      <c r="A1529" s="73"/>
      <c r="B1529" s="77"/>
      <c r="C1529" s="74"/>
      <c r="D1529" s="74" t="s">
        <v>943</v>
      </c>
      <c r="E1529" s="78" t="s">
        <v>96</v>
      </c>
      <c r="F1529" s="76" t="s">
        <v>1699</v>
      </c>
      <c r="G1529" s="76" t="s">
        <v>1132</v>
      </c>
      <c r="H1529" s="70"/>
    </row>
    <row r="1530" spans="1:8" x14ac:dyDescent="0.2">
      <c r="A1530" s="73"/>
      <c r="B1530" s="77"/>
      <c r="C1530" s="74"/>
      <c r="D1530" s="74" t="s">
        <v>943</v>
      </c>
      <c r="E1530" s="78" t="s">
        <v>96</v>
      </c>
      <c r="F1530" s="76" t="s">
        <v>1700</v>
      </c>
      <c r="G1530" s="76" t="s">
        <v>1132</v>
      </c>
      <c r="H1530" s="70"/>
    </row>
    <row r="1531" spans="1:8" x14ac:dyDescent="0.2">
      <c r="A1531" s="73"/>
      <c r="B1531" s="77"/>
      <c r="C1531" s="74"/>
      <c r="D1531" s="74" t="s">
        <v>943</v>
      </c>
      <c r="E1531" s="78" t="s">
        <v>96</v>
      </c>
      <c r="F1531" s="76" t="s">
        <v>394</v>
      </c>
      <c r="G1531" s="76" t="s">
        <v>1133</v>
      </c>
      <c r="H1531" s="70"/>
    </row>
    <row r="1532" spans="1:8" x14ac:dyDescent="0.2">
      <c r="A1532" s="73"/>
      <c r="B1532" s="77"/>
      <c r="C1532" s="74"/>
      <c r="D1532" s="74" t="s">
        <v>943</v>
      </c>
      <c r="E1532" s="78" t="s">
        <v>96</v>
      </c>
      <c r="F1532" s="76" t="s">
        <v>1652</v>
      </c>
      <c r="G1532" s="76" t="s">
        <v>1133</v>
      </c>
      <c r="H1532" s="70"/>
    </row>
    <row r="1533" spans="1:8" x14ac:dyDescent="0.2">
      <c r="A1533" s="73"/>
      <c r="B1533" s="77"/>
      <c r="C1533" s="74"/>
      <c r="D1533" s="74" t="s">
        <v>943</v>
      </c>
      <c r="E1533" s="78" t="s">
        <v>96</v>
      </c>
      <c r="F1533" s="76" t="s">
        <v>1653</v>
      </c>
      <c r="G1533" s="76" t="s">
        <v>1133</v>
      </c>
      <c r="H1533" s="70"/>
    </row>
    <row r="1534" spans="1:8" x14ac:dyDescent="0.2">
      <c r="A1534" s="73"/>
      <c r="B1534" s="77"/>
      <c r="C1534" s="74"/>
      <c r="D1534" s="74" t="s">
        <v>943</v>
      </c>
      <c r="E1534" s="78" t="s">
        <v>96</v>
      </c>
      <c r="F1534" s="76" t="s">
        <v>1654</v>
      </c>
      <c r="G1534" s="76" t="s">
        <v>1133</v>
      </c>
      <c r="H1534" s="70"/>
    </row>
    <row r="1535" spans="1:8" x14ac:dyDescent="0.2">
      <c r="A1535" s="73"/>
      <c r="B1535" s="77"/>
      <c r="C1535" s="74"/>
      <c r="D1535" s="74" t="s">
        <v>943</v>
      </c>
      <c r="E1535" s="78" t="s">
        <v>96</v>
      </c>
      <c r="F1535" s="76" t="s">
        <v>1655</v>
      </c>
      <c r="G1535" s="76" t="s">
        <v>1133</v>
      </c>
      <c r="H1535" s="70"/>
    </row>
    <row r="1536" spans="1:8" x14ac:dyDescent="0.2">
      <c r="A1536" s="73"/>
      <c r="B1536" s="77"/>
      <c r="C1536" s="74"/>
      <c r="D1536" s="74" t="s">
        <v>943</v>
      </c>
      <c r="E1536" s="78" t="s">
        <v>96</v>
      </c>
      <c r="F1536" s="76" t="s">
        <v>1657</v>
      </c>
      <c r="G1536" s="76" t="s">
        <v>1133</v>
      </c>
      <c r="H1536" s="70"/>
    </row>
    <row r="1537" spans="1:8" x14ac:dyDescent="0.2">
      <c r="A1537" s="73"/>
      <c r="B1537" s="77"/>
      <c r="C1537" s="74"/>
      <c r="D1537" s="74" t="s">
        <v>943</v>
      </c>
      <c r="E1537" s="78" t="s">
        <v>96</v>
      </c>
      <c r="F1537" s="76" t="s">
        <v>1701</v>
      </c>
      <c r="G1537" s="76" t="s">
        <v>1133</v>
      </c>
      <c r="H1537" s="70"/>
    </row>
    <row r="1538" spans="1:8" x14ac:dyDescent="0.2">
      <c r="A1538" s="73"/>
      <c r="B1538" s="77"/>
      <c r="C1538" s="74"/>
      <c r="D1538" s="74" t="s">
        <v>943</v>
      </c>
      <c r="E1538" s="78" t="s">
        <v>96</v>
      </c>
      <c r="F1538" s="76" t="s">
        <v>1658</v>
      </c>
      <c r="G1538" s="76" t="s">
        <v>1133</v>
      </c>
      <c r="H1538" s="70"/>
    </row>
    <row r="1539" spans="1:8" x14ac:dyDescent="0.2">
      <c r="A1539" s="73"/>
      <c r="B1539" s="77"/>
      <c r="C1539" s="74"/>
      <c r="D1539" s="74" t="s">
        <v>943</v>
      </c>
      <c r="E1539" s="78" t="s">
        <v>96</v>
      </c>
      <c r="F1539" s="76" t="s">
        <v>1702</v>
      </c>
      <c r="G1539" s="76" t="s">
        <v>1133</v>
      </c>
      <c r="H1539" s="70"/>
    </row>
    <row r="1540" spans="1:8" x14ac:dyDescent="0.2">
      <c r="A1540" s="73"/>
      <c r="B1540" s="77"/>
      <c r="C1540" s="74"/>
      <c r="D1540" s="74" t="s">
        <v>943</v>
      </c>
      <c r="E1540" s="78" t="s">
        <v>96</v>
      </c>
      <c r="F1540" s="76" t="s">
        <v>1703</v>
      </c>
      <c r="G1540" s="76" t="s">
        <v>1133</v>
      </c>
      <c r="H1540" s="70"/>
    </row>
    <row r="1541" spans="1:8" x14ac:dyDescent="0.2">
      <c r="A1541" s="73"/>
      <c r="B1541" s="77"/>
      <c r="C1541" s="74"/>
      <c r="D1541" s="74" t="s">
        <v>943</v>
      </c>
      <c r="E1541" s="78" t="s">
        <v>96</v>
      </c>
      <c r="F1541" s="76" t="s">
        <v>1704</v>
      </c>
      <c r="G1541" s="76" t="s">
        <v>1133</v>
      </c>
      <c r="H1541" s="70"/>
    </row>
    <row r="1542" spans="1:8" x14ac:dyDescent="0.2">
      <c r="A1542" s="73"/>
      <c r="B1542" s="77"/>
      <c r="C1542" s="74"/>
      <c r="D1542" s="74" t="s">
        <v>943</v>
      </c>
      <c r="E1542" s="78" t="s">
        <v>96</v>
      </c>
      <c r="F1542" s="76" t="s">
        <v>1705</v>
      </c>
      <c r="G1542" s="76" t="s">
        <v>1133</v>
      </c>
      <c r="H1542" s="70"/>
    </row>
    <row r="1543" spans="1:8" x14ac:dyDescent="0.2">
      <c r="A1543" s="73"/>
      <c r="B1543" s="77"/>
      <c r="C1543" s="74"/>
      <c r="D1543" s="74" t="s">
        <v>943</v>
      </c>
      <c r="E1543" s="78" t="s">
        <v>96</v>
      </c>
      <c r="F1543" s="76" t="s">
        <v>1659</v>
      </c>
      <c r="G1543" s="76" t="s">
        <v>1134</v>
      </c>
      <c r="H1543" s="70"/>
    </row>
    <row r="1544" spans="1:8" x14ac:dyDescent="0.2">
      <c r="A1544" s="73"/>
      <c r="B1544" s="77"/>
      <c r="C1544" s="74"/>
      <c r="D1544" s="74" t="s">
        <v>943</v>
      </c>
      <c r="E1544" s="78" t="s">
        <v>96</v>
      </c>
      <c r="F1544" s="76" t="s">
        <v>1662</v>
      </c>
      <c r="G1544" s="76" t="s">
        <v>1134</v>
      </c>
      <c r="H1544" s="70"/>
    </row>
    <row r="1545" spans="1:8" x14ac:dyDescent="0.2">
      <c r="A1545" s="73"/>
      <c r="B1545" s="77"/>
      <c r="C1545" s="74"/>
      <c r="D1545" s="74" t="s">
        <v>943</v>
      </c>
      <c r="E1545" s="78" t="s">
        <v>96</v>
      </c>
      <c r="F1545" s="76" t="s">
        <v>1663</v>
      </c>
      <c r="G1545" s="76" t="s">
        <v>1134</v>
      </c>
      <c r="H1545" s="70"/>
    </row>
    <row r="1546" spans="1:8" x14ac:dyDescent="0.2">
      <c r="A1546" s="73"/>
      <c r="B1546" s="77"/>
      <c r="C1546" s="74"/>
      <c r="D1546" s="74" t="s">
        <v>943</v>
      </c>
      <c r="E1546" s="78" t="s">
        <v>96</v>
      </c>
      <c r="F1546" s="76" t="s">
        <v>1664</v>
      </c>
      <c r="G1546" s="76" t="s">
        <v>1134</v>
      </c>
      <c r="H1546" s="70"/>
    </row>
    <row r="1547" spans="1:8" x14ac:dyDescent="0.2">
      <c r="A1547" s="73"/>
      <c r="B1547" s="77"/>
      <c r="C1547" s="74"/>
      <c r="D1547" s="74" t="s">
        <v>943</v>
      </c>
      <c r="E1547" s="78" t="s">
        <v>96</v>
      </c>
      <c r="F1547" s="76" t="s">
        <v>1706</v>
      </c>
      <c r="G1547" s="76" t="s">
        <v>1134</v>
      </c>
      <c r="H1547" s="70"/>
    </row>
    <row r="1548" spans="1:8" x14ac:dyDescent="0.2">
      <c r="A1548" s="73"/>
      <c r="B1548" s="77"/>
      <c r="C1548" s="74"/>
      <c r="D1548" s="74" t="s">
        <v>943</v>
      </c>
      <c r="E1548" s="78" t="s">
        <v>96</v>
      </c>
      <c r="F1548" s="76" t="s">
        <v>1660</v>
      </c>
      <c r="G1548" s="76" t="s">
        <v>1134</v>
      </c>
      <c r="H1548" s="70"/>
    </row>
    <row r="1549" spans="1:8" x14ac:dyDescent="0.2">
      <c r="A1549" s="73"/>
      <c r="B1549" s="77"/>
      <c r="C1549" s="74"/>
      <c r="D1549" s="74" t="s">
        <v>943</v>
      </c>
      <c r="E1549" s="78" t="s">
        <v>96</v>
      </c>
      <c r="F1549" s="76" t="s">
        <v>1661</v>
      </c>
      <c r="G1549" s="76" t="s">
        <v>1134</v>
      </c>
      <c r="H1549" s="70"/>
    </row>
    <row r="1550" spans="1:8" x14ac:dyDescent="0.2">
      <c r="A1550" s="73"/>
      <c r="B1550" s="77"/>
      <c r="C1550" s="74"/>
      <c r="D1550" s="74" t="s">
        <v>943</v>
      </c>
      <c r="E1550" s="78" t="s">
        <v>96</v>
      </c>
      <c r="F1550" s="76" t="s">
        <v>1707</v>
      </c>
      <c r="G1550" s="76" t="s">
        <v>1134</v>
      </c>
      <c r="H1550" s="70"/>
    </row>
    <row r="1551" spans="1:8" x14ac:dyDescent="0.2">
      <c r="A1551" s="73"/>
      <c r="B1551" s="77"/>
      <c r="C1551" s="74"/>
      <c r="D1551" s="74" t="s">
        <v>943</v>
      </c>
      <c r="E1551" s="78" t="s">
        <v>96</v>
      </c>
      <c r="F1551" s="76" t="s">
        <v>1708</v>
      </c>
      <c r="G1551" s="76" t="s">
        <v>1134</v>
      </c>
      <c r="H1551" s="70"/>
    </row>
    <row r="1552" spans="1:8" x14ac:dyDescent="0.2">
      <c r="A1552" s="73"/>
      <c r="B1552" s="77"/>
      <c r="C1552" s="74"/>
      <c r="D1552" s="74" t="s">
        <v>943</v>
      </c>
      <c r="E1552" s="78" t="s">
        <v>96</v>
      </c>
      <c r="F1552" s="76" t="s">
        <v>1709</v>
      </c>
      <c r="G1552" s="76" t="s">
        <v>1134</v>
      </c>
      <c r="H1552" s="70"/>
    </row>
    <row r="1553" spans="1:8" x14ac:dyDescent="0.2">
      <c r="A1553" s="73"/>
      <c r="B1553" s="77"/>
      <c r="C1553" s="74"/>
      <c r="D1553" s="74" t="s">
        <v>943</v>
      </c>
      <c r="E1553" s="78" t="s">
        <v>96</v>
      </c>
      <c r="F1553" s="76" t="s">
        <v>1710</v>
      </c>
      <c r="G1553" s="76" t="s">
        <v>1134</v>
      </c>
      <c r="H1553" s="70"/>
    </row>
    <row r="1554" spans="1:8" ht="16" x14ac:dyDescent="0.2">
      <c r="A1554" s="73"/>
      <c r="B1554" s="85"/>
      <c r="C1554" s="74"/>
      <c r="D1554" s="74" t="s">
        <v>950</v>
      </c>
      <c r="E1554" s="78" t="s">
        <v>112</v>
      </c>
      <c r="F1554" s="76" t="s">
        <v>1724</v>
      </c>
      <c r="G1554" s="75" t="s">
        <v>1144</v>
      </c>
      <c r="H1554" s="70"/>
    </row>
    <row r="1555" spans="1:8" ht="16" x14ac:dyDescent="0.2">
      <c r="A1555" s="73"/>
      <c r="B1555" s="85"/>
      <c r="C1555" s="74"/>
      <c r="D1555" s="74" t="s">
        <v>950</v>
      </c>
      <c r="E1555" s="78" t="s">
        <v>966</v>
      </c>
      <c r="F1555" s="76" t="s">
        <v>1724</v>
      </c>
      <c r="G1555" s="75" t="s">
        <v>1144</v>
      </c>
      <c r="H1555" s="70"/>
    </row>
    <row r="1556" spans="1:8" ht="16" x14ac:dyDescent="0.2">
      <c r="A1556" s="73"/>
      <c r="B1556" s="85"/>
      <c r="C1556" s="74"/>
      <c r="D1556" s="74" t="s">
        <v>950</v>
      </c>
      <c r="E1556" s="78" t="s">
        <v>112</v>
      </c>
      <c r="F1556" s="76" t="s">
        <v>467</v>
      </c>
      <c r="G1556" s="75" t="s">
        <v>1144</v>
      </c>
      <c r="H1556" s="70"/>
    </row>
    <row r="1557" spans="1:8" ht="16" x14ac:dyDescent="0.2">
      <c r="A1557" s="73"/>
      <c r="B1557" s="85"/>
      <c r="C1557" s="74"/>
      <c r="D1557" s="74" t="s">
        <v>950</v>
      </c>
      <c r="E1557" s="78" t="s">
        <v>966</v>
      </c>
      <c r="F1557" s="76" t="s">
        <v>467</v>
      </c>
      <c r="G1557" s="75" t="s">
        <v>1144</v>
      </c>
      <c r="H1557" s="70"/>
    </row>
    <row r="1558" spans="1:8" ht="16" x14ac:dyDescent="0.2">
      <c r="A1558" s="73"/>
      <c r="B1558" s="77"/>
      <c r="C1558" s="74"/>
      <c r="D1558" s="74" t="s">
        <v>959</v>
      </c>
      <c r="E1558" s="78" t="s">
        <v>96</v>
      </c>
      <c r="F1558" s="76" t="s">
        <v>270</v>
      </c>
      <c r="G1558" s="75" t="s">
        <v>604</v>
      </c>
      <c r="H1558" s="70"/>
    </row>
    <row r="1559" spans="1:8" ht="16" x14ac:dyDescent="0.2">
      <c r="A1559" s="73"/>
      <c r="B1559" s="77"/>
      <c r="C1559" s="74"/>
      <c r="D1559" s="74" t="s">
        <v>959</v>
      </c>
      <c r="E1559" s="78" t="s">
        <v>96</v>
      </c>
      <c r="F1559" s="76" t="s">
        <v>263</v>
      </c>
      <c r="G1559" s="75" t="s">
        <v>598</v>
      </c>
      <c r="H1559" s="70"/>
    </row>
    <row r="1560" spans="1:8" ht="16" x14ac:dyDescent="0.2">
      <c r="A1560" s="73"/>
      <c r="B1560" s="77"/>
      <c r="C1560" s="74"/>
      <c r="D1560" s="74" t="s">
        <v>959</v>
      </c>
      <c r="E1560" s="78" t="s">
        <v>96</v>
      </c>
      <c r="F1560" s="76" t="s">
        <v>1228</v>
      </c>
      <c r="G1560" s="75" t="s">
        <v>602</v>
      </c>
      <c r="H1560" s="70"/>
    </row>
    <row r="1561" spans="1:8" ht="16" x14ac:dyDescent="0.2">
      <c r="A1561" s="73"/>
      <c r="B1561" s="77"/>
      <c r="C1561" s="74"/>
      <c r="D1561" s="74" t="s">
        <v>959</v>
      </c>
      <c r="E1561" s="78" t="s">
        <v>96</v>
      </c>
      <c r="F1561" s="76" t="s">
        <v>1228</v>
      </c>
      <c r="G1561" s="75" t="s">
        <v>602</v>
      </c>
      <c r="H1561" s="70"/>
    </row>
    <row r="1562" spans="1:8" ht="16" x14ac:dyDescent="0.2">
      <c r="A1562" s="73"/>
      <c r="B1562" s="85"/>
      <c r="C1562" s="74"/>
      <c r="D1562" s="74" t="s">
        <v>940</v>
      </c>
      <c r="E1562" s="78" t="s">
        <v>96</v>
      </c>
      <c r="F1562" s="76" t="s">
        <v>390</v>
      </c>
      <c r="G1562" s="75" t="s">
        <v>466</v>
      </c>
      <c r="H1562" s="70"/>
    </row>
    <row r="1563" spans="1:8" ht="16" x14ac:dyDescent="0.2">
      <c r="A1563" s="73"/>
      <c r="B1563" s="85"/>
      <c r="C1563" s="74"/>
      <c r="D1563" s="74" t="s">
        <v>940</v>
      </c>
      <c r="E1563" s="78" t="s">
        <v>96</v>
      </c>
      <c r="F1563" s="76" t="s">
        <v>1641</v>
      </c>
      <c r="G1563" s="75" t="s">
        <v>466</v>
      </c>
      <c r="H1563" s="70"/>
    </row>
    <row r="1564" spans="1:8" ht="16" x14ac:dyDescent="0.2">
      <c r="A1564" s="73"/>
      <c r="B1564" s="85"/>
      <c r="C1564" s="74"/>
      <c r="D1564" s="74" t="s">
        <v>940</v>
      </c>
      <c r="E1564" s="78" t="s">
        <v>96</v>
      </c>
      <c r="F1564" s="76" t="s">
        <v>1692</v>
      </c>
      <c r="G1564" s="75" t="s">
        <v>466</v>
      </c>
      <c r="H1564" s="70"/>
    </row>
    <row r="1565" spans="1:8" ht="16" x14ac:dyDescent="0.2">
      <c r="A1565" s="73"/>
      <c r="B1565" s="85"/>
      <c r="C1565" s="74"/>
      <c r="D1565" s="74" t="s">
        <v>940</v>
      </c>
      <c r="E1565" s="78" t="s">
        <v>96</v>
      </c>
      <c r="F1565" s="76" t="s">
        <v>1642</v>
      </c>
      <c r="G1565" s="75" t="s">
        <v>466</v>
      </c>
      <c r="H1565" s="70"/>
    </row>
    <row r="1566" spans="1:8" ht="16" x14ac:dyDescent="0.2">
      <c r="A1566" s="73"/>
      <c r="B1566" s="85"/>
      <c r="C1566" s="74"/>
      <c r="D1566" s="74" t="s">
        <v>940</v>
      </c>
      <c r="E1566" s="78" t="s">
        <v>96</v>
      </c>
      <c r="F1566" s="76" t="s">
        <v>1644</v>
      </c>
      <c r="G1566" s="75" t="s">
        <v>466</v>
      </c>
      <c r="H1566" s="70"/>
    </row>
    <row r="1567" spans="1:8" ht="16" x14ac:dyDescent="0.2">
      <c r="A1567" s="73"/>
      <c r="B1567" s="85"/>
      <c r="C1567" s="74"/>
      <c r="D1567" s="74" t="s">
        <v>940</v>
      </c>
      <c r="E1567" s="78" t="s">
        <v>96</v>
      </c>
      <c r="F1567" s="76" t="s">
        <v>1645</v>
      </c>
      <c r="G1567" s="75" t="s">
        <v>466</v>
      </c>
      <c r="H1567" s="70"/>
    </row>
    <row r="1568" spans="1:8" ht="16" x14ac:dyDescent="0.2">
      <c r="A1568" s="73"/>
      <c r="B1568" s="85"/>
      <c r="C1568" s="74"/>
      <c r="D1568" s="74" t="s">
        <v>940</v>
      </c>
      <c r="E1568" s="78" t="s">
        <v>96</v>
      </c>
      <c r="F1568" s="76" t="s">
        <v>1690</v>
      </c>
      <c r="G1568" s="75" t="s">
        <v>466</v>
      </c>
      <c r="H1568" s="70"/>
    </row>
    <row r="1569" spans="1:8" ht="16" x14ac:dyDescent="0.2">
      <c r="A1569" s="73"/>
      <c r="B1569" s="85"/>
      <c r="C1569" s="74"/>
      <c r="D1569" s="74" t="s">
        <v>940</v>
      </c>
      <c r="E1569" s="78" t="s">
        <v>96</v>
      </c>
      <c r="F1569" s="76" t="s">
        <v>1691</v>
      </c>
      <c r="G1569" s="75" t="s">
        <v>466</v>
      </c>
      <c r="H1569" s="70"/>
    </row>
    <row r="1570" spans="1:8" ht="16" x14ac:dyDescent="0.2">
      <c r="A1570" s="73"/>
      <c r="B1570" s="85"/>
      <c r="C1570" s="74"/>
      <c r="D1570" s="74" t="s">
        <v>940</v>
      </c>
      <c r="E1570" s="78" t="s">
        <v>96</v>
      </c>
      <c r="F1570" s="76" t="s">
        <v>1726</v>
      </c>
      <c r="G1570" s="75" t="s">
        <v>466</v>
      </c>
      <c r="H1570" s="70"/>
    </row>
    <row r="1571" spans="1:8" ht="16" x14ac:dyDescent="0.2">
      <c r="A1571" s="73"/>
      <c r="B1571" s="85"/>
      <c r="C1571" s="74"/>
      <c r="D1571" s="74" t="s">
        <v>940</v>
      </c>
      <c r="E1571" s="78" t="s">
        <v>96</v>
      </c>
      <c r="F1571" s="76" t="s">
        <v>1727</v>
      </c>
      <c r="G1571" s="75" t="s">
        <v>175</v>
      </c>
      <c r="H1571" s="70"/>
    </row>
    <row r="1572" spans="1:8" ht="16" x14ac:dyDescent="0.2">
      <c r="A1572" s="73"/>
      <c r="B1572" s="85"/>
      <c r="C1572" s="91"/>
      <c r="D1572" s="91" t="s">
        <v>940</v>
      </c>
      <c r="E1572" s="78" t="s">
        <v>96</v>
      </c>
      <c r="F1572" s="76" t="s">
        <v>1728</v>
      </c>
      <c r="G1572" s="75" t="s">
        <v>175</v>
      </c>
      <c r="H1572" s="70"/>
    </row>
    <row r="1573" spans="1:8" ht="16" x14ac:dyDescent="0.2">
      <c r="A1573" s="73"/>
      <c r="B1573" s="85"/>
      <c r="C1573" s="74"/>
      <c r="D1573" s="74" t="s">
        <v>940</v>
      </c>
      <c r="E1573" s="78" t="s">
        <v>96</v>
      </c>
      <c r="F1573" s="76" t="s">
        <v>1729</v>
      </c>
      <c r="G1573" s="75" t="s">
        <v>175</v>
      </c>
      <c r="H1573" s="70"/>
    </row>
    <row r="1574" spans="1:8" ht="16" x14ac:dyDescent="0.2">
      <c r="A1574" s="73"/>
      <c r="B1574" s="85"/>
      <c r="C1574" s="91"/>
      <c r="D1574" s="91" t="s">
        <v>940</v>
      </c>
      <c r="E1574" s="78" t="s">
        <v>96</v>
      </c>
      <c r="F1574" s="76" t="s">
        <v>1730</v>
      </c>
      <c r="G1574" s="75" t="s">
        <v>175</v>
      </c>
      <c r="H1574" s="70"/>
    </row>
    <row r="1575" spans="1:8" ht="16" x14ac:dyDescent="0.2">
      <c r="A1575" s="73"/>
      <c r="B1575" s="77"/>
      <c r="C1575" s="91"/>
      <c r="D1575" s="91" t="s">
        <v>1731</v>
      </c>
      <c r="E1575" s="78" t="s">
        <v>96</v>
      </c>
      <c r="F1575" s="76" t="s">
        <v>133</v>
      </c>
      <c r="G1575" s="75" t="s">
        <v>1208</v>
      </c>
      <c r="H1575" s="70"/>
    </row>
    <row r="1576" spans="1:8" ht="16" x14ac:dyDescent="0.2">
      <c r="A1576" s="73"/>
      <c r="B1576" s="77"/>
      <c r="C1576" s="91"/>
      <c r="D1576" s="91" t="s">
        <v>1732</v>
      </c>
      <c r="E1576" s="78" t="s">
        <v>112</v>
      </c>
      <c r="F1576" s="76" t="s">
        <v>331</v>
      </c>
      <c r="G1576" s="75" t="s">
        <v>1224</v>
      </c>
      <c r="H1576" s="70"/>
    </row>
    <row r="1577" spans="1:8" ht="16" x14ac:dyDescent="0.2">
      <c r="A1577" s="73"/>
      <c r="B1577" s="77"/>
      <c r="C1577" s="91"/>
      <c r="D1577" s="91" t="s">
        <v>1732</v>
      </c>
      <c r="E1577" s="78" t="s">
        <v>966</v>
      </c>
      <c r="F1577" s="76" t="s">
        <v>331</v>
      </c>
      <c r="G1577" s="75" t="s">
        <v>1224</v>
      </c>
      <c r="H1577" s="70"/>
    </row>
    <row r="1578" spans="1:8" ht="16" x14ac:dyDescent="0.2">
      <c r="A1578" s="73"/>
      <c r="B1578" s="77"/>
      <c r="C1578" s="91"/>
      <c r="D1578" s="91" t="s">
        <v>1732</v>
      </c>
      <c r="E1578" s="78" t="s">
        <v>96</v>
      </c>
      <c r="F1578" s="76" t="s">
        <v>331</v>
      </c>
      <c r="G1578" s="75" t="s">
        <v>1224</v>
      </c>
      <c r="H1578" s="70"/>
    </row>
    <row r="1579" spans="1:8" ht="16" x14ac:dyDescent="0.2">
      <c r="A1579" s="73"/>
      <c r="B1579" s="77"/>
      <c r="C1579" s="91"/>
      <c r="D1579" s="91" t="s">
        <v>1732</v>
      </c>
      <c r="E1579" s="78" t="s">
        <v>112</v>
      </c>
      <c r="F1579" s="76" t="s">
        <v>250</v>
      </c>
      <c r="G1579" s="75" t="s">
        <v>1224</v>
      </c>
      <c r="H1579" s="70"/>
    </row>
    <row r="1580" spans="1:8" ht="16" x14ac:dyDescent="0.2">
      <c r="A1580" s="73"/>
      <c r="B1580" s="77"/>
      <c r="C1580" s="91"/>
      <c r="D1580" s="91" t="s">
        <v>1732</v>
      </c>
      <c r="E1580" s="78" t="s">
        <v>966</v>
      </c>
      <c r="F1580" s="76" t="s">
        <v>250</v>
      </c>
      <c r="G1580" s="75" t="s">
        <v>1224</v>
      </c>
      <c r="H1580" s="70"/>
    </row>
    <row r="1581" spans="1:8" ht="16" x14ac:dyDescent="0.2">
      <c r="A1581" s="92"/>
      <c r="B1581" s="95"/>
      <c r="C1581" s="74"/>
      <c r="D1581" s="74" t="s">
        <v>1732</v>
      </c>
      <c r="E1581" s="96" t="s">
        <v>96</v>
      </c>
      <c r="F1581" s="94" t="s">
        <v>250</v>
      </c>
      <c r="G1581" s="93" t="s">
        <v>1224</v>
      </c>
      <c r="H1581" s="70"/>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tabSelected="1" topLeftCell="A654" workbookViewId="0">
      <selection activeCell="B700" sqref="B700"/>
    </sheetView>
  </sheetViews>
  <sheetFormatPr baseColWidth="10" defaultRowHeight="15" x14ac:dyDescent="0.2"/>
  <cols>
    <col min="1" max="1" width="43.5" style="70" bestFit="1" customWidth="1"/>
    <col min="2" max="2" width="22" style="70" bestFit="1" customWidth="1"/>
    <col min="3" max="16384" width="10.83203125" style="70"/>
  </cols>
  <sheetData>
    <row r="1" spans="1:7" x14ac:dyDescent="0.2">
      <c r="A1" s="97" t="s">
        <v>1733</v>
      </c>
      <c r="B1" s="97" t="s">
        <v>1734</v>
      </c>
      <c r="D1" s="108" t="s">
        <v>1440</v>
      </c>
      <c r="E1" s="98" t="s">
        <v>1849</v>
      </c>
      <c r="F1" s="98" t="s">
        <v>1850</v>
      </c>
      <c r="G1" s="98" t="s">
        <v>1851</v>
      </c>
    </row>
    <row r="2" spans="1:7" x14ac:dyDescent="0.2">
      <c r="A2" s="112" t="s">
        <v>969</v>
      </c>
      <c r="B2" s="70" t="s">
        <v>464</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70" t="str" cm="1">
        <f t="array" ref="G2:G99">IFERROR(_xlfn._xlws.FILTER($A$2:$A$197,($B$2:$B$197&lt;&gt;"")*(IF(F2="Otros",$B$2:$B$197="Otros",ISNUMBER(SEARCH($B$2:$B$197,F2))))),"(sin matches)")</f>
        <v>-</v>
      </c>
    </row>
    <row r="3" spans="1:7" x14ac:dyDescent="0.2">
      <c r="A3" s="112" t="s">
        <v>969</v>
      </c>
      <c r="B3" s="70" t="s">
        <v>1870</v>
      </c>
      <c r="G3" s="70" t="str">
        <v>1.28.003 (Pavonado)</v>
      </c>
    </row>
    <row r="4" spans="1:7" x14ac:dyDescent="0.2">
      <c r="A4" s="112" t="s">
        <v>969</v>
      </c>
      <c r="B4" s="70" t="s">
        <v>735</v>
      </c>
      <c r="G4" s="70" t="str">
        <v>48053-001-01 (Deshidrogenado / Endurecido) | 176 - 204 °C (375 ± 25 °F) | 302 - 329 °C (600 ± 25 °F) | &gt;= 0.5 hrs.</v>
      </c>
    </row>
    <row r="5" spans="1:7" x14ac:dyDescent="0.2">
      <c r="A5" s="112" t="s">
        <v>969</v>
      </c>
      <c r="B5" s="70" t="s">
        <v>390</v>
      </c>
      <c r="G5" s="70" t="str">
        <v>48053-001-01 (Deshidrogenado / Endurecido) | 176 - 204 °C (375 ± 25 °F) | 302 - 329 °C (600 ± 25 °F) | &gt;= 1 hrs.</v>
      </c>
    </row>
    <row r="6" spans="1:7" x14ac:dyDescent="0.2">
      <c r="A6" s="112" t="s">
        <v>969</v>
      </c>
      <c r="B6" s="70" t="s">
        <v>279</v>
      </c>
      <c r="G6" s="70" t="str">
        <v>48053-001-01 (Deshidrogenado / Endurecido) | 176 - 204 °C (375 ± 25 °F) | 302 - 329 °C (600 ± 25 °F) | &gt;= 10 hrs.</v>
      </c>
    </row>
    <row r="7" spans="1:7" x14ac:dyDescent="0.2">
      <c r="A7" s="112" t="s">
        <v>969</v>
      </c>
      <c r="B7" s="70" t="s">
        <v>1725</v>
      </c>
      <c r="G7" s="70" t="str">
        <v>48053-001-01 (Deshidrogenado / Endurecido) | 176 - 204 °C (375 ± 25 °F) | 302 - 329 °C (600 ± 25 °F) | &gt;= 14 hrs.</v>
      </c>
    </row>
    <row r="8" spans="1:7" x14ac:dyDescent="0.2">
      <c r="A8" s="112" t="s">
        <v>969</v>
      </c>
      <c r="B8" s="70" t="s">
        <v>1871</v>
      </c>
      <c r="G8" s="70" t="str">
        <v>48053-001-01 (Deshidrogenado / Endurecido) | 176 - 204 °C (375 ± 25 °F) | 302 - 329 °C (600 ± 25 °F) | &gt;= 2 hrs.</v>
      </c>
    </row>
    <row r="9" spans="1:7" x14ac:dyDescent="0.2">
      <c r="A9" s="70" t="str">
        <f>Listas!E4</f>
        <v>1.28.001 (Zinc Negro Azul) | 3.81 - 11.43 µm</v>
      </c>
      <c r="B9" s="70"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70" t="str">
        <v>48053-001-01 (Deshidrogenado / Endurecido) | 176 - 204 °C (375 ± 25 °F) | 302 - 329 °C (600 ± 25 °F) | &gt;= 20 hrs.</v>
      </c>
    </row>
    <row r="10" spans="1:7" x14ac:dyDescent="0.2">
      <c r="A10" s="70" t="str">
        <f>Listas!E5</f>
        <v>1.28.003 (Pavonado)</v>
      </c>
      <c r="B10" s="70"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70" t="str">
        <v>48053-001-01 (Deshidrogenado / Endurecido) | 176 - 204 °C (375 ± 25 °F) | 302 - 329 °C (600 ± 25 °F) | &gt;= 24 hrs.</v>
      </c>
    </row>
    <row r="11" spans="1:7" x14ac:dyDescent="0.2">
      <c r="A11" s="70" t="str">
        <f>Listas!E6</f>
        <v>1.28.031 (Zinc) | 3.81 - 11.43 µm</v>
      </c>
      <c r="B11" s="70" t="str">
        <f t="shared" si="0"/>
        <v>Zinc</v>
      </c>
      <c r="G11" s="70" t="str">
        <v>48053-001-01 (Deshidrogenado / Endurecido) | 176 - 204 °C (375 ± 25 °F) | 302 - 329 °C (600 ± 25 °F) | &gt;= 3 hrs.</v>
      </c>
    </row>
    <row r="12" spans="1:7" x14ac:dyDescent="0.2">
      <c r="A12" s="70" t="str">
        <f>Listas!E7</f>
        <v>1.28.032 (Níquel) | 2.54 - 7.62 µm</v>
      </c>
      <c r="B12" s="70" t="str">
        <f t="shared" si="0"/>
        <v>Níquel</v>
      </c>
      <c r="G12" s="70" t="str">
        <v>48053-001-01 (Deshidrogenado / Endurecido) | 176 - 204 °C (375 ± 25 °F) | 302 - 329 °C (600 ± 25 °F) | &gt;= 4 hrs.</v>
      </c>
    </row>
    <row r="13" spans="1:7" x14ac:dyDescent="0.2">
      <c r="A13" s="70" t="str">
        <f>Listas!E8</f>
        <v>1.28.032 (Níquel) | 5.8 - 8.89 µm</v>
      </c>
      <c r="B13" s="70" t="str">
        <f t="shared" si="0"/>
        <v>Níquel</v>
      </c>
      <c r="G13" s="70" t="str">
        <v>48053-001-01 (Deshidrogenado / Endurecido) | 176 - 204 °C (375 ± 25 °F) | 302 - 329 °C (600 ± 25 °F) | &gt;= 5 hrs.</v>
      </c>
    </row>
    <row r="14" spans="1:7" x14ac:dyDescent="0.2">
      <c r="A14" s="70" t="str">
        <f>Listas!E9</f>
        <v>1.28.032 (Níquel) | 7.62 - 15.24 µm</v>
      </c>
      <c r="B14" s="70" t="str">
        <f t="shared" si="0"/>
        <v>Níquel</v>
      </c>
      <c r="G14" s="70" t="str">
        <v>48053-001-01 (Deshidrogenado / Endurecido) | 176 - 204 °C (375 ± 25 °F) | 302 - 329 °C (600 ± 25 °F) | &gt;= 6 hrs.</v>
      </c>
    </row>
    <row r="15" spans="1:7" x14ac:dyDescent="0.2">
      <c r="A15" s="70" t="str">
        <f>Listas!E10</f>
        <v>1.28.037 (Zinc Cromato Tropicalizado) | 5 - 9 µm</v>
      </c>
      <c r="B15" s="70" t="str">
        <f t="shared" si="0"/>
        <v>Zinc</v>
      </c>
      <c r="G15" s="70" t="str">
        <v>48053-001-01 (Deshidrogenado / Endurecido) | 176 - 204 °C (375 ± 25 °F) | 302 - 329 °C (600 ± 25 °F) | &gt;= 8 hrs.</v>
      </c>
    </row>
    <row r="16" spans="1:7" x14ac:dyDescent="0.2">
      <c r="A16" s="70" t="str">
        <f>Listas!E11</f>
        <v>1.28.041 (Níquel Electroless) | 5 - 10 µm</v>
      </c>
      <c r="B16" s="70" t="str">
        <f t="shared" si="0"/>
        <v>Níquel</v>
      </c>
      <c r="G16" s="70" t="str">
        <v>48053-001-01 (Deshidrogenado / Endurecido) | 176 - 204 °C (375 ± 25 °F) | No aplica | &gt;= 0.5 hrs.</v>
      </c>
    </row>
    <row r="17" spans="1:7" x14ac:dyDescent="0.2">
      <c r="A17" s="70" t="str">
        <f>Listas!E12</f>
        <v>40001-050-01 (Plata Flash) | 0.508 - 0.762 µm</v>
      </c>
      <c r="B17" s="70" t="str">
        <f t="shared" si="0"/>
        <v>Plata</v>
      </c>
      <c r="G17" s="70" t="str">
        <v>48053-001-01 (Deshidrogenado / Endurecido) | 176 - 204 °C (375 ± 25 °F) | No aplica | &gt;= 1 hrs.</v>
      </c>
    </row>
    <row r="18" spans="1:7" x14ac:dyDescent="0.2">
      <c r="A18" s="70" t="str">
        <f>Listas!E13</f>
        <v>40001-053-02 (Estaño) | 5.08 - 10.16 µm</v>
      </c>
      <c r="B18" s="70" t="str">
        <f t="shared" si="0"/>
        <v>Estaño</v>
      </c>
      <c r="G18" s="70" t="str">
        <v>48053-001-01 (Deshidrogenado / Endurecido) | 176 - 204 °C (375 ± 25 °F) | No aplica | &gt;= 10 hrs.</v>
      </c>
    </row>
    <row r="19" spans="1:7" x14ac:dyDescent="0.2">
      <c r="A19" s="70" t="str">
        <f>Listas!E14</f>
        <v>40004-014-01 (Cobre - Estaño) | 5 - 10 µm | Pendiente</v>
      </c>
      <c r="B19" s="70" t="str">
        <f t="shared" si="0"/>
        <v>Estaño</v>
      </c>
      <c r="G19" s="70" t="str">
        <v>48053-001-01 (Deshidrogenado / Endurecido) | 176 - 204 °C (375 ± 25 °F) | No aplica | &gt;= 14 hrs.</v>
      </c>
    </row>
    <row r="20" spans="1:7" x14ac:dyDescent="0.2">
      <c r="A20" s="70" t="str">
        <f>Listas!E15</f>
        <v>40004-015-01 (Cobre - Estaño) | 5.08 - 10.0 µm | Pendiente</v>
      </c>
      <c r="B20" s="70" t="str">
        <f t="shared" si="0"/>
        <v>Estaño</v>
      </c>
      <c r="G20" s="70" t="str">
        <v>48053-001-01 (Deshidrogenado / Endurecido) | 176 - 204 °C (375 ± 25 °F) | No aplica | &gt;= 2 hrs.</v>
      </c>
    </row>
    <row r="21" spans="1:7" x14ac:dyDescent="0.2">
      <c r="A21" s="70" t="str">
        <f>Listas!E16</f>
        <v>40004-015-01 (Cobre - Estaño) | 5.08 - 8.0 µm | Pendiente</v>
      </c>
      <c r="B21" s="70" t="str">
        <f t="shared" si="0"/>
        <v>Estaño</v>
      </c>
      <c r="G21" s="70" t="str">
        <v>48053-001-01 (Deshidrogenado / Endurecido) | 176 - 204 °C (375 ± 25 °F) | No aplica | &gt;= 20 hrs.</v>
      </c>
    </row>
    <row r="22" spans="1:7" x14ac:dyDescent="0.2">
      <c r="A22" s="70" t="str">
        <f>Listas!E17</f>
        <v>40004-017-01 (Zinc) | 12 - 15 µm</v>
      </c>
      <c r="B22" s="70" t="str">
        <f t="shared" si="0"/>
        <v>Zinc</v>
      </c>
      <c r="G22" s="70" t="str">
        <v>48053-001-01 (Deshidrogenado / Endurecido) | 176 - 204 °C (375 ± 25 °F) | No aplica | &gt;= 24 hrs.</v>
      </c>
    </row>
    <row r="23" spans="1:7" x14ac:dyDescent="0.2">
      <c r="A23" s="70" t="str">
        <f>Listas!E18</f>
        <v>40004-017-01 (Zinc) | 15 - 20 µm</v>
      </c>
      <c r="B23" s="70" t="str">
        <f t="shared" si="0"/>
        <v>Zinc</v>
      </c>
      <c r="G23" s="70" t="str">
        <v>48053-001-01 (Deshidrogenado / Endurecido) | 176 - 204 °C (375 ± 25 °F) | No aplica | &gt;= 3 hrs.</v>
      </c>
    </row>
    <row r="24" spans="1:7" x14ac:dyDescent="0.2">
      <c r="A24" s="70" t="str">
        <f>Listas!E19</f>
        <v>40004-017-01 (Zinc) | 2.5 - 5 µm</v>
      </c>
      <c r="B24" s="70" t="str">
        <f t="shared" si="0"/>
        <v>Zinc</v>
      </c>
      <c r="G24" s="70" t="str">
        <v>48053-001-01 (Deshidrogenado / Endurecido) | 176 - 204 °C (375 ± 25 °F) | No aplica | &gt;= 4 hrs.</v>
      </c>
    </row>
    <row r="25" spans="1:7" x14ac:dyDescent="0.2">
      <c r="A25" s="70" t="str">
        <f>Listas!E20</f>
        <v>40004-017-01 (Zinc) | 4.5 - 5.5 µm</v>
      </c>
      <c r="B25" s="70" t="str">
        <f t="shared" si="0"/>
        <v>Zinc</v>
      </c>
      <c r="G25" s="70" t="str">
        <v>48053-001-01 (Deshidrogenado / Endurecido) | 176 - 204 °C (375 ± 25 °F) | No aplica | &gt;= 5 hrs.</v>
      </c>
    </row>
    <row r="26" spans="1:7" x14ac:dyDescent="0.2">
      <c r="A26" s="70" t="str">
        <f>Listas!E21</f>
        <v>40004-017-01 (Zinc) | 5 - 8 µm</v>
      </c>
      <c r="B26" s="70" t="str">
        <f t="shared" si="0"/>
        <v>Zinc</v>
      </c>
      <c r="G26" s="70" t="str">
        <v>48053-001-01 (Deshidrogenado / Endurecido) | 176 - 204 °C (375 ± 25 °F) | No aplica | &gt;= 6 hrs.</v>
      </c>
    </row>
    <row r="27" spans="1:7" x14ac:dyDescent="0.2">
      <c r="A27" s="70" t="str">
        <f>Listas!E22</f>
        <v>40004-017-01 (Zinc) | 8 - 12 µm</v>
      </c>
      <c r="B27" s="70" t="str">
        <f t="shared" si="0"/>
        <v>Zinc</v>
      </c>
      <c r="G27" s="70" t="str">
        <v>48053-001-01 (Deshidrogenado / Endurecido) | 176 - 204 °C (375 ± 25 °F) | No aplica | &gt;= 8 hrs.</v>
      </c>
    </row>
    <row r="28" spans="1:7" x14ac:dyDescent="0.2">
      <c r="A28" s="70" t="str">
        <f>Listas!E23</f>
        <v>40004-017-01 (Zinc) | 8 - 15 µm</v>
      </c>
      <c r="B28" s="70" t="str">
        <f t="shared" si="0"/>
        <v>Zinc</v>
      </c>
      <c r="G28" s="70" t="str">
        <v>48053-001-01 (Deshidrogenado / Endurecido) | No aplica | 302 - 329 °C (600 ± 25 °F) | &gt;= 0.5 hrs.</v>
      </c>
    </row>
    <row r="29" spans="1:7" x14ac:dyDescent="0.2">
      <c r="A29" s="70" t="str">
        <f>Listas!E24</f>
        <v>40004-022-01 (Cobre - Estaño) | 5.08 - 7.54 µm</v>
      </c>
      <c r="B29" s="70" t="str">
        <f t="shared" si="0"/>
        <v>Estaño</v>
      </c>
      <c r="G29" s="70" t="str">
        <v>48053-001-01 (Deshidrogenado / Endurecido) | No aplica | 302 - 329 °C (600 ± 25 °F) | &gt;= 1 hrs.</v>
      </c>
    </row>
    <row r="30" spans="1:7" x14ac:dyDescent="0.2">
      <c r="A30" s="70" t="str">
        <f>Listas!E25</f>
        <v>40004-086-01 (Plata Flash) | 1.27 - 2.5 µm</v>
      </c>
      <c r="B30" s="70" t="str">
        <f t="shared" si="0"/>
        <v>Plata</v>
      </c>
      <c r="G30" s="70" t="str">
        <v>48053-001-01 (Deshidrogenado / Endurecido) | No aplica | 302 - 329 °C (600 ± 25 °F) | &gt;= 10 hrs.</v>
      </c>
    </row>
    <row r="31" spans="1:7" x14ac:dyDescent="0.2">
      <c r="A31" s="70" t="str">
        <f>Listas!E26</f>
        <v>48053-001-01 (Deshidrogenado / Endurecido) | 176 - 204 °C (375 ± 25 °F) | 302 - 329 °C (600 ± 25 °F) | &gt;= 0.5 hrs.</v>
      </c>
      <c r="B31" s="70" t="str">
        <f t="shared" si="0"/>
        <v>Otros</v>
      </c>
      <c r="G31" s="70" t="str">
        <v>48053-001-01 (Deshidrogenado / Endurecido) | No aplica | 302 - 329 °C (600 ± 25 °F) | &gt;= 14 hrs.</v>
      </c>
    </row>
    <row r="32" spans="1:7" x14ac:dyDescent="0.2">
      <c r="A32" s="70" t="str">
        <f>Listas!E27</f>
        <v>48053-001-01 (Deshidrogenado / Endurecido) | 176 - 204 °C (375 ± 25 °F) | 302 - 329 °C (600 ± 25 °F) | &gt;= 1 hrs.</v>
      </c>
      <c r="B32" s="70" t="str">
        <f t="shared" si="0"/>
        <v>Otros</v>
      </c>
      <c r="G32" s="70" t="str">
        <v>48053-001-01 (Deshidrogenado / Endurecido) | No aplica | 302 - 329 °C (600 ± 25 °F) | &gt;= 2 hrs.</v>
      </c>
    </row>
    <row r="33" spans="1:7" x14ac:dyDescent="0.2">
      <c r="A33" s="70" t="str">
        <f>Listas!E28</f>
        <v>48053-001-01 (Deshidrogenado / Endurecido) | 176 - 204 °C (375 ± 25 °F) | 302 - 329 °C (600 ± 25 °F) | &gt;= 10 hrs.</v>
      </c>
      <c r="B33" s="70" t="str">
        <f t="shared" si="0"/>
        <v>Otros</v>
      </c>
      <c r="G33" s="70" t="str">
        <v>48053-001-01 (Deshidrogenado / Endurecido) | No aplica | 302 - 329 °C (600 ± 25 °F) | &gt;= 20 hrs.</v>
      </c>
    </row>
    <row r="34" spans="1:7" x14ac:dyDescent="0.2">
      <c r="A34" s="70" t="str">
        <f>Listas!E29</f>
        <v>48053-001-01 (Deshidrogenado / Endurecido) | 176 - 204 °C (375 ± 25 °F) | 302 - 329 °C (600 ± 25 °F) | &gt;= 14 hrs.</v>
      </c>
      <c r="B34" s="70" t="str">
        <f t="shared" si="0"/>
        <v>Otros</v>
      </c>
      <c r="G34" s="70" t="str">
        <v>48053-001-01 (Deshidrogenado / Endurecido) | No aplica | 302 - 329 °C (600 ± 25 °F) | &gt;= 24 hrs.</v>
      </c>
    </row>
    <row r="35" spans="1:7" x14ac:dyDescent="0.2">
      <c r="A35" s="70" t="str">
        <f>Listas!E30</f>
        <v>48053-001-01 (Deshidrogenado / Endurecido) | 176 - 204 °C (375 ± 25 °F) | 302 - 329 °C (600 ± 25 °F) | &gt;= 2 hrs.</v>
      </c>
      <c r="B35" s="70" t="str">
        <f t="shared" si="0"/>
        <v>Otros</v>
      </c>
      <c r="G35" s="70" t="str">
        <v>48053-001-01 (Deshidrogenado / Endurecido) | No aplica | 302 - 329 °C (600 ± 25 °F) | &gt;= 3 hrs.</v>
      </c>
    </row>
    <row r="36" spans="1:7" x14ac:dyDescent="0.2">
      <c r="A36" s="70" t="str">
        <f>Listas!E31</f>
        <v>48053-001-01 (Deshidrogenado / Endurecido) | 176 - 204 °C (375 ± 25 °F) | 302 - 329 °C (600 ± 25 °F) | &gt;= 20 hrs.</v>
      </c>
      <c r="B36" s="70" t="str">
        <f t="shared" si="0"/>
        <v>Otros</v>
      </c>
      <c r="G36" s="70" t="str">
        <v>48053-001-01 (Deshidrogenado / Endurecido) | No aplica | 302 - 329 °C (600 ± 25 °F) | &gt;= 4 hrs.</v>
      </c>
    </row>
    <row r="37" spans="1:7" x14ac:dyDescent="0.2">
      <c r="A37" s="70" t="str">
        <f>Listas!E32</f>
        <v>48053-001-01 (Deshidrogenado / Endurecido) | 176 - 204 °C (375 ± 25 °F) | 302 - 329 °C (600 ± 25 °F) | &gt;= 24 hrs.</v>
      </c>
      <c r="B37" s="70" t="str">
        <f t="shared" si="0"/>
        <v>Otros</v>
      </c>
      <c r="G37" s="70" t="str">
        <v>48053-001-01 (Deshidrogenado / Endurecido) | No aplica | 302 - 329 °C (600 ± 25 °F) | &gt;= 5 hrs.</v>
      </c>
    </row>
    <row r="38" spans="1:7" x14ac:dyDescent="0.2">
      <c r="A38" s="70" t="str">
        <f>Listas!E33</f>
        <v>48053-001-01 (Deshidrogenado / Endurecido) | 176 - 204 °C (375 ± 25 °F) | 302 - 329 °C (600 ± 25 °F) | &gt;= 3 hrs.</v>
      </c>
      <c r="B38" s="70" t="str">
        <f t="shared" si="0"/>
        <v>Otros</v>
      </c>
      <c r="G38" s="70" t="str">
        <v>48053-001-01 (Deshidrogenado / Endurecido) | No aplica | 302 - 329 °C (600 ± 25 °F) | &gt;= 6 hrs.</v>
      </c>
    </row>
    <row r="39" spans="1:7" x14ac:dyDescent="0.2">
      <c r="A39" s="70" t="str">
        <f>Listas!E34</f>
        <v>48053-001-01 (Deshidrogenado / Endurecido) | 176 - 204 °C (375 ± 25 °F) | 302 - 329 °C (600 ± 25 °F) | &gt;= 4 hrs.</v>
      </c>
      <c r="B39" s="70" t="str">
        <f t="shared" si="0"/>
        <v>Otros</v>
      </c>
      <c r="G39" s="70" t="str">
        <v>48053-001-01 (Deshidrogenado / Endurecido) | No aplica | 302 - 329 °C (600 ± 25 °F) | &gt;= 8 hrs.</v>
      </c>
    </row>
    <row r="40" spans="1:7" x14ac:dyDescent="0.2">
      <c r="A40" s="70" t="str">
        <f>Listas!E35</f>
        <v>48053-001-01 (Deshidrogenado / Endurecido) | 176 - 204 °C (375 ± 25 °F) | 302 - 329 °C (600 ± 25 °F) | &gt;= 5 hrs.</v>
      </c>
      <c r="B40" s="70" t="str">
        <f t="shared" si="0"/>
        <v>Otros</v>
      </c>
      <c r="G40" s="70" t="str">
        <v>48053-001-01 (Deshidrogenado / Endurecido) | No aplica | No aplica | &gt;= 0.5 hrs.</v>
      </c>
    </row>
    <row r="41" spans="1:7" x14ac:dyDescent="0.2">
      <c r="A41" s="70" t="str">
        <f>Listas!E36</f>
        <v>48053-001-01 (Deshidrogenado / Endurecido) | 176 - 204 °C (375 ± 25 °F) | 302 - 329 °C (600 ± 25 °F) | &gt;= 6 hrs.</v>
      </c>
      <c r="B41" s="70" t="str">
        <f t="shared" si="0"/>
        <v>Otros</v>
      </c>
      <c r="G41" s="70" t="str">
        <v>48053-001-01 (Deshidrogenado / Endurecido) | No aplica | No aplica | &gt;= 1 hrs.</v>
      </c>
    </row>
    <row r="42" spans="1:7" x14ac:dyDescent="0.2">
      <c r="A42" s="70" t="str">
        <f>Listas!E37</f>
        <v>48053-001-01 (Deshidrogenado / Endurecido) | 176 - 204 °C (375 ± 25 °F) | 302 - 329 °C (600 ± 25 °F) | &gt;= 8 hrs.</v>
      </c>
      <c r="B42" s="70" t="str">
        <f t="shared" si="0"/>
        <v>Otros</v>
      </c>
      <c r="G42" s="70" t="str">
        <v>48053-001-01 (Deshidrogenado / Endurecido) | No aplica | No aplica | &gt;= 10 hrs.</v>
      </c>
    </row>
    <row r="43" spans="1:7" x14ac:dyDescent="0.2">
      <c r="A43" s="70" t="str">
        <f>Listas!E38</f>
        <v>48053-001-01 (Deshidrogenado / Endurecido) | 176 - 204 °C (375 ± 25 °F) | No aplica | &gt;= 0.5 hrs.</v>
      </c>
      <c r="B43" s="70" t="str">
        <f t="shared" si="0"/>
        <v>Otros</v>
      </c>
      <c r="G43" s="70" t="str">
        <v>48053-001-01 (Deshidrogenado / Endurecido) | No aplica | No aplica | &gt;= 14 hrs.</v>
      </c>
    </row>
    <row r="44" spans="1:7" x14ac:dyDescent="0.2">
      <c r="A44" s="70" t="str">
        <f>Listas!E39</f>
        <v>48053-001-01 (Deshidrogenado / Endurecido) | 176 - 204 °C (375 ± 25 °F) | No aplica | &gt;= 1 hrs.</v>
      </c>
      <c r="B44" s="70" t="str">
        <f t="shared" si="0"/>
        <v>Otros</v>
      </c>
      <c r="G44" s="70" t="str">
        <v>48053-001-01 (Deshidrogenado / Endurecido) | No aplica | No aplica | &gt;= 2 hrs.</v>
      </c>
    </row>
    <row r="45" spans="1:7" x14ac:dyDescent="0.2">
      <c r="A45" s="70" t="str">
        <f>Listas!E40</f>
        <v>48053-001-01 (Deshidrogenado / Endurecido) | 176 - 204 °C (375 ± 25 °F) | No aplica | &gt;= 10 hrs.</v>
      </c>
      <c r="B45" s="70" t="str">
        <f t="shared" si="0"/>
        <v>Otros</v>
      </c>
      <c r="G45" s="70" t="str">
        <v>48053-001-01 (Deshidrogenado / Endurecido) | No aplica | No aplica | &gt;= 20 hrs.</v>
      </c>
    </row>
    <row r="46" spans="1:7" x14ac:dyDescent="0.2">
      <c r="A46" s="70" t="str">
        <f>Listas!E41</f>
        <v>48053-001-01 (Deshidrogenado / Endurecido) | 176 - 204 °C (375 ± 25 °F) | No aplica | &gt;= 14 hrs.</v>
      </c>
      <c r="B46" s="70" t="str">
        <f t="shared" si="0"/>
        <v>Otros</v>
      </c>
      <c r="G46" s="70" t="str">
        <v>48053-001-01 (Deshidrogenado / Endurecido) | No aplica | No aplica | &gt;= 24 hrs.</v>
      </c>
    </row>
    <row r="47" spans="1:7" x14ac:dyDescent="0.2">
      <c r="A47" s="70" t="str">
        <f>Listas!E42</f>
        <v>48053-001-01 (Deshidrogenado / Endurecido) | 176 - 204 °C (375 ± 25 °F) | No aplica | &gt;= 2 hrs.</v>
      </c>
      <c r="B47" s="70" t="str">
        <f t="shared" si="0"/>
        <v>Otros</v>
      </c>
      <c r="G47" s="70" t="str">
        <v>48053-001-01 (Deshidrogenado / Endurecido) | No aplica | No aplica | &gt;= 3 hrs.</v>
      </c>
    </row>
    <row r="48" spans="1:7" x14ac:dyDescent="0.2">
      <c r="A48" s="70" t="str">
        <f>Listas!E43</f>
        <v>48053-001-01 (Deshidrogenado / Endurecido) | 176 - 204 °C (375 ± 25 °F) | No aplica | &gt;= 20 hrs.</v>
      </c>
      <c r="B48" s="70" t="str">
        <f t="shared" si="0"/>
        <v>Otros</v>
      </c>
      <c r="G48" s="70" t="str">
        <v>48053-001-01 (Deshidrogenado / Endurecido) | No aplica | No aplica | &gt;= 4 hrs.</v>
      </c>
    </row>
    <row r="49" spans="1:7" x14ac:dyDescent="0.2">
      <c r="A49" s="70" t="str">
        <f>Listas!E44</f>
        <v>48053-001-01 (Deshidrogenado / Endurecido) | 176 - 204 °C (375 ± 25 °F) | No aplica | &gt;= 24 hrs.</v>
      </c>
      <c r="B49" s="70" t="str">
        <f t="shared" si="0"/>
        <v>Otros</v>
      </c>
      <c r="G49" s="70" t="str">
        <v>48053-001-01 (Deshidrogenado / Endurecido) | No aplica | No aplica | &gt;= 5 hrs.</v>
      </c>
    </row>
    <row r="50" spans="1:7" x14ac:dyDescent="0.2">
      <c r="A50" s="70" t="str">
        <f>Listas!E45</f>
        <v>48053-001-01 (Deshidrogenado / Endurecido) | 176 - 204 °C (375 ± 25 °F) | No aplica | &gt;= 3 hrs.</v>
      </c>
      <c r="B50" s="70" t="str">
        <f t="shared" si="0"/>
        <v>Otros</v>
      </c>
      <c r="G50" s="70" t="str">
        <v>48053-001-01 (Deshidrogenado / Endurecido) | No aplica | No aplica | &gt;= 6 hrs.</v>
      </c>
    </row>
    <row r="51" spans="1:7" x14ac:dyDescent="0.2">
      <c r="A51" s="70" t="str">
        <f>Listas!E46</f>
        <v>48053-001-01 (Deshidrogenado / Endurecido) | 176 - 204 °C (375 ± 25 °F) | No aplica | &gt;= 4 hrs.</v>
      </c>
      <c r="B51" s="70" t="str">
        <f t="shared" si="0"/>
        <v>Otros</v>
      </c>
      <c r="G51" s="70" t="str">
        <v>48053-001-01 (Deshidrogenado / Endurecido) | No aplica | No aplica | &gt;= 8 hrs.</v>
      </c>
    </row>
    <row r="52" spans="1:7" x14ac:dyDescent="0.2">
      <c r="A52" s="70" t="str">
        <f>Listas!E47</f>
        <v>48053-001-01 (Deshidrogenado / Endurecido) | 176 - 204 °C (375 ± 25 °F) | No aplica | &gt;= 5 hrs.</v>
      </c>
      <c r="B52" s="70" t="str">
        <f t="shared" si="0"/>
        <v>Otros</v>
      </c>
      <c r="G52" s="70" t="str">
        <v>48053-005-01 (Lavado - Tratamiento Térmico - Bimetales)</v>
      </c>
    </row>
    <row r="53" spans="1:7" x14ac:dyDescent="0.2">
      <c r="A53" s="70" t="str">
        <f>Listas!E48</f>
        <v>48053-001-01 (Deshidrogenado / Endurecido) | 176 - 204 °C (375 ± 25 °F) | No aplica | &gt;= 6 hrs.</v>
      </c>
      <c r="B53" s="70" t="str">
        <f t="shared" si="0"/>
        <v>Otros</v>
      </c>
      <c r="G53" s="70" t="str">
        <v>48057-004-01 (Bright Dip)</v>
      </c>
    </row>
    <row r="54" spans="1:7" x14ac:dyDescent="0.2">
      <c r="A54" s="70" t="str">
        <f>Listas!E49</f>
        <v>48053-001-01 (Deshidrogenado / Endurecido) | 176 - 204 °C (375 ± 25 °F) | No aplica | &gt;= 8 hrs.</v>
      </c>
      <c r="B54" s="70" t="str">
        <f t="shared" si="0"/>
        <v>Otros</v>
      </c>
      <c r="G54" s="70" t="str">
        <v>48860-031-01 (Lavado)</v>
      </c>
    </row>
    <row r="55" spans="1:7" x14ac:dyDescent="0.2">
      <c r="A55" s="70" t="str">
        <f>Listas!E50</f>
        <v>48053-001-01 (Deshidrogenado / Endurecido) | No aplica | 302 - 329 °C (600 ± 25 °F) | &gt;= 0.5 hrs.</v>
      </c>
      <c r="B55" s="70" t="str">
        <f t="shared" si="0"/>
        <v>Otros</v>
      </c>
      <c r="G55" s="70" t="str">
        <v>48951-001-01 (Rebabeo)</v>
      </c>
    </row>
    <row r="56" spans="1:7" x14ac:dyDescent="0.2">
      <c r="A56" s="70" t="str">
        <f>Listas!E51</f>
        <v>48053-001-01 (Deshidrogenado / Endurecido) | No aplica | 302 - 329 °C (600 ± 25 °F) | &gt;= 1 hrs.</v>
      </c>
      <c r="B56" s="70" t="str">
        <f t="shared" si="0"/>
        <v>Otros</v>
      </c>
      <c r="G56" s="70" t="str">
        <v>48951-001-02 (Rebabeo)</v>
      </c>
    </row>
    <row r="57" spans="1:7" x14ac:dyDescent="0.2">
      <c r="A57" s="70" t="str">
        <f>Listas!E52</f>
        <v>48053-001-01 (Deshidrogenado / Endurecido) | No aplica | 302 - 329 °C (600 ± 25 °F) | &gt;= 10 hrs.</v>
      </c>
      <c r="B57" s="70" t="str">
        <f t="shared" si="0"/>
        <v>Otros</v>
      </c>
      <c r="G57" s="70" t="str">
        <v>48951-008-01 (Desengrase)</v>
      </c>
    </row>
    <row r="58" spans="1:7" x14ac:dyDescent="0.2">
      <c r="A58" s="70" t="str">
        <f>Listas!E53</f>
        <v>48053-001-01 (Deshidrogenado / Endurecido) | No aplica | 302 - 329 °C (600 ± 25 °F) | &gt;= 14 hrs.</v>
      </c>
      <c r="B58" s="70" t="str">
        <f t="shared" si="0"/>
        <v>Otros</v>
      </c>
      <c r="G58" s="70" t="str">
        <v>DIN 50967 | 5 - 8 µm</v>
      </c>
    </row>
    <row r="59" spans="1:7" x14ac:dyDescent="0.2">
      <c r="A59" s="70" t="str">
        <f>Listas!E54</f>
        <v>48053-001-01 (Deshidrogenado / Endurecido) | No aplica | 302 - 329 °C (600 ± 25 °F) | &gt;= 2 hrs.</v>
      </c>
      <c r="B59" s="70" t="str">
        <f t="shared" si="0"/>
        <v>Otros</v>
      </c>
      <c r="G59" s="70" t="str">
        <v>DYM Pendiente (Deshidrogenado) | 130 - 150 °C | &gt;= 5 hrs.</v>
      </c>
    </row>
    <row r="60" spans="1:7" x14ac:dyDescent="0.2">
      <c r="A60" s="70" t="str">
        <f>Listas!E55</f>
        <v>48053-001-01 (Deshidrogenado / Endurecido) | No aplica | 302 - 329 °C (600 ± 25 °F) | &gt;= 20 hrs.</v>
      </c>
      <c r="B60" s="70" t="str">
        <f t="shared" si="0"/>
        <v>Otros</v>
      </c>
      <c r="G60" s="70" t="str">
        <v>F50HD3S (Deshidrogenado) | 115 - 121 °C | &gt;= 6 hrs.</v>
      </c>
    </row>
    <row r="61" spans="1:7" x14ac:dyDescent="0.2">
      <c r="A61" s="70" t="str">
        <f>Listas!E56</f>
        <v>48053-001-01 (Deshidrogenado / Endurecido) | No aplica | 302 - 329 °C (600 ± 25 °F) | &gt;= 24 hrs.</v>
      </c>
      <c r="B61" s="70" t="str">
        <f t="shared" si="0"/>
        <v>Otros</v>
      </c>
      <c r="G61" s="70" t="str">
        <v>F50KD12 | 0.254 - 2.5 µm</v>
      </c>
    </row>
    <row r="62" spans="1:7" x14ac:dyDescent="0.2">
      <c r="A62" s="70" t="str">
        <f>Listas!E57</f>
        <v>48053-001-01 (Deshidrogenado / Endurecido) | No aplica | 302 - 329 °C (600 ± 25 °F) | &gt;= 3 hrs.</v>
      </c>
      <c r="B62" s="70" t="str">
        <f t="shared" si="0"/>
        <v>Otros</v>
      </c>
      <c r="G62" s="70" t="str">
        <v>FC-F01 | 8.0 - 12.5 µm</v>
      </c>
    </row>
    <row r="63" spans="1:7" x14ac:dyDescent="0.2">
      <c r="A63" s="70" t="str">
        <f>Listas!E58</f>
        <v>48053-001-01 (Deshidrogenado / Endurecido) | No aplica | 302 - 329 °C (600 ± 25 °F) | &gt;= 4 hrs.</v>
      </c>
      <c r="B63" s="70" t="str">
        <f t="shared" si="0"/>
        <v>Otros</v>
      </c>
      <c r="G63" s="70" t="str">
        <v>FFS-2E3 (Cromo Duro) | 12.7 - 17.78 µm</v>
      </c>
    </row>
    <row r="64" spans="1:7" x14ac:dyDescent="0.2">
      <c r="A64" s="70" t="str">
        <f>Listas!E59</f>
        <v>48053-001-01 (Deshidrogenado / Endurecido) | No aplica | 302 - 329 °C (600 ± 25 °F) | &gt;= 5 hrs.</v>
      </c>
      <c r="B64" s="70" t="str">
        <f t="shared" si="0"/>
        <v>Otros</v>
      </c>
      <c r="G64" s="70" t="str">
        <v>FFS-2E3 (Cromo Duro) | 19.05 - 31.75 µm</v>
      </c>
    </row>
    <row r="65" spans="1:7" x14ac:dyDescent="0.2">
      <c r="A65" s="70" t="str">
        <f>Listas!E60</f>
        <v>48053-001-01 (Deshidrogenado / Endurecido) | No aplica | 302 - 329 °C (600 ± 25 °F) | &gt;= 6 hrs.</v>
      </c>
      <c r="B65" s="70" t="str">
        <f t="shared" si="0"/>
        <v>Otros</v>
      </c>
      <c r="G65" s="70" t="str">
        <v>FFS-2E3 (Cromo Duro) | 25 - 38 µm</v>
      </c>
    </row>
    <row r="66" spans="1:7" x14ac:dyDescent="0.2">
      <c r="A66" s="70" t="str">
        <f>Listas!E61</f>
        <v>48053-001-01 (Deshidrogenado / Endurecido) | No aplica | 302 - 329 °C (600 ± 25 °F) | &gt;= 8 hrs.</v>
      </c>
      <c r="B66" s="70" t="str">
        <f t="shared" si="0"/>
        <v>Otros</v>
      </c>
      <c r="G66" s="70" t="str">
        <v>FFS-2E3 (Cromo Duro) | 38.5 - 63.5 µm</v>
      </c>
    </row>
    <row r="67" spans="1:7" x14ac:dyDescent="0.2">
      <c r="A67" s="70" t="str">
        <f>Listas!E62</f>
        <v>48053-001-01 (Deshidrogenado / Endurecido) | No aplica | No aplica | &gt;= 0.5 hrs.</v>
      </c>
      <c r="B67" s="70" t="str">
        <f t="shared" si="0"/>
        <v>Otros</v>
      </c>
      <c r="G67" s="70" t="str">
        <v>FFS-2E3 (Cromo Duro) | 5.08 - 7.62 µm</v>
      </c>
    </row>
    <row r="68" spans="1:7" x14ac:dyDescent="0.2">
      <c r="A68" s="70" t="str">
        <f>Listas!E63</f>
        <v>48053-001-01 (Deshidrogenado / Endurecido) | No aplica | No aplica | &gt;= 1 hrs.</v>
      </c>
      <c r="B68" s="70" t="str">
        <f t="shared" si="0"/>
        <v>Otros</v>
      </c>
      <c r="G68" s="70" t="str">
        <v>FFS-2E3 (Cromo Duro) | 63.5 - 88.9 µm</v>
      </c>
    </row>
    <row r="69" spans="1:7" x14ac:dyDescent="0.2">
      <c r="A69" s="70" t="str">
        <f>Listas!E64</f>
        <v>48053-001-01 (Deshidrogenado / Endurecido) | No aplica | No aplica | &gt;= 10 hrs.</v>
      </c>
      <c r="B69" s="70" t="str">
        <f t="shared" si="0"/>
        <v>Otros</v>
      </c>
      <c r="G69" s="70" t="str">
        <v>FFS-2E3 (Cromo Duro) | 7.62 - 12.7 µm</v>
      </c>
    </row>
    <row r="70" spans="1:7" x14ac:dyDescent="0.2">
      <c r="A70" s="70" t="str">
        <f>Listas!E65</f>
        <v>48053-001-01 (Deshidrogenado / Endurecido) | No aplica | No aplica | &gt;= 14 hrs.</v>
      </c>
      <c r="B70" s="70" t="str">
        <f t="shared" si="0"/>
        <v>Otros</v>
      </c>
      <c r="G70" s="70" t="str">
        <v>FFS-3A9 (Iridizado)</v>
      </c>
    </row>
    <row r="71" spans="1:7" x14ac:dyDescent="0.2">
      <c r="A71" s="70" t="str">
        <f>Listas!E66</f>
        <v>48053-001-01 (Deshidrogenado / Endurecido) | No aplica | No aplica | &gt;= 2 hrs.</v>
      </c>
      <c r="B71" s="70" t="str">
        <f t="shared" si="0"/>
        <v>Otros</v>
      </c>
      <c r="G71" s="70" t="str">
        <v>FGS-8B7 (Deshidrogenado / Horneado) | 190 - 204 °C (375 - 400 °F) | 337 - 349 (650 ± 10 °F) | &gt;= 0.5 hrs.</v>
      </c>
    </row>
    <row r="72" spans="1:7" x14ac:dyDescent="0.2">
      <c r="A72" s="70" t="str">
        <f>Listas!E67</f>
        <v>48053-001-01 (Deshidrogenado / Endurecido) | No aplica | No aplica | &gt;= 20 hrs.</v>
      </c>
      <c r="B72" s="70" t="str">
        <f t="shared" si="0"/>
        <v>Otros</v>
      </c>
      <c r="G72" s="70" t="str">
        <v>FGS-8B7 (Deshidrogenado / Horneado) | 190 - 204 °C (375 - 400 °F) | 337 - 349 (650 ± 10 °F) | &gt;= 1 hrs.</v>
      </c>
    </row>
    <row r="73" spans="1:7" x14ac:dyDescent="0.2">
      <c r="A73" s="70" t="str">
        <f>Listas!E68</f>
        <v>48053-001-01 (Deshidrogenado / Endurecido) | No aplica | No aplica | &gt;= 24 hrs.</v>
      </c>
      <c r="B73" s="70" t="str">
        <f t="shared" si="0"/>
        <v>Otros</v>
      </c>
      <c r="G73" s="70" t="str">
        <v>FGS-8B7 (Deshidrogenado / Horneado) | 190 - 204 °C (375 - 400 °F) | 337 - 349 (650 ± 10 °F) | &gt;= 10 hrs.</v>
      </c>
    </row>
    <row r="74" spans="1:7" x14ac:dyDescent="0.2">
      <c r="A74" s="70" t="str">
        <f>Listas!E69</f>
        <v>48053-001-01 (Deshidrogenado / Endurecido) | No aplica | No aplica | &gt;= 3 hrs.</v>
      </c>
      <c r="B74" s="70"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74" s="70" t="str">
        <v>FGS-8B7 (Deshidrogenado / Horneado) | 190 - 204 °C (375 - 400 °F) | 337 - 349 (650 ± 10 °F) | &gt;= 14 hrs.</v>
      </c>
    </row>
    <row r="75" spans="1:7" x14ac:dyDescent="0.2">
      <c r="A75" s="70" t="str">
        <f>Listas!E70</f>
        <v>48053-001-01 (Deshidrogenado / Endurecido) | No aplica | No aplica | &gt;= 4 hrs.</v>
      </c>
      <c r="B75" s="70" t="str">
        <f t="shared" si="1"/>
        <v>Otros</v>
      </c>
      <c r="G75" s="70" t="str">
        <v>FGS-8B7 (Deshidrogenado / Horneado) | 190 - 204 °C (375 - 400 °F) | 337 - 349 (650 ± 10 °F) | &gt;= 2 hrs.</v>
      </c>
    </row>
    <row r="76" spans="1:7" x14ac:dyDescent="0.2">
      <c r="A76" s="70" t="str">
        <f>Listas!E71</f>
        <v>48053-001-01 (Deshidrogenado / Endurecido) | No aplica | No aplica | &gt;= 5 hrs.</v>
      </c>
      <c r="B76" s="70" t="str">
        <f t="shared" si="1"/>
        <v>Otros</v>
      </c>
      <c r="G76" s="70" t="str">
        <v>FGS-8B7 (Deshidrogenado / Horneado) | 190 - 204 °C (375 - 400 °F) | 337 - 349 (650 ± 10 °F) | &gt;= 24 hrs.</v>
      </c>
    </row>
    <row r="77" spans="1:7" x14ac:dyDescent="0.2">
      <c r="A77" s="70" t="str">
        <f>Listas!E72</f>
        <v>48053-001-01 (Deshidrogenado / Endurecido) | No aplica | No aplica | &gt;= 6 hrs.</v>
      </c>
      <c r="B77" s="70" t="str">
        <f t="shared" si="1"/>
        <v>Otros</v>
      </c>
      <c r="G77" s="70" t="str">
        <v>FGS-8B7 (Deshidrogenado / Horneado) | 190 - 204 °C (375 - 400 °F) | 337 - 349 (650 ± 10 °F) | &gt;= 3 hrs.</v>
      </c>
    </row>
    <row r="78" spans="1:7" x14ac:dyDescent="0.2">
      <c r="A78" s="70" t="str">
        <f>Listas!E73</f>
        <v>48053-001-01 (Deshidrogenado / Endurecido) | No aplica | No aplica | &gt;= 8 hrs.</v>
      </c>
      <c r="B78" s="70" t="str">
        <f t="shared" si="1"/>
        <v>Otros</v>
      </c>
      <c r="G78" s="70" t="str">
        <v>FGS-8B7 (Deshidrogenado / Horneado) | 190 - 204 °C (375 - 400 °F) | 337 - 349 (650 ± 10 °F) | &gt;= 4 hrs.</v>
      </c>
    </row>
    <row r="79" spans="1:7" x14ac:dyDescent="0.2">
      <c r="A79" s="70" t="str">
        <f>Listas!E74</f>
        <v>48053-005-01 (Lavado - Tratamiento Térmico - Bimetales)</v>
      </c>
      <c r="B79" s="70" t="str">
        <f t="shared" si="1"/>
        <v>Otros</v>
      </c>
      <c r="G79" s="70" t="str">
        <v>FGS-8B7 (Deshidrogenado / Horneado) | 190 - 204 °C (375 - 400 °F) | 337 - 349 (650 ± 10 °F) | &gt;= 5 hrs.</v>
      </c>
    </row>
    <row r="80" spans="1:7" x14ac:dyDescent="0.2">
      <c r="A80" s="70" t="str">
        <f>Listas!E75</f>
        <v>48057-002-01 (Níquel) | 2.5 - 5.0 µm</v>
      </c>
      <c r="B80" s="70" t="str">
        <f t="shared" si="1"/>
        <v>Níquel</v>
      </c>
      <c r="G80" s="70" t="str">
        <v>FGS-8B7 (Deshidrogenado / Horneado) | 190 - 204 °C (375 - 400 °F) | 337 - 349 (650 ± 10 °F) | &gt;= 6 hrs.</v>
      </c>
    </row>
    <row r="81" spans="1:7" x14ac:dyDescent="0.2">
      <c r="A81" s="70" t="str">
        <f>Listas!E76</f>
        <v>48057-002-02 (Níquel Bimetales) | 0.5 - 2.0 µm</v>
      </c>
      <c r="B81" s="70" t="str">
        <f t="shared" si="1"/>
        <v>Níquel</v>
      </c>
      <c r="G81" s="70" t="str">
        <v>FGS-8B7 (Deshidrogenado / Horneado) | 190 - 204 °C (375 - 400 °F) | 337 - 349 (650 ± 10 °F) | &gt;= 8 hrs.</v>
      </c>
    </row>
    <row r="82" spans="1:7" x14ac:dyDescent="0.2">
      <c r="A82" s="70" t="str">
        <f>Listas!E77</f>
        <v>48057-003-01 (Zinc) | 6.0 - 10.0 µm</v>
      </c>
      <c r="B82" s="70" t="str">
        <f t="shared" si="1"/>
        <v>Zinc</v>
      </c>
      <c r="G82" s="70" t="str">
        <v>FGS-8B7 (Deshidrogenado / Horneado) | 190 - 204 °C (375 - 400 °F) | No aplica | &gt;= 0.5 hrs.</v>
      </c>
    </row>
    <row r="83" spans="1:7" x14ac:dyDescent="0.2">
      <c r="A83" s="70" t="str">
        <f>Listas!E78</f>
        <v>48057-004-01 (Bright Dip)</v>
      </c>
      <c r="B83" s="70" t="str">
        <f t="shared" si="1"/>
        <v>Otros</v>
      </c>
      <c r="G83" s="70" t="str">
        <v>FGS-8B7 (Deshidrogenado / Horneado) | 190 - 204 °C (375 - 400 °F) | No aplica | &gt;= 1 hrs.</v>
      </c>
    </row>
    <row r="84" spans="1:7" x14ac:dyDescent="0.2">
      <c r="A84" s="70" t="str">
        <f>Listas!E79</f>
        <v>48057-006-01 (Plata) | 2.5 - 4.0 µm</v>
      </c>
      <c r="B84" s="70" t="str">
        <f t="shared" si="1"/>
        <v>Plata</v>
      </c>
      <c r="G84" s="70" t="str">
        <v>FGS-8B7 (Deshidrogenado / Horneado) | 190 - 204 °C (375 - 400 °F) | No aplica | &gt;= 10 hrs.</v>
      </c>
    </row>
    <row r="85" spans="1:7" x14ac:dyDescent="0.2">
      <c r="A85" s="70" t="str">
        <f>Listas!E80</f>
        <v>48057-007-01 (Estaño Bimetales) | 0.6 - 2.0 µm</v>
      </c>
      <c r="B85" s="70" t="str">
        <f t="shared" si="1"/>
        <v>Estaño</v>
      </c>
      <c r="G85" s="70" t="str">
        <v>FGS-8B7 (Deshidrogenado / Horneado) | 190 - 204 °C (375 - 400 °F) | No aplica | &gt;= 14 hrs.</v>
      </c>
    </row>
    <row r="86" spans="1:7" x14ac:dyDescent="0.2">
      <c r="A86" s="70" t="str">
        <f>Listas!E81</f>
        <v>48057-007-01 (Estaño Bimetales) | 1.9 - 5.0 µm</v>
      </c>
      <c r="B86" s="70" t="str">
        <f t="shared" si="1"/>
        <v>Estaño</v>
      </c>
      <c r="G86" s="70" t="str">
        <v>FGS-8B7 (Deshidrogenado / Horneado) | 190 - 204 °C (375 - 400 °F) | No aplica | &gt;= 2 hrs.</v>
      </c>
    </row>
    <row r="87" spans="1:7" x14ac:dyDescent="0.2">
      <c r="A87" s="70" t="str">
        <f>Listas!E82</f>
        <v>48860-031-01 (Lavado)</v>
      </c>
      <c r="B87" s="70" t="str">
        <f t="shared" si="1"/>
        <v>Otros</v>
      </c>
      <c r="G87" s="70" t="str">
        <v>FGS-8B7 (Deshidrogenado / Horneado) | 190 - 204 °C (375 - 400 °F) | No aplica | &gt;= 24 hrs.</v>
      </c>
    </row>
    <row r="88" spans="1:7" x14ac:dyDescent="0.2">
      <c r="A88" s="70" t="str">
        <f>Listas!E83</f>
        <v>48951-001-01 (Rebabeo)</v>
      </c>
      <c r="B88" s="70" t="str">
        <f t="shared" si="1"/>
        <v>Otros</v>
      </c>
      <c r="G88" s="70" t="str">
        <v>FGS-8B7 (Deshidrogenado / Horneado) | 190 - 204 °C (375 - 400 °F) | No aplica | &gt;= 3 hrs.</v>
      </c>
    </row>
    <row r="89" spans="1:7" x14ac:dyDescent="0.2">
      <c r="A89" s="70" t="str">
        <f>Listas!E84</f>
        <v>48951-001-02 (Rebabeo)</v>
      </c>
      <c r="B89" s="70" t="str">
        <f t="shared" si="1"/>
        <v>Otros</v>
      </c>
      <c r="G89" s="70" t="str">
        <v>FGS-8B7 (Deshidrogenado / Horneado) | 190 - 204 °C (375 - 400 °F) | No aplica | &gt;= 4 hrs.</v>
      </c>
    </row>
    <row r="90" spans="1:7" x14ac:dyDescent="0.2">
      <c r="A90" s="70" t="str">
        <f>Listas!E85</f>
        <v>48951-008-01 (Desengrase)</v>
      </c>
      <c r="B90" s="70" t="str">
        <f t="shared" si="1"/>
        <v>Otros</v>
      </c>
      <c r="G90" s="70" t="str">
        <v>FGS-8B7 (Deshidrogenado / Horneado) | 190 - 204 °C (375 - 400 °F) | No aplica | &gt;= 5 hrs.</v>
      </c>
    </row>
    <row r="91" spans="1:7" x14ac:dyDescent="0.2">
      <c r="A91" s="70" t="str">
        <f>Listas!E86</f>
        <v>48957-014-01 (Níquel Electroless) | 10 - 13 µm</v>
      </c>
      <c r="B91" s="70" t="str">
        <f t="shared" si="1"/>
        <v>Níquel</v>
      </c>
      <c r="G91" s="70" t="str">
        <v>FGS-8B7 (Deshidrogenado / Horneado) | 190 - 204 °C (375 - 400 °F) | No aplica | &gt;= 6 hrs.</v>
      </c>
    </row>
    <row r="92" spans="1:7" x14ac:dyDescent="0.2">
      <c r="A92" s="70" t="str">
        <f>Listas!E87</f>
        <v>48957-014-01 (Níquel Electroless) | 2.5 - 7.6 µm</v>
      </c>
      <c r="B92" s="70" t="str">
        <f t="shared" si="1"/>
        <v>Níquel</v>
      </c>
      <c r="G92" s="70" t="str">
        <v>FGS-8B7 (Deshidrogenado / Horneado) | 190 - 204 °C (375 - 400 °F) | No aplica | &gt;= 8 hrs.</v>
      </c>
    </row>
    <row r="93" spans="1:7" x14ac:dyDescent="0.2">
      <c r="A93" s="70" t="str">
        <f>Listas!E88</f>
        <v>48957-014-01 (Níquel Electroless) | 5.0 - 10.0 µm</v>
      </c>
      <c r="B93" s="70" t="str">
        <f t="shared" si="1"/>
        <v>Níquel</v>
      </c>
      <c r="G93" s="70" t="str">
        <v>FGS-8B7 (Deshidrogenado / Horneado) | No aplica | 337 - 349 (650 ± 10 °F) | &gt;= 0.5 hrs.</v>
      </c>
    </row>
    <row r="94" spans="1:7" x14ac:dyDescent="0.2">
      <c r="A94" s="70" t="str">
        <f>Listas!E89</f>
        <v>80065-DS-001 (Estaño) | 5.08 - 8.89 µm</v>
      </c>
      <c r="B94" s="70" t="str">
        <f t="shared" si="1"/>
        <v>Estaño</v>
      </c>
      <c r="G94" s="70" t="str">
        <v>FGS-8B7 (Deshidrogenado / Horneado) | No aplica | 337 - 349 (650 ± 10 °F) | &gt;= 1 hrs.</v>
      </c>
    </row>
    <row r="95" spans="1:7" x14ac:dyDescent="0.2">
      <c r="A95" s="70" t="str">
        <f>Listas!E90</f>
        <v>80065-DS-002 (Cobre - Estaño) | 5.08 - 8.89 µm</v>
      </c>
      <c r="B95" s="70" t="str">
        <f t="shared" si="1"/>
        <v>Estaño</v>
      </c>
      <c r="G95" s="70" t="str">
        <v>FGS-8B7 (Deshidrogenado / Horneado) | No aplica | 337 - 349 (650 ± 10 °F) | &gt;= 10 hrs.</v>
      </c>
    </row>
    <row r="96" spans="1:7" x14ac:dyDescent="0.2">
      <c r="A96" s="70" t="str">
        <f>Listas!E91</f>
        <v>80065-DS-004 (Plata) | 7.26 - 9.26 µm</v>
      </c>
      <c r="B96" s="70" t="str">
        <f t="shared" si="1"/>
        <v>Plata</v>
      </c>
      <c r="G96" s="70" t="str">
        <v>FGS-8B7 (Deshidrogenado / Horneado) | No aplica | 337 - 349 (650 ± 10 °F) | &gt;= 14 hrs.</v>
      </c>
    </row>
    <row r="97" spans="1:7" x14ac:dyDescent="0.2">
      <c r="A97" s="70" t="str">
        <f>Listas!E92</f>
        <v>80065-DS-005 (Plata Flash) | 0.076 - 0.203 µm</v>
      </c>
      <c r="B97" s="70" t="str">
        <f t="shared" si="1"/>
        <v>Plata</v>
      </c>
      <c r="G97" s="70" t="str">
        <v>FGS-8B7 (Deshidrogenado / Horneado) | No aplica | 337 - 349 (650 ± 10 °F) | &gt;= 2 hrs.</v>
      </c>
    </row>
    <row r="98" spans="1:7" x14ac:dyDescent="0.2">
      <c r="A98" s="70" t="str">
        <f>Listas!E93</f>
        <v>80065-DS-008 (Plata) | 7.62 - 9.5 µm</v>
      </c>
      <c r="B98" s="70" t="str">
        <f t="shared" si="1"/>
        <v>Plata</v>
      </c>
      <c r="G98" s="70" t="str">
        <v>FGS-8B7 (Deshidrogenado / Horneado) | No aplica | 337 - 349 (650 ± 10 °F) | &gt;= 24 hrs.</v>
      </c>
    </row>
    <row r="99" spans="1:7" x14ac:dyDescent="0.2">
      <c r="A99" s="70" t="str">
        <f>Listas!E94</f>
        <v>80282-DS-005 (Epóxico BT) | 4 - 11 mils (milipulgadas)</v>
      </c>
      <c r="B99" s="70" t="str">
        <f t="shared" si="1"/>
        <v>Epóxico</v>
      </c>
      <c r="G99" s="70" t="str">
        <v>FGS-8B7 (Deshidrogenado / Horneado) | No aplica | 337 - 349 (650 ± 10 °F) | &gt;= 3 hrs.</v>
      </c>
    </row>
    <row r="100" spans="1:7" x14ac:dyDescent="0.2">
      <c r="A100" s="70" t="str">
        <f>Listas!E95</f>
        <v>ABD01030 (Plata Semibrillante) | 2 - 5 µm</v>
      </c>
      <c r="B100" s="70" t="str">
        <f t="shared" si="1"/>
        <v>Plata</v>
      </c>
    </row>
    <row r="101" spans="1:7" x14ac:dyDescent="0.2">
      <c r="A101" s="70" t="str">
        <f>Listas!E96</f>
        <v>ACP5-618 (Plata) | 0.076 - 2.54 µm</v>
      </c>
      <c r="B101" s="70" t="str">
        <f t="shared" si="1"/>
        <v>Plata</v>
      </c>
    </row>
    <row r="102" spans="1:7" x14ac:dyDescent="0.2">
      <c r="A102" s="70" t="str">
        <f>Listas!E97</f>
        <v>ACP5-618 (Plata) | 2.54 - 5.08 µm</v>
      </c>
      <c r="B102" s="70" t="str">
        <f t="shared" si="1"/>
        <v>Plata</v>
      </c>
    </row>
    <row r="103" spans="1:7" x14ac:dyDescent="0.2">
      <c r="A103" s="70" t="str">
        <f>Listas!E98</f>
        <v>ACP5-618 (Plata) | 5.08 - 12.7 µm</v>
      </c>
      <c r="B103" s="70" t="str">
        <f t="shared" si="1"/>
        <v>Plata</v>
      </c>
    </row>
    <row r="104" spans="1:7" x14ac:dyDescent="0.2">
      <c r="A104" s="70" t="str">
        <f>Listas!E99</f>
        <v>ASTM B545 (Estaño) | 1.5 - 2.5 µm</v>
      </c>
      <c r="B104" s="70" t="str">
        <f t="shared" si="1"/>
        <v>Estaño</v>
      </c>
    </row>
    <row r="105" spans="1:7" x14ac:dyDescent="0.2">
      <c r="A105" s="70" t="str">
        <f>Listas!E100</f>
        <v>ASTM B545 (Estaño) | 15 - 30 µm</v>
      </c>
      <c r="B105" s="70" t="str">
        <f t="shared" si="1"/>
        <v>Estaño</v>
      </c>
    </row>
    <row r="106" spans="1:7" x14ac:dyDescent="0.2">
      <c r="A106" s="70" t="str">
        <f>Listas!E101</f>
        <v>ASTM B545 (Estaño) | 2.5 - 5 µm</v>
      </c>
      <c r="B106" s="70" t="str">
        <f t="shared" si="1"/>
        <v>Estaño</v>
      </c>
    </row>
    <row r="107" spans="1:7" x14ac:dyDescent="0.2">
      <c r="A107" s="70" t="str">
        <f>Listas!E102</f>
        <v>ASTM B545 (Estaño) | 30 - 50 µm</v>
      </c>
      <c r="B107" s="70" t="str">
        <f t="shared" si="1"/>
        <v>Estaño</v>
      </c>
    </row>
    <row r="108" spans="1:7" x14ac:dyDescent="0.2">
      <c r="A108" s="70" t="str">
        <f>Listas!E103</f>
        <v>ASTM B545 (Estaño) | 5.0 - 8.0 µm</v>
      </c>
      <c r="B108" s="70" t="str">
        <f t="shared" si="1"/>
        <v>Estaño</v>
      </c>
    </row>
    <row r="109" spans="1:7" x14ac:dyDescent="0.2">
      <c r="A109" s="70" t="str">
        <f>Listas!E104</f>
        <v>ASTM B545 (Estaño) | 8 - 15 µm</v>
      </c>
      <c r="B109" s="70" t="str">
        <f t="shared" si="1"/>
        <v>Estaño</v>
      </c>
    </row>
    <row r="110" spans="1:7" x14ac:dyDescent="0.2">
      <c r="A110" s="70" t="str">
        <f>Listas!E105</f>
        <v>ASTM B633 (Zinc) | 8.0 - 12.0 µm</v>
      </c>
      <c r="B110" s="70" t="str">
        <f t="shared" si="1"/>
        <v>Zinc</v>
      </c>
    </row>
    <row r="111" spans="1:7" x14ac:dyDescent="0.2">
      <c r="A111" s="70" t="str">
        <f>Listas!E106</f>
        <v>ASTM B689 (Níquel) | 100 - 115 µm</v>
      </c>
      <c r="B111" s="70" t="str">
        <f t="shared" si="1"/>
        <v>Níquel</v>
      </c>
    </row>
    <row r="112" spans="1:7" x14ac:dyDescent="0.2">
      <c r="A112" s="70" t="str">
        <f>Listas!E107</f>
        <v>ASTM B689 (Níquel) | 15.0 - 25.0 µm</v>
      </c>
      <c r="B112" s="70" t="str">
        <f t="shared" si="1"/>
        <v>Níquel</v>
      </c>
    </row>
    <row r="113" spans="1:2" x14ac:dyDescent="0.2">
      <c r="A113" s="70" t="str">
        <f>Listas!E108</f>
        <v>ASTM B689 (Níquel) | 200 - 225 µm</v>
      </c>
      <c r="B113" s="70" t="str">
        <f t="shared" si="1"/>
        <v>Níquel</v>
      </c>
    </row>
    <row r="114" spans="1:2" x14ac:dyDescent="0.2">
      <c r="A114" s="70" t="str">
        <f>Listas!E109</f>
        <v>ASTM B689 (Níquel) | 25 - 30 µm</v>
      </c>
      <c r="B114" s="70" t="str">
        <f t="shared" si="1"/>
        <v>Níquel</v>
      </c>
    </row>
    <row r="115" spans="1:2" x14ac:dyDescent="0.2">
      <c r="A115" s="70" t="str">
        <f>Listas!E110</f>
        <v>ASTM B689 (Níquel) | 5 - 8 µm</v>
      </c>
      <c r="B115" s="70" t="str">
        <f t="shared" si="1"/>
        <v>Níquel</v>
      </c>
    </row>
    <row r="116" spans="1:2" x14ac:dyDescent="0.2">
      <c r="A116" s="70" t="str">
        <f>Listas!E111</f>
        <v>ASTM B689 (Níquel) | 50 - 60 µm</v>
      </c>
      <c r="B116" s="70" t="str">
        <f t="shared" si="1"/>
        <v>Níquel</v>
      </c>
    </row>
    <row r="117" spans="1:2" x14ac:dyDescent="0.2">
      <c r="A117" s="70" t="str">
        <f>Listas!E112</f>
        <v>ASTM B689 (Níquel) | 7.6 - 12.7 µm</v>
      </c>
      <c r="B117" s="70" t="str">
        <f t="shared" si="1"/>
        <v>Níquel</v>
      </c>
    </row>
    <row r="118" spans="1:2" x14ac:dyDescent="0.2">
      <c r="A118" s="70" t="str">
        <f>Listas!E113</f>
        <v>ASTM B700 (Plata) | 1 - 2.5 µm</v>
      </c>
      <c r="B118" s="70" t="str">
        <f t="shared" si="1"/>
        <v>Plata</v>
      </c>
    </row>
    <row r="119" spans="1:2" x14ac:dyDescent="0.2">
      <c r="A119" s="70" t="str">
        <f>Listas!E114</f>
        <v>ASTM B700 (Plata) | 10 - 20 µm</v>
      </c>
      <c r="B119" s="70" t="str">
        <f t="shared" si="1"/>
        <v>Plata</v>
      </c>
    </row>
    <row r="120" spans="1:2" x14ac:dyDescent="0.2">
      <c r="A120" s="70" t="str">
        <f>Listas!E115</f>
        <v>ASTM B700 (Plata) | 2.5 - 5 µm</v>
      </c>
      <c r="B120" s="70" t="str">
        <f t="shared" si="1"/>
        <v>Plata</v>
      </c>
    </row>
    <row r="121" spans="1:2" x14ac:dyDescent="0.2">
      <c r="A121" s="70" t="str">
        <f>Listas!E116</f>
        <v>ASTM B700 (Plata) | 20 - 30 µm</v>
      </c>
      <c r="B121" s="70" t="str">
        <f t="shared" si="1"/>
        <v>Plata</v>
      </c>
    </row>
    <row r="122" spans="1:2" x14ac:dyDescent="0.2">
      <c r="A122" s="70" t="str">
        <f>Listas!E117</f>
        <v>ASTM B700 (Plata) | 40 - 50 µm</v>
      </c>
      <c r="B122" s="70" t="str">
        <f t="shared" si="1"/>
        <v>Plata</v>
      </c>
    </row>
    <row r="123" spans="1:2" x14ac:dyDescent="0.2">
      <c r="A123" s="70" t="str">
        <f>Listas!E118</f>
        <v>ASTM B700 (Plata) | 5 - 10 µm</v>
      </c>
      <c r="B123" s="70" t="str">
        <f t="shared" si="1"/>
        <v>Plata</v>
      </c>
    </row>
    <row r="124" spans="1:2" x14ac:dyDescent="0.2">
      <c r="A124" s="70" t="str">
        <f>Listas!E119</f>
        <v>BURNDY DI-EI-01/81 (Estaño) | 5.0 - 12.0 µm</v>
      </c>
      <c r="B124" s="70" t="str">
        <f t="shared" si="1"/>
        <v>Estaño</v>
      </c>
    </row>
    <row r="125" spans="1:2" x14ac:dyDescent="0.2">
      <c r="A125" s="70" t="str">
        <f>Listas!E120</f>
        <v>BURNDY DI-EI-01/81 (Estaño) | 8 - 12 µm</v>
      </c>
      <c r="B125" s="70" t="str">
        <f t="shared" si="1"/>
        <v>Estaño</v>
      </c>
    </row>
    <row r="126" spans="1:2" x14ac:dyDescent="0.2">
      <c r="A126" s="70" t="str">
        <f>Listas!E121</f>
        <v>DIN 50967 | 5 - 8 µm</v>
      </c>
      <c r="B126" s="70" t="str">
        <f t="shared" si="1"/>
        <v>Otros</v>
      </c>
    </row>
    <row r="127" spans="1:2" x14ac:dyDescent="0.2">
      <c r="A127" s="70" t="str">
        <f>Listas!E122</f>
        <v>DS258-103-00 (Estaño) | 5.08 - 10.0 µm</v>
      </c>
      <c r="B127" s="70" t="str">
        <f t="shared" si="1"/>
        <v>Estaño</v>
      </c>
    </row>
    <row r="128" spans="1:2" x14ac:dyDescent="0.2">
      <c r="A128" s="70" t="str">
        <f>Listas!E123</f>
        <v>DYM Pendiente (Deshidrogenado) | 130 - 150 °C | &gt;= 5 hrs.</v>
      </c>
      <c r="B128" s="70" t="str">
        <f t="shared" si="1"/>
        <v>Otros</v>
      </c>
    </row>
    <row r="129" spans="1:2" x14ac:dyDescent="0.2">
      <c r="A129" s="70" t="str">
        <f>Listas!E124</f>
        <v>E27550 (Plata) | 1.27 - 2.5 µm</v>
      </c>
      <c r="B129" s="70" t="str">
        <f t="shared" si="1"/>
        <v>Plata</v>
      </c>
    </row>
    <row r="130" spans="1:2" x14ac:dyDescent="0.2">
      <c r="A130" s="70" t="str">
        <f>Listas!E125</f>
        <v>E27551 (Plata) | 5.08 - 12 µm</v>
      </c>
      <c r="B130" s="70" t="str">
        <f t="shared" si="1"/>
        <v>Plata</v>
      </c>
    </row>
    <row r="131" spans="1:2" x14ac:dyDescent="0.2">
      <c r="A131" s="70" t="str">
        <f>Listas!E126</f>
        <v>E27780 (Epóxico MT) | 50 - 100 mils</v>
      </c>
      <c r="B131" s="70" t="str">
        <f t="shared" si="1"/>
        <v>Epóxico</v>
      </c>
    </row>
    <row r="132" spans="1:2" x14ac:dyDescent="0.2">
      <c r="A132" s="70" t="str">
        <f>Listas!E127</f>
        <v>ES-000101 (Epóxico MT Rojo) | 20 - 60 mils</v>
      </c>
      <c r="B132" s="70" t="str">
        <f t="shared" si="1"/>
        <v>Epóxico</v>
      </c>
    </row>
    <row r="133" spans="1:2" x14ac:dyDescent="0.2">
      <c r="A133" s="70" t="str">
        <f>Listas!E128</f>
        <v>ES-000101 (Epóxico MT Rojo) | 30 - 40 mils</v>
      </c>
      <c r="B133" s="70" t="str">
        <f t="shared" si="1"/>
        <v>Epóxico</v>
      </c>
    </row>
    <row r="134" spans="1:2" x14ac:dyDescent="0.2">
      <c r="A134" s="70" t="str">
        <f>Listas!E129</f>
        <v>F4383 (Estaño) | 7.62 - 25.4 µm</v>
      </c>
      <c r="B134" s="70" t="str">
        <f t="shared" si="1"/>
        <v>Estaño</v>
      </c>
    </row>
    <row r="135" spans="1:2" x14ac:dyDescent="0.2">
      <c r="A135" s="70" t="str">
        <f>Listas!E130</f>
        <v>F50HD3S (Deshidrogenado) | 115 - 121 °C | &gt;= 6 hrs.</v>
      </c>
      <c r="B135" s="70" t="str">
        <f t="shared" si="1"/>
        <v>Otros</v>
      </c>
    </row>
    <row r="136" spans="1:2" x14ac:dyDescent="0.2">
      <c r="A136" s="70" t="str">
        <f>Listas!E131</f>
        <v>F50KD12 | 0.254 - 2.5 µm</v>
      </c>
      <c r="B136" s="70" t="str">
        <f t="shared" si="1"/>
        <v>Otros</v>
      </c>
    </row>
    <row r="137" spans="1:2" x14ac:dyDescent="0.2">
      <c r="A137" s="70" t="str">
        <f>Listas!E132</f>
        <v>F70F2 (Estaño Mate) | 0.508 - 1.016 µm | 2.54 - 5.08 µm</v>
      </c>
      <c r="B137" s="70" t="str">
        <f t="shared" si="1"/>
        <v>Estaño</v>
      </c>
    </row>
    <row r="138" spans="1:2" x14ac:dyDescent="0.2">
      <c r="A138" s="70" t="str">
        <f>Listas!E133</f>
        <v>F70F2 (Estaño Mate) | 10 - 13 µm | 2.54 - 5.08 µm</v>
      </c>
      <c r="B138" s="70"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70" t="str">
        <f>Listas!E134</f>
        <v>F70F2 (Estaño Mate) | 12.7 - 19.05 µm | 2.54 - 5.08 µm</v>
      </c>
      <c r="B139" s="70" t="str">
        <f t="shared" si="2"/>
        <v>Estaño</v>
      </c>
    </row>
    <row r="140" spans="1:2" x14ac:dyDescent="0.2">
      <c r="A140" s="70" t="str">
        <f>Listas!E135</f>
        <v>F70F2 (Estaño Mate) | 2.54 - 5.08 µm | 2.54 - 5.08 µm</v>
      </c>
      <c r="B140" s="70" t="str">
        <f t="shared" si="2"/>
        <v>Estaño</v>
      </c>
    </row>
    <row r="141" spans="1:2" x14ac:dyDescent="0.2">
      <c r="A141" s="70" t="str">
        <f>Listas!E136</f>
        <v>F70F2 (Estaño Mate) | 25.4 - 38.1 µm | 2.54 - 5.08 µm</v>
      </c>
      <c r="B141" s="70" t="str">
        <f t="shared" si="2"/>
        <v>Estaño</v>
      </c>
    </row>
    <row r="142" spans="1:2" x14ac:dyDescent="0.2">
      <c r="A142" s="70" t="str">
        <f>Listas!E137</f>
        <v>F70F2 (Estaño Mate) | 3.81 - 7.62 µm | 2.54 - 5.08 µm</v>
      </c>
      <c r="B142" s="70" t="str">
        <f t="shared" si="2"/>
        <v>Estaño</v>
      </c>
    </row>
    <row r="143" spans="1:2" x14ac:dyDescent="0.2">
      <c r="A143" s="70" t="str">
        <f>Listas!E138</f>
        <v>F70F2 (Estaño Mate) | 5.08 - 10.16 µm | 2.54 - 5.08 µm</v>
      </c>
      <c r="B143" s="70" t="str">
        <f t="shared" si="2"/>
        <v>Estaño</v>
      </c>
    </row>
    <row r="144" spans="1:2" x14ac:dyDescent="0.2">
      <c r="A144" s="70" t="str">
        <f>Listas!E139</f>
        <v>F70H2 (Plata Mate) | 0.3-0.8 µm</v>
      </c>
      <c r="B144" s="70" t="str">
        <f t="shared" si="2"/>
        <v>Plata</v>
      </c>
    </row>
    <row r="145" spans="1:2" x14ac:dyDescent="0.2">
      <c r="A145" s="70" t="str">
        <f>Listas!E140</f>
        <v>F70H2 (Plata Mate) | 0.508 - 1.016 µm</v>
      </c>
      <c r="B145" s="70" t="str">
        <f t="shared" si="2"/>
        <v>Plata</v>
      </c>
    </row>
    <row r="146" spans="1:2" x14ac:dyDescent="0.2">
      <c r="A146" s="70" t="str">
        <f>Listas!E141</f>
        <v>F70H2 (Plata Mate) | 10.2 - 15.2 µm</v>
      </c>
      <c r="B146" s="70" t="str">
        <f t="shared" si="2"/>
        <v>Plata</v>
      </c>
    </row>
    <row r="147" spans="1:2" x14ac:dyDescent="0.2">
      <c r="A147" s="70" t="str">
        <f>Listas!E142</f>
        <v>F70H2 (Plata Mate) | 12.7 - 19.1 µm</v>
      </c>
      <c r="B147" s="70" t="str">
        <f t="shared" si="2"/>
        <v>Plata</v>
      </c>
    </row>
    <row r="148" spans="1:2" x14ac:dyDescent="0.2">
      <c r="A148" s="70" t="str">
        <f>Listas!E143</f>
        <v>F70H2 (Plata Mate) | 2.5 - 7.6 µm</v>
      </c>
      <c r="B148" s="70" t="str">
        <f t="shared" si="2"/>
        <v>Plata</v>
      </c>
    </row>
    <row r="149" spans="1:2" x14ac:dyDescent="0.2">
      <c r="A149" s="70" t="str">
        <f>Listas!E144</f>
        <v>F70H2 (Plata Mate) | 25.4 - 38.1 µm</v>
      </c>
      <c r="B149" s="70" t="str">
        <f t="shared" si="2"/>
        <v>Plata</v>
      </c>
    </row>
    <row r="150" spans="1:2" x14ac:dyDescent="0.2">
      <c r="A150" s="70" t="str">
        <f>Listas!E145</f>
        <v>F70H2 (Plata Mate) | 5.1 - 10.2 µm</v>
      </c>
      <c r="B150" s="70" t="str">
        <f t="shared" si="2"/>
        <v>Plata</v>
      </c>
    </row>
    <row r="151" spans="1:2" x14ac:dyDescent="0.2">
      <c r="A151" s="70" t="str">
        <f>Listas!E146</f>
        <v>F70H3 (Plata Semibrillante) | 12.7 - 19.1 µm</v>
      </c>
      <c r="B151" s="70" t="str">
        <f t="shared" si="2"/>
        <v>Plata</v>
      </c>
    </row>
    <row r="152" spans="1:2" x14ac:dyDescent="0.2">
      <c r="A152" s="70" t="str">
        <f>Listas!E147</f>
        <v>F70H3 (Plata Semibrillante) | 2.54 - 5 µm</v>
      </c>
      <c r="B152" s="70" t="str">
        <f t="shared" si="2"/>
        <v>Plata</v>
      </c>
    </row>
    <row r="153" spans="1:2" x14ac:dyDescent="0.2">
      <c r="A153" s="70" t="str">
        <f>Listas!E148</f>
        <v>F70H3 (Plata Semibrillante) | 5.1 - 10.2 µm</v>
      </c>
      <c r="B153" s="70" t="str">
        <f t="shared" si="2"/>
        <v>Plata</v>
      </c>
    </row>
    <row r="154" spans="1:2" x14ac:dyDescent="0.2">
      <c r="A154" s="70" t="str">
        <f>Listas!E149</f>
        <v>FC-F01 | 8.0 - 12.5 µm</v>
      </c>
      <c r="B154" s="70" t="str">
        <f t="shared" si="2"/>
        <v>Otros</v>
      </c>
    </row>
    <row r="155" spans="1:2" x14ac:dyDescent="0.2">
      <c r="A155" s="70" t="str">
        <f>Listas!E150</f>
        <v>FFS-1A1 (Fosfato de Zinc) | 10 - 35 µm</v>
      </c>
      <c r="B155" s="70" t="str">
        <f t="shared" si="2"/>
        <v>Zinc</v>
      </c>
    </row>
    <row r="156" spans="1:2" x14ac:dyDescent="0.2">
      <c r="A156" s="70" t="str">
        <f>Listas!E151</f>
        <v>FFS-1A1 (Fosfato de Zinc) | 8 - 12 µm</v>
      </c>
      <c r="B156" s="70" t="str">
        <f t="shared" si="2"/>
        <v>Zinc</v>
      </c>
    </row>
    <row r="157" spans="1:2" x14ac:dyDescent="0.2">
      <c r="A157" s="70" t="str">
        <f>Listas!E152</f>
        <v>FFS-1C1 (Fosfato de Zinc c/Aceite) | 15 - 45 µm</v>
      </c>
      <c r="B157" s="70" t="str">
        <f t="shared" si="2"/>
        <v>Zinc</v>
      </c>
    </row>
    <row r="158" spans="1:2" x14ac:dyDescent="0.2">
      <c r="A158" s="70" t="str">
        <f>Listas!E153</f>
        <v>FFS-2B4 (Zinc Cromato Verde - Amarillo - Claro) | 13.0 - 18.0 µm</v>
      </c>
      <c r="B158" s="70" t="str">
        <f t="shared" si="2"/>
        <v>Zinc</v>
      </c>
    </row>
    <row r="159" spans="1:2" x14ac:dyDescent="0.2">
      <c r="A159" s="70" t="str">
        <f>Listas!E154</f>
        <v>FFS-2B4 (Zinc Cromato Verde - Amarillo - Claro) | 3.8 - 6.4 µm</v>
      </c>
      <c r="B159" s="70" t="str">
        <f t="shared" si="2"/>
        <v>Zinc</v>
      </c>
    </row>
    <row r="160" spans="1:2" x14ac:dyDescent="0.2">
      <c r="A160" s="70" t="str">
        <f>Listas!E155</f>
        <v>FFS-2B4 (Zinc Cromato Verde - Amarillo - Claro) | 6.3 - 8.9 µm</v>
      </c>
      <c r="B160" s="70" t="str">
        <f t="shared" si="2"/>
        <v>Zinc</v>
      </c>
    </row>
    <row r="161" spans="1:2" x14ac:dyDescent="0.2">
      <c r="A161" s="70" t="str">
        <f>Listas!E156</f>
        <v>FFS-2E3 (Cromo Duro) | 12.7 - 17.78 µm</v>
      </c>
      <c r="B161" s="70" t="str">
        <f t="shared" si="2"/>
        <v>Otros</v>
      </c>
    </row>
    <row r="162" spans="1:2" x14ac:dyDescent="0.2">
      <c r="A162" s="70" t="str">
        <f>Listas!E157</f>
        <v>FFS-2E3 (Cromo Duro) | 19.05 - 31.75 µm</v>
      </c>
      <c r="B162" s="70" t="str">
        <f t="shared" si="2"/>
        <v>Otros</v>
      </c>
    </row>
    <row r="163" spans="1:2" x14ac:dyDescent="0.2">
      <c r="A163" s="70" t="str">
        <f>Listas!E158</f>
        <v>FFS-2E3 (Cromo Duro) | 25 - 38 µm</v>
      </c>
      <c r="B163" s="70" t="str">
        <f t="shared" si="2"/>
        <v>Otros</v>
      </c>
    </row>
    <row r="164" spans="1:2" x14ac:dyDescent="0.2">
      <c r="A164" s="70" t="str">
        <f>Listas!E159</f>
        <v>FFS-2E3 (Cromo Duro) | 38.5 - 63.5 µm</v>
      </c>
      <c r="B164" s="70" t="str">
        <f t="shared" si="2"/>
        <v>Otros</v>
      </c>
    </row>
    <row r="165" spans="1:2" x14ac:dyDescent="0.2">
      <c r="A165" s="70" t="str">
        <f>Listas!E160</f>
        <v>FFS-2E3 (Cromo Duro) | 5.08 - 7.62 µm</v>
      </c>
      <c r="B165" s="70" t="str">
        <f t="shared" si="2"/>
        <v>Otros</v>
      </c>
    </row>
    <row r="166" spans="1:2" x14ac:dyDescent="0.2">
      <c r="A166" s="70" t="str">
        <f>Listas!E161</f>
        <v>FFS-2E3 (Cromo Duro) | 63.5 - 88.9 µm</v>
      </c>
      <c r="B166" s="70" t="str">
        <f t="shared" si="2"/>
        <v>Otros</v>
      </c>
    </row>
    <row r="167" spans="1:2" x14ac:dyDescent="0.2">
      <c r="A167" s="70" t="str">
        <f>Listas!E162</f>
        <v>FFS-2E3 (Cromo Duro) | 7.62 - 12.7 µm</v>
      </c>
      <c r="B167" s="70" t="str">
        <f t="shared" si="2"/>
        <v>Otros</v>
      </c>
    </row>
    <row r="168" spans="1:2" x14ac:dyDescent="0.2">
      <c r="A168" s="70" t="str">
        <f>Listas!E163</f>
        <v>FFS-3A9 (Iridizado)</v>
      </c>
      <c r="B168" s="70" t="str">
        <f t="shared" si="2"/>
        <v>Otros</v>
      </c>
    </row>
    <row r="169" spans="1:2" x14ac:dyDescent="0.2">
      <c r="A169" s="70" t="str">
        <f>Listas!E164</f>
        <v>FGS-8B7 (Deshidrogenado / Horneado) | 190 - 204 °C (375 - 400 °F) | 337 - 349 (650 ± 10 °F) | &gt;= 0.5 hrs.</v>
      </c>
      <c r="B169" s="70" t="str">
        <f t="shared" si="2"/>
        <v>Otros</v>
      </c>
    </row>
    <row r="170" spans="1:2" x14ac:dyDescent="0.2">
      <c r="A170" s="70" t="str">
        <f>Listas!E165</f>
        <v>FGS-8B7 (Deshidrogenado / Horneado) | 190 - 204 °C (375 - 400 °F) | 337 - 349 (650 ± 10 °F) | &gt;= 1 hrs.</v>
      </c>
      <c r="B170" s="70" t="str">
        <f t="shared" si="2"/>
        <v>Otros</v>
      </c>
    </row>
    <row r="171" spans="1:2" x14ac:dyDescent="0.2">
      <c r="A171" s="70" t="str">
        <f>Listas!E166</f>
        <v>FGS-8B7 (Deshidrogenado / Horneado) | 190 - 204 °C (375 - 400 °F) | 337 - 349 (650 ± 10 °F) | &gt;= 10 hrs.</v>
      </c>
      <c r="B171" s="70" t="str">
        <f t="shared" si="2"/>
        <v>Otros</v>
      </c>
    </row>
    <row r="172" spans="1:2" x14ac:dyDescent="0.2">
      <c r="A172" s="70" t="str">
        <f>Listas!E167</f>
        <v>FGS-8B7 (Deshidrogenado / Horneado) | 190 - 204 °C (375 - 400 °F) | 337 - 349 (650 ± 10 °F) | &gt;= 14 hrs.</v>
      </c>
      <c r="B172" s="70" t="str">
        <f t="shared" si="2"/>
        <v>Otros</v>
      </c>
    </row>
    <row r="173" spans="1:2" x14ac:dyDescent="0.2">
      <c r="A173" s="70" t="str">
        <f>Listas!E168</f>
        <v>FGS-8B7 (Deshidrogenado / Horneado) | 190 - 204 °C (375 - 400 °F) | 337 - 349 (650 ± 10 °F) | &gt;= 2 hrs.</v>
      </c>
      <c r="B173" s="70" t="str">
        <f t="shared" si="2"/>
        <v>Otros</v>
      </c>
    </row>
    <row r="174" spans="1:2" x14ac:dyDescent="0.2">
      <c r="A174" s="70" t="str">
        <f>Listas!E169</f>
        <v>FGS-8B7 (Deshidrogenado / Horneado) | 190 - 204 °C (375 - 400 °F) | 337 - 349 (650 ± 10 °F) | &gt;= 24 hrs.</v>
      </c>
      <c r="B174" s="70" t="str">
        <f t="shared" si="2"/>
        <v>Otros</v>
      </c>
    </row>
    <row r="175" spans="1:2" x14ac:dyDescent="0.2">
      <c r="A175" s="70" t="str">
        <f>Listas!E170</f>
        <v>FGS-8B7 (Deshidrogenado / Horneado) | 190 - 204 °C (375 - 400 °F) | 337 - 349 (650 ± 10 °F) | &gt;= 3 hrs.</v>
      </c>
      <c r="B175" s="70" t="str">
        <f t="shared" si="2"/>
        <v>Otros</v>
      </c>
    </row>
    <row r="176" spans="1:2" x14ac:dyDescent="0.2">
      <c r="A176" s="70" t="str">
        <f>Listas!E171</f>
        <v>FGS-8B7 (Deshidrogenado / Horneado) | 190 - 204 °C (375 - 400 °F) | 337 - 349 (650 ± 10 °F) | &gt;= 4 hrs.</v>
      </c>
      <c r="B176" s="70" t="str">
        <f t="shared" si="2"/>
        <v>Otros</v>
      </c>
    </row>
    <row r="177" spans="1:2" x14ac:dyDescent="0.2">
      <c r="A177" s="70" t="str">
        <f>Listas!E172</f>
        <v>FGS-8B7 (Deshidrogenado / Horneado) | 190 - 204 °C (375 - 400 °F) | 337 - 349 (650 ± 10 °F) | &gt;= 5 hrs.</v>
      </c>
      <c r="B177" s="70" t="str">
        <f t="shared" si="2"/>
        <v>Otros</v>
      </c>
    </row>
    <row r="178" spans="1:2" x14ac:dyDescent="0.2">
      <c r="A178" s="70" t="str">
        <f>Listas!E173</f>
        <v>FGS-8B7 (Deshidrogenado / Horneado) | 190 - 204 °C (375 - 400 °F) | 337 - 349 (650 ± 10 °F) | &gt;= 6 hrs.</v>
      </c>
      <c r="B178" s="70" t="str">
        <f t="shared" si="2"/>
        <v>Otros</v>
      </c>
    </row>
    <row r="179" spans="1:2" x14ac:dyDescent="0.2">
      <c r="A179" s="70" t="str">
        <f>Listas!E174</f>
        <v>FGS-8B7 (Deshidrogenado / Horneado) | 190 - 204 °C (375 - 400 °F) | 337 - 349 (650 ± 10 °F) | &gt;= 8 hrs.</v>
      </c>
      <c r="B179" s="70" t="str">
        <f t="shared" si="2"/>
        <v>Otros</v>
      </c>
    </row>
    <row r="180" spans="1:2" x14ac:dyDescent="0.2">
      <c r="A180" s="70" t="str">
        <f>Listas!E175</f>
        <v>FGS-8B7 (Deshidrogenado / Horneado) | 190 - 204 °C (375 - 400 °F) | No aplica | &gt;= 0.5 hrs.</v>
      </c>
      <c r="B180" s="70" t="str">
        <f t="shared" si="2"/>
        <v>Otros</v>
      </c>
    </row>
    <row r="181" spans="1:2" x14ac:dyDescent="0.2">
      <c r="A181" s="70" t="str">
        <f>Listas!E176</f>
        <v>FGS-8B7 (Deshidrogenado / Horneado) | 190 - 204 °C (375 - 400 °F) | No aplica | &gt;= 1 hrs.</v>
      </c>
      <c r="B181" s="70" t="str">
        <f t="shared" si="2"/>
        <v>Otros</v>
      </c>
    </row>
    <row r="182" spans="1:2" x14ac:dyDescent="0.2">
      <c r="A182" s="70" t="str">
        <f>Listas!E177</f>
        <v>FGS-8B7 (Deshidrogenado / Horneado) | 190 - 204 °C (375 - 400 °F) | No aplica | &gt;= 10 hrs.</v>
      </c>
      <c r="B182" s="70" t="str">
        <f t="shared" si="2"/>
        <v>Otros</v>
      </c>
    </row>
    <row r="183" spans="1:2" x14ac:dyDescent="0.2">
      <c r="A183" s="70" t="str">
        <f>Listas!E178</f>
        <v>FGS-8B7 (Deshidrogenado / Horneado) | 190 - 204 °C (375 - 400 °F) | No aplica | &gt;= 14 hrs.</v>
      </c>
      <c r="B183" s="70" t="str">
        <f t="shared" si="2"/>
        <v>Otros</v>
      </c>
    </row>
    <row r="184" spans="1:2" x14ac:dyDescent="0.2">
      <c r="A184" s="70" t="str">
        <f>Listas!E179</f>
        <v>FGS-8B7 (Deshidrogenado / Horneado) | 190 - 204 °C (375 - 400 °F) | No aplica | &gt;= 2 hrs.</v>
      </c>
      <c r="B184" s="70" t="str">
        <f t="shared" si="2"/>
        <v>Otros</v>
      </c>
    </row>
    <row r="185" spans="1:2" x14ac:dyDescent="0.2">
      <c r="A185" s="70" t="str">
        <f>Listas!E180</f>
        <v>FGS-8B7 (Deshidrogenado / Horneado) | 190 - 204 °C (375 - 400 °F) | No aplica | &gt;= 24 hrs.</v>
      </c>
      <c r="B185" s="70" t="str">
        <f t="shared" si="2"/>
        <v>Otros</v>
      </c>
    </row>
    <row r="186" spans="1:2" x14ac:dyDescent="0.2">
      <c r="A186" s="70" t="str">
        <f>Listas!E181</f>
        <v>FGS-8B7 (Deshidrogenado / Horneado) | 190 - 204 °C (375 - 400 °F) | No aplica | &gt;= 3 hrs.</v>
      </c>
      <c r="B186" s="70" t="str">
        <f t="shared" si="2"/>
        <v>Otros</v>
      </c>
    </row>
    <row r="187" spans="1:2" x14ac:dyDescent="0.2">
      <c r="A187" s="70" t="str">
        <f>Listas!E182</f>
        <v>FGS-8B7 (Deshidrogenado / Horneado) | 190 - 204 °C (375 - 400 °F) | No aplica | &gt;= 4 hrs.</v>
      </c>
      <c r="B187" s="70" t="str">
        <f t="shared" si="2"/>
        <v>Otros</v>
      </c>
    </row>
    <row r="188" spans="1:2" x14ac:dyDescent="0.2">
      <c r="A188" s="70" t="str">
        <f>Listas!E183</f>
        <v>FGS-8B7 (Deshidrogenado / Horneado) | 190 - 204 °C (375 - 400 °F) | No aplica | &gt;= 5 hrs.</v>
      </c>
      <c r="B188" s="70" t="str">
        <f t="shared" si="2"/>
        <v>Otros</v>
      </c>
    </row>
    <row r="189" spans="1:2" x14ac:dyDescent="0.2">
      <c r="A189" s="70" t="str">
        <f>Listas!E184</f>
        <v>FGS-8B7 (Deshidrogenado / Horneado) | 190 - 204 °C (375 - 400 °F) | No aplica | &gt;= 6 hrs.</v>
      </c>
      <c r="B189" s="70" t="str">
        <f t="shared" si="2"/>
        <v>Otros</v>
      </c>
    </row>
    <row r="190" spans="1:2" x14ac:dyDescent="0.2">
      <c r="A190" s="70" t="str">
        <f>Listas!E185</f>
        <v>FGS-8B7 (Deshidrogenado / Horneado) | 190 - 204 °C (375 - 400 °F) | No aplica | &gt;= 8 hrs.</v>
      </c>
      <c r="B190" s="70" t="str">
        <f t="shared" si="2"/>
        <v>Otros</v>
      </c>
    </row>
    <row r="191" spans="1:2" x14ac:dyDescent="0.2">
      <c r="A191" s="70" t="str">
        <f>Listas!E186</f>
        <v>FGS-8B7 (Deshidrogenado / Horneado) | No aplica | 337 - 349 (650 ± 10 °F) | &gt;= 0.5 hrs.</v>
      </c>
      <c r="B191" s="70" t="str">
        <f t="shared" si="2"/>
        <v>Otros</v>
      </c>
    </row>
    <row r="192" spans="1:2" x14ac:dyDescent="0.2">
      <c r="A192" s="70" t="str">
        <f>Listas!E187</f>
        <v>FGS-8B7 (Deshidrogenado / Horneado) | No aplica | 337 - 349 (650 ± 10 °F) | &gt;= 1 hrs.</v>
      </c>
      <c r="B192" s="70" t="str">
        <f t="shared" si="2"/>
        <v>Otros</v>
      </c>
    </row>
    <row r="193" spans="1:2" x14ac:dyDescent="0.2">
      <c r="A193" s="70" t="str">
        <f>Listas!E188</f>
        <v>FGS-8B7 (Deshidrogenado / Horneado) | No aplica | 337 - 349 (650 ± 10 °F) | &gt;= 10 hrs.</v>
      </c>
      <c r="B193" s="70" t="str">
        <f t="shared" si="2"/>
        <v>Otros</v>
      </c>
    </row>
    <row r="194" spans="1:2" x14ac:dyDescent="0.2">
      <c r="A194" s="70" t="str">
        <f>Listas!E189</f>
        <v>FGS-8B7 (Deshidrogenado / Horneado) | No aplica | 337 - 349 (650 ± 10 °F) | &gt;= 14 hrs.</v>
      </c>
      <c r="B194" s="70" t="str">
        <f t="shared" si="2"/>
        <v>Otros</v>
      </c>
    </row>
    <row r="195" spans="1:2" x14ac:dyDescent="0.2">
      <c r="A195" s="70" t="str">
        <f>Listas!E190</f>
        <v>FGS-8B7 (Deshidrogenado / Horneado) | No aplica | 337 - 349 (650 ± 10 °F) | &gt;= 2 hrs.</v>
      </c>
      <c r="B195" s="70" t="str">
        <f t="shared" si="2"/>
        <v>Otros</v>
      </c>
    </row>
    <row r="196" spans="1:2" x14ac:dyDescent="0.2">
      <c r="A196" s="70" t="str">
        <f>Listas!E191</f>
        <v>FGS-8B7 (Deshidrogenado / Horneado) | No aplica | 337 - 349 (650 ± 10 °F) | &gt;= 24 hrs.</v>
      </c>
      <c r="B196" s="70" t="str">
        <f t="shared" si="2"/>
        <v>Otros</v>
      </c>
    </row>
    <row r="197" spans="1:2" x14ac:dyDescent="0.2">
      <c r="A197" s="70" t="str">
        <f>Listas!E192</f>
        <v>FGS-8B7 (Deshidrogenado / Horneado) | No aplica | 337 - 349 (650 ± 10 °F) | &gt;= 3 hrs.</v>
      </c>
      <c r="B197" s="70" t="str">
        <f t="shared" si="2"/>
        <v>Otros</v>
      </c>
    </row>
    <row r="198" spans="1:2" x14ac:dyDescent="0.2">
      <c r="A198" s="70" t="str">
        <f>Listas!E193</f>
        <v>FGS-8B7 (Deshidrogenado / Horneado) | No aplica | 337 - 349 (650 ± 10 °F) | &gt;= 4 hrs.</v>
      </c>
      <c r="B198" s="70" t="str">
        <f t="shared" si="2"/>
        <v>Otros</v>
      </c>
    </row>
    <row r="199" spans="1:2" x14ac:dyDescent="0.2">
      <c r="A199" s="70" t="str">
        <f>Listas!E194</f>
        <v>FGS-8B7 (Deshidrogenado / Horneado) | No aplica | 337 - 349 (650 ± 10 °F) | &gt;= 5 hrs.</v>
      </c>
      <c r="B199" s="70" t="str">
        <f t="shared" si="2"/>
        <v>Otros</v>
      </c>
    </row>
    <row r="200" spans="1:2" x14ac:dyDescent="0.2">
      <c r="A200" s="70" t="str">
        <f>Listas!E195</f>
        <v>FGS-8B7 (Deshidrogenado / Horneado) | No aplica | 337 - 349 (650 ± 10 °F) | &gt;= 6 hrs.</v>
      </c>
      <c r="B200" s="70" t="str">
        <f t="shared" si="2"/>
        <v>Otros</v>
      </c>
    </row>
    <row r="201" spans="1:2" x14ac:dyDescent="0.2">
      <c r="A201" s="70" t="str">
        <f>Listas!E196</f>
        <v>FGS-8B7 (Deshidrogenado / Horneado) | No aplica | 337 - 349 (650 ± 10 °F) | &gt;= 8 hrs.</v>
      </c>
      <c r="B201" s="70" t="str">
        <f t="shared" si="2"/>
        <v>Otros</v>
      </c>
    </row>
    <row r="202" spans="1:2" x14ac:dyDescent="0.2">
      <c r="A202" s="70" t="str">
        <f>Listas!E197</f>
        <v>FGS-8B7 (Deshidrogenado / Horneado) | No aplica | No aplica | &gt;= 0.5 hrs.</v>
      </c>
      <c r="B202" s="70"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03" spans="1:2" x14ac:dyDescent="0.2">
      <c r="A203" s="70" t="str">
        <f>Listas!E198</f>
        <v>FGS-8B7 (Deshidrogenado / Horneado) | No aplica | No aplica | &gt;= 1 hrs.</v>
      </c>
      <c r="B203" s="70" t="str">
        <f t="shared" si="3"/>
        <v>Otros</v>
      </c>
    </row>
    <row r="204" spans="1:2" x14ac:dyDescent="0.2">
      <c r="A204" s="70" t="str">
        <f>Listas!E199</f>
        <v>FGS-8B7 (Deshidrogenado / Horneado) | No aplica | No aplica | &gt;= 10 hrs.</v>
      </c>
      <c r="B204" s="70" t="str">
        <f t="shared" si="3"/>
        <v>Otros</v>
      </c>
    </row>
    <row r="205" spans="1:2" x14ac:dyDescent="0.2">
      <c r="A205" s="70" t="str">
        <f>Listas!E200</f>
        <v>FGS-8B7 (Deshidrogenado / Horneado) | No aplica | No aplica | &gt;= 14 hrs.</v>
      </c>
      <c r="B205" s="70" t="str">
        <f t="shared" si="3"/>
        <v>Otros</v>
      </c>
    </row>
    <row r="206" spans="1:2" x14ac:dyDescent="0.2">
      <c r="A206" s="70" t="str">
        <f>Listas!E201</f>
        <v>FGS-8B7 (Deshidrogenado / Horneado) | No aplica | No aplica | &gt;= 2 hrs.</v>
      </c>
      <c r="B206" s="70" t="str">
        <f t="shared" si="3"/>
        <v>Otros</v>
      </c>
    </row>
    <row r="207" spans="1:2" x14ac:dyDescent="0.2">
      <c r="A207" s="70" t="str">
        <f>Listas!E202</f>
        <v>FGS-8B7 (Deshidrogenado / Horneado) | No aplica | No aplica | &gt;= 24 hrs.</v>
      </c>
      <c r="B207" s="70" t="str">
        <f t="shared" si="3"/>
        <v>Otros</v>
      </c>
    </row>
    <row r="208" spans="1:2" x14ac:dyDescent="0.2">
      <c r="A208" s="70" t="str">
        <f>Listas!E203</f>
        <v>FGS-8B7 (Deshidrogenado / Horneado) | No aplica | No aplica | &gt;= 3 hrs.</v>
      </c>
      <c r="B208" s="70" t="str">
        <f t="shared" si="3"/>
        <v>Otros</v>
      </c>
    </row>
    <row r="209" spans="1:2" x14ac:dyDescent="0.2">
      <c r="A209" s="70" t="str">
        <f>Listas!E204</f>
        <v>FGS-8B7 (Deshidrogenado / Horneado) | No aplica | No aplica | &gt;= 4 hrs.</v>
      </c>
      <c r="B209" s="70" t="str">
        <f t="shared" si="3"/>
        <v>Otros</v>
      </c>
    </row>
    <row r="210" spans="1:2" x14ac:dyDescent="0.2">
      <c r="A210" s="70" t="str">
        <f>Listas!E205</f>
        <v>FGS-8B7 (Deshidrogenado / Horneado) | No aplica | No aplica | &gt;= 5 hrs.</v>
      </c>
      <c r="B210" s="70" t="str">
        <f t="shared" si="3"/>
        <v>Otros</v>
      </c>
    </row>
    <row r="211" spans="1:2" x14ac:dyDescent="0.2">
      <c r="A211" s="70" t="str">
        <f>Listas!E206</f>
        <v>FGS-8B7 (Deshidrogenado / Horneado) | No aplica | No aplica | &gt;= 6 hrs.</v>
      </c>
      <c r="B211" s="70" t="str">
        <f t="shared" si="3"/>
        <v>Otros</v>
      </c>
    </row>
    <row r="212" spans="1:2" x14ac:dyDescent="0.2">
      <c r="A212" s="70" t="str">
        <f>Listas!E207</f>
        <v>FGS-8B7 (Deshidrogenado / Horneado) | No aplica | No aplica | &gt;= 8 hrs.</v>
      </c>
      <c r="B212" s="70" t="str">
        <f t="shared" si="3"/>
        <v>Otros</v>
      </c>
    </row>
    <row r="213" spans="1:2" x14ac:dyDescent="0.2">
      <c r="A213" s="70" t="str">
        <f>Listas!E208</f>
        <v>FGS-8B7 (Níquel Electroless) | 50.8 - 63.5 µm</v>
      </c>
      <c r="B213" s="70" t="str">
        <f t="shared" si="3"/>
        <v>Níquel</v>
      </c>
    </row>
    <row r="214" spans="1:2" x14ac:dyDescent="0.2">
      <c r="A214" s="70" t="str">
        <f>Listas!E209</f>
        <v>FTR00025 (Zinc) | 8.0 - 12.0 µm</v>
      </c>
      <c r="B214" s="70" t="str">
        <f t="shared" si="3"/>
        <v>Zinc</v>
      </c>
    </row>
    <row r="215" spans="1:2" x14ac:dyDescent="0.2">
      <c r="A215" s="70" t="str">
        <f>Listas!E210</f>
        <v>FTR00047 (Plata) | 2 - 4.5 µm</v>
      </c>
      <c r="B215" s="70" t="str">
        <f t="shared" si="3"/>
        <v>Plata</v>
      </c>
    </row>
    <row r="216" spans="1:2" x14ac:dyDescent="0.2">
      <c r="A216" s="70" t="str">
        <f>Listas!E211</f>
        <v>FTR00047 (Plata) | 5 - 8 µm</v>
      </c>
      <c r="B216" s="70" t="str">
        <f t="shared" si="3"/>
        <v>Plata</v>
      </c>
    </row>
    <row r="217" spans="1:2" x14ac:dyDescent="0.2">
      <c r="A217" s="70" t="str">
        <f>Listas!E212</f>
        <v>FTR00055 (Níquel) | 2 - 4 µm</v>
      </c>
      <c r="B217" s="70" t="str">
        <f t="shared" si="3"/>
        <v>Níquel</v>
      </c>
    </row>
    <row r="218" spans="1:2" x14ac:dyDescent="0.2">
      <c r="A218" s="70" t="str">
        <f>Listas!E213</f>
        <v>GDE1214700 (Antitarnish)</v>
      </c>
      <c r="B218" s="70" t="str">
        <f t="shared" si="3"/>
        <v>Otros</v>
      </c>
    </row>
    <row r="219" spans="1:2" x14ac:dyDescent="0.2">
      <c r="A219" s="70" t="str">
        <f>Listas!E214</f>
        <v>GG QTLV 5115 (Níquel Sulfamato) | 5 - 15 µm</v>
      </c>
      <c r="B219" s="70" t="str">
        <f t="shared" si="3"/>
        <v>Níquel</v>
      </c>
    </row>
    <row r="220" spans="1:2" x14ac:dyDescent="0.2">
      <c r="A220" s="70" t="str">
        <f>Listas!E215</f>
        <v>GG QTLV 5120.06 (Níquel Sulfamato - Estaño) | 1 - 5 µm</v>
      </c>
      <c r="B220" s="70" t="str">
        <f t="shared" si="3"/>
        <v>Níquel+Estaño</v>
      </c>
    </row>
    <row r="221" spans="1:2" x14ac:dyDescent="0.2">
      <c r="A221" s="70" t="str">
        <f>Listas!E216</f>
        <v>GG QTLV 5120.06 (Níquel Sulfamato - Estaño) | 2.5 - 7.6 µm</v>
      </c>
      <c r="B221" s="70" t="str">
        <f t="shared" si="3"/>
        <v>Níquel+Estaño</v>
      </c>
    </row>
    <row r="222" spans="1:2" x14ac:dyDescent="0.2">
      <c r="A222" s="70" t="str">
        <f>Listas!E217</f>
        <v>GG QTLV 5120.06 (Níquel Sulfamato - Estaño) | 8 - 15 µm</v>
      </c>
      <c r="B222" s="70" t="str">
        <f t="shared" si="3"/>
        <v>Níquel+Estaño</v>
      </c>
    </row>
    <row r="223" spans="1:2" x14ac:dyDescent="0.2">
      <c r="A223" s="70" t="str">
        <f>Listas!E218</f>
        <v>Hirschvogel (Cromo Duro) | 21 - 25 µm</v>
      </c>
      <c r="B223" s="70" t="str">
        <f t="shared" si="3"/>
        <v>Otros</v>
      </c>
    </row>
    <row r="224" spans="1:2" x14ac:dyDescent="0.2">
      <c r="A224" s="70" t="str">
        <f>Listas!E219</f>
        <v>KDS-258-107 (Estaño) | 2.5 - 5 µm</v>
      </c>
      <c r="B224" s="70" t="str">
        <f t="shared" si="3"/>
        <v>Estaño</v>
      </c>
    </row>
    <row r="225" spans="1:2" x14ac:dyDescent="0.2">
      <c r="A225" s="70" t="str">
        <f>Listas!E220</f>
        <v>MIL-DTL-16232G (Deshidrogenado) | 98 - 107 °C | &gt;= 8 hrs.</v>
      </c>
      <c r="B225" s="70" t="str">
        <f t="shared" si="3"/>
        <v>Otros</v>
      </c>
    </row>
    <row r="226" spans="1:2" x14ac:dyDescent="0.2">
      <c r="A226" s="70" t="str">
        <f>Listas!E221</f>
        <v>MS-S1053 (Fosfato de Manganeso - Medición de Grano) | 5 - 11 µm</v>
      </c>
      <c r="B226" s="70" t="str">
        <f t="shared" si="3"/>
        <v>Otros</v>
      </c>
    </row>
    <row r="227" spans="1:2" x14ac:dyDescent="0.2">
      <c r="A227" s="70" t="str">
        <f>Listas!E222</f>
        <v>NNZ3703201 (Epóxico MT 80 -100 µm) | 80 - 100 mils</v>
      </c>
      <c r="B227" s="70" t="str">
        <f t="shared" si="3"/>
        <v>Epóxico</v>
      </c>
    </row>
    <row r="228" spans="1:2" x14ac:dyDescent="0.2">
      <c r="A228" s="70" t="str">
        <f>Listas!E223</f>
        <v>P 1029 P003 E 131 (Níquel Electroless) (Moneda) | 45 - 70 µm</v>
      </c>
      <c r="B228" s="70" t="str">
        <f t="shared" si="3"/>
        <v>Níquel</v>
      </c>
    </row>
    <row r="229" spans="1:2" x14ac:dyDescent="0.2">
      <c r="A229" s="70" t="str">
        <f>Listas!E224</f>
        <v>PL 112-16-2 (Estaño) | 3.8 - 12.7 µm</v>
      </c>
      <c r="B229" s="70" t="str">
        <f t="shared" si="3"/>
        <v>Estaño</v>
      </c>
    </row>
    <row r="230" spans="1:2" x14ac:dyDescent="0.2">
      <c r="A230" s="70" t="str">
        <f>Listas!E225</f>
        <v>RC Ag (Plata) | 0.076 - 1.27 µm</v>
      </c>
      <c r="B230" s="70" t="str">
        <f t="shared" si="3"/>
        <v>Plata</v>
      </c>
    </row>
    <row r="231" spans="1:2" x14ac:dyDescent="0.2">
      <c r="A231" s="70" t="str">
        <f>Listas!E226</f>
        <v>RC Ag (Plata) | 0.127 - 0.5 µm</v>
      </c>
      <c r="B231" s="70" t="str">
        <f t="shared" si="3"/>
        <v>Plata</v>
      </c>
    </row>
    <row r="232" spans="1:2" x14ac:dyDescent="0.2">
      <c r="A232" s="70" t="str">
        <f>Listas!E227</f>
        <v>RC Ag (Plata) | 0.27 - 1.27 µm</v>
      </c>
      <c r="B232" s="70" t="str">
        <f t="shared" si="3"/>
        <v>Plata</v>
      </c>
    </row>
    <row r="233" spans="1:2" x14ac:dyDescent="0.2">
      <c r="A233" s="70" t="str">
        <f>Listas!E228</f>
        <v>RC Ag (Plata) | 0.3 - 0.8 µm</v>
      </c>
      <c r="B233" s="70" t="str">
        <f t="shared" si="3"/>
        <v>Plata</v>
      </c>
    </row>
    <row r="234" spans="1:2" x14ac:dyDescent="0.2">
      <c r="A234" s="70" t="str">
        <f>Listas!E229</f>
        <v>RC Ag (Plata) | 0.4 - 2.5 µm</v>
      </c>
      <c r="B234" s="70" t="str">
        <f t="shared" si="3"/>
        <v>Plata</v>
      </c>
    </row>
    <row r="235" spans="1:2" x14ac:dyDescent="0.2">
      <c r="A235" s="70" t="str">
        <f>Listas!E230</f>
        <v>RC Ag (Plata) | 0.5 - 1.5 µm</v>
      </c>
      <c r="B235" s="70" t="str">
        <f t="shared" si="3"/>
        <v>Plata</v>
      </c>
    </row>
    <row r="236" spans="1:2" x14ac:dyDescent="0.2">
      <c r="A236" s="70" t="str">
        <f>Listas!E231</f>
        <v>RC Ag (Plata) | 0.508 - 1.016 µm</v>
      </c>
      <c r="B236" s="70" t="str">
        <f t="shared" si="3"/>
        <v>Plata</v>
      </c>
    </row>
    <row r="237" spans="1:2" x14ac:dyDescent="0.2">
      <c r="A237" s="70" t="str">
        <f>Listas!E232</f>
        <v>RC Ag (Plata) | 1.27 - 2.5 µm</v>
      </c>
      <c r="B237" s="70" t="str">
        <f t="shared" si="3"/>
        <v>Plata</v>
      </c>
    </row>
    <row r="238" spans="1:2" x14ac:dyDescent="0.2">
      <c r="A238" s="70" t="str">
        <f>Listas!E233</f>
        <v>RC Ag (Plata) | 13 - 16 µm</v>
      </c>
      <c r="B238" s="70" t="str">
        <f t="shared" si="3"/>
        <v>Plata</v>
      </c>
    </row>
    <row r="239" spans="1:2" x14ac:dyDescent="0.2">
      <c r="A239" s="70" t="str">
        <f>Listas!E234</f>
        <v>RC Ag (Plata) | 2.0 - 6.0 µm</v>
      </c>
      <c r="B239" s="70" t="str">
        <f t="shared" si="3"/>
        <v>Plata</v>
      </c>
    </row>
    <row r="240" spans="1:2" x14ac:dyDescent="0.2">
      <c r="A240" s="70" t="str">
        <f>Listas!E235</f>
        <v>RC Ag (Plata) | 2.0-3.0 µm</v>
      </c>
      <c r="B240" s="70" t="str">
        <f t="shared" si="3"/>
        <v>Plata</v>
      </c>
    </row>
    <row r="241" spans="1:2" x14ac:dyDescent="0.2">
      <c r="A241" s="70" t="str">
        <f>Listas!E236</f>
        <v>RC Ag (Plata) | 3 - 6 µm</v>
      </c>
      <c r="B241" s="70" t="str">
        <f t="shared" si="3"/>
        <v>Plata</v>
      </c>
    </row>
    <row r="242" spans="1:2" x14ac:dyDescent="0.2">
      <c r="A242" s="70" t="str">
        <f>Listas!E237</f>
        <v>RC Ag (Plata) | 3.8 - 5.5 µm</v>
      </c>
      <c r="B242" s="70" t="str">
        <f t="shared" si="3"/>
        <v>Plata</v>
      </c>
    </row>
    <row r="243" spans="1:2" x14ac:dyDescent="0.2">
      <c r="A243" s="70" t="str">
        <f>Listas!E238</f>
        <v>RC Ag (Plata) | 8 - 12 µm</v>
      </c>
      <c r="B243" s="70" t="str">
        <f t="shared" si="3"/>
        <v>Plata</v>
      </c>
    </row>
    <row r="244" spans="1:2" x14ac:dyDescent="0.2">
      <c r="A244" s="70" t="str">
        <f>Listas!E239</f>
        <v>RC Anodizado Natural | 12 - 18 µm</v>
      </c>
      <c r="B244" s="70" t="str">
        <f t="shared" si="3"/>
        <v>Otros</v>
      </c>
    </row>
    <row r="245" spans="1:2" x14ac:dyDescent="0.2">
      <c r="A245" s="70" t="str">
        <f>Listas!E240</f>
        <v>RC Anodizado Natural | 2 - 3 µm</v>
      </c>
      <c r="B245" s="70" t="str">
        <f t="shared" si="3"/>
        <v>Otros</v>
      </c>
    </row>
    <row r="246" spans="1:2" x14ac:dyDescent="0.2">
      <c r="A246" s="70" t="str">
        <f>Listas!E241</f>
        <v>RC Anodizado Natural | 8 - 13 µm</v>
      </c>
      <c r="B246" s="70" t="str">
        <f t="shared" si="3"/>
        <v>Otros</v>
      </c>
    </row>
    <row r="247" spans="1:2" x14ac:dyDescent="0.2">
      <c r="A247" s="70" t="str">
        <f>Listas!E242</f>
        <v>RC Anodizado Negro | 12 - 18 µm</v>
      </c>
      <c r="B247" s="70" t="str">
        <f t="shared" si="3"/>
        <v>Otros</v>
      </c>
    </row>
    <row r="248" spans="1:2" x14ac:dyDescent="0.2">
      <c r="A248" s="70" t="str">
        <f>Listas!E243</f>
        <v>RC Anodizado Negro | 8 - 13 µm</v>
      </c>
      <c r="B248" s="70" t="str">
        <f t="shared" si="3"/>
        <v>Otros</v>
      </c>
    </row>
    <row r="249" spans="1:2" x14ac:dyDescent="0.2">
      <c r="A249" s="70" t="str">
        <f>Listas!E244</f>
        <v>RC Brill 61</v>
      </c>
      <c r="B249" s="70" t="str">
        <f t="shared" si="3"/>
        <v>Otros</v>
      </c>
    </row>
    <row r="250" spans="1:2" x14ac:dyDescent="0.2">
      <c r="A250" s="70" t="str">
        <f>Listas!E245</f>
        <v>RC Cámara Salina | 12 horas | 12 horas</v>
      </c>
      <c r="B250" s="70" t="str">
        <f t="shared" si="3"/>
        <v>Otros</v>
      </c>
    </row>
    <row r="251" spans="1:2" x14ac:dyDescent="0.2">
      <c r="A251" s="70" t="str">
        <f>Listas!E246</f>
        <v>RC Cámara Salina | 12 horas | 120 horas</v>
      </c>
      <c r="B251" s="70" t="str">
        <f t="shared" si="3"/>
        <v>Otros</v>
      </c>
    </row>
    <row r="252" spans="1:2" x14ac:dyDescent="0.2">
      <c r="A252" s="70" t="str">
        <f>Listas!E247</f>
        <v>RC Cámara Salina | 12 horas | 144 horas</v>
      </c>
      <c r="B252" s="70" t="str">
        <f t="shared" si="3"/>
        <v>Otros</v>
      </c>
    </row>
    <row r="253" spans="1:2" x14ac:dyDescent="0.2">
      <c r="A253" s="70" t="str">
        <f>Listas!E248</f>
        <v>RC Cámara Salina | 12 horas | 16 horas</v>
      </c>
      <c r="B253" s="70" t="str">
        <f t="shared" si="3"/>
        <v>Otros</v>
      </c>
    </row>
    <row r="254" spans="1:2" x14ac:dyDescent="0.2">
      <c r="A254" s="70" t="str">
        <f>Listas!E249</f>
        <v>RC Cámara Salina | 12 horas | 172 horas</v>
      </c>
      <c r="B254" s="70" t="str">
        <f t="shared" si="3"/>
        <v>Otros</v>
      </c>
    </row>
    <row r="255" spans="1:2" x14ac:dyDescent="0.2">
      <c r="A255" s="70" t="str">
        <f>Listas!E250</f>
        <v>RC Cámara Salina | 12 horas | 200 horas</v>
      </c>
      <c r="B255" s="70" t="str">
        <f t="shared" si="3"/>
        <v>Otros</v>
      </c>
    </row>
    <row r="256" spans="1:2" x14ac:dyDescent="0.2">
      <c r="A256" s="70" t="str">
        <f>Listas!E251</f>
        <v>RC Cámara Salina | 12 horas | 24 horas</v>
      </c>
      <c r="B256" s="70" t="str">
        <f t="shared" si="3"/>
        <v>Otros</v>
      </c>
    </row>
    <row r="257" spans="1:2" x14ac:dyDescent="0.2">
      <c r="A257" s="70" t="str">
        <f>Listas!E252</f>
        <v>RC Cámara Salina | 12 horas | 240 horas</v>
      </c>
      <c r="B257" s="70" t="str">
        <f t="shared" si="3"/>
        <v>Otros</v>
      </c>
    </row>
    <row r="258" spans="1:2" x14ac:dyDescent="0.2">
      <c r="A258" s="70" t="str">
        <f>Listas!E253</f>
        <v>RC Cámara Salina | 12 horas | 36 horas</v>
      </c>
      <c r="B258" s="70" t="str">
        <f t="shared" si="3"/>
        <v>Otros</v>
      </c>
    </row>
    <row r="259" spans="1:2" x14ac:dyDescent="0.2">
      <c r="A259" s="70" t="str">
        <f>Listas!E254</f>
        <v>RC Cámara Salina | 12 horas | 360 horas</v>
      </c>
      <c r="B259" s="70" t="str">
        <f t="shared" si="3"/>
        <v>Otros</v>
      </c>
    </row>
    <row r="260" spans="1:2" x14ac:dyDescent="0.2">
      <c r="A260" s="70" t="str">
        <f>Listas!E255</f>
        <v>RC Cámara Salina | 12 horas | 48 horas</v>
      </c>
      <c r="B260" s="70" t="str">
        <f t="shared" si="3"/>
        <v>Otros</v>
      </c>
    </row>
    <row r="261" spans="1:2" x14ac:dyDescent="0.2">
      <c r="A261" s="70" t="str">
        <f>Listas!E256</f>
        <v>RC Cámara Salina | 12 horas | 480 horas</v>
      </c>
      <c r="B261" s="70" t="str">
        <f t="shared" si="3"/>
        <v>Otros</v>
      </c>
    </row>
    <row r="262" spans="1:2" x14ac:dyDescent="0.2">
      <c r="A262" s="70" t="str">
        <f>Listas!E257</f>
        <v>RC Cámara Salina | 12 horas | 500 horas</v>
      </c>
      <c r="B262" s="70" t="str">
        <f t="shared" si="3"/>
        <v>Otros</v>
      </c>
    </row>
    <row r="263" spans="1:2" x14ac:dyDescent="0.2">
      <c r="A263" s="70" t="str">
        <f>Listas!E258</f>
        <v>RC Cámara Salina | 12 horas | 72 horas</v>
      </c>
      <c r="B263" s="70" t="str">
        <f t="shared" si="3"/>
        <v>Otros</v>
      </c>
    </row>
    <row r="264" spans="1:2" x14ac:dyDescent="0.2">
      <c r="A264" s="70" t="str">
        <f>Listas!E259</f>
        <v>RC Cámara Salina | 12 horas | 720 horas</v>
      </c>
      <c r="B264" s="70" t="str">
        <f t="shared" si="3"/>
        <v>Otros</v>
      </c>
    </row>
    <row r="265" spans="1:2" x14ac:dyDescent="0.2">
      <c r="A265" s="70" t="str">
        <f>Listas!E260</f>
        <v>RC Cámara Salina | 12 horas | 96 horas</v>
      </c>
      <c r="B265" s="70" t="str">
        <f t="shared" si="3"/>
        <v>Otros</v>
      </c>
    </row>
    <row r="266" spans="1:2" x14ac:dyDescent="0.2">
      <c r="A266" s="70" t="str">
        <f>Listas!E261</f>
        <v>RC Cámara Salina | 12 horas | 960 horas</v>
      </c>
      <c r="B266" s="70"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70" t="str">
        <f>Listas!E262</f>
        <v>RC Cámara Salina | 120 horas | 12 horas</v>
      </c>
      <c r="B267" s="70" t="str">
        <f t="shared" si="4"/>
        <v>Otros</v>
      </c>
    </row>
    <row r="268" spans="1:2" x14ac:dyDescent="0.2">
      <c r="A268" s="70" t="str">
        <f>Listas!E263</f>
        <v>RC Cámara Salina | 120 horas | 120 horas</v>
      </c>
      <c r="B268" s="70" t="str">
        <f t="shared" si="4"/>
        <v>Otros</v>
      </c>
    </row>
    <row r="269" spans="1:2" x14ac:dyDescent="0.2">
      <c r="A269" s="70" t="str">
        <f>Listas!E264</f>
        <v>RC Cámara Salina | 120 horas | 144 horas</v>
      </c>
      <c r="B269" s="70" t="str">
        <f t="shared" si="4"/>
        <v>Otros</v>
      </c>
    </row>
    <row r="270" spans="1:2" x14ac:dyDescent="0.2">
      <c r="A270" s="70" t="str">
        <f>Listas!E265</f>
        <v>RC Cámara Salina | 120 horas | 16 horas</v>
      </c>
      <c r="B270" s="70" t="str">
        <f t="shared" si="4"/>
        <v>Otros</v>
      </c>
    </row>
    <row r="271" spans="1:2" x14ac:dyDescent="0.2">
      <c r="A271" s="70" t="str">
        <f>Listas!E266</f>
        <v>RC Cámara Salina | 120 horas | 172 horas</v>
      </c>
      <c r="B271" s="70" t="str">
        <f t="shared" si="4"/>
        <v>Otros</v>
      </c>
    </row>
    <row r="272" spans="1:2" x14ac:dyDescent="0.2">
      <c r="A272" s="70" t="str">
        <f>Listas!E267</f>
        <v>RC Cámara Salina | 120 horas | 200 horas</v>
      </c>
      <c r="B272" s="70" t="str">
        <f t="shared" si="4"/>
        <v>Otros</v>
      </c>
    </row>
    <row r="273" spans="1:2" x14ac:dyDescent="0.2">
      <c r="A273" s="70" t="str">
        <f>Listas!E268</f>
        <v>RC Cámara Salina | 120 horas | 24 horas</v>
      </c>
      <c r="B273" s="70" t="str">
        <f t="shared" si="4"/>
        <v>Otros</v>
      </c>
    </row>
    <row r="274" spans="1:2" x14ac:dyDescent="0.2">
      <c r="A274" s="70" t="str">
        <f>Listas!E269</f>
        <v>RC Cámara Salina | 120 horas | 240 horas</v>
      </c>
      <c r="B274" s="70" t="str">
        <f t="shared" si="4"/>
        <v>Otros</v>
      </c>
    </row>
    <row r="275" spans="1:2" x14ac:dyDescent="0.2">
      <c r="A275" s="70" t="str">
        <f>Listas!E270</f>
        <v>RC Cámara Salina | 120 horas | 36 horas</v>
      </c>
      <c r="B275" s="70" t="str">
        <f t="shared" si="4"/>
        <v>Otros</v>
      </c>
    </row>
    <row r="276" spans="1:2" x14ac:dyDescent="0.2">
      <c r="A276" s="70" t="str">
        <f>Listas!E271</f>
        <v>RC Cámara Salina | 120 horas | 360 horas</v>
      </c>
      <c r="B276" s="70" t="str">
        <f t="shared" si="4"/>
        <v>Otros</v>
      </c>
    </row>
    <row r="277" spans="1:2" x14ac:dyDescent="0.2">
      <c r="A277" s="70" t="str">
        <f>Listas!E272</f>
        <v>RC Cámara Salina | 120 horas | 48 horas</v>
      </c>
      <c r="B277" s="70" t="str">
        <f t="shared" si="4"/>
        <v>Otros</v>
      </c>
    </row>
    <row r="278" spans="1:2" x14ac:dyDescent="0.2">
      <c r="A278" s="70" t="str">
        <f>Listas!E273</f>
        <v>RC Cámara Salina | 120 horas | 480 horas</v>
      </c>
      <c r="B278" s="70" t="str">
        <f t="shared" si="4"/>
        <v>Otros</v>
      </c>
    </row>
    <row r="279" spans="1:2" x14ac:dyDescent="0.2">
      <c r="A279" s="70" t="str">
        <f>Listas!E274</f>
        <v>RC Cámara Salina | 120 horas | 500 horas</v>
      </c>
      <c r="B279" s="70" t="str">
        <f t="shared" si="4"/>
        <v>Otros</v>
      </c>
    </row>
    <row r="280" spans="1:2" x14ac:dyDescent="0.2">
      <c r="A280" s="70" t="str">
        <f>Listas!E275</f>
        <v>RC Cámara Salina | 120 horas | 72 horas</v>
      </c>
      <c r="B280" s="70" t="str">
        <f t="shared" si="4"/>
        <v>Otros</v>
      </c>
    </row>
    <row r="281" spans="1:2" x14ac:dyDescent="0.2">
      <c r="A281" s="70" t="str">
        <f>Listas!E276</f>
        <v>RC Cámara Salina | 120 horas | 720 horas</v>
      </c>
      <c r="B281" s="70" t="str">
        <f t="shared" si="4"/>
        <v>Otros</v>
      </c>
    </row>
    <row r="282" spans="1:2" x14ac:dyDescent="0.2">
      <c r="A282" s="70" t="str">
        <f>Listas!E277</f>
        <v>RC Cámara Salina | 120 horas | 96 horas</v>
      </c>
      <c r="B282" s="70" t="str">
        <f t="shared" si="4"/>
        <v>Otros</v>
      </c>
    </row>
    <row r="283" spans="1:2" x14ac:dyDescent="0.2">
      <c r="A283" s="70" t="str">
        <f>Listas!E278</f>
        <v>RC Cámara Salina | 120 horas | 960 horas</v>
      </c>
      <c r="B283" s="70" t="str">
        <f t="shared" si="4"/>
        <v>Otros</v>
      </c>
    </row>
    <row r="284" spans="1:2" x14ac:dyDescent="0.2">
      <c r="A284" s="70" t="str">
        <f>Listas!E279</f>
        <v>RC Cámara Salina | 144 horas | 12 horas</v>
      </c>
      <c r="B284" s="70" t="str">
        <f t="shared" si="4"/>
        <v>Otros</v>
      </c>
    </row>
    <row r="285" spans="1:2" x14ac:dyDescent="0.2">
      <c r="A285" s="70" t="str">
        <f>Listas!E280</f>
        <v>RC Cámara Salina | 144 horas | 120 horas</v>
      </c>
      <c r="B285" s="70" t="str">
        <f t="shared" si="4"/>
        <v>Otros</v>
      </c>
    </row>
    <row r="286" spans="1:2" x14ac:dyDescent="0.2">
      <c r="A286" s="70" t="str">
        <f>Listas!E281</f>
        <v>RC Cámara Salina | 144 horas | 144 horas</v>
      </c>
      <c r="B286" s="70" t="str">
        <f t="shared" si="4"/>
        <v>Otros</v>
      </c>
    </row>
    <row r="287" spans="1:2" x14ac:dyDescent="0.2">
      <c r="A287" s="70" t="str">
        <f>Listas!E282</f>
        <v>RC Cámara Salina | 144 horas | 16 horas</v>
      </c>
      <c r="B287" s="70" t="str">
        <f t="shared" si="4"/>
        <v>Otros</v>
      </c>
    </row>
    <row r="288" spans="1:2" x14ac:dyDescent="0.2">
      <c r="A288" s="70" t="str">
        <f>Listas!E283</f>
        <v>RC Cámara Salina | 144 horas | 172 horas</v>
      </c>
      <c r="B288" s="70" t="str">
        <f t="shared" si="4"/>
        <v>Otros</v>
      </c>
    </row>
    <row r="289" spans="1:2" x14ac:dyDescent="0.2">
      <c r="A289" s="70" t="str">
        <f>Listas!E284</f>
        <v>RC Cámara Salina | 144 horas | 200 horas</v>
      </c>
      <c r="B289" s="70" t="str">
        <f t="shared" si="4"/>
        <v>Otros</v>
      </c>
    </row>
    <row r="290" spans="1:2" x14ac:dyDescent="0.2">
      <c r="A290" s="70" t="str">
        <f>Listas!E285</f>
        <v>RC Cámara Salina | 144 horas | 24 horas</v>
      </c>
      <c r="B290" s="70" t="str">
        <f t="shared" si="4"/>
        <v>Otros</v>
      </c>
    </row>
    <row r="291" spans="1:2" x14ac:dyDescent="0.2">
      <c r="A291" s="70" t="str">
        <f>Listas!E286</f>
        <v>RC Cámara Salina | 144 horas | 240 horas</v>
      </c>
      <c r="B291" s="70" t="str">
        <f t="shared" si="4"/>
        <v>Otros</v>
      </c>
    </row>
    <row r="292" spans="1:2" x14ac:dyDescent="0.2">
      <c r="A292" s="70" t="str">
        <f>Listas!E287</f>
        <v>RC Cámara Salina | 144 horas | 36 horas</v>
      </c>
      <c r="B292" s="70" t="str">
        <f t="shared" si="4"/>
        <v>Otros</v>
      </c>
    </row>
    <row r="293" spans="1:2" x14ac:dyDescent="0.2">
      <c r="A293" s="70" t="str">
        <f>Listas!E288</f>
        <v>RC Cámara Salina | 144 horas | 360 horas</v>
      </c>
      <c r="B293" s="70" t="str">
        <f t="shared" si="4"/>
        <v>Otros</v>
      </c>
    </row>
    <row r="294" spans="1:2" x14ac:dyDescent="0.2">
      <c r="A294" s="70" t="str">
        <f>Listas!E289</f>
        <v>RC Cámara Salina | 144 horas | 48 horas</v>
      </c>
      <c r="B294" s="70" t="str">
        <f t="shared" si="4"/>
        <v>Otros</v>
      </c>
    </row>
    <row r="295" spans="1:2" x14ac:dyDescent="0.2">
      <c r="A295" s="70" t="str">
        <f>Listas!E290</f>
        <v>RC Cámara Salina | 144 horas | 480 horas</v>
      </c>
      <c r="B295" s="70" t="str">
        <f t="shared" si="4"/>
        <v>Otros</v>
      </c>
    </row>
    <row r="296" spans="1:2" x14ac:dyDescent="0.2">
      <c r="A296" s="70" t="str">
        <f>Listas!E291</f>
        <v>RC Cámara Salina | 144 horas | 500 horas</v>
      </c>
      <c r="B296" s="70" t="str">
        <f t="shared" si="4"/>
        <v>Otros</v>
      </c>
    </row>
    <row r="297" spans="1:2" x14ac:dyDescent="0.2">
      <c r="A297" s="70" t="str">
        <f>Listas!E292</f>
        <v>RC Cámara Salina | 144 horas | 72 horas</v>
      </c>
      <c r="B297" s="70" t="str">
        <f t="shared" si="4"/>
        <v>Otros</v>
      </c>
    </row>
    <row r="298" spans="1:2" x14ac:dyDescent="0.2">
      <c r="A298" s="70" t="str">
        <f>Listas!E293</f>
        <v>RC Cámara Salina | 144 horas | 720 horas</v>
      </c>
      <c r="B298" s="70" t="str">
        <f t="shared" si="4"/>
        <v>Otros</v>
      </c>
    </row>
    <row r="299" spans="1:2" x14ac:dyDescent="0.2">
      <c r="A299" s="70" t="str">
        <f>Listas!E294</f>
        <v>RC Cámara Salina | 144 horas | 96 horas</v>
      </c>
      <c r="B299" s="70" t="str">
        <f t="shared" si="4"/>
        <v>Otros</v>
      </c>
    </row>
    <row r="300" spans="1:2" x14ac:dyDescent="0.2">
      <c r="A300" s="70" t="str">
        <f>Listas!E295</f>
        <v>RC Cámara Salina | 144 horas | 960 horas</v>
      </c>
      <c r="B300" s="70" t="str">
        <f t="shared" si="4"/>
        <v>Otros</v>
      </c>
    </row>
    <row r="301" spans="1:2" x14ac:dyDescent="0.2">
      <c r="A301" s="70" t="str">
        <f>Listas!E296</f>
        <v>RC Cámara Salina | 200 horas | 12 horas</v>
      </c>
      <c r="B301" s="70" t="str">
        <f t="shared" si="4"/>
        <v>Otros</v>
      </c>
    </row>
    <row r="302" spans="1:2" x14ac:dyDescent="0.2">
      <c r="A302" s="70" t="str">
        <f>Listas!E297</f>
        <v>RC Cámara Salina | 200 horas | 120 horas</v>
      </c>
      <c r="B302" s="70" t="str">
        <f t="shared" si="4"/>
        <v>Otros</v>
      </c>
    </row>
    <row r="303" spans="1:2" x14ac:dyDescent="0.2">
      <c r="A303" s="70" t="str">
        <f>Listas!E298</f>
        <v>RC Cámara Salina | 200 horas | 144 horas</v>
      </c>
      <c r="B303" s="70" t="str">
        <f t="shared" si="4"/>
        <v>Otros</v>
      </c>
    </row>
    <row r="304" spans="1:2" x14ac:dyDescent="0.2">
      <c r="A304" s="70" t="str">
        <f>Listas!E299</f>
        <v>RC Cámara Salina | 200 horas | 16 horas</v>
      </c>
      <c r="B304" s="70" t="str">
        <f t="shared" si="4"/>
        <v>Otros</v>
      </c>
    </row>
    <row r="305" spans="1:2" x14ac:dyDescent="0.2">
      <c r="A305" s="70" t="str">
        <f>Listas!E300</f>
        <v>RC Cámara Salina | 200 horas | 172 horas</v>
      </c>
      <c r="B305" s="70" t="str">
        <f t="shared" si="4"/>
        <v>Otros</v>
      </c>
    </row>
    <row r="306" spans="1:2" x14ac:dyDescent="0.2">
      <c r="A306" s="70" t="str">
        <f>Listas!E301</f>
        <v>RC Cámara Salina | 200 horas | 200 horas</v>
      </c>
      <c r="B306" s="70" t="str">
        <f t="shared" si="4"/>
        <v>Otros</v>
      </c>
    </row>
    <row r="307" spans="1:2" x14ac:dyDescent="0.2">
      <c r="A307" s="70" t="str">
        <f>Listas!E302</f>
        <v>RC Cámara Salina | 200 horas | 24 horas</v>
      </c>
      <c r="B307" s="70" t="str">
        <f t="shared" si="4"/>
        <v>Otros</v>
      </c>
    </row>
    <row r="308" spans="1:2" x14ac:dyDescent="0.2">
      <c r="A308" s="70" t="str">
        <f>Listas!E303</f>
        <v>RC Cámara Salina | 200 horas | 240 horas</v>
      </c>
      <c r="B308" s="70" t="str">
        <f t="shared" si="4"/>
        <v>Otros</v>
      </c>
    </row>
    <row r="309" spans="1:2" x14ac:dyDescent="0.2">
      <c r="A309" s="70" t="str">
        <f>Listas!E304</f>
        <v>RC Cámara Salina | 200 horas | 36 horas</v>
      </c>
      <c r="B309" s="70" t="str">
        <f t="shared" si="4"/>
        <v>Otros</v>
      </c>
    </row>
    <row r="310" spans="1:2" x14ac:dyDescent="0.2">
      <c r="A310" s="70" t="str">
        <f>Listas!E305</f>
        <v>RC Cámara Salina | 200 horas | 360 horas</v>
      </c>
      <c r="B310" s="70" t="str">
        <f t="shared" si="4"/>
        <v>Otros</v>
      </c>
    </row>
    <row r="311" spans="1:2" x14ac:dyDescent="0.2">
      <c r="A311" s="70" t="str">
        <f>Listas!E306</f>
        <v>RC Cámara Salina | 200 horas | 48 horas</v>
      </c>
      <c r="B311" s="70" t="str">
        <f t="shared" si="4"/>
        <v>Otros</v>
      </c>
    </row>
    <row r="312" spans="1:2" x14ac:dyDescent="0.2">
      <c r="A312" s="70" t="str">
        <f>Listas!E307</f>
        <v>RC Cámara Salina | 200 horas | 480 horas</v>
      </c>
      <c r="B312" s="70" t="str">
        <f t="shared" si="4"/>
        <v>Otros</v>
      </c>
    </row>
    <row r="313" spans="1:2" x14ac:dyDescent="0.2">
      <c r="A313" s="70" t="str">
        <f>Listas!E308</f>
        <v>RC Cámara Salina | 200 horas | 500 horas</v>
      </c>
      <c r="B313" s="70" t="str">
        <f t="shared" si="4"/>
        <v>Otros</v>
      </c>
    </row>
    <row r="314" spans="1:2" x14ac:dyDescent="0.2">
      <c r="A314" s="70" t="str">
        <f>Listas!E309</f>
        <v>RC Cámara Salina | 200 horas | 72 horas</v>
      </c>
      <c r="B314" s="70" t="str">
        <f t="shared" si="4"/>
        <v>Otros</v>
      </c>
    </row>
    <row r="315" spans="1:2" x14ac:dyDescent="0.2">
      <c r="A315" s="70" t="str">
        <f>Listas!E310</f>
        <v>RC Cámara Salina | 200 horas | 720 horas</v>
      </c>
      <c r="B315" s="70" t="str">
        <f t="shared" si="4"/>
        <v>Otros</v>
      </c>
    </row>
    <row r="316" spans="1:2" x14ac:dyDescent="0.2">
      <c r="A316" s="70" t="str">
        <f>Listas!E311</f>
        <v>RC Cámara Salina | 200 horas | 96 horas</v>
      </c>
      <c r="B316" s="70" t="str">
        <f t="shared" si="4"/>
        <v>Otros</v>
      </c>
    </row>
    <row r="317" spans="1:2" x14ac:dyDescent="0.2">
      <c r="A317" s="70" t="str">
        <f>Listas!E312</f>
        <v>RC Cámara Salina | 200 horas | 960 horas</v>
      </c>
      <c r="B317" s="70" t="str">
        <f t="shared" si="4"/>
        <v>Otros</v>
      </c>
    </row>
    <row r="318" spans="1:2" x14ac:dyDescent="0.2">
      <c r="A318" s="70" t="str">
        <f>Listas!E313</f>
        <v>RC Cámara Salina | 24 horas | 12 horas</v>
      </c>
      <c r="B318" s="70" t="str">
        <f t="shared" si="4"/>
        <v>Otros</v>
      </c>
    </row>
    <row r="319" spans="1:2" x14ac:dyDescent="0.2">
      <c r="A319" s="70" t="str">
        <f>Listas!E314</f>
        <v>RC Cámara Salina | 24 horas | 120 horas</v>
      </c>
      <c r="B319" s="70" t="str">
        <f t="shared" si="4"/>
        <v>Otros</v>
      </c>
    </row>
    <row r="320" spans="1:2" x14ac:dyDescent="0.2">
      <c r="A320" s="70" t="str">
        <f>Listas!E315</f>
        <v>RC Cámara Salina | 24 horas | 144 horas</v>
      </c>
      <c r="B320" s="70" t="str">
        <f t="shared" si="4"/>
        <v>Otros</v>
      </c>
    </row>
    <row r="321" spans="1:2" x14ac:dyDescent="0.2">
      <c r="A321" s="70" t="str">
        <f>Listas!E316</f>
        <v>RC Cámara Salina | 24 horas | 16 horas</v>
      </c>
      <c r="B321" s="70" t="str">
        <f t="shared" si="4"/>
        <v>Otros</v>
      </c>
    </row>
    <row r="322" spans="1:2" x14ac:dyDescent="0.2">
      <c r="A322" s="70" t="str">
        <f>Listas!E317</f>
        <v>RC Cámara Salina | 24 horas | 172 horas</v>
      </c>
      <c r="B322" s="70" t="str">
        <f t="shared" si="4"/>
        <v>Otros</v>
      </c>
    </row>
    <row r="323" spans="1:2" x14ac:dyDescent="0.2">
      <c r="A323" s="70" t="str">
        <f>Listas!E318</f>
        <v>RC Cámara Salina | 24 horas | 200 horas</v>
      </c>
      <c r="B323" s="70" t="str">
        <f t="shared" si="4"/>
        <v>Otros</v>
      </c>
    </row>
    <row r="324" spans="1:2" x14ac:dyDescent="0.2">
      <c r="A324" s="70" t="str">
        <f>Listas!E319</f>
        <v>RC Cámara Salina | 24 horas | 24 horas</v>
      </c>
      <c r="B324" s="70" t="str">
        <f t="shared" si="4"/>
        <v>Otros</v>
      </c>
    </row>
    <row r="325" spans="1:2" x14ac:dyDescent="0.2">
      <c r="A325" s="70" t="str">
        <f>Listas!E320</f>
        <v>RC Cámara Salina | 24 horas | 240 horas</v>
      </c>
      <c r="B325" s="70" t="str">
        <f t="shared" si="4"/>
        <v>Otros</v>
      </c>
    </row>
    <row r="326" spans="1:2" x14ac:dyDescent="0.2">
      <c r="A326" s="70" t="str">
        <f>Listas!E321</f>
        <v>RC Cámara Salina | 24 horas | 36 horas</v>
      </c>
      <c r="B326" s="70" t="str">
        <f t="shared" si="4"/>
        <v>Otros</v>
      </c>
    </row>
    <row r="327" spans="1:2" x14ac:dyDescent="0.2">
      <c r="A327" s="70" t="str">
        <f>Listas!E322</f>
        <v>RC Cámara Salina | 24 horas | 360 horas</v>
      </c>
      <c r="B327" s="70" t="str">
        <f t="shared" si="4"/>
        <v>Otros</v>
      </c>
    </row>
    <row r="328" spans="1:2" x14ac:dyDescent="0.2">
      <c r="A328" s="70" t="str">
        <f>Listas!E323</f>
        <v>RC Cámara Salina | 24 horas | 48 horas</v>
      </c>
      <c r="B328" s="70" t="str">
        <f t="shared" si="4"/>
        <v>Otros</v>
      </c>
    </row>
    <row r="329" spans="1:2" x14ac:dyDescent="0.2">
      <c r="A329" s="70" t="str">
        <f>Listas!E324</f>
        <v>RC Cámara Salina | 24 horas | 480 horas</v>
      </c>
      <c r="B329" s="70" t="str">
        <f t="shared" si="4"/>
        <v>Otros</v>
      </c>
    </row>
    <row r="330" spans="1:2" x14ac:dyDescent="0.2">
      <c r="A330" s="70" t="str">
        <f>Listas!E325</f>
        <v>RC Cámara Salina | 24 horas | 500 horas</v>
      </c>
      <c r="B330" s="70"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31" spans="1:2" x14ac:dyDescent="0.2">
      <c r="A331" s="70" t="str">
        <f>Listas!E326</f>
        <v>RC Cámara Salina | 24 horas | 72 horas</v>
      </c>
      <c r="B331" s="70" t="str">
        <f t="shared" si="5"/>
        <v>Otros</v>
      </c>
    </row>
    <row r="332" spans="1:2" x14ac:dyDescent="0.2">
      <c r="A332" s="70" t="str">
        <f>Listas!E327</f>
        <v>RC Cámara Salina | 24 horas | 720 horas</v>
      </c>
      <c r="B332" s="70" t="str">
        <f t="shared" si="5"/>
        <v>Otros</v>
      </c>
    </row>
    <row r="333" spans="1:2" x14ac:dyDescent="0.2">
      <c r="A333" s="70" t="str">
        <f>Listas!E328</f>
        <v>RC Cámara Salina | 24 horas | 96 horas</v>
      </c>
      <c r="B333" s="70" t="str">
        <f t="shared" si="5"/>
        <v>Otros</v>
      </c>
    </row>
    <row r="334" spans="1:2" x14ac:dyDescent="0.2">
      <c r="A334" s="70" t="str">
        <f>Listas!E329</f>
        <v>RC Cámara Salina | 24 horas | 960 horas</v>
      </c>
      <c r="B334" s="70" t="str">
        <f t="shared" si="5"/>
        <v>Otros</v>
      </c>
    </row>
    <row r="335" spans="1:2" x14ac:dyDescent="0.2">
      <c r="A335" s="70" t="str">
        <f>Listas!E330</f>
        <v>RC Cámara Salina | 240 horas | 12 horas</v>
      </c>
      <c r="B335" s="70" t="str">
        <f t="shared" si="5"/>
        <v>Otros</v>
      </c>
    </row>
    <row r="336" spans="1:2" x14ac:dyDescent="0.2">
      <c r="A336" s="70" t="str">
        <f>Listas!E331</f>
        <v>RC Cámara Salina | 240 horas | 120 horas</v>
      </c>
      <c r="B336" s="70" t="str">
        <f t="shared" si="5"/>
        <v>Otros</v>
      </c>
    </row>
    <row r="337" spans="1:2" x14ac:dyDescent="0.2">
      <c r="A337" s="70" t="str">
        <f>Listas!E332</f>
        <v>RC Cámara Salina | 240 horas | 144 horas</v>
      </c>
      <c r="B337" s="70" t="str">
        <f t="shared" si="5"/>
        <v>Otros</v>
      </c>
    </row>
    <row r="338" spans="1:2" x14ac:dyDescent="0.2">
      <c r="A338" s="70" t="str">
        <f>Listas!E333</f>
        <v>RC Cámara Salina | 240 horas | 16 horas</v>
      </c>
      <c r="B338" s="70" t="str">
        <f t="shared" si="5"/>
        <v>Otros</v>
      </c>
    </row>
    <row r="339" spans="1:2" x14ac:dyDescent="0.2">
      <c r="A339" s="70" t="str">
        <f>Listas!E334</f>
        <v>RC Cámara Salina | 240 horas | 172 horas</v>
      </c>
      <c r="B339" s="70" t="str">
        <f t="shared" si="5"/>
        <v>Otros</v>
      </c>
    </row>
    <row r="340" spans="1:2" x14ac:dyDescent="0.2">
      <c r="A340" s="70" t="str">
        <f>Listas!E335</f>
        <v>RC Cámara Salina | 240 horas | 200 horas</v>
      </c>
      <c r="B340" s="70" t="str">
        <f t="shared" si="5"/>
        <v>Otros</v>
      </c>
    </row>
    <row r="341" spans="1:2" x14ac:dyDescent="0.2">
      <c r="A341" s="70" t="str">
        <f>Listas!E336</f>
        <v>RC Cámara Salina | 240 horas | 24 horas</v>
      </c>
      <c r="B341" s="70" t="str">
        <f t="shared" si="5"/>
        <v>Otros</v>
      </c>
    </row>
    <row r="342" spans="1:2" x14ac:dyDescent="0.2">
      <c r="A342" s="70" t="str">
        <f>Listas!E337</f>
        <v>RC Cámara Salina | 240 horas | 240 horas</v>
      </c>
      <c r="B342" s="70" t="str">
        <f t="shared" si="5"/>
        <v>Otros</v>
      </c>
    </row>
    <row r="343" spans="1:2" x14ac:dyDescent="0.2">
      <c r="A343" s="70" t="str">
        <f>Listas!E338</f>
        <v>RC Cámara Salina | 240 horas | 36 horas</v>
      </c>
      <c r="B343" s="70" t="str">
        <f t="shared" si="5"/>
        <v>Otros</v>
      </c>
    </row>
    <row r="344" spans="1:2" x14ac:dyDescent="0.2">
      <c r="A344" s="70" t="str">
        <f>Listas!E339</f>
        <v>RC Cámara Salina | 240 horas | 360 horas</v>
      </c>
      <c r="B344" s="70" t="str">
        <f t="shared" si="5"/>
        <v>Otros</v>
      </c>
    </row>
    <row r="345" spans="1:2" x14ac:dyDescent="0.2">
      <c r="A345" s="70" t="str">
        <f>Listas!E340</f>
        <v>RC Cámara Salina | 240 horas | 48 horas</v>
      </c>
      <c r="B345" s="70" t="str">
        <f t="shared" si="5"/>
        <v>Otros</v>
      </c>
    </row>
    <row r="346" spans="1:2" x14ac:dyDescent="0.2">
      <c r="A346" s="70" t="str">
        <f>Listas!E341</f>
        <v>RC Cámara Salina | 240 horas | 480 horas</v>
      </c>
      <c r="B346" s="70" t="str">
        <f t="shared" si="5"/>
        <v>Otros</v>
      </c>
    </row>
    <row r="347" spans="1:2" x14ac:dyDescent="0.2">
      <c r="A347" s="70" t="str">
        <f>Listas!E342</f>
        <v>RC Cámara Salina | 240 horas | 500 horas</v>
      </c>
      <c r="B347" s="70" t="str">
        <f t="shared" si="5"/>
        <v>Otros</v>
      </c>
    </row>
    <row r="348" spans="1:2" x14ac:dyDescent="0.2">
      <c r="A348" s="70" t="str">
        <f>Listas!E343</f>
        <v>RC Cámara Salina | 240 horas | 72 horas</v>
      </c>
      <c r="B348" s="70" t="str">
        <f t="shared" si="5"/>
        <v>Otros</v>
      </c>
    </row>
    <row r="349" spans="1:2" x14ac:dyDescent="0.2">
      <c r="A349" s="70" t="str">
        <f>Listas!E344</f>
        <v>RC Cámara Salina | 240 horas | 720 horas</v>
      </c>
      <c r="B349" s="70" t="str">
        <f t="shared" si="5"/>
        <v>Otros</v>
      </c>
    </row>
    <row r="350" spans="1:2" x14ac:dyDescent="0.2">
      <c r="A350" s="70" t="str">
        <f>Listas!E345</f>
        <v>RC Cámara Salina | 240 horas | 96 horas</v>
      </c>
      <c r="B350" s="70" t="str">
        <f t="shared" si="5"/>
        <v>Otros</v>
      </c>
    </row>
    <row r="351" spans="1:2" x14ac:dyDescent="0.2">
      <c r="A351" s="70" t="str">
        <f>Listas!E346</f>
        <v>RC Cámara Salina | 240 horas | 960 horas</v>
      </c>
      <c r="B351" s="70" t="str">
        <f t="shared" si="5"/>
        <v>Otros</v>
      </c>
    </row>
    <row r="352" spans="1:2" x14ac:dyDescent="0.2">
      <c r="A352" s="70" t="str">
        <f>Listas!E347</f>
        <v>RC Cámara Salina | 3 horas | 12 horas</v>
      </c>
      <c r="B352" s="70" t="str">
        <f t="shared" si="5"/>
        <v>Otros</v>
      </c>
    </row>
    <row r="353" spans="1:2" x14ac:dyDescent="0.2">
      <c r="A353" s="70" t="str">
        <f>Listas!E348</f>
        <v>RC Cámara Salina | 3 horas | 120 horas</v>
      </c>
      <c r="B353" s="70" t="str">
        <f t="shared" si="5"/>
        <v>Otros</v>
      </c>
    </row>
    <row r="354" spans="1:2" x14ac:dyDescent="0.2">
      <c r="A354" s="70" t="str">
        <f>Listas!E349</f>
        <v>RC Cámara Salina | 3 horas | 144 horas</v>
      </c>
      <c r="B354" s="70" t="str">
        <f t="shared" si="5"/>
        <v>Otros</v>
      </c>
    </row>
    <row r="355" spans="1:2" x14ac:dyDescent="0.2">
      <c r="A355" s="70" t="str">
        <f>Listas!E350</f>
        <v>RC Cámara Salina | 3 horas | 16 horas</v>
      </c>
      <c r="B355" s="70" t="str">
        <f t="shared" si="5"/>
        <v>Otros</v>
      </c>
    </row>
    <row r="356" spans="1:2" x14ac:dyDescent="0.2">
      <c r="A356" s="70" t="str">
        <f>Listas!E351</f>
        <v>RC Cámara Salina | 3 horas | 172 horas</v>
      </c>
      <c r="B356" s="70" t="str">
        <f t="shared" si="5"/>
        <v>Otros</v>
      </c>
    </row>
    <row r="357" spans="1:2" x14ac:dyDescent="0.2">
      <c r="A357" s="70" t="str">
        <f>Listas!E352</f>
        <v>RC Cámara Salina | 3 horas | 200 horas</v>
      </c>
      <c r="B357" s="70" t="str">
        <f t="shared" si="5"/>
        <v>Otros</v>
      </c>
    </row>
    <row r="358" spans="1:2" x14ac:dyDescent="0.2">
      <c r="A358" s="70" t="str">
        <f>Listas!E353</f>
        <v>RC Cámara Salina | 3 horas | 24 horas</v>
      </c>
      <c r="B358" s="70" t="str">
        <f t="shared" si="5"/>
        <v>Otros</v>
      </c>
    </row>
    <row r="359" spans="1:2" x14ac:dyDescent="0.2">
      <c r="A359" s="70" t="str">
        <f>Listas!E354</f>
        <v>RC Cámara Salina | 3 horas | 240 horas</v>
      </c>
      <c r="B359" s="70" t="str">
        <f t="shared" si="5"/>
        <v>Otros</v>
      </c>
    </row>
    <row r="360" spans="1:2" x14ac:dyDescent="0.2">
      <c r="A360" s="70" t="str">
        <f>Listas!E355</f>
        <v>RC Cámara Salina | 3 horas | 36 horas</v>
      </c>
      <c r="B360" s="70" t="str">
        <f t="shared" si="5"/>
        <v>Otros</v>
      </c>
    </row>
    <row r="361" spans="1:2" x14ac:dyDescent="0.2">
      <c r="A361" s="70" t="str">
        <f>Listas!E356</f>
        <v>RC Cámara Salina | 3 horas | 360 horas</v>
      </c>
      <c r="B361" s="70" t="str">
        <f t="shared" si="5"/>
        <v>Otros</v>
      </c>
    </row>
    <row r="362" spans="1:2" x14ac:dyDescent="0.2">
      <c r="A362" s="70" t="str">
        <f>Listas!E357</f>
        <v>RC Cámara Salina | 3 horas | 48 horas</v>
      </c>
      <c r="B362" s="70" t="str">
        <f t="shared" si="5"/>
        <v>Otros</v>
      </c>
    </row>
    <row r="363" spans="1:2" x14ac:dyDescent="0.2">
      <c r="A363" s="70" t="str">
        <f>Listas!E358</f>
        <v>RC Cámara Salina | 3 horas | 480 horas</v>
      </c>
      <c r="B363" s="70" t="str">
        <f t="shared" si="5"/>
        <v>Otros</v>
      </c>
    </row>
    <row r="364" spans="1:2" x14ac:dyDescent="0.2">
      <c r="A364" s="70" t="str">
        <f>Listas!E359</f>
        <v>RC Cámara Salina | 3 horas | 500 horas</v>
      </c>
      <c r="B364" s="70" t="str">
        <f t="shared" si="5"/>
        <v>Otros</v>
      </c>
    </row>
    <row r="365" spans="1:2" x14ac:dyDescent="0.2">
      <c r="A365" s="70" t="str">
        <f>Listas!E360</f>
        <v>RC Cámara Salina | 3 horas | 72 horas</v>
      </c>
      <c r="B365" s="70" t="str">
        <f t="shared" si="5"/>
        <v>Otros</v>
      </c>
    </row>
    <row r="366" spans="1:2" x14ac:dyDescent="0.2">
      <c r="A366" s="70" t="str">
        <f>Listas!E361</f>
        <v>RC Cámara Salina | 3 horas | 720 horas</v>
      </c>
      <c r="B366" s="70" t="str">
        <f t="shared" si="5"/>
        <v>Otros</v>
      </c>
    </row>
    <row r="367" spans="1:2" x14ac:dyDescent="0.2">
      <c r="A367" s="70" t="str">
        <f>Listas!E362</f>
        <v>RC Cámara Salina | 3 horas | 96 horas</v>
      </c>
      <c r="B367" s="70" t="str">
        <f t="shared" si="5"/>
        <v>Otros</v>
      </c>
    </row>
    <row r="368" spans="1:2" x14ac:dyDescent="0.2">
      <c r="A368" s="70" t="str">
        <f>Listas!E363</f>
        <v>RC Cámara Salina | 3 horas | 960 horas</v>
      </c>
      <c r="B368" s="70" t="str">
        <f t="shared" si="5"/>
        <v>Otros</v>
      </c>
    </row>
    <row r="369" spans="1:2" x14ac:dyDescent="0.2">
      <c r="A369" s="70" t="str">
        <f>Listas!E364</f>
        <v>RC Cámara Salina | 48 horas | 12 horas</v>
      </c>
      <c r="B369" s="70" t="str">
        <f t="shared" si="5"/>
        <v>Otros</v>
      </c>
    </row>
    <row r="370" spans="1:2" x14ac:dyDescent="0.2">
      <c r="A370" s="70" t="str">
        <f>Listas!E365</f>
        <v>RC Cámara Salina | 48 horas | 120 horas</v>
      </c>
      <c r="B370" s="70" t="str">
        <f t="shared" si="5"/>
        <v>Otros</v>
      </c>
    </row>
    <row r="371" spans="1:2" x14ac:dyDescent="0.2">
      <c r="A371" s="70" t="str">
        <f>Listas!E366</f>
        <v>RC Cámara Salina | 48 horas | 144 horas</v>
      </c>
      <c r="B371" s="70" t="str">
        <f t="shared" si="5"/>
        <v>Otros</v>
      </c>
    </row>
    <row r="372" spans="1:2" x14ac:dyDescent="0.2">
      <c r="A372" s="70" t="str">
        <f>Listas!E367</f>
        <v>RC Cámara Salina | 48 horas | 16 horas</v>
      </c>
      <c r="B372" s="70" t="str">
        <f t="shared" si="5"/>
        <v>Otros</v>
      </c>
    </row>
    <row r="373" spans="1:2" x14ac:dyDescent="0.2">
      <c r="A373" s="70" t="str">
        <f>Listas!E368</f>
        <v>RC Cámara Salina | 48 horas | 172 horas</v>
      </c>
      <c r="B373" s="70" t="str">
        <f t="shared" si="5"/>
        <v>Otros</v>
      </c>
    </row>
    <row r="374" spans="1:2" x14ac:dyDescent="0.2">
      <c r="A374" s="70" t="str">
        <f>Listas!E369</f>
        <v>RC Cámara Salina | 48 horas | 200 horas</v>
      </c>
      <c r="B374" s="70" t="str">
        <f t="shared" si="5"/>
        <v>Otros</v>
      </c>
    </row>
    <row r="375" spans="1:2" x14ac:dyDescent="0.2">
      <c r="A375" s="70" t="str">
        <f>Listas!E370</f>
        <v>RC Cámara Salina | 48 horas | 24 horas</v>
      </c>
      <c r="B375" s="70" t="str">
        <f t="shared" si="5"/>
        <v>Otros</v>
      </c>
    </row>
    <row r="376" spans="1:2" x14ac:dyDescent="0.2">
      <c r="A376" s="70" t="str">
        <f>Listas!E371</f>
        <v>RC Cámara Salina | 48 horas | 240 horas</v>
      </c>
      <c r="B376" s="70" t="str">
        <f t="shared" si="5"/>
        <v>Otros</v>
      </c>
    </row>
    <row r="377" spans="1:2" x14ac:dyDescent="0.2">
      <c r="A377" s="70" t="str">
        <f>Listas!E372</f>
        <v>RC Cámara Salina | 48 horas | 36 horas</v>
      </c>
      <c r="B377" s="70" t="str">
        <f t="shared" si="5"/>
        <v>Otros</v>
      </c>
    </row>
    <row r="378" spans="1:2" x14ac:dyDescent="0.2">
      <c r="A378" s="70" t="str">
        <f>Listas!E373</f>
        <v>RC Cámara Salina | 48 horas | 360 horas</v>
      </c>
      <c r="B378" s="70" t="str">
        <f t="shared" si="5"/>
        <v>Otros</v>
      </c>
    </row>
    <row r="379" spans="1:2" x14ac:dyDescent="0.2">
      <c r="A379" s="70" t="str">
        <f>Listas!E374</f>
        <v>RC Cámara Salina | 48 horas | 48 horas</v>
      </c>
      <c r="B379" s="70" t="str">
        <f t="shared" si="5"/>
        <v>Otros</v>
      </c>
    </row>
    <row r="380" spans="1:2" x14ac:dyDescent="0.2">
      <c r="A380" s="70" t="str">
        <f>Listas!E375</f>
        <v>RC Cámara Salina | 48 horas | 480 horas</v>
      </c>
      <c r="B380" s="70" t="str">
        <f t="shared" si="5"/>
        <v>Otros</v>
      </c>
    </row>
    <row r="381" spans="1:2" x14ac:dyDescent="0.2">
      <c r="A381" s="70" t="str">
        <f>Listas!E376</f>
        <v>RC Cámara Salina | 48 horas | 500 horas</v>
      </c>
      <c r="B381" s="70" t="str">
        <f t="shared" si="5"/>
        <v>Otros</v>
      </c>
    </row>
    <row r="382" spans="1:2" x14ac:dyDescent="0.2">
      <c r="A382" s="70" t="str">
        <f>Listas!E377</f>
        <v>RC Cámara Salina | 48 horas | 72 horas</v>
      </c>
      <c r="B382" s="70" t="str">
        <f t="shared" si="5"/>
        <v>Otros</v>
      </c>
    </row>
    <row r="383" spans="1:2" x14ac:dyDescent="0.2">
      <c r="A383" s="70" t="str">
        <f>Listas!E378</f>
        <v>RC Cámara Salina | 48 horas | 720 horas</v>
      </c>
      <c r="B383" s="70" t="str">
        <f t="shared" si="5"/>
        <v>Otros</v>
      </c>
    </row>
    <row r="384" spans="1:2" x14ac:dyDescent="0.2">
      <c r="A384" s="70" t="str">
        <f>Listas!E379</f>
        <v>RC Cámara Salina | 48 horas | 96 horas</v>
      </c>
      <c r="B384" s="70" t="str">
        <f t="shared" si="5"/>
        <v>Otros</v>
      </c>
    </row>
    <row r="385" spans="1:2" x14ac:dyDescent="0.2">
      <c r="A385" s="70" t="str">
        <f>Listas!E380</f>
        <v>RC Cámara Salina | 48 horas | 960 horas</v>
      </c>
      <c r="B385" s="70" t="str">
        <f t="shared" si="5"/>
        <v>Otros</v>
      </c>
    </row>
    <row r="386" spans="1:2" x14ac:dyDescent="0.2">
      <c r="A386" s="70" t="str">
        <f>Listas!E381</f>
        <v>RC Cámara Salina | 72 horas | 12 horas</v>
      </c>
      <c r="B386" s="70" t="str">
        <f t="shared" si="5"/>
        <v>Otros</v>
      </c>
    </row>
    <row r="387" spans="1:2" x14ac:dyDescent="0.2">
      <c r="A387" s="70" t="str">
        <f>Listas!E382</f>
        <v>RC Cámara Salina | 72 horas | 120 horas</v>
      </c>
      <c r="B387" s="70" t="str">
        <f t="shared" si="5"/>
        <v>Otros</v>
      </c>
    </row>
    <row r="388" spans="1:2" x14ac:dyDescent="0.2">
      <c r="A388" s="70" t="str">
        <f>Listas!E383</f>
        <v>RC Cámara Salina | 72 horas | 144 horas</v>
      </c>
      <c r="B388" s="70" t="str">
        <f t="shared" si="5"/>
        <v>Otros</v>
      </c>
    </row>
    <row r="389" spans="1:2" x14ac:dyDescent="0.2">
      <c r="A389" s="70" t="str">
        <f>Listas!E384</f>
        <v>RC Cámara Salina | 72 horas | 16 horas</v>
      </c>
      <c r="B389" s="70" t="str">
        <f t="shared" si="5"/>
        <v>Otros</v>
      </c>
    </row>
    <row r="390" spans="1:2" x14ac:dyDescent="0.2">
      <c r="A390" s="70" t="str">
        <f>Listas!E385</f>
        <v>RC Cámara Salina | 72 horas | 172 horas</v>
      </c>
      <c r="B390" s="70" t="str">
        <f t="shared" si="5"/>
        <v>Otros</v>
      </c>
    </row>
    <row r="391" spans="1:2" x14ac:dyDescent="0.2">
      <c r="A391" s="70" t="str">
        <f>Listas!E386</f>
        <v>RC Cámara Salina | 72 horas | 200 horas</v>
      </c>
      <c r="B391" s="70" t="str">
        <f t="shared" si="5"/>
        <v>Otros</v>
      </c>
    </row>
    <row r="392" spans="1:2" x14ac:dyDescent="0.2">
      <c r="A392" s="70" t="str">
        <f>Listas!E387</f>
        <v>RC Cámara Salina | 72 horas | 24 horas</v>
      </c>
      <c r="B392" s="70" t="str">
        <f t="shared" si="5"/>
        <v>Otros</v>
      </c>
    </row>
    <row r="393" spans="1:2" x14ac:dyDescent="0.2">
      <c r="A393" s="70" t="str">
        <f>Listas!E388</f>
        <v>RC Cámara Salina | 72 horas | 240 horas</v>
      </c>
      <c r="B393" s="70" t="str">
        <f t="shared" si="5"/>
        <v>Otros</v>
      </c>
    </row>
    <row r="394" spans="1:2" x14ac:dyDescent="0.2">
      <c r="A394" s="70" t="str">
        <f>Listas!E389</f>
        <v>RC Cámara Salina | 72 horas | 36 horas</v>
      </c>
      <c r="B394" s="70"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70" t="str">
        <f>Listas!E390</f>
        <v>RC Cámara Salina | 72 horas | 360 horas</v>
      </c>
      <c r="B395" s="70" t="str">
        <f t="shared" si="6"/>
        <v>Otros</v>
      </c>
    </row>
    <row r="396" spans="1:2" x14ac:dyDescent="0.2">
      <c r="A396" s="70" t="str">
        <f>Listas!E391</f>
        <v>RC Cámara Salina | 72 horas | 48 horas</v>
      </c>
      <c r="B396" s="70" t="str">
        <f t="shared" si="6"/>
        <v>Otros</v>
      </c>
    </row>
    <row r="397" spans="1:2" x14ac:dyDescent="0.2">
      <c r="A397" s="70" t="str">
        <f>Listas!E392</f>
        <v>RC Cámara Salina | 72 horas | 480 horas</v>
      </c>
      <c r="B397" s="70" t="str">
        <f t="shared" si="6"/>
        <v>Otros</v>
      </c>
    </row>
    <row r="398" spans="1:2" x14ac:dyDescent="0.2">
      <c r="A398" s="70" t="str">
        <f>Listas!E393</f>
        <v>RC Cámara Salina | 72 horas | 500 horas</v>
      </c>
      <c r="B398" s="70" t="str">
        <f t="shared" si="6"/>
        <v>Otros</v>
      </c>
    </row>
    <row r="399" spans="1:2" x14ac:dyDescent="0.2">
      <c r="A399" s="70" t="str">
        <f>Listas!E394</f>
        <v>RC Cámara Salina | 72 horas | 72 horas</v>
      </c>
      <c r="B399" s="70" t="str">
        <f t="shared" si="6"/>
        <v>Otros</v>
      </c>
    </row>
    <row r="400" spans="1:2" x14ac:dyDescent="0.2">
      <c r="A400" s="70" t="str">
        <f>Listas!E395</f>
        <v>RC Cámara Salina | 72 horas | 720 horas</v>
      </c>
      <c r="B400" s="70" t="str">
        <f t="shared" si="6"/>
        <v>Otros</v>
      </c>
    </row>
    <row r="401" spans="1:2" x14ac:dyDescent="0.2">
      <c r="A401" s="70" t="str">
        <f>Listas!E396</f>
        <v>RC Cámara Salina | 72 horas | 96 horas</v>
      </c>
      <c r="B401" s="70" t="str">
        <f t="shared" si="6"/>
        <v>Otros</v>
      </c>
    </row>
    <row r="402" spans="1:2" x14ac:dyDescent="0.2">
      <c r="A402" s="70" t="str">
        <f>Listas!E397</f>
        <v>RC Cámara Salina | 72 horas | 960 horas</v>
      </c>
      <c r="B402" s="70" t="str">
        <f t="shared" si="6"/>
        <v>Otros</v>
      </c>
    </row>
    <row r="403" spans="1:2" x14ac:dyDescent="0.2">
      <c r="A403" s="70" t="str">
        <f>Listas!E398</f>
        <v>RC Cámara Salina | 8 horas | 12 horas</v>
      </c>
      <c r="B403" s="70" t="str">
        <f t="shared" si="6"/>
        <v>Otros</v>
      </c>
    </row>
    <row r="404" spans="1:2" x14ac:dyDescent="0.2">
      <c r="A404" s="70" t="str">
        <f>Listas!E399</f>
        <v>RC Cámara Salina | 8 horas | 120 horas</v>
      </c>
      <c r="B404" s="70" t="str">
        <f t="shared" si="6"/>
        <v>Otros</v>
      </c>
    </row>
    <row r="405" spans="1:2" x14ac:dyDescent="0.2">
      <c r="A405" s="70" t="str">
        <f>Listas!E400</f>
        <v>RC Cámara Salina | 8 horas | 144 horas</v>
      </c>
      <c r="B405" s="70" t="str">
        <f t="shared" si="6"/>
        <v>Otros</v>
      </c>
    </row>
    <row r="406" spans="1:2" x14ac:dyDescent="0.2">
      <c r="A406" s="70" t="str">
        <f>Listas!E401</f>
        <v>RC Cámara Salina | 8 horas | 16 horas</v>
      </c>
      <c r="B406" s="70" t="str">
        <f t="shared" si="6"/>
        <v>Otros</v>
      </c>
    </row>
    <row r="407" spans="1:2" x14ac:dyDescent="0.2">
      <c r="A407" s="70" t="str">
        <f>Listas!E402</f>
        <v>RC Cámara Salina | 8 horas | 172 horas</v>
      </c>
      <c r="B407" s="70" t="str">
        <f t="shared" si="6"/>
        <v>Otros</v>
      </c>
    </row>
    <row r="408" spans="1:2" x14ac:dyDescent="0.2">
      <c r="A408" s="70" t="str">
        <f>Listas!E403</f>
        <v>RC Cámara Salina | 8 horas | 200 horas</v>
      </c>
      <c r="B408" s="70" t="str">
        <f t="shared" si="6"/>
        <v>Otros</v>
      </c>
    </row>
    <row r="409" spans="1:2" x14ac:dyDescent="0.2">
      <c r="A409" s="70" t="str">
        <f>Listas!E404</f>
        <v>RC Cámara Salina | 8 horas | 24 horas</v>
      </c>
      <c r="B409" s="70" t="str">
        <f t="shared" si="6"/>
        <v>Otros</v>
      </c>
    </row>
    <row r="410" spans="1:2" x14ac:dyDescent="0.2">
      <c r="A410" s="70" t="str">
        <f>Listas!E405</f>
        <v>RC Cámara Salina | 8 horas | 240 horas</v>
      </c>
      <c r="B410" s="70" t="str">
        <f t="shared" si="6"/>
        <v>Otros</v>
      </c>
    </row>
    <row r="411" spans="1:2" x14ac:dyDescent="0.2">
      <c r="A411" s="70" t="str">
        <f>Listas!E406</f>
        <v>RC Cámara Salina | 8 horas | 36 horas</v>
      </c>
      <c r="B411" s="70" t="str">
        <f t="shared" si="6"/>
        <v>Otros</v>
      </c>
    </row>
    <row r="412" spans="1:2" x14ac:dyDescent="0.2">
      <c r="A412" s="70" t="str">
        <f>Listas!E407</f>
        <v>RC Cámara Salina | 8 horas | 360 horas</v>
      </c>
      <c r="B412" s="70" t="str">
        <f t="shared" si="6"/>
        <v>Otros</v>
      </c>
    </row>
    <row r="413" spans="1:2" x14ac:dyDescent="0.2">
      <c r="A413" s="70" t="str">
        <f>Listas!E408</f>
        <v>RC Cámara Salina | 8 horas | 48 horas</v>
      </c>
      <c r="B413" s="70" t="str">
        <f t="shared" si="6"/>
        <v>Otros</v>
      </c>
    </row>
    <row r="414" spans="1:2" x14ac:dyDescent="0.2">
      <c r="A414" s="70" t="str">
        <f>Listas!E409</f>
        <v>RC Cámara Salina | 8 horas | 480 horas</v>
      </c>
      <c r="B414" s="70" t="str">
        <f t="shared" si="6"/>
        <v>Otros</v>
      </c>
    </row>
    <row r="415" spans="1:2" x14ac:dyDescent="0.2">
      <c r="A415" s="70" t="str">
        <f>Listas!E410</f>
        <v>RC Cámara Salina | 8 horas | 500 horas</v>
      </c>
      <c r="B415" s="70" t="str">
        <f t="shared" si="6"/>
        <v>Otros</v>
      </c>
    </row>
    <row r="416" spans="1:2" x14ac:dyDescent="0.2">
      <c r="A416" s="70" t="str">
        <f>Listas!E411</f>
        <v>RC Cámara Salina | 8 horas | 72 horas</v>
      </c>
      <c r="B416" s="70" t="str">
        <f t="shared" si="6"/>
        <v>Otros</v>
      </c>
    </row>
    <row r="417" spans="1:2" x14ac:dyDescent="0.2">
      <c r="A417" s="70" t="str">
        <f>Listas!E412</f>
        <v>RC Cámara Salina | 8 horas | 720 horas</v>
      </c>
      <c r="B417" s="70" t="str">
        <f t="shared" si="6"/>
        <v>Otros</v>
      </c>
    </row>
    <row r="418" spans="1:2" x14ac:dyDescent="0.2">
      <c r="A418" s="70" t="str">
        <f>Listas!E413</f>
        <v>RC Cámara Salina | 8 horas | 96 horas</v>
      </c>
      <c r="B418" s="70" t="str">
        <f t="shared" si="6"/>
        <v>Otros</v>
      </c>
    </row>
    <row r="419" spans="1:2" x14ac:dyDescent="0.2">
      <c r="A419" s="70" t="str">
        <f>Listas!E414</f>
        <v>RC Cámara Salina | 8 horas | 960 horas</v>
      </c>
      <c r="B419" s="70" t="str">
        <f t="shared" si="6"/>
        <v>Otros</v>
      </c>
    </row>
    <row r="420" spans="1:2" x14ac:dyDescent="0.2">
      <c r="A420" s="70" t="str">
        <f>Listas!E415</f>
        <v>RC Cámara Salina | 80 horas | 12 horas</v>
      </c>
      <c r="B420" s="70" t="str">
        <f t="shared" si="6"/>
        <v>Otros</v>
      </c>
    </row>
    <row r="421" spans="1:2" x14ac:dyDescent="0.2">
      <c r="A421" s="70" t="str">
        <f>Listas!E416</f>
        <v>RC Cámara Salina | 80 horas | 120 horas</v>
      </c>
      <c r="B421" s="70" t="str">
        <f t="shared" si="6"/>
        <v>Otros</v>
      </c>
    </row>
    <row r="422" spans="1:2" x14ac:dyDescent="0.2">
      <c r="A422" s="70" t="str">
        <f>Listas!E417</f>
        <v>RC Cámara Salina | 80 horas | 144 horas</v>
      </c>
      <c r="B422" s="70" t="str">
        <f t="shared" si="6"/>
        <v>Otros</v>
      </c>
    </row>
    <row r="423" spans="1:2" x14ac:dyDescent="0.2">
      <c r="A423" s="70" t="str">
        <f>Listas!E418</f>
        <v>RC Cámara Salina | 80 horas | 16 horas</v>
      </c>
      <c r="B423" s="70" t="str">
        <f t="shared" si="6"/>
        <v>Otros</v>
      </c>
    </row>
    <row r="424" spans="1:2" x14ac:dyDescent="0.2">
      <c r="A424" s="70" t="str">
        <f>Listas!E419</f>
        <v>RC Cámara Salina | 80 horas | 172 horas</v>
      </c>
      <c r="B424" s="70" t="str">
        <f t="shared" si="6"/>
        <v>Otros</v>
      </c>
    </row>
    <row r="425" spans="1:2" x14ac:dyDescent="0.2">
      <c r="A425" s="70" t="str">
        <f>Listas!E420</f>
        <v>RC Cámara Salina | 80 horas | 200 horas</v>
      </c>
      <c r="B425" s="70" t="str">
        <f t="shared" si="6"/>
        <v>Otros</v>
      </c>
    </row>
    <row r="426" spans="1:2" x14ac:dyDescent="0.2">
      <c r="A426" s="70" t="str">
        <f>Listas!E421</f>
        <v>RC Cámara Salina | 80 horas | 24 horas</v>
      </c>
      <c r="B426" s="70" t="str">
        <f t="shared" si="6"/>
        <v>Otros</v>
      </c>
    </row>
    <row r="427" spans="1:2" x14ac:dyDescent="0.2">
      <c r="A427" s="70" t="str">
        <f>Listas!E422</f>
        <v>RC Cámara Salina | 80 horas | 240 horas</v>
      </c>
      <c r="B427" s="70" t="str">
        <f t="shared" si="6"/>
        <v>Otros</v>
      </c>
    </row>
    <row r="428" spans="1:2" x14ac:dyDescent="0.2">
      <c r="A428" s="70" t="str">
        <f>Listas!E423</f>
        <v>RC Cámara Salina | 80 horas | 36 horas</v>
      </c>
      <c r="B428" s="70" t="str">
        <f t="shared" si="6"/>
        <v>Otros</v>
      </c>
    </row>
    <row r="429" spans="1:2" x14ac:dyDescent="0.2">
      <c r="A429" s="70" t="str">
        <f>Listas!E424</f>
        <v>RC Cámara Salina | 80 horas | 360 horas</v>
      </c>
      <c r="B429" s="70" t="str">
        <f t="shared" si="6"/>
        <v>Otros</v>
      </c>
    </row>
    <row r="430" spans="1:2" x14ac:dyDescent="0.2">
      <c r="A430" s="70" t="str">
        <f>Listas!E425</f>
        <v>RC Cámara Salina | 80 horas | 48 horas</v>
      </c>
      <c r="B430" s="70" t="str">
        <f t="shared" si="6"/>
        <v>Otros</v>
      </c>
    </row>
    <row r="431" spans="1:2" x14ac:dyDescent="0.2">
      <c r="A431" s="70" t="str">
        <f>Listas!E426</f>
        <v>RC Cámara Salina | 80 horas | 480 horas</v>
      </c>
      <c r="B431" s="70" t="str">
        <f t="shared" si="6"/>
        <v>Otros</v>
      </c>
    </row>
    <row r="432" spans="1:2" x14ac:dyDescent="0.2">
      <c r="A432" s="70" t="str">
        <f>Listas!E427</f>
        <v>RC Cámara Salina | 80 horas | 500 horas</v>
      </c>
      <c r="B432" s="70" t="str">
        <f t="shared" si="6"/>
        <v>Otros</v>
      </c>
    </row>
    <row r="433" spans="1:2" x14ac:dyDescent="0.2">
      <c r="A433" s="70" t="str">
        <f>Listas!E428</f>
        <v>RC Cámara Salina | 80 horas | 72 horas</v>
      </c>
      <c r="B433" s="70" t="str">
        <f t="shared" si="6"/>
        <v>Otros</v>
      </c>
    </row>
    <row r="434" spans="1:2" x14ac:dyDescent="0.2">
      <c r="A434" s="70" t="str">
        <f>Listas!E429</f>
        <v>RC Cámara Salina | 80 horas | 720 horas</v>
      </c>
      <c r="B434" s="70" t="str">
        <f t="shared" si="6"/>
        <v>Otros</v>
      </c>
    </row>
    <row r="435" spans="1:2" x14ac:dyDescent="0.2">
      <c r="A435" s="70" t="str">
        <f>Listas!E430</f>
        <v>RC Cámara Salina | 80 horas | 96 horas</v>
      </c>
      <c r="B435" s="70" t="str">
        <f t="shared" si="6"/>
        <v>Otros</v>
      </c>
    </row>
    <row r="436" spans="1:2" x14ac:dyDescent="0.2">
      <c r="A436" s="70" t="str">
        <f>Listas!E431</f>
        <v>RC Cámara Salina | 80 horas | 960 horas</v>
      </c>
      <c r="B436" s="70" t="str">
        <f t="shared" si="6"/>
        <v>Otros</v>
      </c>
    </row>
    <row r="437" spans="1:2" x14ac:dyDescent="0.2">
      <c r="A437" s="70" t="str">
        <f>Listas!E432</f>
        <v>RC Cámara Salina | 96 horas | 12 horas</v>
      </c>
      <c r="B437" s="70" t="str">
        <f t="shared" si="6"/>
        <v>Otros</v>
      </c>
    </row>
    <row r="438" spans="1:2" x14ac:dyDescent="0.2">
      <c r="A438" s="70" t="str">
        <f>Listas!E433</f>
        <v>RC Cámara Salina | 96 horas | 120 horas</v>
      </c>
      <c r="B438" s="70" t="str">
        <f t="shared" si="6"/>
        <v>Otros</v>
      </c>
    </row>
    <row r="439" spans="1:2" x14ac:dyDescent="0.2">
      <c r="A439" s="70" t="str">
        <f>Listas!E434</f>
        <v>RC Cámara Salina | 96 horas | 144 horas</v>
      </c>
      <c r="B439" s="70" t="str">
        <f t="shared" si="6"/>
        <v>Otros</v>
      </c>
    </row>
    <row r="440" spans="1:2" x14ac:dyDescent="0.2">
      <c r="A440" s="70" t="str">
        <f>Listas!E435</f>
        <v>RC Cámara Salina | 96 horas | 16 horas</v>
      </c>
      <c r="B440" s="70" t="str">
        <f t="shared" si="6"/>
        <v>Otros</v>
      </c>
    </row>
    <row r="441" spans="1:2" x14ac:dyDescent="0.2">
      <c r="A441" s="70" t="str">
        <f>Listas!E436</f>
        <v>RC Cámara Salina | 96 horas | 172 horas</v>
      </c>
      <c r="B441" s="70" t="str">
        <f t="shared" si="6"/>
        <v>Otros</v>
      </c>
    </row>
    <row r="442" spans="1:2" x14ac:dyDescent="0.2">
      <c r="A442" s="70" t="str">
        <f>Listas!E437</f>
        <v>RC Cámara Salina | 96 horas | 200 horas</v>
      </c>
      <c r="B442" s="70" t="str">
        <f t="shared" si="6"/>
        <v>Otros</v>
      </c>
    </row>
    <row r="443" spans="1:2" x14ac:dyDescent="0.2">
      <c r="A443" s="70" t="str">
        <f>Listas!E438</f>
        <v>RC Cámara Salina | 96 horas | 24 horas</v>
      </c>
      <c r="B443" s="70" t="str">
        <f t="shared" si="6"/>
        <v>Otros</v>
      </c>
    </row>
    <row r="444" spans="1:2" x14ac:dyDescent="0.2">
      <c r="A444" s="70" t="str">
        <f>Listas!E439</f>
        <v>RC Cámara Salina | 96 horas | 240 horas</v>
      </c>
      <c r="B444" s="70" t="str">
        <f t="shared" si="6"/>
        <v>Otros</v>
      </c>
    </row>
    <row r="445" spans="1:2" x14ac:dyDescent="0.2">
      <c r="A445" s="70" t="str">
        <f>Listas!E440</f>
        <v>RC Cámara Salina | 96 horas | 36 horas</v>
      </c>
      <c r="B445" s="70" t="str">
        <f t="shared" si="6"/>
        <v>Otros</v>
      </c>
    </row>
    <row r="446" spans="1:2" x14ac:dyDescent="0.2">
      <c r="A446" s="70" t="str">
        <f>Listas!E441</f>
        <v>RC Cámara Salina | 96 horas | 360 horas</v>
      </c>
      <c r="B446" s="70" t="str">
        <f t="shared" si="6"/>
        <v>Otros</v>
      </c>
    </row>
    <row r="447" spans="1:2" x14ac:dyDescent="0.2">
      <c r="A447" s="70" t="str">
        <f>Listas!E442</f>
        <v>RC Cámara Salina | 96 horas | 48 horas</v>
      </c>
      <c r="B447" s="70" t="str">
        <f t="shared" si="6"/>
        <v>Otros</v>
      </c>
    </row>
    <row r="448" spans="1:2" x14ac:dyDescent="0.2">
      <c r="A448" s="70" t="str">
        <f>Listas!E443</f>
        <v>RC Cámara Salina | 96 horas | 480 horas</v>
      </c>
      <c r="B448" s="70" t="str">
        <f t="shared" si="6"/>
        <v>Otros</v>
      </c>
    </row>
    <row r="449" spans="1:2" x14ac:dyDescent="0.2">
      <c r="A449" s="70" t="str">
        <f>Listas!E444</f>
        <v>RC Cámara Salina | 96 horas | 500 horas</v>
      </c>
      <c r="B449" s="70" t="str">
        <f t="shared" si="6"/>
        <v>Otros</v>
      </c>
    </row>
    <row r="450" spans="1:2" x14ac:dyDescent="0.2">
      <c r="A450" s="70" t="str">
        <f>Listas!E445</f>
        <v>RC Cámara Salina | 96 horas | 72 horas</v>
      </c>
      <c r="B450" s="70" t="str">
        <f t="shared" si="6"/>
        <v>Otros</v>
      </c>
    </row>
    <row r="451" spans="1:2" x14ac:dyDescent="0.2">
      <c r="A451" s="70" t="str">
        <f>Listas!E446</f>
        <v>RC Cámara Salina | 96 horas | 720 horas</v>
      </c>
      <c r="B451" s="70" t="str">
        <f t="shared" si="6"/>
        <v>Otros</v>
      </c>
    </row>
    <row r="452" spans="1:2" x14ac:dyDescent="0.2">
      <c r="A452" s="70" t="str">
        <f>Listas!E447</f>
        <v>RC Cámara Salina | 96 horas | 96 horas</v>
      </c>
      <c r="B452" s="70" t="str">
        <f t="shared" si="6"/>
        <v>Otros</v>
      </c>
    </row>
    <row r="453" spans="1:2" x14ac:dyDescent="0.2">
      <c r="A453" s="70" t="str">
        <f>Listas!E448</f>
        <v>RC Cámara Salina | 96 horas | 960 horas</v>
      </c>
      <c r="B453" s="70" t="str">
        <f t="shared" si="6"/>
        <v>Otros</v>
      </c>
    </row>
    <row r="454" spans="1:2" x14ac:dyDescent="0.2">
      <c r="A454" s="70" t="str">
        <f>Listas!E449</f>
        <v>RC Cámara Salina | N/A | 12 horas</v>
      </c>
      <c r="B454" s="70" t="str">
        <f t="shared" si="6"/>
        <v>Otros</v>
      </c>
    </row>
    <row r="455" spans="1:2" x14ac:dyDescent="0.2">
      <c r="A455" s="70" t="str">
        <f>Listas!E450</f>
        <v>RC Cámara Salina | N/A | 120 horas</v>
      </c>
      <c r="B455" s="70" t="str">
        <f t="shared" si="6"/>
        <v>Otros</v>
      </c>
    </row>
    <row r="456" spans="1:2" x14ac:dyDescent="0.2">
      <c r="A456" s="70" t="str">
        <f>Listas!E451</f>
        <v>RC Cámara Salina | N/A | 144 horas</v>
      </c>
      <c r="B456" s="70" t="str">
        <f t="shared" si="6"/>
        <v>Otros</v>
      </c>
    </row>
    <row r="457" spans="1:2" x14ac:dyDescent="0.2">
      <c r="A457" s="70" t="str">
        <f>Listas!E452</f>
        <v>RC Cámara Salina | N/A | 16 horas</v>
      </c>
      <c r="B457" s="70" t="str">
        <f t="shared" si="6"/>
        <v>Otros</v>
      </c>
    </row>
    <row r="458" spans="1:2" x14ac:dyDescent="0.2">
      <c r="A458" s="70" t="str">
        <f>Listas!E453</f>
        <v>RC Cámara Salina | N/A | 172 horas</v>
      </c>
      <c r="B458" s="70"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70" t="str">
        <f>Listas!E454</f>
        <v>RC Cámara Salina | N/A | 200 horas</v>
      </c>
      <c r="B459" s="70" t="str">
        <f t="shared" si="7"/>
        <v>Otros</v>
      </c>
    </row>
    <row r="460" spans="1:2" x14ac:dyDescent="0.2">
      <c r="A460" s="70" t="str">
        <f>Listas!E455</f>
        <v>RC Cámara Salina | N/A | 24 horas</v>
      </c>
      <c r="B460" s="70" t="str">
        <f t="shared" si="7"/>
        <v>Otros</v>
      </c>
    </row>
    <row r="461" spans="1:2" x14ac:dyDescent="0.2">
      <c r="A461" s="70" t="str">
        <f>Listas!E456</f>
        <v>RC Cámara Salina | N/A | 240 horas</v>
      </c>
      <c r="B461" s="70" t="str">
        <f t="shared" si="7"/>
        <v>Otros</v>
      </c>
    </row>
    <row r="462" spans="1:2" x14ac:dyDescent="0.2">
      <c r="A462" s="70" t="str">
        <f>Listas!E457</f>
        <v>RC Cámara Salina | N/A | 36 horas</v>
      </c>
      <c r="B462" s="70" t="str">
        <f t="shared" si="7"/>
        <v>Otros</v>
      </c>
    </row>
    <row r="463" spans="1:2" x14ac:dyDescent="0.2">
      <c r="A463" s="70" t="str">
        <f>Listas!E458</f>
        <v>RC Cámara Salina | N/A | 360 horas</v>
      </c>
      <c r="B463" s="70" t="str">
        <f t="shared" si="7"/>
        <v>Otros</v>
      </c>
    </row>
    <row r="464" spans="1:2" x14ac:dyDescent="0.2">
      <c r="A464" s="70" t="str">
        <f>Listas!E459</f>
        <v>RC Cámara Salina | N/A | 48 horas</v>
      </c>
      <c r="B464" s="70" t="str">
        <f t="shared" si="7"/>
        <v>Otros</v>
      </c>
    </row>
    <row r="465" spans="1:2" x14ac:dyDescent="0.2">
      <c r="A465" s="70" t="str">
        <f>Listas!E460</f>
        <v>RC Cámara Salina | N/A | 480 horas</v>
      </c>
      <c r="B465" s="70" t="str">
        <f t="shared" si="7"/>
        <v>Otros</v>
      </c>
    </row>
    <row r="466" spans="1:2" x14ac:dyDescent="0.2">
      <c r="A466" s="70" t="str">
        <f>Listas!E461</f>
        <v>RC Cámara Salina | N/A | 500 horas</v>
      </c>
      <c r="B466" s="70" t="str">
        <f t="shared" si="7"/>
        <v>Otros</v>
      </c>
    </row>
    <row r="467" spans="1:2" x14ac:dyDescent="0.2">
      <c r="A467" s="70" t="str">
        <f>Listas!E462</f>
        <v>RC Cámara Salina | N/A | 72 horas</v>
      </c>
      <c r="B467" s="70" t="str">
        <f t="shared" si="7"/>
        <v>Otros</v>
      </c>
    </row>
    <row r="468" spans="1:2" x14ac:dyDescent="0.2">
      <c r="A468" s="70" t="str">
        <f>Listas!E463</f>
        <v>RC Cámara Salina | N/A | 720 horas</v>
      </c>
      <c r="B468" s="70" t="str">
        <f t="shared" si="7"/>
        <v>Otros</v>
      </c>
    </row>
    <row r="469" spans="1:2" x14ac:dyDescent="0.2">
      <c r="A469" s="70" t="str">
        <f>Listas!E464</f>
        <v>RC Cámara Salina | N/A | 96 horas</v>
      </c>
      <c r="B469" s="70" t="str">
        <f t="shared" si="7"/>
        <v>Otros</v>
      </c>
    </row>
    <row r="470" spans="1:2" x14ac:dyDescent="0.2">
      <c r="A470" s="70" t="str">
        <f>Listas!E465</f>
        <v>RC Cámara Salina | N/A | 960 horas</v>
      </c>
      <c r="B470" s="70" t="str">
        <f t="shared" si="7"/>
        <v>Otros</v>
      </c>
    </row>
    <row r="471" spans="1:2" x14ac:dyDescent="0.2">
      <c r="A471" s="70" t="str">
        <f>Listas!E466</f>
        <v>RC Cu (Cobre) | 0.25 - 1 µm</v>
      </c>
      <c r="B471" s="70" t="str">
        <f t="shared" si="7"/>
        <v>Otros</v>
      </c>
    </row>
    <row r="472" spans="1:2" x14ac:dyDescent="0.2">
      <c r="A472" s="70" t="str">
        <f>Listas!E467</f>
        <v>RC Cu (Cobre) | 0.76 - 2 µm</v>
      </c>
      <c r="B472" s="70" t="str">
        <f t="shared" si="7"/>
        <v>Otros</v>
      </c>
    </row>
    <row r="473" spans="1:2" x14ac:dyDescent="0.2">
      <c r="A473" s="70" t="str">
        <f>Listas!E468</f>
        <v>RC Cu (Cobre) | 10 - 12 µm</v>
      </c>
      <c r="B473" s="70" t="str">
        <f t="shared" si="7"/>
        <v>Otros</v>
      </c>
    </row>
    <row r="474" spans="1:2" x14ac:dyDescent="0.2">
      <c r="A474" s="70" t="str">
        <f>Listas!E469</f>
        <v>RC Cu (Cobre) | 3 - 5 µm</v>
      </c>
      <c r="B474" s="70" t="str">
        <f t="shared" si="7"/>
        <v>Otros</v>
      </c>
    </row>
    <row r="475" spans="1:2" x14ac:dyDescent="0.2">
      <c r="A475" s="70" t="str">
        <f>Listas!E470</f>
        <v>RC Cu (Cobre) | 5 - 10 µm</v>
      </c>
      <c r="B475" s="70" t="str">
        <f t="shared" si="7"/>
        <v>Otros</v>
      </c>
    </row>
    <row r="476" spans="1:2" x14ac:dyDescent="0.2">
      <c r="A476" s="70" t="str">
        <f>Listas!E471</f>
        <v>RC Decapado</v>
      </c>
      <c r="B476" s="70" t="str">
        <f t="shared" si="7"/>
        <v>Otros</v>
      </c>
    </row>
    <row r="477" spans="1:2" x14ac:dyDescent="0.2">
      <c r="A477" s="70" t="str">
        <f>Listas!E472</f>
        <v>RC Electropulido</v>
      </c>
      <c r="B477" s="70" t="str">
        <f t="shared" si="7"/>
        <v>Otros</v>
      </c>
    </row>
    <row r="478" spans="1:2" x14ac:dyDescent="0.2">
      <c r="A478" s="70" t="str">
        <f>Listas!E473</f>
        <v>RC Empaque</v>
      </c>
      <c r="B478" s="70" t="str">
        <f t="shared" si="7"/>
        <v>Otros</v>
      </c>
    </row>
    <row r="479" spans="1:2" x14ac:dyDescent="0.2">
      <c r="A479" s="70" t="str">
        <f>Listas!E474</f>
        <v>RC Ensamble de Kits</v>
      </c>
      <c r="B479" s="70" t="str">
        <f t="shared" si="7"/>
        <v>Otros</v>
      </c>
    </row>
    <row r="480" spans="1:2" x14ac:dyDescent="0.2">
      <c r="A480" s="70" t="str">
        <f>Listas!E475</f>
        <v>RC EpBT (Epóxico BT) | 10 - 15 mils</v>
      </c>
      <c r="B480" s="70" t="str">
        <f t="shared" si="7"/>
        <v>Epóxico</v>
      </c>
    </row>
    <row r="481" spans="1:2" x14ac:dyDescent="0.2">
      <c r="A481" s="70" t="str">
        <f>Listas!E476</f>
        <v>RC EpBT (Epóxico BT) | 4 - 11 mils</v>
      </c>
      <c r="B481" s="70" t="str">
        <f t="shared" si="7"/>
        <v>Epóxico</v>
      </c>
    </row>
    <row r="482" spans="1:2" x14ac:dyDescent="0.2">
      <c r="A482" s="70" t="str">
        <f>Listas!E477</f>
        <v>RC EpMT (Epóxico MT) | 94 - 140 mils</v>
      </c>
      <c r="B482" s="70" t="str">
        <f t="shared" si="7"/>
        <v>Epóxico</v>
      </c>
    </row>
    <row r="483" spans="1:2" x14ac:dyDescent="0.2">
      <c r="A483" s="70" t="str">
        <f>Listas!E478</f>
        <v>RC Lavado</v>
      </c>
      <c r="B483" s="70" t="str">
        <f t="shared" si="7"/>
        <v>Otros</v>
      </c>
    </row>
    <row r="484" spans="1:2" x14ac:dyDescent="0.2">
      <c r="A484" s="70" t="str">
        <f>Listas!E479</f>
        <v>RC Limpieza Mecánica</v>
      </c>
      <c r="B484" s="70" t="str">
        <f t="shared" si="7"/>
        <v>Otros</v>
      </c>
    </row>
    <row r="485" spans="1:2" x14ac:dyDescent="0.2">
      <c r="A485" s="70" t="str">
        <f>Listas!E480</f>
        <v>RC MnPO4 (Fosfato de Manganeso - Medición de Grano) | 2.54 - 7.62 µm</v>
      </c>
      <c r="B485" s="70" t="str">
        <f t="shared" si="7"/>
        <v>Otros</v>
      </c>
    </row>
    <row r="486" spans="1:2" x14ac:dyDescent="0.2">
      <c r="A486" s="70" t="str">
        <f>Listas!E481</f>
        <v>RC MnPO4 (Fosfato de Manganeso - Medición de Grano) | 3 - 12 µm</v>
      </c>
      <c r="B486" s="70" t="str">
        <f t="shared" si="7"/>
        <v>Otros</v>
      </c>
    </row>
    <row r="487" spans="1:2" x14ac:dyDescent="0.2">
      <c r="A487" s="70" t="str">
        <f>Listas!E482</f>
        <v>RC Ni (Níquel) | 1.0 - 3.0 µm</v>
      </c>
      <c r="B487" s="70" t="str">
        <f t="shared" si="7"/>
        <v>Níquel</v>
      </c>
    </row>
    <row r="488" spans="1:2" x14ac:dyDescent="0.2">
      <c r="A488" s="70" t="str">
        <f>Listas!E483</f>
        <v>RC Ni (Níquel) | 10 - 13 µm</v>
      </c>
      <c r="B488" s="70" t="str">
        <f t="shared" si="7"/>
        <v>Níquel</v>
      </c>
    </row>
    <row r="489" spans="1:2" x14ac:dyDescent="0.2">
      <c r="A489" s="70" t="str">
        <f>Listas!E484</f>
        <v>RC Ni (Níquel) | 13 - 16 µm</v>
      </c>
      <c r="B489" s="70" t="str">
        <f t="shared" si="7"/>
        <v>Níquel</v>
      </c>
    </row>
    <row r="490" spans="1:2" x14ac:dyDescent="0.2">
      <c r="A490" s="70" t="str">
        <f>Listas!E485</f>
        <v>RC Ni (Níquel) | 2.54 - 5.08 µm</v>
      </c>
      <c r="B490" s="70" t="str">
        <f t="shared" si="7"/>
        <v>Níquel</v>
      </c>
    </row>
    <row r="491" spans="1:2" x14ac:dyDescent="0.2">
      <c r="A491" s="70" t="str">
        <f>Listas!E486</f>
        <v>RC Ni (Níquel) | 5 - 9 µm</v>
      </c>
      <c r="B491" s="70" t="str">
        <f t="shared" si="7"/>
        <v>Níquel</v>
      </c>
    </row>
    <row r="492" spans="1:2" x14ac:dyDescent="0.2">
      <c r="A492" s="70" t="str">
        <f>Listas!E487</f>
        <v>RC Ni (Níquel) | 6 - 10 µm</v>
      </c>
      <c r="B492" s="70" t="str">
        <f t="shared" si="7"/>
        <v>Níquel</v>
      </c>
    </row>
    <row r="493" spans="1:2" x14ac:dyDescent="0.2">
      <c r="A493" s="70" t="str">
        <f>Listas!E488</f>
        <v>RC Ni (Níquel) | 7.6 - 12.7 µm</v>
      </c>
      <c r="B493" s="70" t="str">
        <f t="shared" si="7"/>
        <v>Níquel</v>
      </c>
    </row>
    <row r="494" spans="1:2" x14ac:dyDescent="0.2">
      <c r="A494" s="70" t="str">
        <f>Listas!E489</f>
        <v>RC NiCrv (Níquel Cromvet) | 0.5 - 1 µm</v>
      </c>
      <c r="B494" s="70" t="str">
        <f t="shared" si="7"/>
        <v>Níquel</v>
      </c>
    </row>
    <row r="495" spans="1:2" x14ac:dyDescent="0.2">
      <c r="A495" s="70" t="str">
        <f>Listas!E490</f>
        <v>RC NiEl (Níquel Electroless) | 12.7 - 17.78 µm</v>
      </c>
      <c r="B495" s="70" t="str">
        <f t="shared" si="7"/>
        <v>Níquel</v>
      </c>
    </row>
    <row r="496" spans="1:2" x14ac:dyDescent="0.2">
      <c r="A496" s="70" t="str">
        <f>Listas!E491</f>
        <v>RC NiEl (Níquel Electroless) | 2.5 - 7.5 µm</v>
      </c>
      <c r="B496" s="70" t="str">
        <f t="shared" si="7"/>
        <v>Níquel</v>
      </c>
    </row>
    <row r="497" spans="1:2" x14ac:dyDescent="0.2">
      <c r="A497" s="70" t="str">
        <f>Listas!E492</f>
        <v>RC NiEl (Níquel Electroless) | 25 - 38 µm</v>
      </c>
      <c r="B497" s="70" t="str">
        <f t="shared" si="7"/>
        <v>Níquel</v>
      </c>
    </row>
    <row r="498" spans="1:2" x14ac:dyDescent="0.2">
      <c r="A498" s="70" t="str">
        <f>Listas!E493</f>
        <v>RC NiEl (Níquel Electroless) | 30 - 35 µm</v>
      </c>
      <c r="B498" s="70" t="str">
        <f t="shared" si="7"/>
        <v>Níquel</v>
      </c>
    </row>
    <row r="499" spans="1:2" x14ac:dyDescent="0.2">
      <c r="A499" s="70" t="str">
        <f>Listas!E494</f>
        <v>RC NiEl (Níquel Electroless) | 5 - 9 µm</v>
      </c>
      <c r="B499" s="70" t="str">
        <f t="shared" si="7"/>
        <v>Níquel</v>
      </c>
    </row>
    <row r="500" spans="1:2" x14ac:dyDescent="0.2">
      <c r="A500" s="70" t="str">
        <f>Listas!E495</f>
        <v>RC NiEl (Níquel Electroless) | 50 - 63 µm</v>
      </c>
      <c r="B500" s="70" t="str">
        <f t="shared" si="7"/>
        <v>Níquel</v>
      </c>
    </row>
    <row r="501" spans="1:2" x14ac:dyDescent="0.2">
      <c r="A501" s="70" t="str">
        <f>Listas!E496</f>
        <v>RC NiEl (Níquel Electroless) | 6 - 10 µm</v>
      </c>
      <c r="B501" s="70" t="str">
        <f t="shared" si="7"/>
        <v>Níquel</v>
      </c>
    </row>
    <row r="502" spans="1:2" x14ac:dyDescent="0.2">
      <c r="A502" s="70" t="str">
        <f>Listas!E497</f>
        <v>RC NiEl (Níquel Electroless) | 7.6 - 12.7 µm</v>
      </c>
      <c r="B502" s="70" t="str">
        <f t="shared" si="7"/>
        <v>Níquel</v>
      </c>
    </row>
    <row r="503" spans="1:2" x14ac:dyDescent="0.2">
      <c r="A503" s="70" t="str">
        <f>Listas!E498</f>
        <v>RC No Oxide</v>
      </c>
      <c r="B503" s="70" t="str">
        <f t="shared" si="7"/>
        <v>Otros</v>
      </c>
    </row>
    <row r="504" spans="1:2" x14ac:dyDescent="0.2">
      <c r="A504" s="70" t="str">
        <f>Listas!E499</f>
        <v>RC Pasivado</v>
      </c>
      <c r="B504" s="70" t="str">
        <f t="shared" si="7"/>
        <v>Otros</v>
      </c>
    </row>
    <row r="505" spans="1:2" x14ac:dyDescent="0.2">
      <c r="A505" s="70" t="str">
        <f>Listas!E500</f>
        <v>RC Rebabeo</v>
      </c>
      <c r="B505" s="70" t="str">
        <f t="shared" si="7"/>
        <v>Otros</v>
      </c>
    </row>
    <row r="506" spans="1:2" x14ac:dyDescent="0.2">
      <c r="A506" s="70" t="str">
        <f>Listas!E501</f>
        <v>RC Sn (Estaño) | 0.076 - 0.2 µm</v>
      </c>
      <c r="B506" s="70" t="str">
        <f t="shared" si="7"/>
        <v>Estaño</v>
      </c>
    </row>
    <row r="507" spans="1:2" x14ac:dyDescent="0.2">
      <c r="A507" s="70" t="str">
        <f>Listas!E502</f>
        <v>RC Sn (Estaño) | 0.254 - 1.5 µm</v>
      </c>
      <c r="B507" s="70" t="str">
        <f t="shared" si="7"/>
        <v>Estaño</v>
      </c>
    </row>
    <row r="508" spans="1:2" x14ac:dyDescent="0.2">
      <c r="A508" s="70" t="str">
        <f>Listas!E503</f>
        <v>RC Sn (Estaño) | 0.3 - 0.8 µm</v>
      </c>
      <c r="B508" s="70" t="str">
        <f t="shared" si="7"/>
        <v>Estaño</v>
      </c>
    </row>
    <row r="509" spans="1:2" x14ac:dyDescent="0.2">
      <c r="A509" s="70" t="str">
        <f>Listas!E504</f>
        <v>RC Sn (Estaño) | 0.508 - 1.016 µm</v>
      </c>
      <c r="B509" s="70" t="str">
        <f t="shared" si="7"/>
        <v>Estaño</v>
      </c>
    </row>
    <row r="510" spans="1:2" x14ac:dyDescent="0.2">
      <c r="A510" s="70" t="str">
        <f>Listas!E505</f>
        <v>RC Sn (Estaño) | 0.6 - 2 µm</v>
      </c>
      <c r="B510" s="70" t="str">
        <f t="shared" si="7"/>
        <v>Estaño</v>
      </c>
    </row>
    <row r="511" spans="1:2" x14ac:dyDescent="0.2">
      <c r="A511" s="70" t="str">
        <f>Listas!E506</f>
        <v>RC Sn (Estaño) | 1 - 7.3 µm</v>
      </c>
      <c r="B511" s="70" t="str">
        <f t="shared" si="7"/>
        <v>Estaño</v>
      </c>
    </row>
    <row r="512" spans="1:2" x14ac:dyDescent="0.2">
      <c r="A512" s="70" t="str">
        <f>Listas!E507</f>
        <v>RC Sn (Estaño) | 1.0 - 5.0 µm</v>
      </c>
      <c r="B512" s="70" t="str">
        <f t="shared" si="7"/>
        <v>Estaño</v>
      </c>
    </row>
    <row r="513" spans="1:2" x14ac:dyDescent="0.2">
      <c r="A513" s="70" t="str">
        <f>Listas!E508</f>
        <v>RC Sn (Estaño) | 1.27 - 10.16 µm</v>
      </c>
      <c r="B513" s="70" t="str">
        <f t="shared" si="7"/>
        <v>Estaño</v>
      </c>
    </row>
    <row r="514" spans="1:2" x14ac:dyDescent="0.2">
      <c r="A514" s="70" t="str">
        <f>Listas!E509</f>
        <v>RC Sn (Estaño) | 1.27 - 2.54 µm</v>
      </c>
      <c r="B514" s="70" t="str">
        <f t="shared" si="7"/>
        <v>Estaño</v>
      </c>
    </row>
    <row r="515" spans="1:2" x14ac:dyDescent="0.2">
      <c r="A515" s="70" t="str">
        <f>Listas!E510</f>
        <v>RC Sn (Estaño) | 10 - 12 µm</v>
      </c>
      <c r="B515" s="70" t="str">
        <f t="shared" si="7"/>
        <v>Estaño</v>
      </c>
    </row>
    <row r="516" spans="1:2" x14ac:dyDescent="0.2">
      <c r="A516" s="70" t="str">
        <f>Listas!E511</f>
        <v>RC Sn (Estaño) | 12.7 -18.0 µm</v>
      </c>
      <c r="B516" s="70" t="str">
        <f t="shared" si="7"/>
        <v>Estaño</v>
      </c>
    </row>
    <row r="517" spans="1:2" x14ac:dyDescent="0.2">
      <c r="A517" s="70" t="str">
        <f>Listas!E512</f>
        <v>RC Sn (Estaño) | 2.5 - 6.4 µm</v>
      </c>
      <c r="B517" s="70" t="str">
        <f t="shared" si="7"/>
        <v>Estaño</v>
      </c>
    </row>
    <row r="518" spans="1:2" x14ac:dyDescent="0.2">
      <c r="A518" s="70" t="str">
        <f>Listas!E513</f>
        <v>RC Sn (Estaño) | 2.5 - 7.6 µm</v>
      </c>
      <c r="B518" s="70" t="str">
        <f t="shared" si="7"/>
        <v>Estaño</v>
      </c>
    </row>
    <row r="519" spans="1:2" x14ac:dyDescent="0.2">
      <c r="A519" s="70" t="str">
        <f>Listas!E514</f>
        <v>RC Sn (Estaño) | 250 - 255 µm</v>
      </c>
      <c r="B519" s="70" t="str">
        <f t="shared" si="7"/>
        <v>Estaño</v>
      </c>
    </row>
    <row r="520" spans="1:2" x14ac:dyDescent="0.2">
      <c r="A520" s="70" t="str">
        <f>Listas!E515</f>
        <v>RC Sn (Estaño) | 3 - 5 µm</v>
      </c>
      <c r="B520" s="70" t="str">
        <f t="shared" si="7"/>
        <v>Estaño</v>
      </c>
    </row>
    <row r="521" spans="1:2" x14ac:dyDescent="0.2">
      <c r="A521" s="70" t="str">
        <f>Listas!E516</f>
        <v>RC Sn (Estaño) | 3.8 - 12.7 µm</v>
      </c>
      <c r="B521" s="70" t="str">
        <f t="shared" si="7"/>
        <v>Estaño</v>
      </c>
    </row>
    <row r="522" spans="1:2" x14ac:dyDescent="0.2">
      <c r="A522" s="70" t="str">
        <f>Listas!E517</f>
        <v>RC Sn (Estaño) | 5 - 10 µm</v>
      </c>
      <c r="B522" s="70"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523" spans="1:2" x14ac:dyDescent="0.2">
      <c r="A523" s="70" t="str">
        <f>Listas!E518</f>
        <v>RC Sn (Estaño) | 5 - 12 µm</v>
      </c>
      <c r="B523" s="70" t="str">
        <f t="shared" si="8"/>
        <v>Estaño</v>
      </c>
    </row>
    <row r="524" spans="1:2" x14ac:dyDescent="0.2">
      <c r="A524" s="70" t="str">
        <f>Listas!E519</f>
        <v>RC Sn (Estaño) | 5 - 8 µm</v>
      </c>
      <c r="B524" s="70" t="str">
        <f t="shared" si="8"/>
        <v>Estaño</v>
      </c>
    </row>
    <row r="525" spans="1:2" x14ac:dyDescent="0.2">
      <c r="A525" s="70" t="str">
        <f>Listas!E520</f>
        <v>RC Sn (Estaño) | 6.1 - 12.0 µm</v>
      </c>
      <c r="B525" s="70" t="str">
        <f t="shared" si="8"/>
        <v>Estaño</v>
      </c>
    </row>
    <row r="526" spans="1:2" x14ac:dyDescent="0.2">
      <c r="A526" s="70" t="str">
        <f>Listas!E521</f>
        <v>RC Sn (Estaño) | 8 - 12 µm</v>
      </c>
      <c r="B526" s="70" t="str">
        <f t="shared" si="8"/>
        <v>Estaño</v>
      </c>
    </row>
    <row r="527" spans="1:2" x14ac:dyDescent="0.2">
      <c r="A527" s="70" t="str">
        <f>Listas!E522</f>
        <v>RC Sn (Estaño) | 9 - 25 µm</v>
      </c>
      <c r="B527" s="70" t="str">
        <f t="shared" si="8"/>
        <v>Estaño</v>
      </c>
    </row>
    <row r="528" spans="1:2" x14ac:dyDescent="0.2">
      <c r="A528" s="70" t="str">
        <f>Listas!E523</f>
        <v>RC Zn (Zinc) | 12 - 16 µm</v>
      </c>
      <c r="B528" s="70" t="str">
        <f t="shared" si="8"/>
        <v>Zinc</v>
      </c>
    </row>
    <row r="529" spans="1:2" x14ac:dyDescent="0.2">
      <c r="A529" s="70" t="str">
        <f>Listas!E524</f>
        <v>RC Zn (Zinc) | 15 - 18 µm</v>
      </c>
      <c r="B529" s="70" t="str">
        <f t="shared" si="8"/>
        <v>Zinc</v>
      </c>
    </row>
    <row r="530" spans="1:2" x14ac:dyDescent="0.2">
      <c r="A530" s="70" t="str">
        <f>Listas!E525</f>
        <v>RC Zn (Zinc) | 20 - 24 µm</v>
      </c>
      <c r="B530" s="70" t="str">
        <f t="shared" si="8"/>
        <v>Zinc</v>
      </c>
    </row>
    <row r="531" spans="1:2" x14ac:dyDescent="0.2">
      <c r="A531" s="70" t="str">
        <f>Listas!E526</f>
        <v>RC Zn (Zinc) | 3 - 6 µm</v>
      </c>
      <c r="B531" s="70" t="str">
        <f t="shared" si="8"/>
        <v>Zinc</v>
      </c>
    </row>
    <row r="532" spans="1:2" x14ac:dyDescent="0.2">
      <c r="A532" s="70" t="str">
        <f>Listas!E527</f>
        <v>RC Zn (Zinc) | 5 - 10 µm</v>
      </c>
      <c r="B532" s="70" t="str">
        <f t="shared" si="8"/>
        <v>Zinc</v>
      </c>
    </row>
    <row r="533" spans="1:2" x14ac:dyDescent="0.2">
      <c r="A533" s="70" t="str">
        <f>Listas!E528</f>
        <v>RC Zn (Zinc) | 6 - 8 µm</v>
      </c>
      <c r="B533" s="70" t="str">
        <f t="shared" si="8"/>
        <v>Zinc</v>
      </c>
    </row>
    <row r="534" spans="1:2" x14ac:dyDescent="0.2">
      <c r="A534" s="70" t="str">
        <f>Listas!E529</f>
        <v>RC Zn (Zinc) | 8 - 10 µm</v>
      </c>
      <c r="B534" s="70" t="str">
        <f t="shared" si="8"/>
        <v>Zinc</v>
      </c>
    </row>
    <row r="535" spans="1:2" x14ac:dyDescent="0.2">
      <c r="A535" s="70" t="str">
        <f>Listas!E530</f>
        <v>RC Zn (Zinc) | 8 - 12 µm</v>
      </c>
      <c r="B535" s="70" t="str">
        <f t="shared" si="8"/>
        <v>Zinc</v>
      </c>
    </row>
    <row r="536" spans="1:2" x14ac:dyDescent="0.2">
      <c r="A536" s="70" t="str">
        <f>Listas!E531</f>
        <v>RC Zn-Ni (Zinc Níquel - Bonete) | 8 - 25 µm</v>
      </c>
      <c r="B536" s="70" t="str">
        <f t="shared" si="8"/>
        <v>Níquel+Zinc</v>
      </c>
    </row>
    <row r="537" spans="1:2" x14ac:dyDescent="0.2">
      <c r="A537" s="70" t="str">
        <f>Listas!E532</f>
        <v>S30793-507 (Estaño) | 2.5 - 5 µm</v>
      </c>
      <c r="B537" s="70" t="str">
        <f t="shared" si="8"/>
        <v>Estaño</v>
      </c>
    </row>
    <row r="538" spans="1:2" x14ac:dyDescent="0.2">
      <c r="A538" s="70" t="str">
        <f>Listas!E533</f>
        <v>TL 203 (Níquel Cromo) | 10 - 13 µm</v>
      </c>
      <c r="B538" s="70" t="str">
        <f t="shared" si="8"/>
        <v>Níquel</v>
      </c>
    </row>
    <row r="539" spans="1:2" x14ac:dyDescent="0.2">
      <c r="A539" s="70" t="str">
        <f>Listas!E534</f>
        <v>TS1E-010-103 (Fosfato de Manganeso - Medición de Grano - GM) | 5 - 11 µm</v>
      </c>
      <c r="B539" s="70" t="str">
        <f t="shared" si="8"/>
        <v>Otros</v>
      </c>
    </row>
    <row r="540" spans="1:2" x14ac:dyDescent="0.2">
      <c r="A540" s="70">
        <f>Listas!E535</f>
        <v>0</v>
      </c>
      <c r="B540" s="70" t="str">
        <f t="shared" si="8"/>
        <v/>
      </c>
    </row>
    <row r="541" spans="1:2" x14ac:dyDescent="0.2">
      <c r="A541" s="70">
        <f>Listas!E536</f>
        <v>0</v>
      </c>
      <c r="B541" s="70" t="str">
        <f t="shared" si="8"/>
        <v/>
      </c>
    </row>
    <row r="542" spans="1:2" x14ac:dyDescent="0.2">
      <c r="A542" s="70">
        <f>Listas!E537</f>
        <v>0</v>
      </c>
      <c r="B542" s="70" t="str">
        <f t="shared" si="8"/>
        <v/>
      </c>
    </row>
    <row r="543" spans="1:2" x14ac:dyDescent="0.2">
      <c r="A543" s="70">
        <f>Listas!E538</f>
        <v>0</v>
      </c>
      <c r="B543" s="70" t="str">
        <f t="shared" si="8"/>
        <v/>
      </c>
    </row>
    <row r="544" spans="1:2" x14ac:dyDescent="0.2">
      <c r="A544" s="70">
        <f>Listas!E539</f>
        <v>0</v>
      </c>
      <c r="B544" s="70" t="str">
        <f t="shared" si="8"/>
        <v/>
      </c>
    </row>
    <row r="545" spans="1:2" x14ac:dyDescent="0.2">
      <c r="A545" s="70">
        <f>Listas!E540</f>
        <v>0</v>
      </c>
      <c r="B545" s="70" t="str">
        <f t="shared" si="8"/>
        <v/>
      </c>
    </row>
    <row r="546" spans="1:2" x14ac:dyDescent="0.2">
      <c r="A546" s="70">
        <f>Listas!E541</f>
        <v>0</v>
      </c>
      <c r="B546" s="70" t="str">
        <f t="shared" si="8"/>
        <v/>
      </c>
    </row>
    <row r="547" spans="1:2" x14ac:dyDescent="0.2">
      <c r="A547" s="70">
        <f>Listas!E542</f>
        <v>0</v>
      </c>
      <c r="B547" s="70" t="str">
        <f t="shared" si="8"/>
        <v/>
      </c>
    </row>
    <row r="548" spans="1:2" x14ac:dyDescent="0.2">
      <c r="A548" s="70">
        <f>Listas!E543</f>
        <v>0</v>
      </c>
      <c r="B548" s="70" t="str">
        <f t="shared" si="8"/>
        <v/>
      </c>
    </row>
    <row r="549" spans="1:2" x14ac:dyDescent="0.2">
      <c r="A549" s="70">
        <f>Listas!E544</f>
        <v>0</v>
      </c>
      <c r="B549" s="70" t="str">
        <f t="shared" si="8"/>
        <v/>
      </c>
    </row>
    <row r="550" spans="1:2" x14ac:dyDescent="0.2">
      <c r="A550" s="70">
        <f>Listas!E545</f>
        <v>0</v>
      </c>
      <c r="B550" s="70" t="str">
        <f t="shared" si="8"/>
        <v/>
      </c>
    </row>
    <row r="551" spans="1:2" x14ac:dyDescent="0.2">
      <c r="A551" s="70">
        <f>Listas!E546</f>
        <v>0</v>
      </c>
      <c r="B551" s="70" t="str">
        <f t="shared" si="8"/>
        <v/>
      </c>
    </row>
    <row r="552" spans="1:2" x14ac:dyDescent="0.2">
      <c r="A552" s="70">
        <f>Listas!E547</f>
        <v>0</v>
      </c>
      <c r="B552" s="70" t="str">
        <f t="shared" si="8"/>
        <v/>
      </c>
    </row>
    <row r="553" spans="1:2" x14ac:dyDescent="0.2">
      <c r="A553" s="70">
        <f>Listas!E548</f>
        <v>0</v>
      </c>
      <c r="B553" s="70" t="str">
        <f t="shared" si="8"/>
        <v/>
      </c>
    </row>
    <row r="554" spans="1:2" x14ac:dyDescent="0.2">
      <c r="A554" s="70">
        <f>Listas!E549</f>
        <v>0</v>
      </c>
      <c r="B554" s="70" t="str">
        <f t="shared" si="8"/>
        <v/>
      </c>
    </row>
    <row r="555" spans="1:2" x14ac:dyDescent="0.2">
      <c r="A555" s="70">
        <f>Listas!E550</f>
        <v>0</v>
      </c>
      <c r="B555" s="70" t="str">
        <f t="shared" si="8"/>
        <v/>
      </c>
    </row>
    <row r="556" spans="1:2" x14ac:dyDescent="0.2">
      <c r="A556" s="70">
        <f>Listas!E551</f>
        <v>0</v>
      </c>
      <c r="B556" s="70" t="str">
        <f t="shared" si="8"/>
        <v/>
      </c>
    </row>
    <row r="557" spans="1:2" x14ac:dyDescent="0.2">
      <c r="A557" s="70">
        <f>Listas!E552</f>
        <v>0</v>
      </c>
      <c r="B557" s="70" t="str">
        <f t="shared" si="8"/>
        <v/>
      </c>
    </row>
    <row r="558" spans="1:2" x14ac:dyDescent="0.2">
      <c r="A558" s="70">
        <f>Listas!E553</f>
        <v>0</v>
      </c>
      <c r="B558" s="70" t="str">
        <f t="shared" si="8"/>
        <v/>
      </c>
    </row>
    <row r="559" spans="1:2" x14ac:dyDescent="0.2">
      <c r="A559" s="70">
        <f>Listas!E554</f>
        <v>0</v>
      </c>
      <c r="B559" s="70" t="str">
        <f t="shared" si="8"/>
        <v/>
      </c>
    </row>
    <row r="560" spans="1:2" x14ac:dyDescent="0.2">
      <c r="A560" s="70">
        <f>Listas!E555</f>
        <v>0</v>
      </c>
      <c r="B560" s="70" t="str">
        <f t="shared" si="8"/>
        <v/>
      </c>
    </row>
    <row r="561" spans="1:2" x14ac:dyDescent="0.2">
      <c r="A561" s="70">
        <f>Listas!E556</f>
        <v>0</v>
      </c>
      <c r="B561" s="70" t="str">
        <f t="shared" si="8"/>
        <v/>
      </c>
    </row>
    <row r="562" spans="1:2" x14ac:dyDescent="0.2">
      <c r="A562" s="70">
        <f>Listas!E557</f>
        <v>0</v>
      </c>
      <c r="B562" s="70" t="str">
        <f t="shared" si="8"/>
        <v/>
      </c>
    </row>
    <row r="563" spans="1:2" x14ac:dyDescent="0.2">
      <c r="A563" s="70">
        <f>Listas!E558</f>
        <v>0</v>
      </c>
      <c r="B563" s="70" t="str">
        <f t="shared" si="8"/>
        <v/>
      </c>
    </row>
    <row r="564" spans="1:2" x14ac:dyDescent="0.2">
      <c r="A564" s="70">
        <f>Listas!E559</f>
        <v>0</v>
      </c>
      <c r="B564" s="70" t="str">
        <f t="shared" si="8"/>
        <v/>
      </c>
    </row>
    <row r="565" spans="1:2" x14ac:dyDescent="0.2">
      <c r="A565" s="70">
        <f>Listas!E560</f>
        <v>0</v>
      </c>
      <c r="B565" s="70" t="str">
        <f t="shared" si="8"/>
        <v/>
      </c>
    </row>
    <row r="566" spans="1:2" x14ac:dyDescent="0.2">
      <c r="A566" s="70">
        <f>Listas!E561</f>
        <v>0</v>
      </c>
      <c r="B566" s="70" t="str">
        <f t="shared" si="8"/>
        <v/>
      </c>
    </row>
    <row r="567" spans="1:2" x14ac:dyDescent="0.2">
      <c r="A567" s="70">
        <f>Listas!E562</f>
        <v>0</v>
      </c>
      <c r="B567" s="70" t="str">
        <f t="shared" si="8"/>
        <v/>
      </c>
    </row>
    <row r="568" spans="1:2" x14ac:dyDescent="0.2">
      <c r="A568" s="70">
        <f>Listas!E563</f>
        <v>0</v>
      </c>
      <c r="B568" s="70" t="str">
        <f t="shared" si="8"/>
        <v/>
      </c>
    </row>
    <row r="569" spans="1:2" x14ac:dyDescent="0.2">
      <c r="A569" s="70">
        <f>Listas!E564</f>
        <v>0</v>
      </c>
      <c r="B569" s="70" t="str">
        <f t="shared" si="8"/>
        <v/>
      </c>
    </row>
    <row r="570" spans="1:2" x14ac:dyDescent="0.2">
      <c r="A570" s="70">
        <f>Listas!E565</f>
        <v>0</v>
      </c>
      <c r="B570" s="70" t="str">
        <f t="shared" si="8"/>
        <v/>
      </c>
    </row>
    <row r="571" spans="1:2" x14ac:dyDescent="0.2">
      <c r="A571" s="70">
        <f>Listas!E566</f>
        <v>0</v>
      </c>
      <c r="B571" s="70" t="str">
        <f t="shared" si="8"/>
        <v/>
      </c>
    </row>
    <row r="572" spans="1:2" x14ac:dyDescent="0.2">
      <c r="A572" s="70">
        <f>Listas!E567</f>
        <v>0</v>
      </c>
      <c r="B572" s="70" t="str">
        <f t="shared" si="8"/>
        <v/>
      </c>
    </row>
    <row r="573" spans="1:2" x14ac:dyDescent="0.2">
      <c r="A573" s="70">
        <f>Listas!E568</f>
        <v>0</v>
      </c>
      <c r="B573" s="70" t="str">
        <f t="shared" si="8"/>
        <v/>
      </c>
    </row>
    <row r="574" spans="1:2" x14ac:dyDescent="0.2">
      <c r="A574" s="70">
        <f>Listas!E569</f>
        <v>0</v>
      </c>
      <c r="B574" s="70" t="str">
        <f t="shared" si="8"/>
        <v/>
      </c>
    </row>
    <row r="575" spans="1:2" x14ac:dyDescent="0.2">
      <c r="A575" s="70">
        <f>Listas!E570</f>
        <v>0</v>
      </c>
      <c r="B575" s="70" t="str">
        <f t="shared" si="8"/>
        <v/>
      </c>
    </row>
    <row r="576" spans="1:2" x14ac:dyDescent="0.2">
      <c r="A576" s="70">
        <f>Listas!E571</f>
        <v>0</v>
      </c>
      <c r="B576" s="70" t="str">
        <f t="shared" si="8"/>
        <v/>
      </c>
    </row>
    <row r="577" spans="1:2" x14ac:dyDescent="0.2">
      <c r="A577" s="70">
        <f>Listas!E572</f>
        <v>0</v>
      </c>
      <c r="B577" s="70" t="str">
        <f t="shared" si="8"/>
        <v/>
      </c>
    </row>
    <row r="578" spans="1:2" x14ac:dyDescent="0.2">
      <c r="A578" s="70">
        <f>Listas!E573</f>
        <v>0</v>
      </c>
      <c r="B578" s="70" t="str">
        <f t="shared" si="8"/>
        <v/>
      </c>
    </row>
    <row r="579" spans="1:2" x14ac:dyDescent="0.2">
      <c r="A579" s="70">
        <f>Listas!E574</f>
        <v>0</v>
      </c>
      <c r="B579" s="70" t="str">
        <f t="shared" si="8"/>
        <v/>
      </c>
    </row>
    <row r="580" spans="1:2" x14ac:dyDescent="0.2">
      <c r="A580" s="70">
        <f>Listas!E575</f>
        <v>0</v>
      </c>
      <c r="B580" s="70" t="str">
        <f t="shared" si="8"/>
        <v/>
      </c>
    </row>
    <row r="581" spans="1:2" x14ac:dyDescent="0.2">
      <c r="A581" s="70">
        <f>Listas!E576</f>
        <v>0</v>
      </c>
      <c r="B581" s="70" t="str">
        <f t="shared" si="8"/>
        <v/>
      </c>
    </row>
    <row r="582" spans="1:2" x14ac:dyDescent="0.2">
      <c r="A582" s="70">
        <f>Listas!E577</f>
        <v>0</v>
      </c>
      <c r="B582" s="70" t="str">
        <f t="shared" si="8"/>
        <v/>
      </c>
    </row>
    <row r="583" spans="1:2" x14ac:dyDescent="0.2">
      <c r="A583" s="70">
        <f>Listas!E578</f>
        <v>0</v>
      </c>
      <c r="B583" s="70" t="str">
        <f t="shared" si="8"/>
        <v/>
      </c>
    </row>
    <row r="584" spans="1:2" x14ac:dyDescent="0.2">
      <c r="A584" s="70">
        <f>Listas!E579</f>
        <v>0</v>
      </c>
      <c r="B584" s="70" t="str">
        <f t="shared" si="8"/>
        <v/>
      </c>
    </row>
    <row r="585" spans="1:2" x14ac:dyDescent="0.2">
      <c r="A585" s="70">
        <f>Listas!E580</f>
        <v>0</v>
      </c>
      <c r="B585" s="70" t="str">
        <f t="shared" si="8"/>
        <v/>
      </c>
    </row>
    <row r="586" spans="1:2" x14ac:dyDescent="0.2">
      <c r="A586" s="70">
        <f>Listas!E581</f>
        <v>0</v>
      </c>
      <c r="B586" s="70"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587" spans="1:2" x14ac:dyDescent="0.2">
      <c r="A587" s="70">
        <f>Listas!E582</f>
        <v>0</v>
      </c>
      <c r="B587" s="70" t="str">
        <f t="shared" si="9"/>
        <v/>
      </c>
    </row>
    <row r="588" spans="1:2" x14ac:dyDescent="0.2">
      <c r="A588" s="70">
        <f>Listas!E583</f>
        <v>0</v>
      </c>
      <c r="B588" s="70" t="str">
        <f t="shared" si="9"/>
        <v/>
      </c>
    </row>
    <row r="589" spans="1:2" x14ac:dyDescent="0.2">
      <c r="A589" s="70">
        <f>Listas!E584</f>
        <v>0</v>
      </c>
      <c r="B589" s="70" t="str">
        <f t="shared" si="9"/>
        <v/>
      </c>
    </row>
    <row r="590" spans="1:2" x14ac:dyDescent="0.2">
      <c r="A590" s="70">
        <f>Listas!E585</f>
        <v>0</v>
      </c>
      <c r="B590" s="70" t="str">
        <f t="shared" si="9"/>
        <v/>
      </c>
    </row>
    <row r="591" spans="1:2" x14ac:dyDescent="0.2">
      <c r="A591" s="70">
        <f>Listas!E586</f>
        <v>0</v>
      </c>
      <c r="B591" s="70" t="str">
        <f t="shared" si="9"/>
        <v/>
      </c>
    </row>
    <row r="592" spans="1:2" x14ac:dyDescent="0.2">
      <c r="A592" s="70">
        <f>Listas!E587</f>
        <v>0</v>
      </c>
      <c r="B592" s="70" t="str">
        <f t="shared" si="9"/>
        <v/>
      </c>
    </row>
    <row r="593" spans="1:2" x14ac:dyDescent="0.2">
      <c r="A593" s="70">
        <f>Listas!E588</f>
        <v>0</v>
      </c>
      <c r="B593" s="70" t="str">
        <f t="shared" si="9"/>
        <v/>
      </c>
    </row>
    <row r="594" spans="1:2" x14ac:dyDescent="0.2">
      <c r="A594" s="70">
        <f>Listas!E589</f>
        <v>0</v>
      </c>
      <c r="B594" s="70" t="str">
        <f t="shared" si="9"/>
        <v/>
      </c>
    </row>
    <row r="595" spans="1:2" x14ac:dyDescent="0.2">
      <c r="A595" s="70">
        <f>Listas!E590</f>
        <v>0</v>
      </c>
      <c r="B595" s="70" t="str">
        <f t="shared" si="9"/>
        <v/>
      </c>
    </row>
    <row r="596" spans="1:2" x14ac:dyDescent="0.2">
      <c r="A596" s="70">
        <f>Listas!E591</f>
        <v>0</v>
      </c>
      <c r="B596" s="70" t="str">
        <f t="shared" si="9"/>
        <v/>
      </c>
    </row>
    <row r="597" spans="1:2" x14ac:dyDescent="0.2">
      <c r="A597" s="70">
        <f>Listas!E592</f>
        <v>0</v>
      </c>
      <c r="B597" s="70" t="str">
        <f t="shared" si="9"/>
        <v/>
      </c>
    </row>
    <row r="598" spans="1:2" x14ac:dyDescent="0.2">
      <c r="A598" s="70">
        <f>Listas!E593</f>
        <v>0</v>
      </c>
      <c r="B598" s="70" t="str">
        <f t="shared" si="9"/>
        <v/>
      </c>
    </row>
    <row r="599" spans="1:2" x14ac:dyDescent="0.2">
      <c r="A599" s="70">
        <f>Listas!E594</f>
        <v>0</v>
      </c>
      <c r="B599" s="70" t="str">
        <f t="shared" si="9"/>
        <v/>
      </c>
    </row>
    <row r="600" spans="1:2" x14ac:dyDescent="0.2">
      <c r="A600" s="70">
        <f>Listas!E595</f>
        <v>0</v>
      </c>
      <c r="B600" s="70" t="str">
        <f t="shared" si="9"/>
        <v/>
      </c>
    </row>
    <row r="601" spans="1:2" x14ac:dyDescent="0.2">
      <c r="A601" s="70">
        <f>Listas!E596</f>
        <v>0</v>
      </c>
      <c r="B601" s="70" t="str">
        <f t="shared" si="9"/>
        <v/>
      </c>
    </row>
    <row r="602" spans="1:2" x14ac:dyDescent="0.2">
      <c r="A602" s="70">
        <f>Listas!E597</f>
        <v>0</v>
      </c>
      <c r="B602" s="70" t="str">
        <f t="shared" si="9"/>
        <v/>
      </c>
    </row>
    <row r="603" spans="1:2" x14ac:dyDescent="0.2">
      <c r="A603" s="70">
        <f>Listas!E598</f>
        <v>0</v>
      </c>
      <c r="B603" s="70" t="str">
        <f t="shared" si="9"/>
        <v/>
      </c>
    </row>
    <row r="604" spans="1:2" x14ac:dyDescent="0.2">
      <c r="A604" s="70">
        <f>Listas!E599</f>
        <v>0</v>
      </c>
      <c r="B604" s="70" t="str">
        <f t="shared" si="9"/>
        <v/>
      </c>
    </row>
    <row r="605" spans="1:2" x14ac:dyDescent="0.2">
      <c r="A605" s="70">
        <f>Listas!E600</f>
        <v>0</v>
      </c>
      <c r="B605" s="70" t="str">
        <f t="shared" si="9"/>
        <v/>
      </c>
    </row>
    <row r="606" spans="1:2" x14ac:dyDescent="0.2">
      <c r="A606" s="70">
        <f>Listas!E601</f>
        <v>0</v>
      </c>
      <c r="B606" s="70" t="str">
        <f t="shared" si="9"/>
        <v/>
      </c>
    </row>
    <row r="607" spans="1:2" x14ac:dyDescent="0.2">
      <c r="A607" s="70">
        <f>Listas!E602</f>
        <v>0</v>
      </c>
      <c r="B607" s="70" t="str">
        <f t="shared" si="9"/>
        <v/>
      </c>
    </row>
    <row r="608" spans="1:2" x14ac:dyDescent="0.2">
      <c r="A608" s="70">
        <f>Listas!E603</f>
        <v>0</v>
      </c>
      <c r="B608" s="70" t="str">
        <f t="shared" si="9"/>
        <v/>
      </c>
    </row>
    <row r="609" spans="1:2" x14ac:dyDescent="0.2">
      <c r="A609" s="70">
        <f>Listas!E604</f>
        <v>0</v>
      </c>
      <c r="B609" s="70" t="str">
        <f t="shared" si="9"/>
        <v/>
      </c>
    </row>
    <row r="610" spans="1:2" x14ac:dyDescent="0.2">
      <c r="A610" s="70">
        <f>Listas!E605</f>
        <v>0</v>
      </c>
      <c r="B610" s="70" t="str">
        <f t="shared" si="9"/>
        <v/>
      </c>
    </row>
    <row r="611" spans="1:2" x14ac:dyDescent="0.2">
      <c r="A611" s="70">
        <f>Listas!E606</f>
        <v>0</v>
      </c>
      <c r="B611" s="70" t="str">
        <f t="shared" si="9"/>
        <v/>
      </c>
    </row>
    <row r="612" spans="1:2" x14ac:dyDescent="0.2">
      <c r="A612" s="70">
        <f>Listas!E607</f>
        <v>0</v>
      </c>
      <c r="B612" s="70" t="str">
        <f t="shared" si="9"/>
        <v/>
      </c>
    </row>
    <row r="613" spans="1:2" x14ac:dyDescent="0.2">
      <c r="A613" s="70">
        <f>Listas!E608</f>
        <v>0</v>
      </c>
      <c r="B613" s="70" t="str">
        <f t="shared" si="9"/>
        <v/>
      </c>
    </row>
    <row r="614" spans="1:2" x14ac:dyDescent="0.2">
      <c r="A614" s="70">
        <f>Listas!E609</f>
        <v>0</v>
      </c>
      <c r="B614" s="70" t="str">
        <f t="shared" si="9"/>
        <v/>
      </c>
    </row>
    <row r="615" spans="1:2" x14ac:dyDescent="0.2">
      <c r="A615" s="70">
        <f>Listas!E610</f>
        <v>0</v>
      </c>
      <c r="B615" s="70" t="str">
        <f t="shared" si="9"/>
        <v/>
      </c>
    </row>
    <row r="616" spans="1:2" x14ac:dyDescent="0.2">
      <c r="A616" s="70">
        <f>Listas!E611</f>
        <v>0</v>
      </c>
      <c r="B616" s="70" t="str">
        <f t="shared" si="9"/>
        <v/>
      </c>
    </row>
    <row r="617" spans="1:2" x14ac:dyDescent="0.2">
      <c r="A617" s="70">
        <f>Listas!E612</f>
        <v>0</v>
      </c>
      <c r="B617" s="70" t="str">
        <f t="shared" si="9"/>
        <v/>
      </c>
    </row>
    <row r="618" spans="1:2" x14ac:dyDescent="0.2">
      <c r="A618" s="70">
        <f>Listas!E613</f>
        <v>0</v>
      </c>
      <c r="B618" s="70" t="str">
        <f t="shared" si="9"/>
        <v/>
      </c>
    </row>
    <row r="619" spans="1:2" x14ac:dyDescent="0.2">
      <c r="A619" s="70">
        <f>Listas!E614</f>
        <v>0</v>
      </c>
      <c r="B619" s="70" t="str">
        <f t="shared" si="9"/>
        <v/>
      </c>
    </row>
    <row r="620" spans="1:2" x14ac:dyDescent="0.2">
      <c r="A620" s="70">
        <f>Listas!E615</f>
        <v>0</v>
      </c>
      <c r="B620" s="70" t="str">
        <f t="shared" si="9"/>
        <v/>
      </c>
    </row>
    <row r="621" spans="1:2" x14ac:dyDescent="0.2">
      <c r="A621" s="70">
        <f>Listas!E616</f>
        <v>0</v>
      </c>
      <c r="B621" s="70" t="str">
        <f t="shared" si="9"/>
        <v/>
      </c>
    </row>
    <row r="622" spans="1:2" x14ac:dyDescent="0.2">
      <c r="A622" s="70">
        <f>Listas!E617</f>
        <v>0</v>
      </c>
      <c r="B622" s="70" t="str">
        <f t="shared" si="9"/>
        <v/>
      </c>
    </row>
    <row r="623" spans="1:2" x14ac:dyDescent="0.2">
      <c r="A623" s="70">
        <f>Listas!E618</f>
        <v>0</v>
      </c>
      <c r="B623" s="70" t="str">
        <f t="shared" si="9"/>
        <v/>
      </c>
    </row>
    <row r="624" spans="1:2" x14ac:dyDescent="0.2">
      <c r="A624" s="70">
        <f>Listas!E619</f>
        <v>0</v>
      </c>
      <c r="B624" s="70" t="str">
        <f t="shared" si="9"/>
        <v/>
      </c>
    </row>
    <row r="625" spans="1:2" x14ac:dyDescent="0.2">
      <c r="A625" s="70">
        <f>Listas!E620</f>
        <v>0</v>
      </c>
      <c r="B625" s="70" t="str">
        <f t="shared" si="9"/>
        <v/>
      </c>
    </row>
    <row r="626" spans="1:2" x14ac:dyDescent="0.2">
      <c r="A626" s="70">
        <f>Listas!E621</f>
        <v>0</v>
      </c>
      <c r="B626" s="70" t="str">
        <f t="shared" si="9"/>
        <v/>
      </c>
    </row>
    <row r="627" spans="1:2" x14ac:dyDescent="0.2">
      <c r="A627" s="70">
        <f>Listas!E622</f>
        <v>0</v>
      </c>
      <c r="B627" s="70" t="str">
        <f t="shared" si="9"/>
        <v/>
      </c>
    </row>
    <row r="628" spans="1:2" x14ac:dyDescent="0.2">
      <c r="A628" s="70">
        <f>Listas!E623</f>
        <v>0</v>
      </c>
      <c r="B628" s="70" t="str">
        <f t="shared" si="9"/>
        <v/>
      </c>
    </row>
    <row r="629" spans="1:2" x14ac:dyDescent="0.2">
      <c r="A629" s="70">
        <f>Listas!E624</f>
        <v>0</v>
      </c>
      <c r="B629" s="70" t="str">
        <f t="shared" si="9"/>
        <v/>
      </c>
    </row>
    <row r="630" spans="1:2" x14ac:dyDescent="0.2">
      <c r="A630" s="70">
        <f>Listas!E625</f>
        <v>0</v>
      </c>
      <c r="B630" s="70" t="str">
        <f t="shared" si="9"/>
        <v/>
      </c>
    </row>
    <row r="631" spans="1:2" x14ac:dyDescent="0.2">
      <c r="A631" s="70">
        <f>Listas!E626</f>
        <v>0</v>
      </c>
      <c r="B631" s="70" t="str">
        <f t="shared" si="9"/>
        <v/>
      </c>
    </row>
    <row r="632" spans="1:2" x14ac:dyDescent="0.2">
      <c r="A632" s="70">
        <f>Listas!E627</f>
        <v>0</v>
      </c>
      <c r="B632" s="70" t="str">
        <f t="shared" si="9"/>
        <v/>
      </c>
    </row>
    <row r="633" spans="1:2" x14ac:dyDescent="0.2">
      <c r="A633" s="70">
        <f>Listas!E628</f>
        <v>0</v>
      </c>
      <c r="B633" s="70" t="str">
        <f t="shared" si="9"/>
        <v/>
      </c>
    </row>
    <row r="634" spans="1:2" x14ac:dyDescent="0.2">
      <c r="A634" s="70">
        <f>Listas!E629</f>
        <v>0</v>
      </c>
      <c r="B634" s="70" t="str">
        <f t="shared" si="9"/>
        <v/>
      </c>
    </row>
    <row r="635" spans="1:2" x14ac:dyDescent="0.2">
      <c r="A635" s="70">
        <f>Listas!E630</f>
        <v>0</v>
      </c>
      <c r="B635" s="70" t="str">
        <f t="shared" si="9"/>
        <v/>
      </c>
    </row>
    <row r="636" spans="1:2" x14ac:dyDescent="0.2">
      <c r="A636" s="70">
        <f>Listas!E631</f>
        <v>0</v>
      </c>
      <c r="B636" s="70" t="str">
        <f t="shared" si="9"/>
        <v/>
      </c>
    </row>
    <row r="637" spans="1:2" x14ac:dyDescent="0.2">
      <c r="A637" s="70">
        <f>Listas!E632</f>
        <v>0</v>
      </c>
      <c r="B637" s="70" t="str">
        <f t="shared" si="9"/>
        <v/>
      </c>
    </row>
    <row r="638" spans="1:2" x14ac:dyDescent="0.2">
      <c r="A638" s="70">
        <f>Listas!E633</f>
        <v>0</v>
      </c>
      <c r="B638" s="70" t="str">
        <f t="shared" si="9"/>
        <v/>
      </c>
    </row>
    <row r="639" spans="1:2" x14ac:dyDescent="0.2">
      <c r="A639" s="70">
        <f>Listas!E634</f>
        <v>0</v>
      </c>
      <c r="B639" s="70" t="str">
        <f t="shared" si="9"/>
        <v/>
      </c>
    </row>
    <row r="640" spans="1:2" x14ac:dyDescent="0.2">
      <c r="A640" s="70">
        <f>Listas!E635</f>
        <v>0</v>
      </c>
      <c r="B640" s="70" t="str">
        <f t="shared" si="9"/>
        <v/>
      </c>
    </row>
    <row r="641" spans="1:2" x14ac:dyDescent="0.2">
      <c r="A641" s="70">
        <f>Listas!E636</f>
        <v>0</v>
      </c>
      <c r="B641" s="70" t="str">
        <f t="shared" si="9"/>
        <v/>
      </c>
    </row>
    <row r="642" spans="1:2" x14ac:dyDescent="0.2">
      <c r="A642" s="70">
        <f>Listas!E637</f>
        <v>0</v>
      </c>
      <c r="B642" s="70" t="str">
        <f t="shared" si="9"/>
        <v/>
      </c>
    </row>
    <row r="643" spans="1:2" x14ac:dyDescent="0.2">
      <c r="A643" s="70">
        <f>Listas!E638</f>
        <v>0</v>
      </c>
      <c r="B643" s="70" t="str">
        <f t="shared" si="9"/>
        <v/>
      </c>
    </row>
    <row r="644" spans="1:2" x14ac:dyDescent="0.2">
      <c r="A644" s="70">
        <f>Listas!E639</f>
        <v>0</v>
      </c>
      <c r="B644" s="70" t="str">
        <f t="shared" si="9"/>
        <v/>
      </c>
    </row>
    <row r="645" spans="1:2" x14ac:dyDescent="0.2">
      <c r="A645" s="70">
        <f>Listas!E640</f>
        <v>0</v>
      </c>
      <c r="B645" s="70" t="str">
        <f t="shared" si="9"/>
        <v/>
      </c>
    </row>
    <row r="646" spans="1:2" x14ac:dyDescent="0.2">
      <c r="A646" s="70">
        <f>Listas!E641</f>
        <v>0</v>
      </c>
      <c r="B646" s="70" t="str">
        <f t="shared" si="9"/>
        <v/>
      </c>
    </row>
    <row r="647" spans="1:2" x14ac:dyDescent="0.2">
      <c r="A647" s="70">
        <f>Listas!E642</f>
        <v>0</v>
      </c>
      <c r="B647" s="70" t="str">
        <f t="shared" si="9"/>
        <v/>
      </c>
    </row>
    <row r="648" spans="1:2" x14ac:dyDescent="0.2">
      <c r="A648" s="70">
        <f>Listas!E643</f>
        <v>0</v>
      </c>
      <c r="B648" s="70" t="str">
        <f t="shared" si="9"/>
        <v/>
      </c>
    </row>
    <row r="649" spans="1:2" x14ac:dyDescent="0.2">
      <c r="A649" s="70">
        <f>Listas!E644</f>
        <v>0</v>
      </c>
      <c r="B649" s="70" t="str">
        <f t="shared" si="9"/>
        <v/>
      </c>
    </row>
    <row r="650" spans="1:2" x14ac:dyDescent="0.2">
      <c r="A650" s="70">
        <f>Listas!E645</f>
        <v>0</v>
      </c>
      <c r="B650" s="70"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651" spans="1:2" x14ac:dyDescent="0.2">
      <c r="A651" s="70">
        <f>Listas!E646</f>
        <v>0</v>
      </c>
      <c r="B651" s="70" t="str">
        <f t="shared" si="10"/>
        <v/>
      </c>
    </row>
    <row r="652" spans="1:2" x14ac:dyDescent="0.2">
      <c r="A652" s="70">
        <f>Listas!E647</f>
        <v>0</v>
      </c>
      <c r="B652" s="70" t="str">
        <f t="shared" si="10"/>
        <v/>
      </c>
    </row>
    <row r="653" spans="1:2" x14ac:dyDescent="0.2">
      <c r="A653" s="70">
        <f>Listas!E648</f>
        <v>0</v>
      </c>
      <c r="B653" s="70" t="str">
        <f t="shared" si="10"/>
        <v/>
      </c>
    </row>
    <row r="654" spans="1:2" x14ac:dyDescent="0.2">
      <c r="A654" s="70">
        <f>Listas!E649</f>
        <v>0</v>
      </c>
      <c r="B654" s="70" t="str">
        <f t="shared" si="10"/>
        <v/>
      </c>
    </row>
    <row r="655" spans="1:2" x14ac:dyDescent="0.2">
      <c r="A655" s="70">
        <f>Listas!E650</f>
        <v>0</v>
      </c>
      <c r="B655" s="70" t="str">
        <f t="shared" si="10"/>
        <v/>
      </c>
    </row>
    <row r="656" spans="1:2" x14ac:dyDescent="0.2">
      <c r="A656" s="70">
        <f>Listas!E651</f>
        <v>0</v>
      </c>
      <c r="B656" s="70" t="str">
        <f t="shared" si="10"/>
        <v/>
      </c>
    </row>
    <row r="657" spans="1:2" x14ac:dyDescent="0.2">
      <c r="A657" s="70">
        <f>Listas!E652</f>
        <v>0</v>
      </c>
      <c r="B657" s="70" t="str">
        <f t="shared" si="10"/>
        <v/>
      </c>
    </row>
    <row r="658" spans="1:2" x14ac:dyDescent="0.2">
      <c r="A658" s="70">
        <f>Listas!E653</f>
        <v>0</v>
      </c>
      <c r="B658" s="70" t="str">
        <f t="shared" si="10"/>
        <v/>
      </c>
    </row>
    <row r="659" spans="1:2" x14ac:dyDescent="0.2">
      <c r="A659" s="70">
        <f>Listas!E654</f>
        <v>0</v>
      </c>
      <c r="B659" s="70" t="str">
        <f t="shared" si="10"/>
        <v/>
      </c>
    </row>
    <row r="660" spans="1:2" x14ac:dyDescent="0.2">
      <c r="A660" s="70">
        <f>Listas!E655</f>
        <v>0</v>
      </c>
      <c r="B660" s="70" t="str">
        <f t="shared" si="10"/>
        <v/>
      </c>
    </row>
    <row r="661" spans="1:2" x14ac:dyDescent="0.2">
      <c r="A661" s="70">
        <f>Listas!E656</f>
        <v>0</v>
      </c>
      <c r="B661" s="70" t="str">
        <f t="shared" si="10"/>
        <v/>
      </c>
    </row>
    <row r="662" spans="1:2" x14ac:dyDescent="0.2">
      <c r="A662" s="70">
        <f>Listas!E657</f>
        <v>0</v>
      </c>
      <c r="B662" s="70" t="str">
        <f t="shared" si="10"/>
        <v/>
      </c>
    </row>
    <row r="663" spans="1:2" x14ac:dyDescent="0.2">
      <c r="A663" s="70">
        <f>Listas!E658</f>
        <v>0</v>
      </c>
      <c r="B663" s="70" t="str">
        <f t="shared" si="10"/>
        <v/>
      </c>
    </row>
    <row r="664" spans="1:2" x14ac:dyDescent="0.2">
      <c r="A664" s="70">
        <f>Listas!E659</f>
        <v>0</v>
      </c>
      <c r="B664" s="70" t="str">
        <f t="shared" si="10"/>
        <v/>
      </c>
    </row>
    <row r="665" spans="1:2" x14ac:dyDescent="0.2">
      <c r="A665" s="70">
        <f>Listas!E660</f>
        <v>0</v>
      </c>
      <c r="B665" s="70" t="str">
        <f t="shared" si="10"/>
        <v/>
      </c>
    </row>
    <row r="666" spans="1:2" x14ac:dyDescent="0.2">
      <c r="A666" s="70">
        <f>Listas!E661</f>
        <v>0</v>
      </c>
      <c r="B666" s="70" t="str">
        <f t="shared" si="10"/>
        <v/>
      </c>
    </row>
    <row r="667" spans="1:2" x14ac:dyDescent="0.2">
      <c r="A667" s="70">
        <f>Listas!E662</f>
        <v>0</v>
      </c>
      <c r="B667" s="70" t="str">
        <f t="shared" si="10"/>
        <v/>
      </c>
    </row>
    <row r="668" spans="1:2" x14ac:dyDescent="0.2">
      <c r="A668" s="70">
        <f>Listas!E663</f>
        <v>0</v>
      </c>
      <c r="B668" s="70" t="str">
        <f t="shared" si="10"/>
        <v/>
      </c>
    </row>
    <row r="669" spans="1:2" x14ac:dyDescent="0.2">
      <c r="A669" s="70">
        <f>Listas!E664</f>
        <v>0</v>
      </c>
      <c r="B669" s="70" t="str">
        <f t="shared" si="10"/>
        <v/>
      </c>
    </row>
    <row r="670" spans="1:2" x14ac:dyDescent="0.2">
      <c r="A670" s="70">
        <f>Listas!E665</f>
        <v>0</v>
      </c>
      <c r="B670" s="70" t="str">
        <f t="shared" si="10"/>
        <v/>
      </c>
    </row>
    <row r="671" spans="1:2" x14ac:dyDescent="0.2">
      <c r="A671" s="70">
        <f>Listas!E666</f>
        <v>0</v>
      </c>
      <c r="B671" s="70" t="str">
        <f t="shared" si="10"/>
        <v/>
      </c>
    </row>
    <row r="672" spans="1:2" x14ac:dyDescent="0.2">
      <c r="A672" s="70">
        <f>Listas!E667</f>
        <v>0</v>
      </c>
      <c r="B672" s="70" t="str">
        <f t="shared" si="10"/>
        <v/>
      </c>
    </row>
    <row r="673" spans="1:2" x14ac:dyDescent="0.2">
      <c r="A673" s="70">
        <f>Listas!E668</f>
        <v>0</v>
      </c>
      <c r="B673" s="70" t="str">
        <f t="shared" si="10"/>
        <v/>
      </c>
    </row>
    <row r="674" spans="1:2" x14ac:dyDescent="0.2">
      <c r="A674" s="70">
        <f>Listas!E669</f>
        <v>0</v>
      </c>
      <c r="B674" s="70" t="str">
        <f t="shared" si="10"/>
        <v/>
      </c>
    </row>
    <row r="675" spans="1:2" x14ac:dyDescent="0.2">
      <c r="A675" s="70">
        <f>Listas!E670</f>
        <v>0</v>
      </c>
      <c r="B675" s="70" t="str">
        <f t="shared" si="10"/>
        <v/>
      </c>
    </row>
    <row r="676" spans="1:2" x14ac:dyDescent="0.2">
      <c r="A676" s="70">
        <f>Listas!E671</f>
        <v>0</v>
      </c>
      <c r="B676" s="70" t="str">
        <f t="shared" si="10"/>
        <v/>
      </c>
    </row>
    <row r="677" spans="1:2" x14ac:dyDescent="0.2">
      <c r="A677" s="70">
        <f>Listas!E672</f>
        <v>0</v>
      </c>
      <c r="B677" s="70" t="str">
        <f t="shared" si="10"/>
        <v/>
      </c>
    </row>
    <row r="678" spans="1:2" x14ac:dyDescent="0.2">
      <c r="A678" s="70">
        <f>Listas!E673</f>
        <v>0</v>
      </c>
      <c r="B678" s="70" t="str">
        <f t="shared" si="10"/>
        <v/>
      </c>
    </row>
    <row r="679" spans="1:2" x14ac:dyDescent="0.2">
      <c r="A679" s="70">
        <f>Listas!E674</f>
        <v>0</v>
      </c>
      <c r="B679" s="70" t="str">
        <f t="shared" si="10"/>
        <v/>
      </c>
    </row>
    <row r="680" spans="1:2" x14ac:dyDescent="0.2">
      <c r="A680" s="70">
        <f>Listas!E675</f>
        <v>0</v>
      </c>
      <c r="B680" s="70" t="str">
        <f t="shared" si="10"/>
        <v/>
      </c>
    </row>
    <row r="681" spans="1:2" x14ac:dyDescent="0.2">
      <c r="A681" s="70">
        <f>Listas!E676</f>
        <v>0</v>
      </c>
      <c r="B681" s="70" t="str">
        <f t="shared" si="10"/>
        <v/>
      </c>
    </row>
    <row r="682" spans="1:2" x14ac:dyDescent="0.2">
      <c r="A682" s="70">
        <f>Listas!E677</f>
        <v>0</v>
      </c>
      <c r="B682" s="70" t="str">
        <f t="shared" si="10"/>
        <v/>
      </c>
    </row>
    <row r="683" spans="1:2" x14ac:dyDescent="0.2">
      <c r="A683" s="70">
        <f>Listas!E678</f>
        <v>0</v>
      </c>
      <c r="B683" s="70" t="str">
        <f t="shared" si="10"/>
        <v/>
      </c>
    </row>
    <row r="684" spans="1:2" x14ac:dyDescent="0.2">
      <c r="A684" s="70">
        <f>Listas!E679</f>
        <v>0</v>
      </c>
      <c r="B684" s="70" t="str">
        <f t="shared" si="10"/>
        <v/>
      </c>
    </row>
    <row r="685" spans="1:2" x14ac:dyDescent="0.2">
      <c r="A685" s="70">
        <f>Listas!E680</f>
        <v>0</v>
      </c>
      <c r="B685" s="70" t="str">
        <f t="shared" si="10"/>
        <v/>
      </c>
    </row>
    <row r="686" spans="1:2" x14ac:dyDescent="0.2">
      <c r="A686" s="70">
        <f>Listas!E681</f>
        <v>0</v>
      </c>
      <c r="B686" s="70" t="str">
        <f t="shared" si="10"/>
        <v/>
      </c>
    </row>
    <row r="687" spans="1:2" x14ac:dyDescent="0.2">
      <c r="A687" s="70">
        <f>Listas!E682</f>
        <v>0</v>
      </c>
      <c r="B687" s="70" t="str">
        <f t="shared" si="10"/>
        <v/>
      </c>
    </row>
    <row r="688" spans="1:2" x14ac:dyDescent="0.2">
      <c r="A688" s="70">
        <f>Listas!E683</f>
        <v>0</v>
      </c>
      <c r="B688" s="70" t="str">
        <f t="shared" si="10"/>
        <v/>
      </c>
    </row>
    <row r="689" spans="1:2" x14ac:dyDescent="0.2">
      <c r="A689" s="70">
        <f>Listas!E684</f>
        <v>0</v>
      </c>
      <c r="B689" s="70" t="str">
        <f t="shared" si="10"/>
        <v/>
      </c>
    </row>
    <row r="690" spans="1:2" x14ac:dyDescent="0.2">
      <c r="A690" s="70">
        <f>Listas!E685</f>
        <v>0</v>
      </c>
      <c r="B690" s="70" t="str">
        <f t="shared" si="10"/>
        <v/>
      </c>
    </row>
    <row r="691" spans="1:2" x14ac:dyDescent="0.2">
      <c r="A691" s="70">
        <f>Listas!E686</f>
        <v>0</v>
      </c>
      <c r="B691" s="70" t="str">
        <f t="shared" si="10"/>
        <v/>
      </c>
    </row>
    <row r="692" spans="1:2" x14ac:dyDescent="0.2">
      <c r="A692" s="70">
        <f>Listas!E687</f>
        <v>0</v>
      </c>
      <c r="B692" s="70" t="str">
        <f t="shared" si="10"/>
        <v/>
      </c>
    </row>
    <row r="693" spans="1:2" x14ac:dyDescent="0.2">
      <c r="A693" s="70">
        <f>Listas!E688</f>
        <v>0</v>
      </c>
      <c r="B693" s="70" t="str">
        <f t="shared" si="10"/>
        <v/>
      </c>
    </row>
    <row r="694" spans="1:2" x14ac:dyDescent="0.2">
      <c r="A694" s="70">
        <f>Listas!E689</f>
        <v>0</v>
      </c>
      <c r="B694" s="70" t="str">
        <f t="shared" si="10"/>
        <v/>
      </c>
    </row>
    <row r="695" spans="1:2" x14ac:dyDescent="0.2">
      <c r="A695" s="70">
        <f>Listas!E690</f>
        <v>0</v>
      </c>
      <c r="B695" s="70" t="str">
        <f t="shared" si="10"/>
        <v/>
      </c>
    </row>
    <row r="696" spans="1:2" x14ac:dyDescent="0.2">
      <c r="A696" s="70">
        <f>Listas!E691</f>
        <v>0</v>
      </c>
      <c r="B696" s="70" t="str">
        <f t="shared" si="10"/>
        <v/>
      </c>
    </row>
    <row r="697" spans="1:2" x14ac:dyDescent="0.2">
      <c r="A697" s="70">
        <f>Listas!E692</f>
        <v>0</v>
      </c>
      <c r="B697" s="70" t="str">
        <f t="shared" si="10"/>
        <v/>
      </c>
    </row>
    <row r="698" spans="1:2" x14ac:dyDescent="0.2">
      <c r="A698" s="70">
        <f>Listas!E693</f>
        <v>0</v>
      </c>
      <c r="B698" s="70" t="str">
        <f t="shared" si="10"/>
        <v/>
      </c>
    </row>
    <row r="699" spans="1:2" x14ac:dyDescent="0.2">
      <c r="A699" s="70">
        <f>Listas!E694</f>
        <v>0</v>
      </c>
      <c r="B699" s="70" t="str">
        <f t="shared" si="10"/>
        <v/>
      </c>
    </row>
    <row r="700" spans="1:2" x14ac:dyDescent="0.2">
      <c r="A700" s="70">
        <f>Listas!E695</f>
        <v>0</v>
      </c>
      <c r="B700" s="70" t="str">
        <f t="shared" si="10"/>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1736</v>
      </c>
      <c r="B1" s="72" t="s">
        <v>1737</v>
      </c>
      <c r="C1" s="72" t="s">
        <v>1735</v>
      </c>
    </row>
    <row r="2" spans="1:3" x14ac:dyDescent="0.2">
      <c r="A2" s="99" t="s">
        <v>1738</v>
      </c>
      <c r="B2" s="70" t="s">
        <v>934</v>
      </c>
      <c r="C2" s="100" t="s">
        <v>1739</v>
      </c>
    </row>
    <row r="3" spans="1:3" x14ac:dyDescent="0.2">
      <c r="A3" s="99" t="s">
        <v>1740</v>
      </c>
      <c r="B3" s="70" t="s">
        <v>934</v>
      </c>
      <c r="C3" s="100" t="s">
        <v>1739</v>
      </c>
    </row>
    <row r="4" spans="1:3" x14ac:dyDescent="0.2">
      <c r="A4" s="99" t="s">
        <v>1741</v>
      </c>
      <c r="B4" s="70" t="s">
        <v>934</v>
      </c>
      <c r="C4" s="100" t="s">
        <v>1739</v>
      </c>
    </row>
    <row r="5" spans="1:3" x14ac:dyDescent="0.2">
      <c r="A5" s="99" t="s">
        <v>1742</v>
      </c>
      <c r="B5" s="70" t="s">
        <v>934</v>
      </c>
      <c r="C5" s="100" t="s">
        <v>1739</v>
      </c>
    </row>
    <row r="6" spans="1:3" x14ac:dyDescent="0.2">
      <c r="A6" s="99" t="s">
        <v>1743</v>
      </c>
      <c r="B6" s="70" t="s">
        <v>949</v>
      </c>
      <c r="C6" s="100" t="s">
        <v>1739</v>
      </c>
    </row>
    <row r="7" spans="1:3" x14ac:dyDescent="0.2">
      <c r="A7" s="99" t="s">
        <v>1744</v>
      </c>
      <c r="B7" s="70" t="s">
        <v>934</v>
      </c>
      <c r="C7" s="100" t="s">
        <v>1739</v>
      </c>
    </row>
    <row r="8" spans="1:3" x14ac:dyDescent="0.2">
      <c r="A8" s="99" t="s">
        <v>1745</v>
      </c>
      <c r="B8" s="70" t="s">
        <v>934</v>
      </c>
      <c r="C8" s="100" t="s">
        <v>1739</v>
      </c>
    </row>
    <row r="9" spans="1:3" x14ac:dyDescent="0.2">
      <c r="A9" s="99" t="s">
        <v>1746</v>
      </c>
      <c r="B9" s="70" t="s">
        <v>934</v>
      </c>
      <c r="C9" s="100" t="s">
        <v>1739</v>
      </c>
    </row>
    <row r="10" spans="1:3" x14ac:dyDescent="0.2">
      <c r="A10" s="99" t="s">
        <v>1747</v>
      </c>
      <c r="B10" s="70" t="s">
        <v>934</v>
      </c>
      <c r="C10" s="100" t="s">
        <v>1739</v>
      </c>
    </row>
    <row r="11" spans="1:3" x14ac:dyDescent="0.2">
      <c r="A11" s="99" t="s">
        <v>1748</v>
      </c>
      <c r="B11" s="70" t="s">
        <v>934</v>
      </c>
      <c r="C11" s="100" t="s">
        <v>1739</v>
      </c>
    </row>
    <row r="12" spans="1:3" x14ac:dyDescent="0.2">
      <c r="A12" s="99" t="s">
        <v>1749</v>
      </c>
      <c r="B12" s="70" t="s">
        <v>934</v>
      </c>
      <c r="C12" s="100" t="s">
        <v>1739</v>
      </c>
    </row>
    <row r="13" spans="1:3" x14ac:dyDescent="0.2">
      <c r="A13" s="99" t="s">
        <v>1750</v>
      </c>
      <c r="B13" s="70" t="s">
        <v>934</v>
      </c>
      <c r="C13" s="100" t="s">
        <v>1739</v>
      </c>
    </row>
    <row r="14" spans="1:3" x14ac:dyDescent="0.2">
      <c r="A14" s="99" t="s">
        <v>1751</v>
      </c>
      <c r="B14" s="70" t="s">
        <v>934</v>
      </c>
      <c r="C14" s="100" t="s">
        <v>1739</v>
      </c>
    </row>
    <row r="15" spans="1:3" x14ac:dyDescent="0.2">
      <c r="A15" s="99" t="s">
        <v>1752</v>
      </c>
      <c r="B15" s="70" t="s">
        <v>934</v>
      </c>
      <c r="C15" s="100" t="s">
        <v>1739</v>
      </c>
    </row>
    <row r="16" spans="1:3" x14ac:dyDescent="0.2">
      <c r="A16" s="99" t="s">
        <v>1753</v>
      </c>
      <c r="B16" s="70" t="s">
        <v>934</v>
      </c>
      <c r="C16" s="100" t="s">
        <v>1739</v>
      </c>
    </row>
    <row r="17" spans="1:3" x14ac:dyDescent="0.2">
      <c r="A17" s="99" t="s">
        <v>1754</v>
      </c>
      <c r="B17" s="70" t="s">
        <v>934</v>
      </c>
      <c r="C17" s="100" t="s">
        <v>1739</v>
      </c>
    </row>
    <row r="18" spans="1:3" x14ac:dyDescent="0.2">
      <c r="A18" s="99" t="s">
        <v>1755</v>
      </c>
      <c r="B18" s="70" t="s">
        <v>935</v>
      </c>
      <c r="C18" s="100" t="s">
        <v>1739</v>
      </c>
    </row>
    <row r="19" spans="1:3" x14ac:dyDescent="0.2">
      <c r="A19" s="99" t="s">
        <v>1756</v>
      </c>
      <c r="B19" s="70" t="s">
        <v>935</v>
      </c>
      <c r="C19" s="100" t="s">
        <v>1739</v>
      </c>
    </row>
    <row r="20" spans="1:3" x14ac:dyDescent="0.2">
      <c r="A20" s="99" t="s">
        <v>1757</v>
      </c>
      <c r="B20" s="70" t="s">
        <v>935</v>
      </c>
      <c r="C20" s="100" t="s">
        <v>1739</v>
      </c>
    </row>
    <row r="21" spans="1:3" x14ac:dyDescent="0.2">
      <c r="A21" s="99" t="s">
        <v>1758</v>
      </c>
      <c r="B21" s="70" t="s">
        <v>935</v>
      </c>
      <c r="C21" s="100" t="s">
        <v>1739</v>
      </c>
    </row>
    <row r="22" spans="1:3" x14ac:dyDescent="0.2">
      <c r="A22" s="99" t="s">
        <v>1759</v>
      </c>
      <c r="B22" s="70" t="s">
        <v>936</v>
      </c>
      <c r="C22" s="101" t="s">
        <v>1760</v>
      </c>
    </row>
    <row r="23" spans="1:3" x14ac:dyDescent="0.2">
      <c r="A23" s="99" t="s">
        <v>1761</v>
      </c>
      <c r="B23" s="70" t="s">
        <v>936</v>
      </c>
      <c r="C23" s="101" t="s">
        <v>1760</v>
      </c>
    </row>
    <row r="24" spans="1:3" x14ac:dyDescent="0.2">
      <c r="A24" s="99" t="s">
        <v>1762</v>
      </c>
      <c r="B24" s="70" t="s">
        <v>936</v>
      </c>
      <c r="C24" s="101" t="s">
        <v>1760</v>
      </c>
    </row>
    <row r="25" spans="1:3" x14ac:dyDescent="0.2">
      <c r="A25" s="99" t="s">
        <v>1763</v>
      </c>
      <c r="B25" s="70" t="s">
        <v>937</v>
      </c>
      <c r="C25" s="101" t="s">
        <v>1760</v>
      </c>
    </row>
    <row r="26" spans="1:3" x14ac:dyDescent="0.2">
      <c r="A26" s="99" t="s">
        <v>1764</v>
      </c>
      <c r="B26" s="70" t="s">
        <v>937</v>
      </c>
      <c r="C26" s="101" t="s">
        <v>1760</v>
      </c>
    </row>
    <row r="27" spans="1:3" x14ac:dyDescent="0.2">
      <c r="A27" s="99" t="s">
        <v>1765</v>
      </c>
      <c r="B27" s="70" t="s">
        <v>937</v>
      </c>
      <c r="C27" s="101" t="s">
        <v>1760</v>
      </c>
    </row>
    <row r="28" spans="1:3" x14ac:dyDescent="0.2">
      <c r="A28" s="99" t="s">
        <v>1766</v>
      </c>
      <c r="B28" s="70" t="s">
        <v>937</v>
      </c>
      <c r="C28" s="101" t="s">
        <v>1760</v>
      </c>
    </row>
    <row r="29" spans="1:3" x14ac:dyDescent="0.2">
      <c r="A29" s="99" t="s">
        <v>1767</v>
      </c>
      <c r="B29" s="70" t="s">
        <v>938</v>
      </c>
      <c r="C29" s="101" t="s">
        <v>1760</v>
      </c>
    </row>
    <row r="30" spans="1:3" x14ac:dyDescent="0.2">
      <c r="A30" s="99" t="s">
        <v>1768</v>
      </c>
      <c r="B30" s="70" t="s">
        <v>938</v>
      </c>
      <c r="C30" s="101" t="s">
        <v>1760</v>
      </c>
    </row>
    <row r="31" spans="1:3" x14ac:dyDescent="0.2">
      <c r="A31" s="99" t="s">
        <v>1769</v>
      </c>
      <c r="B31" s="70" t="s">
        <v>939</v>
      </c>
      <c r="C31" s="102" t="s">
        <v>1770</v>
      </c>
    </row>
    <row r="32" spans="1:3" x14ac:dyDescent="0.2">
      <c r="A32" s="99" t="s">
        <v>1771</v>
      </c>
      <c r="B32" s="70" t="s">
        <v>939</v>
      </c>
      <c r="C32" s="102" t="s">
        <v>1770</v>
      </c>
    </row>
    <row r="33" spans="1:3" x14ac:dyDescent="0.2">
      <c r="A33" s="99" t="s">
        <v>1772</v>
      </c>
      <c r="B33" s="70" t="s">
        <v>940</v>
      </c>
      <c r="C33" s="101" t="s">
        <v>1760</v>
      </c>
    </row>
    <row r="34" spans="1:3" x14ac:dyDescent="0.2">
      <c r="A34" s="99" t="s">
        <v>1773</v>
      </c>
      <c r="B34" s="70" t="s">
        <v>940</v>
      </c>
      <c r="C34" s="101" t="s">
        <v>1760</v>
      </c>
    </row>
    <row r="35" spans="1:3" x14ac:dyDescent="0.2">
      <c r="A35" s="99" t="s">
        <v>1774</v>
      </c>
      <c r="B35" s="70" t="s">
        <v>941</v>
      </c>
      <c r="C35" s="100" t="s">
        <v>1739</v>
      </c>
    </row>
    <row r="36" spans="1:3" x14ac:dyDescent="0.2">
      <c r="A36" s="99" t="s">
        <v>1775</v>
      </c>
      <c r="B36" s="70" t="s">
        <v>941</v>
      </c>
      <c r="C36" s="100" t="s">
        <v>1739</v>
      </c>
    </row>
    <row r="37" spans="1:3" x14ac:dyDescent="0.2">
      <c r="A37" s="99" t="s">
        <v>1776</v>
      </c>
      <c r="B37" s="70" t="s">
        <v>941</v>
      </c>
      <c r="C37" s="100" t="s">
        <v>1739</v>
      </c>
    </row>
    <row r="38" spans="1:3" x14ac:dyDescent="0.2">
      <c r="A38" s="99" t="s">
        <v>1777</v>
      </c>
      <c r="B38" s="70" t="s">
        <v>942</v>
      </c>
      <c r="C38" s="102" t="s">
        <v>1770</v>
      </c>
    </row>
    <row r="39" spans="1:3" x14ac:dyDescent="0.2">
      <c r="A39" s="99" t="s">
        <v>1778</v>
      </c>
      <c r="B39" s="70" t="s">
        <v>942</v>
      </c>
      <c r="C39" s="102" t="s">
        <v>1770</v>
      </c>
    </row>
    <row r="40" spans="1:3" x14ac:dyDescent="0.2">
      <c r="A40" s="99" t="s">
        <v>1779</v>
      </c>
      <c r="B40" s="70" t="s">
        <v>942</v>
      </c>
      <c r="C40" s="102" t="s">
        <v>1770</v>
      </c>
    </row>
    <row r="41" spans="1:3" x14ac:dyDescent="0.2">
      <c r="A41" s="99" t="s">
        <v>1780</v>
      </c>
      <c r="B41" s="70" t="s">
        <v>942</v>
      </c>
      <c r="C41" s="102" t="s">
        <v>1770</v>
      </c>
    </row>
    <row r="42" spans="1:3" x14ac:dyDescent="0.2">
      <c r="A42" s="99" t="s">
        <v>1781</v>
      </c>
      <c r="B42" s="70" t="s">
        <v>943</v>
      </c>
      <c r="C42" s="101" t="s">
        <v>1760</v>
      </c>
    </row>
    <row r="43" spans="1:3" x14ac:dyDescent="0.2">
      <c r="A43" s="99" t="s">
        <v>1782</v>
      </c>
      <c r="B43" s="70" t="s">
        <v>943</v>
      </c>
      <c r="C43" s="101" t="s">
        <v>1760</v>
      </c>
    </row>
    <row r="44" spans="1:3" x14ac:dyDescent="0.2">
      <c r="A44" s="99" t="s">
        <v>1783</v>
      </c>
      <c r="B44" s="70" t="s">
        <v>944</v>
      </c>
      <c r="C44" s="101" t="s">
        <v>1760</v>
      </c>
    </row>
    <row r="45" spans="1:3" x14ac:dyDescent="0.2">
      <c r="A45" s="99" t="s">
        <v>1784</v>
      </c>
      <c r="B45" s="70" t="s">
        <v>944</v>
      </c>
      <c r="C45" s="101" t="s">
        <v>1760</v>
      </c>
    </row>
    <row r="46" spans="1:3" x14ac:dyDescent="0.2">
      <c r="A46" s="99" t="s">
        <v>1785</v>
      </c>
      <c r="B46" s="70" t="s">
        <v>945</v>
      </c>
      <c r="C46" s="102" t="s">
        <v>1770</v>
      </c>
    </row>
    <row r="47" spans="1:3" x14ac:dyDescent="0.2">
      <c r="A47" s="99" t="s">
        <v>1786</v>
      </c>
      <c r="B47" s="70" t="s">
        <v>946</v>
      </c>
      <c r="C47" s="102" t="s">
        <v>1770</v>
      </c>
    </row>
    <row r="48" spans="1:3" x14ac:dyDescent="0.2">
      <c r="A48" s="99" t="s">
        <v>1787</v>
      </c>
      <c r="B48" s="70" t="s">
        <v>946</v>
      </c>
      <c r="C48" s="102" t="s">
        <v>1770</v>
      </c>
    </row>
    <row r="49" spans="1:3" x14ac:dyDescent="0.2">
      <c r="A49" s="99" t="s">
        <v>1788</v>
      </c>
      <c r="B49" s="70" t="s">
        <v>947</v>
      </c>
      <c r="C49" s="101" t="s">
        <v>1760</v>
      </c>
    </row>
    <row r="50" spans="1:3" x14ac:dyDescent="0.2">
      <c r="A50" s="99" t="s">
        <v>1789</v>
      </c>
      <c r="B50" s="70" t="s">
        <v>948</v>
      </c>
      <c r="C50" s="102" t="s">
        <v>1760</v>
      </c>
    </row>
    <row r="51" spans="1:3" x14ac:dyDescent="0.2">
      <c r="A51" s="99" t="s">
        <v>1790</v>
      </c>
      <c r="B51" s="70" t="s">
        <v>948</v>
      </c>
      <c r="C51" s="102" t="s">
        <v>1760</v>
      </c>
    </row>
    <row r="52" spans="1:3" x14ac:dyDescent="0.2">
      <c r="A52" s="99" t="s">
        <v>1791</v>
      </c>
      <c r="B52" s="70" t="s">
        <v>948</v>
      </c>
      <c r="C52" s="102" t="s">
        <v>1760</v>
      </c>
    </row>
    <row r="53" spans="1:3" x14ac:dyDescent="0.2">
      <c r="A53" s="99" t="s">
        <v>1792</v>
      </c>
      <c r="B53" s="70" t="s">
        <v>949</v>
      </c>
      <c r="C53" s="101" t="s">
        <v>1760</v>
      </c>
    </row>
    <row r="54" spans="1:3" x14ac:dyDescent="0.2">
      <c r="A54" s="99" t="s">
        <v>1793</v>
      </c>
      <c r="B54" s="70" t="s">
        <v>949</v>
      </c>
      <c r="C54" s="101" t="s">
        <v>1760</v>
      </c>
    </row>
    <row r="55" spans="1:3" x14ac:dyDescent="0.2">
      <c r="A55" s="99" t="s">
        <v>1794</v>
      </c>
      <c r="B55" s="70" t="s">
        <v>950</v>
      </c>
      <c r="C55" s="102" t="s">
        <v>1760</v>
      </c>
    </row>
    <row r="56" spans="1:3" x14ac:dyDescent="0.2">
      <c r="A56" s="99" t="s">
        <v>1795</v>
      </c>
      <c r="B56" s="70" t="s">
        <v>950</v>
      </c>
      <c r="C56" s="102" t="s">
        <v>1760</v>
      </c>
    </row>
    <row r="57" spans="1:3" x14ac:dyDescent="0.2">
      <c r="A57" s="99" t="s">
        <v>1796</v>
      </c>
      <c r="B57" s="70" t="s">
        <v>951</v>
      </c>
      <c r="C57" s="101" t="s">
        <v>1760</v>
      </c>
    </row>
    <row r="58" spans="1:3" x14ac:dyDescent="0.2">
      <c r="A58" s="99" t="s">
        <v>1797</v>
      </c>
      <c r="B58" s="70" t="s">
        <v>951</v>
      </c>
      <c r="C58" s="101" t="s">
        <v>1760</v>
      </c>
    </row>
    <row r="59" spans="1:3" x14ac:dyDescent="0.2">
      <c r="A59" s="99" t="s">
        <v>1798</v>
      </c>
      <c r="B59" s="70" t="s">
        <v>951</v>
      </c>
      <c r="C59" s="101" t="s">
        <v>1760</v>
      </c>
    </row>
    <row r="60" spans="1:3" x14ac:dyDescent="0.2">
      <c r="A60" s="99" t="s">
        <v>1799</v>
      </c>
      <c r="B60" s="70" t="s">
        <v>952</v>
      </c>
      <c r="C60" s="101" t="s">
        <v>1760</v>
      </c>
    </row>
    <row r="61" spans="1:3" x14ac:dyDescent="0.2">
      <c r="A61" s="99" t="s">
        <v>1800</v>
      </c>
      <c r="B61" s="70" t="s">
        <v>953</v>
      </c>
      <c r="C61" s="102" t="s">
        <v>1770</v>
      </c>
    </row>
    <row r="62" spans="1:3" x14ac:dyDescent="0.2">
      <c r="A62" s="99" t="s">
        <v>1801</v>
      </c>
      <c r="B62" s="70" t="s">
        <v>953</v>
      </c>
      <c r="C62" s="102" t="s">
        <v>1770</v>
      </c>
    </row>
    <row r="63" spans="1:3" x14ac:dyDescent="0.2">
      <c r="A63" s="99" t="s">
        <v>1802</v>
      </c>
      <c r="B63" s="70" t="s">
        <v>954</v>
      </c>
      <c r="C63" s="101" t="s">
        <v>1760</v>
      </c>
    </row>
    <row r="64" spans="1:3" x14ac:dyDescent="0.2">
      <c r="A64" s="99" t="s">
        <v>1803</v>
      </c>
      <c r="B64" s="70" t="s">
        <v>954</v>
      </c>
      <c r="C64" s="101" t="s">
        <v>1760</v>
      </c>
    </row>
    <row r="65" spans="1:3" x14ac:dyDescent="0.2">
      <c r="A65" s="99" t="s">
        <v>1804</v>
      </c>
      <c r="B65" s="70" t="s">
        <v>954</v>
      </c>
      <c r="C65" s="101" t="s">
        <v>1760</v>
      </c>
    </row>
    <row r="66" spans="1:3" x14ac:dyDescent="0.2">
      <c r="A66" s="99" t="s">
        <v>1805</v>
      </c>
      <c r="B66" s="70" t="s">
        <v>954</v>
      </c>
      <c r="C66" s="101" t="s">
        <v>1760</v>
      </c>
    </row>
    <row r="67" spans="1:3" x14ac:dyDescent="0.2">
      <c r="A67" s="99" t="s">
        <v>1806</v>
      </c>
      <c r="B67" s="70" t="s">
        <v>954</v>
      </c>
      <c r="C67" s="101" t="s">
        <v>1760</v>
      </c>
    </row>
    <row r="68" spans="1:3" x14ac:dyDescent="0.2">
      <c r="A68" s="99" t="s">
        <v>1807</v>
      </c>
      <c r="B68" s="70" t="s">
        <v>954</v>
      </c>
      <c r="C68" s="101" t="s">
        <v>1760</v>
      </c>
    </row>
    <row r="69" spans="1:3" x14ac:dyDescent="0.2">
      <c r="A69" s="99" t="s">
        <v>1808</v>
      </c>
      <c r="B69" s="70" t="s">
        <v>954</v>
      </c>
      <c r="C69" s="101" t="s">
        <v>1760</v>
      </c>
    </row>
    <row r="70" spans="1:3" x14ac:dyDescent="0.2">
      <c r="A70" s="99" t="s">
        <v>1809</v>
      </c>
      <c r="B70" s="70" t="s">
        <v>955</v>
      </c>
      <c r="C70" s="101" t="s">
        <v>1760</v>
      </c>
    </row>
    <row r="71" spans="1:3" x14ac:dyDescent="0.2">
      <c r="A71" s="99" t="s">
        <v>1810</v>
      </c>
      <c r="B71" s="70" t="s">
        <v>956</v>
      </c>
      <c r="C71" s="102" t="s">
        <v>1770</v>
      </c>
    </row>
    <row r="72" spans="1:3" x14ac:dyDescent="0.2">
      <c r="A72" s="99" t="s">
        <v>1811</v>
      </c>
      <c r="B72" s="70" t="s">
        <v>956</v>
      </c>
      <c r="C72" s="102" t="s">
        <v>1770</v>
      </c>
    </row>
    <row r="73" spans="1:3" x14ac:dyDescent="0.2">
      <c r="A73" s="99" t="s">
        <v>1812</v>
      </c>
      <c r="B73" s="70" t="s">
        <v>957</v>
      </c>
      <c r="C73" s="101" t="s">
        <v>1760</v>
      </c>
    </row>
    <row r="74" spans="1:3" x14ac:dyDescent="0.2">
      <c r="A74" s="99" t="s">
        <v>1813</v>
      </c>
      <c r="B74" s="70" t="s">
        <v>958</v>
      </c>
      <c r="C74" s="102" t="s">
        <v>1770</v>
      </c>
    </row>
    <row r="75" spans="1:3" x14ac:dyDescent="0.2">
      <c r="A75" s="99" t="s">
        <v>1814</v>
      </c>
      <c r="B75" s="70" t="s">
        <v>958</v>
      </c>
      <c r="C75" s="102" t="s">
        <v>1770</v>
      </c>
    </row>
    <row r="76" spans="1:3" x14ac:dyDescent="0.2">
      <c r="A76" s="99" t="s">
        <v>1815</v>
      </c>
      <c r="B76" s="70" t="s">
        <v>959</v>
      </c>
      <c r="C76" s="101" t="s">
        <v>1760</v>
      </c>
    </row>
    <row r="77" spans="1:3" x14ac:dyDescent="0.2">
      <c r="A77" s="99" t="s">
        <v>6</v>
      </c>
      <c r="B77" s="70" t="s">
        <v>959</v>
      </c>
      <c r="C77" s="101" t="s">
        <v>1760</v>
      </c>
    </row>
    <row r="78" spans="1:3" x14ac:dyDescent="0.2">
      <c r="A78" s="99" t="s">
        <v>1816</v>
      </c>
      <c r="B78" s="70" t="s">
        <v>1397</v>
      </c>
      <c r="C78" s="103" t="s">
        <v>1817</v>
      </c>
    </row>
    <row r="79" spans="1:3" x14ac:dyDescent="0.2">
      <c r="A79" s="99" t="s">
        <v>1818</v>
      </c>
      <c r="B79" s="70" t="s">
        <v>1397</v>
      </c>
      <c r="C79" s="103" t="s">
        <v>1817</v>
      </c>
    </row>
    <row r="80" spans="1:3" x14ac:dyDescent="0.2">
      <c r="A80" s="99" t="s">
        <v>1819</v>
      </c>
      <c r="B80" s="70" t="s">
        <v>1399</v>
      </c>
      <c r="C80" s="103" t="s">
        <v>1817</v>
      </c>
    </row>
    <row r="81" spans="1:3" x14ac:dyDescent="0.2">
      <c r="A81" s="99" t="s">
        <v>1820</v>
      </c>
      <c r="B81" s="70" t="s">
        <v>1399</v>
      </c>
      <c r="C81" s="103" t="s">
        <v>1817</v>
      </c>
    </row>
    <row r="82" spans="1:3" x14ac:dyDescent="0.2">
      <c r="A82" s="99" t="s">
        <v>1821</v>
      </c>
      <c r="B82" s="70" t="s">
        <v>1398</v>
      </c>
      <c r="C82" s="103" t="s">
        <v>1817</v>
      </c>
    </row>
    <row r="83" spans="1:3" x14ac:dyDescent="0.2">
      <c r="A83" s="99" t="s">
        <v>1822</v>
      </c>
      <c r="B83" s="70" t="s">
        <v>1398</v>
      </c>
      <c r="C83" s="103" t="s">
        <v>1817</v>
      </c>
    </row>
    <row r="84" spans="1:3" x14ac:dyDescent="0.2">
      <c r="A84" s="99" t="s">
        <v>1823</v>
      </c>
      <c r="B84" s="70" t="s">
        <v>1398</v>
      </c>
      <c r="C84" s="103" t="s">
        <v>1817</v>
      </c>
    </row>
    <row r="85" spans="1:3" x14ac:dyDescent="0.2">
      <c r="A85" s="99" t="s">
        <v>1824</v>
      </c>
      <c r="B85" s="99" t="s">
        <v>934</v>
      </c>
      <c r="C85" s="99" t="s">
        <v>1739</v>
      </c>
    </row>
    <row r="86" spans="1:3" x14ac:dyDescent="0.2">
      <c r="A86" s="99" t="s">
        <v>1825</v>
      </c>
      <c r="B86" s="99" t="s">
        <v>934</v>
      </c>
      <c r="C86" s="99" t="s">
        <v>1739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1826</v>
      </c>
      <c r="B1" s="104" t="s">
        <v>34</v>
      </c>
      <c r="C1" s="104" t="s">
        <v>1837</v>
      </c>
      <c r="D1" s="104" t="s">
        <v>1838</v>
      </c>
      <c r="E1" s="104" t="s">
        <v>1827</v>
      </c>
      <c r="F1" s="104" t="s">
        <v>35</v>
      </c>
      <c r="G1" s="104" t="s">
        <v>1839</v>
      </c>
      <c r="H1" s="104" t="s">
        <v>1840</v>
      </c>
      <c r="I1" s="104" t="s">
        <v>1828</v>
      </c>
      <c r="J1" s="104" t="s">
        <v>36</v>
      </c>
      <c r="K1" s="104" t="s">
        <v>1841</v>
      </c>
      <c r="L1" s="104" t="s">
        <v>1842</v>
      </c>
      <c r="M1" s="104" t="s">
        <v>1829</v>
      </c>
    </row>
    <row r="2" spans="1:13" x14ac:dyDescent="0.2">
      <c r="A2" s="98" t="s">
        <v>76</v>
      </c>
    </row>
    <row r="3" spans="1:13" x14ac:dyDescent="0.2">
      <c r="A3" s="98" t="s">
        <v>969</v>
      </c>
    </row>
    <row r="4" spans="1:13" x14ac:dyDescent="0.2">
      <c r="A4" s="98" t="s">
        <v>1892</v>
      </c>
      <c r="B4" s="70" t="s">
        <v>188</v>
      </c>
      <c r="C4" s="70">
        <v>0</v>
      </c>
      <c r="D4" s="70">
        <v>1</v>
      </c>
      <c r="E4" s="70" t="s">
        <v>732</v>
      </c>
    </row>
    <row r="5" spans="1:13" x14ac:dyDescent="0.2">
      <c r="A5" s="98" t="s">
        <v>1893</v>
      </c>
      <c r="B5" s="70" t="s">
        <v>157</v>
      </c>
      <c r="C5" s="70">
        <v>0</v>
      </c>
      <c r="D5" s="70">
        <v>1</v>
      </c>
      <c r="E5" s="70" t="s">
        <v>1833</v>
      </c>
    </row>
    <row r="6" spans="1:13" x14ac:dyDescent="0.2">
      <c r="A6" s="98" t="s">
        <v>1896</v>
      </c>
      <c r="B6" s="70" t="s">
        <v>132</v>
      </c>
      <c r="C6" s="70">
        <v>0</v>
      </c>
      <c r="D6" s="70">
        <v>1</v>
      </c>
      <c r="E6" s="70" t="s">
        <v>732</v>
      </c>
    </row>
    <row r="7" spans="1:13" x14ac:dyDescent="0.2">
      <c r="A7" s="98" t="s">
        <v>1894</v>
      </c>
      <c r="B7" s="70" t="s">
        <v>140</v>
      </c>
      <c r="C7" s="70">
        <v>0</v>
      </c>
      <c r="D7" s="70">
        <v>1</v>
      </c>
      <c r="E7" s="70" t="s">
        <v>732</v>
      </c>
    </row>
    <row r="8" spans="1:13" x14ac:dyDescent="0.2">
      <c r="A8" s="98" t="s">
        <v>1884</v>
      </c>
      <c r="B8" s="70" t="s">
        <v>140</v>
      </c>
      <c r="C8" s="70">
        <v>0</v>
      </c>
      <c r="D8" s="70">
        <v>1</v>
      </c>
      <c r="E8" s="70" t="s">
        <v>732</v>
      </c>
      <c r="F8" s="70" t="s">
        <v>100</v>
      </c>
      <c r="G8" s="70">
        <v>0</v>
      </c>
      <c r="H8" s="70">
        <v>1</v>
      </c>
      <c r="I8" s="70" t="s">
        <v>1830</v>
      </c>
    </row>
    <row r="9" spans="1:13" x14ac:dyDescent="0.2">
      <c r="A9" s="98" t="s">
        <v>1885</v>
      </c>
      <c r="B9" s="70" t="s">
        <v>140</v>
      </c>
      <c r="C9" s="70">
        <v>0</v>
      </c>
      <c r="D9" s="70">
        <v>1</v>
      </c>
      <c r="E9" s="70" t="s">
        <v>732</v>
      </c>
      <c r="F9" s="70" t="s">
        <v>182</v>
      </c>
      <c r="G9" s="70">
        <v>0</v>
      </c>
      <c r="H9" s="70">
        <v>1</v>
      </c>
      <c r="I9" s="70" t="s">
        <v>1830</v>
      </c>
    </row>
    <row r="10" spans="1:13" x14ac:dyDescent="0.2">
      <c r="A10" s="98" t="s">
        <v>1895</v>
      </c>
      <c r="B10" s="70" t="s">
        <v>132</v>
      </c>
      <c r="C10" s="70">
        <v>0</v>
      </c>
      <c r="D10" s="70">
        <v>1</v>
      </c>
      <c r="E10" s="70" t="s">
        <v>732</v>
      </c>
    </row>
    <row r="11" spans="1:13" x14ac:dyDescent="0.2">
      <c r="A11" s="98" t="s">
        <v>1886</v>
      </c>
      <c r="B11" s="70" t="s">
        <v>132</v>
      </c>
      <c r="C11" s="70">
        <v>0</v>
      </c>
      <c r="D11" s="70">
        <v>1</v>
      </c>
      <c r="E11" s="70" t="s">
        <v>732</v>
      </c>
      <c r="F11" s="70" t="s">
        <v>188</v>
      </c>
      <c r="G11" s="70">
        <v>0</v>
      </c>
      <c r="H11" s="70">
        <v>1</v>
      </c>
      <c r="I11" s="70" t="s">
        <v>732</v>
      </c>
    </row>
    <row r="12" spans="1:13" x14ac:dyDescent="0.2">
      <c r="A12" s="98" t="s">
        <v>1887</v>
      </c>
      <c r="B12" s="70" t="s">
        <v>132</v>
      </c>
      <c r="C12" s="70">
        <v>0</v>
      </c>
      <c r="D12" s="70">
        <v>1</v>
      </c>
      <c r="E12" s="70" t="s">
        <v>732</v>
      </c>
      <c r="F12" s="70" t="s">
        <v>188</v>
      </c>
      <c r="G12" s="70">
        <v>0</v>
      </c>
      <c r="H12" s="70">
        <v>1</v>
      </c>
      <c r="I12" s="70" t="s">
        <v>732</v>
      </c>
      <c r="J12" s="70" t="s">
        <v>100</v>
      </c>
      <c r="K12" s="70">
        <v>0</v>
      </c>
      <c r="L12" s="70">
        <v>1</v>
      </c>
      <c r="M12" s="70" t="s">
        <v>1830</v>
      </c>
    </row>
    <row r="13" spans="1:13" x14ac:dyDescent="0.2">
      <c r="A13" s="98" t="s">
        <v>1888</v>
      </c>
      <c r="B13" s="70" t="s">
        <v>132</v>
      </c>
      <c r="C13" s="70">
        <v>0</v>
      </c>
      <c r="D13" s="70">
        <v>1</v>
      </c>
      <c r="E13" s="70" t="s">
        <v>732</v>
      </c>
      <c r="F13" s="70" t="s">
        <v>188</v>
      </c>
      <c r="G13" s="70">
        <v>0</v>
      </c>
      <c r="H13" s="70">
        <v>1</v>
      </c>
      <c r="I13" s="70" t="s">
        <v>732</v>
      </c>
      <c r="J13" s="70" t="s">
        <v>182</v>
      </c>
      <c r="K13" s="70">
        <v>0</v>
      </c>
      <c r="L13" s="70">
        <v>1</v>
      </c>
      <c r="M13" s="70" t="s">
        <v>1830</v>
      </c>
    </row>
    <row r="14" spans="1:13" x14ac:dyDescent="0.2">
      <c r="A14" s="98" t="s">
        <v>1889</v>
      </c>
      <c r="B14" s="70" t="s">
        <v>132</v>
      </c>
      <c r="C14" s="70">
        <v>0</v>
      </c>
      <c r="D14" s="70">
        <v>1</v>
      </c>
      <c r="E14" s="70" t="s">
        <v>732</v>
      </c>
      <c r="F14" s="70" t="s">
        <v>188</v>
      </c>
      <c r="G14" s="70">
        <v>0</v>
      </c>
      <c r="H14" s="70">
        <v>1</v>
      </c>
      <c r="I14" s="70" t="s">
        <v>732</v>
      </c>
      <c r="J14" s="70" t="s">
        <v>182</v>
      </c>
      <c r="K14" s="70">
        <v>0</v>
      </c>
      <c r="L14" s="70">
        <v>1</v>
      </c>
      <c r="M14" s="70" t="s">
        <v>1830</v>
      </c>
    </row>
    <row r="15" spans="1:13" x14ac:dyDescent="0.2">
      <c r="A15" s="98" t="s">
        <v>1831</v>
      </c>
      <c r="B15" s="70" t="s">
        <v>100</v>
      </c>
      <c r="C15" s="70">
        <v>0</v>
      </c>
      <c r="D15" s="70">
        <v>1</v>
      </c>
      <c r="E15" s="70" t="s">
        <v>1830</v>
      </c>
    </row>
    <row r="16" spans="1:13" x14ac:dyDescent="0.2">
      <c r="A16" s="98" t="s">
        <v>1832</v>
      </c>
      <c r="B16" s="70" t="s">
        <v>182</v>
      </c>
      <c r="C16" s="70">
        <v>0</v>
      </c>
      <c r="D16" s="70">
        <v>1</v>
      </c>
      <c r="E16" s="70" t="s">
        <v>1830</v>
      </c>
    </row>
    <row r="17" spans="1:13" x14ac:dyDescent="0.2">
      <c r="A17" s="98" t="s">
        <v>1897</v>
      </c>
      <c r="B17" s="70" t="s">
        <v>109</v>
      </c>
      <c r="C17" s="70">
        <v>0</v>
      </c>
      <c r="D17" s="70">
        <v>1</v>
      </c>
      <c r="E17" s="70" t="s">
        <v>1833</v>
      </c>
    </row>
    <row r="18" spans="1:13" x14ac:dyDescent="0.2">
      <c r="A18" s="98" t="s">
        <v>1900</v>
      </c>
      <c r="B18" s="70" t="s">
        <v>132</v>
      </c>
      <c r="C18" s="70">
        <v>0</v>
      </c>
      <c r="D18" s="70">
        <v>1</v>
      </c>
      <c r="E18" s="70" t="s">
        <v>732</v>
      </c>
    </row>
    <row r="19" spans="1:13" x14ac:dyDescent="0.2">
      <c r="A19" s="98" t="s">
        <v>1834</v>
      </c>
      <c r="B19" s="70" t="s">
        <v>931</v>
      </c>
      <c r="C19" s="70">
        <v>0</v>
      </c>
      <c r="D19" s="70">
        <v>1</v>
      </c>
      <c r="E19" s="70" t="s">
        <v>732</v>
      </c>
      <c r="F19" s="70" t="s">
        <v>188</v>
      </c>
      <c r="G19" s="70">
        <v>0</v>
      </c>
      <c r="H19" s="70">
        <v>1</v>
      </c>
      <c r="I19" s="70" t="s">
        <v>732</v>
      </c>
    </row>
    <row r="20" spans="1:13" x14ac:dyDescent="0.2">
      <c r="A20" s="98" t="s">
        <v>1898</v>
      </c>
      <c r="B20" s="70" t="s">
        <v>109</v>
      </c>
      <c r="C20" s="70">
        <v>0</v>
      </c>
      <c r="D20" s="70">
        <v>1</v>
      </c>
      <c r="E20" s="70" t="s">
        <v>1833</v>
      </c>
    </row>
    <row r="21" spans="1:13" x14ac:dyDescent="0.2">
      <c r="A21" s="98" t="s">
        <v>1901</v>
      </c>
      <c r="B21" s="70" t="s">
        <v>92</v>
      </c>
      <c r="C21" s="70">
        <v>0</v>
      </c>
      <c r="D21" s="70">
        <v>1</v>
      </c>
      <c r="E21" s="70" t="s">
        <v>732</v>
      </c>
    </row>
    <row r="22" spans="1:13" x14ac:dyDescent="0.2">
      <c r="A22" s="98" t="s">
        <v>1835</v>
      </c>
      <c r="B22" s="70" t="s">
        <v>92</v>
      </c>
      <c r="C22" s="70">
        <v>0</v>
      </c>
      <c r="D22" s="70">
        <v>1</v>
      </c>
      <c r="E22" s="70" t="s">
        <v>732</v>
      </c>
      <c r="F22" s="70" t="s">
        <v>188</v>
      </c>
      <c r="G22" s="70">
        <v>0</v>
      </c>
      <c r="H22" s="70">
        <v>1</v>
      </c>
      <c r="I22" s="70" t="s">
        <v>732</v>
      </c>
    </row>
    <row r="23" spans="1:13" x14ac:dyDescent="0.2">
      <c r="A23" s="98" t="s">
        <v>1890</v>
      </c>
      <c r="B23" s="70" t="s">
        <v>92</v>
      </c>
      <c r="C23" s="70">
        <v>0</v>
      </c>
      <c r="D23" s="70">
        <v>1</v>
      </c>
      <c r="E23" s="70" t="s">
        <v>732</v>
      </c>
      <c r="F23" s="70" t="s">
        <v>188</v>
      </c>
      <c r="G23" s="70">
        <v>0</v>
      </c>
      <c r="H23" s="70">
        <v>1</v>
      </c>
      <c r="I23" s="70" t="s">
        <v>732</v>
      </c>
      <c r="J23" s="70" t="s">
        <v>100</v>
      </c>
      <c r="K23" s="70">
        <v>0</v>
      </c>
      <c r="L23" s="70">
        <v>1</v>
      </c>
      <c r="M23" s="70" t="s">
        <v>1830</v>
      </c>
    </row>
    <row r="24" spans="1:13" x14ac:dyDescent="0.2">
      <c r="A24" s="98" t="s">
        <v>1891</v>
      </c>
      <c r="B24" s="70" t="s">
        <v>92</v>
      </c>
      <c r="C24" s="70">
        <v>0</v>
      </c>
      <c r="D24" s="70">
        <v>1</v>
      </c>
      <c r="E24" s="70" t="s">
        <v>732</v>
      </c>
      <c r="F24" s="70" t="s">
        <v>188</v>
      </c>
      <c r="G24" s="70">
        <v>0</v>
      </c>
      <c r="H24" s="70">
        <v>1</v>
      </c>
      <c r="I24" s="70" t="s">
        <v>732</v>
      </c>
      <c r="J24" s="70" t="s">
        <v>182</v>
      </c>
      <c r="K24" s="70">
        <v>0</v>
      </c>
      <c r="L24" s="70">
        <v>1</v>
      </c>
      <c r="M24" s="70" t="s">
        <v>1830</v>
      </c>
    </row>
    <row r="25" spans="1:13" x14ac:dyDescent="0.2">
      <c r="A25" s="98" t="s">
        <v>1899</v>
      </c>
      <c r="B25" s="70" t="s">
        <v>164</v>
      </c>
      <c r="C25" s="70">
        <v>0</v>
      </c>
      <c r="D25" s="70">
        <v>1</v>
      </c>
      <c r="E25" s="70" t="s">
        <v>1833</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2026-07-07T18:09:38Z</dcterms:modified>
  <dc:language>en-US</dc:language>
</cp:coreProperties>
</file>