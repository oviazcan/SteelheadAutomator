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2"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B09C6964-ED7F-4D42-B1C3-D98C00A32F0A}" xr6:coauthVersionLast="47" xr6:coauthVersionMax="47" xr10:uidLastSave="{00000000-0000-0000-0000-000000000000}"/>
  <bookViews>
    <workbookView xWindow="0" yWindow="680" windowWidth="34200" windowHeight="1994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507" i="1" l="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U507" i="1" a="1"/>
  <c r="U506" i="1" a="1"/>
  <c r="U505" i="1" a="1"/>
  <c r="U504" i="1" a="1"/>
  <c r="U503" i="1" a="1"/>
  <c r="U502" i="1" a="1"/>
  <c r="U501" i="1" a="1"/>
  <c r="U500" i="1" a="1"/>
  <c r="U499" i="1" a="1"/>
  <c r="U498" i="1" a="1"/>
  <c r="U497" i="1" a="1"/>
  <c r="U496" i="1" a="1"/>
  <c r="U495" i="1" a="1"/>
  <c r="U494" i="1" a="1"/>
  <c r="U493" i="1" a="1"/>
  <c r="U492" i="1" a="1"/>
  <c r="U491" i="1" a="1"/>
  <c r="U490" i="1" a="1"/>
  <c r="U489" i="1" a="1"/>
  <c r="U488" i="1" a="1"/>
  <c r="U487" i="1" a="1"/>
  <c r="U486" i="1" a="1"/>
  <c r="U485" i="1" a="1"/>
  <c r="U484" i="1" a="1"/>
  <c r="U483" i="1" a="1"/>
  <c r="U482" i="1" a="1"/>
  <c r="U481" i="1" a="1"/>
  <c r="U480" i="1" a="1"/>
  <c r="U479" i="1" a="1"/>
  <c r="U478" i="1" a="1"/>
  <c r="U477" i="1" a="1"/>
  <c r="U476" i="1" a="1"/>
  <c r="U475" i="1" a="1"/>
  <c r="U474" i="1" a="1"/>
  <c r="U473" i="1" a="1"/>
  <c r="U472" i="1" a="1"/>
  <c r="U471" i="1" a="1"/>
  <c r="U470" i="1" a="1"/>
  <c r="U469" i="1" a="1"/>
  <c r="U468" i="1" a="1"/>
  <c r="U467" i="1" a="1"/>
  <c r="U466" i="1" a="1"/>
  <c r="U465" i="1" a="1"/>
  <c r="U464" i="1" a="1"/>
  <c r="U463" i="1" a="1"/>
  <c r="U462" i="1" a="1"/>
  <c r="U461" i="1" a="1"/>
  <c r="U460" i="1" a="1"/>
  <c r="U459" i="1" a="1"/>
  <c r="U458" i="1" a="1"/>
  <c r="U457" i="1" a="1"/>
  <c r="U456" i="1" a="1"/>
  <c r="U455" i="1" a="1"/>
  <c r="U454" i="1" a="1"/>
  <c r="U453" i="1" a="1"/>
  <c r="U452" i="1" a="1"/>
  <c r="U451" i="1" a="1"/>
  <c r="U450" i="1" a="1"/>
  <c r="U449" i="1" a="1"/>
  <c r="U448" i="1" a="1"/>
  <c r="U447" i="1" a="1"/>
  <c r="U446" i="1" a="1"/>
  <c r="U445" i="1" a="1"/>
  <c r="U444" i="1" a="1"/>
  <c r="U443" i="1" a="1"/>
  <c r="U442" i="1" a="1"/>
  <c r="U441" i="1" a="1"/>
  <c r="U440" i="1" a="1"/>
  <c r="U439" i="1" a="1"/>
  <c r="U438" i="1" a="1"/>
  <c r="U437" i="1" a="1"/>
  <c r="U436" i="1" a="1"/>
  <c r="U435" i="1" a="1"/>
  <c r="U434" i="1" a="1"/>
  <c r="U433" i="1" a="1"/>
  <c r="U432" i="1" a="1"/>
  <c r="U431" i="1" a="1"/>
  <c r="U430" i="1" a="1"/>
  <c r="U429" i="1" a="1"/>
  <c r="U428" i="1" a="1"/>
  <c r="U427" i="1" a="1"/>
  <c r="U426" i="1" a="1"/>
  <c r="U425" i="1" a="1"/>
  <c r="U424" i="1" a="1"/>
  <c r="U423" i="1" a="1"/>
  <c r="U422" i="1" a="1"/>
  <c r="U421" i="1" a="1"/>
  <c r="U420" i="1" a="1"/>
  <c r="U419" i="1" a="1"/>
  <c r="U418" i="1" a="1"/>
  <c r="U417" i="1" a="1"/>
  <c r="U416" i="1" a="1"/>
  <c r="U415" i="1" a="1"/>
  <c r="U414" i="1" a="1"/>
  <c r="U413" i="1" a="1"/>
  <c r="U412" i="1" a="1"/>
  <c r="U411" i="1" a="1"/>
  <c r="U410" i="1" a="1"/>
  <c r="U409" i="1" a="1"/>
  <c r="U408" i="1" a="1"/>
  <c r="U407" i="1" a="1"/>
  <c r="U406" i="1" a="1"/>
  <c r="U405" i="1" a="1"/>
  <c r="U404" i="1" a="1"/>
  <c r="U403" i="1" a="1"/>
  <c r="U402" i="1" a="1"/>
  <c r="U401" i="1" a="1"/>
  <c r="U400" i="1" a="1"/>
  <c r="U399" i="1" a="1"/>
  <c r="U398" i="1" a="1"/>
  <c r="U397" i="1" a="1"/>
  <c r="U396" i="1" a="1"/>
  <c r="U395" i="1" a="1"/>
  <c r="U394" i="1" a="1"/>
  <c r="U393" i="1" a="1"/>
  <c r="U392" i="1" a="1"/>
  <c r="U391" i="1" a="1"/>
  <c r="U390" i="1" a="1"/>
  <c r="U389" i="1" a="1"/>
  <c r="U388" i="1" a="1"/>
  <c r="U387" i="1" a="1"/>
  <c r="U386" i="1" a="1"/>
  <c r="U385" i="1" a="1"/>
  <c r="U384" i="1" a="1"/>
  <c r="U383" i="1" a="1"/>
  <c r="U382" i="1" a="1"/>
  <c r="U381" i="1" a="1"/>
  <c r="U380" i="1" a="1"/>
  <c r="U379" i="1" a="1"/>
  <c r="U378" i="1" a="1"/>
  <c r="U377" i="1" a="1"/>
  <c r="U376" i="1" a="1"/>
  <c r="U375" i="1" a="1"/>
  <c r="U374" i="1" a="1"/>
  <c r="U373" i="1" a="1"/>
  <c r="U372" i="1" a="1"/>
  <c r="U371" i="1" a="1"/>
  <c r="U370" i="1" a="1"/>
  <c r="U369" i="1" a="1"/>
  <c r="U368" i="1" a="1"/>
  <c r="U367" i="1" a="1"/>
  <c r="U366" i="1" a="1"/>
  <c r="U365" i="1" a="1"/>
  <c r="U364" i="1" a="1"/>
  <c r="U363" i="1" a="1"/>
  <c r="U362" i="1" a="1"/>
  <c r="U361" i="1" a="1"/>
  <c r="U360" i="1" a="1"/>
  <c r="U359" i="1" a="1"/>
  <c r="U358" i="1" a="1"/>
  <c r="U357" i="1" a="1"/>
  <c r="U356" i="1" a="1"/>
  <c r="U355" i="1" a="1"/>
  <c r="U354" i="1" a="1"/>
  <c r="U353" i="1" a="1"/>
  <c r="U352" i="1" a="1"/>
  <c r="U351" i="1" a="1"/>
  <c r="U350" i="1" a="1"/>
  <c r="U349" i="1" a="1"/>
  <c r="U348" i="1" a="1"/>
  <c r="U347" i="1" a="1"/>
  <c r="U346" i="1" a="1"/>
  <c r="U345" i="1" a="1"/>
  <c r="U344" i="1" a="1"/>
  <c r="U343" i="1" a="1"/>
  <c r="U342" i="1" a="1"/>
  <c r="U341" i="1" a="1"/>
  <c r="U340" i="1" a="1"/>
  <c r="U339" i="1" a="1"/>
  <c r="U338" i="1" a="1"/>
  <c r="U337" i="1" a="1"/>
  <c r="U336" i="1" a="1"/>
  <c r="U335" i="1" a="1"/>
  <c r="U334" i="1" a="1"/>
  <c r="U333" i="1" a="1"/>
  <c r="U332" i="1" a="1"/>
  <c r="U331" i="1" a="1"/>
  <c r="U330" i="1" a="1"/>
  <c r="U329" i="1" a="1"/>
  <c r="U328" i="1" a="1"/>
  <c r="U327" i="1" a="1"/>
  <c r="U326" i="1" a="1"/>
  <c r="U325" i="1" a="1"/>
  <c r="U324" i="1" a="1"/>
  <c r="U323" i="1" a="1"/>
  <c r="U322" i="1" a="1"/>
  <c r="U321" i="1" a="1"/>
  <c r="U320" i="1" a="1"/>
  <c r="U319" i="1" a="1"/>
  <c r="U318" i="1" a="1"/>
  <c r="U317" i="1" a="1"/>
  <c r="U316" i="1" a="1"/>
  <c r="U315" i="1" a="1"/>
  <c r="U314" i="1" a="1"/>
  <c r="U313" i="1" a="1"/>
  <c r="U312" i="1" a="1"/>
  <c r="U311" i="1" a="1"/>
  <c r="U310" i="1" a="1"/>
  <c r="U309" i="1" a="1"/>
  <c r="U308" i="1" a="1"/>
  <c r="U307" i="1" a="1"/>
  <c r="U306" i="1" a="1"/>
  <c r="U305" i="1" a="1"/>
  <c r="U304" i="1" a="1"/>
  <c r="U303" i="1" a="1"/>
  <c r="U302" i="1" a="1"/>
  <c r="U301" i="1" a="1"/>
  <c r="U300" i="1" a="1"/>
  <c r="U299" i="1" a="1"/>
  <c r="U298" i="1" a="1"/>
  <c r="U297" i="1" a="1"/>
  <c r="U296" i="1" a="1"/>
  <c r="U295" i="1" a="1"/>
  <c r="U294" i="1" a="1"/>
  <c r="U293" i="1" a="1"/>
  <c r="U292" i="1" a="1"/>
  <c r="U291" i="1" a="1"/>
  <c r="U290" i="1" a="1"/>
  <c r="U289" i="1" a="1"/>
  <c r="U288" i="1" a="1"/>
  <c r="U287" i="1" a="1"/>
  <c r="U286" i="1" a="1"/>
  <c r="U285" i="1" a="1"/>
  <c r="U284" i="1" a="1"/>
  <c r="U283" i="1" a="1"/>
  <c r="U282" i="1" a="1"/>
  <c r="U281" i="1" a="1"/>
  <c r="U280" i="1" a="1"/>
  <c r="U279" i="1" a="1"/>
  <c r="U278" i="1" a="1"/>
  <c r="U277" i="1" a="1"/>
  <c r="U276" i="1" a="1"/>
  <c r="U275" i="1" a="1"/>
  <c r="U274" i="1" a="1"/>
  <c r="U273" i="1" a="1"/>
  <c r="U272" i="1" a="1"/>
  <c r="U271" i="1" a="1"/>
  <c r="U270" i="1" a="1"/>
  <c r="U269" i="1" a="1"/>
  <c r="U268" i="1" a="1"/>
  <c r="U267" i="1" a="1"/>
  <c r="U266" i="1" a="1"/>
  <c r="U265" i="1" a="1"/>
  <c r="U264" i="1" a="1"/>
  <c r="U263" i="1" a="1"/>
  <c r="U262" i="1" a="1"/>
  <c r="U261" i="1" a="1"/>
  <c r="U260" i="1" a="1"/>
  <c r="U259" i="1" a="1"/>
  <c r="U258" i="1" a="1"/>
  <c r="U257" i="1" a="1"/>
  <c r="U256" i="1" a="1"/>
  <c r="U255" i="1" a="1"/>
  <c r="U254" i="1" a="1"/>
  <c r="U253" i="1" a="1"/>
  <c r="U252" i="1" a="1"/>
  <c r="U251" i="1" a="1"/>
  <c r="U250" i="1" a="1"/>
  <c r="U249" i="1" a="1"/>
  <c r="U248" i="1" a="1"/>
  <c r="U247" i="1" a="1"/>
  <c r="U246" i="1" a="1"/>
  <c r="U245" i="1" a="1"/>
  <c r="U244" i="1" a="1"/>
  <c r="U243" i="1" a="1"/>
  <c r="U242" i="1" a="1"/>
  <c r="U241" i="1" a="1"/>
  <c r="U240" i="1" a="1"/>
  <c r="U239" i="1" a="1"/>
  <c r="U238" i="1" a="1"/>
  <c r="U237" i="1" a="1"/>
  <c r="U236" i="1" a="1"/>
  <c r="U235" i="1" a="1"/>
  <c r="U234" i="1" a="1"/>
  <c r="U233" i="1" a="1"/>
  <c r="U232" i="1" a="1"/>
  <c r="U231" i="1" a="1"/>
  <c r="U230" i="1" a="1"/>
  <c r="U229" i="1" a="1"/>
  <c r="U228" i="1" a="1"/>
  <c r="U227" i="1" a="1"/>
  <c r="U226" i="1" a="1"/>
  <c r="U225" i="1" a="1"/>
  <c r="U224" i="1" a="1"/>
  <c r="U223" i="1" a="1"/>
  <c r="U222" i="1" a="1"/>
  <c r="U221" i="1" a="1"/>
  <c r="U220" i="1" a="1"/>
  <c r="U219" i="1" a="1"/>
  <c r="U218" i="1" a="1"/>
  <c r="U217" i="1" a="1"/>
  <c r="U216" i="1" a="1"/>
  <c r="U215" i="1" a="1"/>
  <c r="U214" i="1" a="1"/>
  <c r="U213" i="1" a="1"/>
  <c r="U212" i="1" a="1"/>
  <c r="U211" i="1" a="1"/>
  <c r="U210" i="1" a="1"/>
  <c r="U209" i="1" a="1"/>
  <c r="U208" i="1" a="1"/>
  <c r="U207" i="1" a="1"/>
  <c r="U206" i="1" a="1"/>
  <c r="U205" i="1" a="1"/>
  <c r="U204" i="1" a="1"/>
  <c r="U203" i="1" a="1"/>
  <c r="U202" i="1" a="1"/>
  <c r="U201" i="1" a="1"/>
  <c r="U200" i="1" a="1"/>
  <c r="U199" i="1" a="1"/>
  <c r="U198" i="1" a="1"/>
  <c r="U197" i="1" a="1"/>
  <c r="U196" i="1" a="1"/>
  <c r="U195" i="1" a="1"/>
  <c r="U194" i="1" a="1"/>
  <c r="U193" i="1" a="1"/>
  <c r="U192" i="1" a="1"/>
  <c r="U191" i="1" a="1"/>
  <c r="U190" i="1" a="1"/>
  <c r="U189" i="1" a="1"/>
  <c r="U188" i="1" a="1"/>
  <c r="U187" i="1" a="1"/>
  <c r="U186" i="1" a="1"/>
  <c r="U185" i="1" a="1"/>
  <c r="U184" i="1" a="1"/>
  <c r="U183" i="1" a="1"/>
  <c r="U182" i="1" a="1"/>
  <c r="U181" i="1" a="1"/>
  <c r="U180" i="1" a="1"/>
  <c r="U179" i="1" a="1"/>
  <c r="U178" i="1" a="1"/>
  <c r="U177" i="1" a="1"/>
  <c r="U176" i="1" a="1"/>
  <c r="U175" i="1" a="1"/>
  <c r="U174" i="1" a="1"/>
  <c r="U173" i="1" a="1"/>
  <c r="U172" i="1" a="1"/>
  <c r="U171" i="1" a="1"/>
  <c r="U170" i="1" a="1"/>
  <c r="U169" i="1" a="1"/>
  <c r="U168" i="1" a="1"/>
  <c r="U167" i="1" a="1"/>
  <c r="U166" i="1" a="1"/>
  <c r="U165" i="1" a="1"/>
  <c r="U164" i="1" a="1"/>
  <c r="U163" i="1" a="1"/>
  <c r="U162" i="1" a="1"/>
  <c r="U161" i="1" a="1"/>
  <c r="U160" i="1" a="1"/>
  <c r="U159" i="1" a="1"/>
  <c r="U158" i="1" a="1"/>
  <c r="U157" i="1" a="1"/>
  <c r="U156" i="1" a="1"/>
  <c r="U155" i="1" a="1"/>
  <c r="U154" i="1" a="1"/>
  <c r="U153" i="1" a="1"/>
  <c r="U152" i="1" a="1"/>
  <c r="U151" i="1" a="1"/>
  <c r="U150" i="1" a="1"/>
  <c r="U149" i="1" a="1"/>
  <c r="U148" i="1" a="1"/>
  <c r="U147" i="1" a="1"/>
  <c r="U146" i="1" a="1"/>
  <c r="U145" i="1" a="1"/>
  <c r="U144" i="1" a="1"/>
  <c r="U143" i="1" a="1"/>
  <c r="U142" i="1" a="1"/>
  <c r="U141" i="1" a="1"/>
  <c r="U140" i="1" a="1"/>
  <c r="U139" i="1" a="1"/>
  <c r="U138" i="1" a="1"/>
  <c r="U137" i="1" a="1"/>
  <c r="U136" i="1" a="1"/>
  <c r="U135" i="1" a="1"/>
  <c r="U134" i="1" a="1"/>
  <c r="U133" i="1" a="1"/>
  <c r="U132" i="1" a="1"/>
  <c r="U131" i="1" a="1"/>
  <c r="U130" i="1" a="1"/>
  <c r="U129" i="1" a="1"/>
  <c r="U128" i="1" a="1"/>
  <c r="U127" i="1" a="1"/>
  <c r="U126" i="1" a="1"/>
  <c r="U125" i="1" a="1"/>
  <c r="U124" i="1" a="1"/>
  <c r="U123" i="1" a="1"/>
  <c r="U122" i="1" a="1"/>
  <c r="U121" i="1" a="1"/>
  <c r="U120" i="1" a="1"/>
  <c r="U119" i="1" a="1"/>
  <c r="U118" i="1" a="1"/>
  <c r="U117" i="1" a="1"/>
  <c r="U116" i="1" a="1"/>
  <c r="U115" i="1" a="1"/>
  <c r="U114" i="1" a="1"/>
  <c r="U113" i="1" a="1"/>
  <c r="U112" i="1" a="1"/>
  <c r="U111" i="1" a="1"/>
  <c r="U110" i="1" a="1"/>
  <c r="U109" i="1" a="1"/>
  <c r="U108" i="1" a="1"/>
  <c r="U107" i="1" a="1"/>
  <c r="U106" i="1" a="1"/>
  <c r="U105" i="1" a="1"/>
  <c r="U104" i="1" a="1"/>
  <c r="U103" i="1" a="1"/>
  <c r="U102" i="1" a="1"/>
  <c r="U101" i="1" a="1"/>
  <c r="U100" i="1" a="1"/>
  <c r="U99" i="1" a="1"/>
  <c r="U98" i="1" a="1"/>
  <c r="U97" i="1" a="1"/>
  <c r="U96" i="1" a="1"/>
  <c r="U95" i="1" a="1"/>
  <c r="U94" i="1" a="1"/>
  <c r="U93" i="1" a="1"/>
  <c r="U92" i="1" a="1"/>
  <c r="U91" i="1" a="1"/>
  <c r="U90" i="1" a="1"/>
  <c r="U89" i="1" a="1"/>
  <c r="U88" i="1" a="1"/>
  <c r="U87" i="1" a="1"/>
  <c r="U86" i="1" a="1"/>
  <c r="U85" i="1" a="1"/>
  <c r="U84" i="1" a="1"/>
  <c r="U83" i="1" a="1"/>
  <c r="U82" i="1" a="1"/>
  <c r="U81" i="1" a="1"/>
  <c r="U80" i="1" a="1"/>
  <c r="U79" i="1" a="1"/>
  <c r="U78" i="1" a="1"/>
  <c r="U77" i="1" a="1"/>
  <c r="U76" i="1" a="1"/>
  <c r="U75" i="1" a="1"/>
  <c r="U74" i="1" a="1"/>
  <c r="U73" i="1" a="1"/>
  <c r="U72" i="1" a="1"/>
  <c r="U71" i="1" a="1"/>
  <c r="U70" i="1" a="1"/>
  <c r="U69" i="1" a="1"/>
  <c r="U68" i="1" a="1"/>
  <c r="U67" i="1" a="1"/>
  <c r="U66" i="1" a="1"/>
  <c r="U65" i="1" a="1"/>
  <c r="U64" i="1" a="1"/>
  <c r="U63" i="1" a="1"/>
  <c r="U62" i="1" a="1"/>
  <c r="U61" i="1" a="1"/>
  <c r="U60" i="1" a="1"/>
  <c r="U59" i="1" a="1"/>
  <c r="U58" i="1" a="1"/>
  <c r="U57" i="1" a="1"/>
  <c r="U56" i="1" a="1"/>
  <c r="U55" i="1" a="1"/>
  <c r="U54" i="1" a="1"/>
  <c r="U53" i="1" a="1"/>
  <c r="U52" i="1" a="1"/>
  <c r="U51" i="1" a="1"/>
  <c r="U50" i="1" a="1"/>
  <c r="U49" i="1" a="1"/>
  <c r="U48" i="1" a="1"/>
  <c r="U47" i="1" a="1"/>
  <c r="U46" i="1" a="1"/>
  <c r="U45" i="1" a="1"/>
  <c r="U44" i="1" a="1"/>
  <c r="U43" i="1" a="1"/>
  <c r="U42" i="1" a="1"/>
  <c r="U41" i="1" a="1"/>
  <c r="U40" i="1" a="1"/>
  <c r="U39" i="1" a="1"/>
  <c r="U38" i="1" a="1"/>
  <c r="U37" i="1" a="1"/>
  <c r="U36" i="1" a="1"/>
  <c r="U35" i="1" a="1"/>
  <c r="U34" i="1" a="1"/>
  <c r="U33" i="1" a="1"/>
  <c r="U32" i="1" a="1"/>
  <c r="U31" i="1" a="1"/>
  <c r="U30" i="1" a="1"/>
  <c r="U29" i="1" a="1"/>
  <c r="U28" i="1" a="1"/>
  <c r="U27" i="1" a="1"/>
  <c r="U26" i="1" a="1"/>
  <c r="U25" i="1" a="1"/>
  <c r="U24" i="1" a="1"/>
  <c r="U23" i="1" a="1"/>
  <c r="U22" i="1" a="1"/>
  <c r="U21" i="1" a="1"/>
  <c r="U20" i="1" a="1"/>
  <c r="U19" i="1" a="1"/>
  <c r="U18" i="1" a="1"/>
  <c r="U17" i="1" a="1"/>
  <c r="U16" i="1" a="1"/>
  <c r="U15" i="1" a="1"/>
  <c r="U14" i="1" a="1"/>
  <c r="U13" i="1" a="1"/>
  <c r="U12" i="1" a="1"/>
  <c r="U11" i="1" a="1"/>
  <c r="U10" i="1" a="1"/>
  <c r="U9"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A508" i="6"/>
  <c r="B508" i="6"/>
  <c r="A509" i="6"/>
  <c r="A510" i="6"/>
  <c r="A511" i="6"/>
  <c r="A512" i="6"/>
  <c r="A513" i="6"/>
  <c r="A514" i="6"/>
  <c r="B514" i="6"/>
  <c r="A515" i="6"/>
  <c r="B515" i="6" s="1"/>
  <c r="A516" i="6"/>
  <c r="B516" i="6"/>
  <c r="A517" i="6"/>
  <c r="B517" i="6"/>
  <c r="A518" i="6"/>
  <c r="A519" i="6"/>
  <c r="A520" i="6"/>
  <c r="B520" i="6" s="1"/>
  <c r="A521" i="6"/>
  <c r="B521" i="6"/>
  <c r="A522" i="6"/>
  <c r="B522" i="6"/>
  <c r="A523" i="6"/>
  <c r="B523" i="6"/>
  <c r="A524" i="6"/>
  <c r="B524" i="6"/>
  <c r="A525" i="6"/>
  <c r="B525" i="6"/>
  <c r="A526" i="6"/>
  <c r="B526" i="6"/>
  <c r="A527" i="6"/>
  <c r="B527" i="6" s="1"/>
  <c r="A528" i="6"/>
  <c r="B528" i="6" s="1"/>
  <c r="A529" i="6"/>
  <c r="B529" i="6" s="1"/>
  <c r="A530" i="6"/>
  <c r="B530" i="6" s="1"/>
  <c r="A531" i="6"/>
  <c r="B531" i="6" s="1"/>
  <c r="A532" i="6"/>
  <c r="B532" i="6" s="1"/>
  <c r="A533" i="6"/>
  <c r="B533" i="6" s="1"/>
  <c r="A534" i="6"/>
  <c r="B534" i="6" s="1"/>
  <c r="A535" i="6"/>
  <c r="B535" i="6" s="1"/>
  <c r="A536" i="6"/>
  <c r="A537" i="6"/>
  <c r="B537" i="6" s="1"/>
  <c r="A538" i="6"/>
  <c r="B538" i="6" s="1"/>
  <c r="A539" i="6"/>
  <c r="B539" i="6"/>
  <c r="A540" i="6"/>
  <c r="B540" i="6"/>
  <c r="A541" i="6"/>
  <c r="B541" i="6"/>
  <c r="A542" i="6"/>
  <c r="B542" i="6" s="1"/>
  <c r="A543" i="6"/>
  <c r="B543" i="6"/>
  <c r="A544" i="6"/>
  <c r="B544" i="6"/>
  <c r="A545" i="6"/>
  <c r="B545" i="6"/>
  <c r="A546" i="6"/>
  <c r="B546" i="6"/>
  <c r="A547" i="6"/>
  <c r="B547" i="6"/>
  <c r="A548" i="6"/>
  <c r="B548" i="6"/>
  <c r="A549" i="6"/>
  <c r="B549" i="6"/>
  <c r="A550" i="6"/>
  <c r="B550" i="6"/>
  <c r="A551" i="6"/>
  <c r="B551" i="6"/>
  <c r="A552" i="6"/>
  <c r="B552" i="6"/>
  <c r="A553" i="6"/>
  <c r="B553" i="6"/>
  <c r="A554" i="6"/>
  <c r="B554" i="6"/>
  <c r="A555" i="6"/>
  <c r="B555" i="6"/>
  <c r="A556" i="6"/>
  <c r="B556" i="6"/>
  <c r="A557" i="6"/>
  <c r="B557" i="6"/>
  <c r="A558" i="6"/>
  <c r="B558" i="6"/>
  <c r="A559" i="6"/>
  <c r="B559" i="6" s="1"/>
  <c r="A560" i="6"/>
  <c r="A561" i="6"/>
  <c r="B561" i="6" s="1"/>
  <c r="A562" i="6"/>
  <c r="B562" i="6" s="1"/>
  <c r="A563" i="6"/>
  <c r="B563" i="6" s="1"/>
  <c r="A564" i="6"/>
  <c r="B564" i="6"/>
  <c r="A565" i="6"/>
  <c r="B565" i="6" s="1"/>
  <c r="A566" i="6"/>
  <c r="B566" i="6" s="1"/>
  <c r="A567" i="6"/>
  <c r="B567" i="6" s="1"/>
  <c r="A568" i="6"/>
  <c r="B568" i="6" s="1"/>
  <c r="A569" i="6"/>
  <c r="B569" i="6" s="1"/>
  <c r="A570" i="6"/>
  <c r="B570" i="6"/>
  <c r="A571" i="6"/>
  <c r="A572" i="6"/>
  <c r="A573" i="6"/>
  <c r="B573" i="6" s="1"/>
  <c r="A574" i="6"/>
  <c r="B574" i="6"/>
  <c r="A575" i="6"/>
  <c r="B575" i="6"/>
  <c r="A576" i="6"/>
  <c r="B576" i="6"/>
  <c r="A577" i="6"/>
  <c r="B577" i="6"/>
  <c r="A578" i="6"/>
  <c r="B578" i="6"/>
  <c r="A579" i="6"/>
  <c r="B579" i="6" s="1"/>
  <c r="A580" i="6"/>
  <c r="B580" i="6" s="1"/>
  <c r="A581" i="6"/>
  <c r="B581" i="6"/>
  <c r="A582" i="6"/>
  <c r="B582" i="6"/>
  <c r="A583" i="6"/>
  <c r="B583" i="6" s="1"/>
  <c r="A584" i="6"/>
  <c r="B584" i="6"/>
  <c r="A585" i="6"/>
  <c r="B585" i="6" s="1"/>
  <c r="A586" i="6"/>
  <c r="B586" i="6"/>
  <c r="A587" i="6"/>
  <c r="B587" i="6"/>
  <c r="A588" i="6"/>
  <c r="B588" i="6" s="1"/>
  <c r="A589" i="6"/>
  <c r="B589" i="6" s="1"/>
  <c r="A590" i="6"/>
  <c r="B590" i="6"/>
  <c r="A591" i="6"/>
  <c r="B591" i="6" s="1"/>
  <c r="A592" i="6"/>
  <c r="B592" i="6"/>
  <c r="A593" i="6"/>
  <c r="B593" i="6"/>
  <c r="A594" i="6"/>
  <c r="B594" i="6" s="1"/>
  <c r="A595" i="6"/>
  <c r="B595" i="6"/>
  <c r="A596" i="6"/>
  <c r="B596" i="6" s="1"/>
  <c r="A597" i="6"/>
  <c r="B597" i="6"/>
  <c r="A598" i="6"/>
  <c r="B598" i="6"/>
  <c r="A599" i="6"/>
  <c r="B599" i="6" s="1"/>
  <c r="A600" i="6"/>
  <c r="B600" i="6"/>
  <c r="A601" i="6"/>
  <c r="B601" i="6" s="1"/>
  <c r="A602" i="6"/>
  <c r="B602" i="6"/>
  <c r="A603" i="6"/>
  <c r="B603" i="6" s="1"/>
  <c r="A604" i="6"/>
  <c r="B604" i="6" s="1"/>
  <c r="A605" i="6"/>
  <c r="B605" i="6"/>
  <c r="A606" i="6"/>
  <c r="B606" i="6" s="1"/>
  <c r="A607" i="6"/>
  <c r="B607" i="6"/>
  <c r="A608" i="6"/>
  <c r="B608" i="6"/>
  <c r="A609" i="6"/>
  <c r="B609" i="6"/>
  <c r="A610" i="6"/>
  <c r="B610" i="6" s="1"/>
  <c r="A611" i="6"/>
  <c r="B611" i="6"/>
  <c r="A612" i="6"/>
  <c r="B612" i="6"/>
  <c r="A613" i="6"/>
  <c r="B613" i="6"/>
  <c r="A614" i="6"/>
  <c r="B614" i="6" s="1"/>
  <c r="A615" i="6"/>
  <c r="B615" i="6" s="1"/>
  <c r="A616" i="6"/>
  <c r="B616" i="6" s="1"/>
  <c r="A617" i="6"/>
  <c r="B617" i="6"/>
  <c r="A618" i="6"/>
  <c r="B618" i="6"/>
  <c r="A619" i="6"/>
  <c r="B619" i="6"/>
  <c r="A620" i="6"/>
  <c r="B620" i="6"/>
  <c r="A621" i="6"/>
  <c r="B621" i="6" s="1"/>
  <c r="A622" i="6"/>
  <c r="B622" i="6" s="1"/>
  <c r="A623" i="6"/>
  <c r="B623" i="6"/>
  <c r="A624" i="6"/>
  <c r="B624" i="6"/>
  <c r="A625" i="6"/>
  <c r="B625" i="6"/>
  <c r="A626" i="6"/>
  <c r="B626" i="6" s="1"/>
  <c r="A627" i="6"/>
  <c r="B627" i="6" s="1"/>
  <c r="A628" i="6"/>
  <c r="B628" i="6"/>
  <c r="A629" i="6"/>
  <c r="B629" i="6"/>
  <c r="A630" i="6"/>
  <c r="B630" i="6"/>
  <c r="A631" i="6"/>
  <c r="B631" i="6" s="1"/>
  <c r="A632" i="6"/>
  <c r="B632" i="6"/>
  <c r="A633" i="6"/>
  <c r="B633" i="6"/>
  <c r="A634" i="6"/>
  <c r="B634" i="6" s="1"/>
  <c r="A635" i="6"/>
  <c r="B635" i="6" s="1"/>
  <c r="A636" i="6"/>
  <c r="B636" i="6"/>
  <c r="A637" i="6"/>
  <c r="B637" i="6"/>
  <c r="A638" i="6"/>
  <c r="B638" i="6"/>
  <c r="A639" i="6"/>
  <c r="B639" i="6"/>
  <c r="A640" i="6"/>
  <c r="B640" i="6"/>
  <c r="A641" i="6"/>
  <c r="B641" i="6"/>
  <c r="A642" i="6"/>
  <c r="B642" i="6" s="1"/>
  <c r="A643" i="6"/>
  <c r="B643" i="6" s="1"/>
  <c r="A644" i="6"/>
  <c r="B644" i="6" s="1"/>
  <c r="A645" i="6"/>
  <c r="B645" i="6" s="1"/>
  <c r="A646" i="6"/>
  <c r="B646" i="6" s="1"/>
  <c r="A647" i="6"/>
  <c r="B647" i="6" s="1"/>
  <c r="A648" i="6"/>
  <c r="B648" i="6" s="1"/>
  <c r="A649" i="6"/>
  <c r="A650" i="6"/>
  <c r="B650" i="6" s="1"/>
  <c r="A651" i="6"/>
  <c r="B651" i="6" s="1"/>
  <c r="A652" i="6"/>
  <c r="B652" i="6"/>
  <c r="A653" i="6"/>
  <c r="B653" i="6"/>
  <c r="A654" i="6"/>
  <c r="A655" i="6"/>
  <c r="B655" i="6" s="1"/>
  <c r="A656" i="6"/>
  <c r="B656" i="6" s="1"/>
  <c r="A657" i="6"/>
  <c r="B657" i="6" s="1"/>
  <c r="A658" i="6"/>
  <c r="B658" i="6" s="1"/>
  <c r="A659" i="6"/>
  <c r="B659" i="6" s="1"/>
  <c r="A660" i="6"/>
  <c r="A661" i="6"/>
  <c r="A662" i="6"/>
  <c r="A663" i="6"/>
  <c r="A664" i="6"/>
  <c r="A665" i="6"/>
  <c r="B665" i="6" s="1"/>
  <c r="A666" i="6"/>
  <c r="B666" i="6" s="1"/>
  <c r="A667" i="6"/>
  <c r="B667" i="6" s="1"/>
  <c r="A668" i="6"/>
  <c r="B668" i="6" s="1"/>
  <c r="A669" i="6"/>
  <c r="B669" i="6"/>
  <c r="A670" i="6"/>
  <c r="B670" i="6"/>
  <c r="A671" i="6"/>
  <c r="B671" i="6"/>
  <c r="A672" i="6"/>
  <c r="B672" i="6"/>
  <c r="A673" i="6"/>
  <c r="B673" i="6"/>
  <c r="A674" i="6"/>
  <c r="B674" i="6" s="1"/>
  <c r="A675" i="6"/>
  <c r="B675" i="6"/>
  <c r="A676" i="6"/>
  <c r="B676" i="6"/>
  <c r="A677" i="6"/>
  <c r="B677" i="6"/>
  <c r="A678" i="6"/>
  <c r="B678" i="6" s="1"/>
  <c r="A679" i="6"/>
  <c r="B679" i="6" s="1"/>
  <c r="A680" i="6"/>
  <c r="B680" i="6" s="1"/>
  <c r="A681" i="6"/>
  <c r="B681" i="6" s="1"/>
  <c r="A682" i="6"/>
  <c r="B682" i="6" s="1"/>
  <c r="A683" i="6"/>
  <c r="A684" i="6"/>
  <c r="B684" i="6" s="1"/>
  <c r="A685" i="6"/>
  <c r="B685" i="6" s="1"/>
  <c r="A686" i="6"/>
  <c r="B686" i="6" s="1"/>
  <c r="A687" i="6"/>
  <c r="A688" i="6"/>
  <c r="B688" i="6" s="1"/>
  <c r="A689" i="6"/>
  <c r="B689" i="6"/>
  <c r="A690" i="6"/>
  <c r="B690" i="6"/>
  <c r="A691" i="6"/>
  <c r="B691" i="6" s="1"/>
  <c r="A692" i="6"/>
  <c r="B692" i="6" s="1"/>
  <c r="A693" i="6"/>
  <c r="B693" i="6" s="1"/>
  <c r="A694" i="6"/>
  <c r="B694" i="6" s="1"/>
  <c r="A695" i="6"/>
  <c r="B695" i="6" s="1"/>
  <c r="A696" i="6"/>
  <c r="B696" i="6" s="1"/>
  <c r="A697" i="6"/>
  <c r="B697" i="6" s="1"/>
  <c r="A698" i="6"/>
  <c r="B698" i="6" s="1"/>
  <c r="A699" i="6"/>
  <c r="B699" i="6" s="1"/>
  <c r="A700" i="6"/>
  <c r="B700"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B39" i="6" s="1"/>
  <c r="A40" i="6"/>
  <c r="B40" i="6" s="1"/>
  <c r="A41" i="6"/>
  <c r="B41" i="6" s="1"/>
  <c r="A42" i="6"/>
  <c r="B42" i="6" s="1"/>
  <c r="A43" i="6"/>
  <c r="B43" i="6" s="1"/>
  <c r="A44" i="6"/>
  <c r="B44" i="6" s="1"/>
  <c r="A45" i="6"/>
  <c r="B45" i="6" s="1"/>
  <c r="A46" i="6"/>
  <c r="B46" i="6" s="1"/>
  <c r="A47" i="6"/>
  <c r="B47" i="6" s="1"/>
  <c r="A48" i="6"/>
  <c r="B48" i="6" s="1"/>
  <c r="A49" i="6"/>
  <c r="B49" i="6" s="1"/>
  <c r="A50" i="6"/>
  <c r="B50" i="6" s="1"/>
  <c r="A51" i="6"/>
  <c r="B51" i="6" s="1"/>
  <c r="A52" i="6"/>
  <c r="B52" i="6" s="1"/>
  <c r="A53" i="6"/>
  <c r="B53" i="6" s="1"/>
  <c r="A54" i="6"/>
  <c r="B54" i="6" s="1"/>
  <c r="A55" i="6"/>
  <c r="B55" i="6" s="1"/>
  <c r="A56" i="6"/>
  <c r="B56" i="6" s="1"/>
  <c r="A57" i="6"/>
  <c r="B57" i="6" s="1"/>
  <c r="A58" i="6"/>
  <c r="B58" i="6" s="1"/>
  <c r="A59" i="6"/>
  <c r="B59" i="6" s="1"/>
  <c r="A60" i="6"/>
  <c r="B60" i="6" s="1"/>
  <c r="A61" i="6"/>
  <c r="B61" i="6" s="1"/>
  <c r="A62" i="6"/>
  <c r="B62" i="6" s="1"/>
  <c r="A63" i="6"/>
  <c r="B63" i="6" s="1"/>
  <c r="A64" i="6"/>
  <c r="B64" i="6" s="1"/>
  <c r="A65" i="6"/>
  <c r="B65" i="6" s="1"/>
  <c r="A66" i="6"/>
  <c r="B66" i="6" s="1"/>
  <c r="A67" i="6"/>
  <c r="B67" i="6" s="1"/>
  <c r="A68" i="6"/>
  <c r="B68" i="6" s="1"/>
  <c r="A69" i="6"/>
  <c r="B69" i="6" s="1"/>
  <c r="A70" i="6"/>
  <c r="B70" i="6" s="1"/>
  <c r="A71" i="6"/>
  <c r="B71" i="6" s="1"/>
  <c r="A72" i="6"/>
  <c r="B72" i="6" s="1"/>
  <c r="A73" i="6"/>
  <c r="B73" i="6" s="1"/>
  <c r="A74" i="6"/>
  <c r="B74" i="6" s="1"/>
  <c r="A75" i="6"/>
  <c r="B75" i="6" s="1"/>
  <c r="A76" i="6"/>
  <c r="B76" i="6" s="1"/>
  <c r="A77" i="6"/>
  <c r="B77" i="6" s="1"/>
  <c r="A78" i="6"/>
  <c r="B78" i="6" s="1"/>
  <c r="A79" i="6"/>
  <c r="B79" i="6" s="1"/>
  <c r="A80" i="6"/>
  <c r="B80" i="6" s="1"/>
  <c r="A81" i="6"/>
  <c r="B81" i="6" s="1"/>
  <c r="A82" i="6"/>
  <c r="B82" i="6" s="1"/>
  <c r="A83" i="6"/>
  <c r="B83" i="6" s="1"/>
  <c r="A84" i="6"/>
  <c r="B84" i="6" s="1"/>
  <c r="A85" i="6"/>
  <c r="B85" i="6" s="1"/>
  <c r="A86" i="6"/>
  <c r="B86" i="6" s="1"/>
  <c r="A87" i="6"/>
  <c r="B87" i="6" s="1"/>
  <c r="A88" i="6"/>
  <c r="A89" i="6"/>
  <c r="A90" i="6"/>
  <c r="A91" i="6"/>
  <c r="B91" i="6" s="1"/>
  <c r="A92" i="6"/>
  <c r="A93" i="6"/>
  <c r="A94" i="6"/>
  <c r="A95" i="6"/>
  <c r="B95" i="6" s="1"/>
  <c r="A96" i="6"/>
  <c r="B96" i="6" s="1"/>
  <c r="A97" i="6"/>
  <c r="B97" i="6" s="1"/>
  <c r="A98" i="6"/>
  <c r="B98" i="6" s="1"/>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B141" i="6" s="1"/>
  <c r="A142" i="6"/>
  <c r="A143" i="6"/>
  <c r="B143" i="6" s="1"/>
  <c r="A144" i="6"/>
  <c r="A145" i="6"/>
  <c r="A146" i="6"/>
  <c r="A147" i="6"/>
  <c r="A148" i="6"/>
  <c r="A149" i="6"/>
  <c r="A150" i="6"/>
  <c r="B150" i="6" s="1"/>
  <c r="A151" i="6"/>
  <c r="B151" i="6" s="1"/>
  <c r="A152" i="6"/>
  <c r="A153" i="6"/>
  <c r="A154" i="6"/>
  <c r="A155" i="6"/>
  <c r="A156" i="6"/>
  <c r="A157" i="6"/>
  <c r="A158" i="6"/>
  <c r="A159" i="6"/>
  <c r="A160" i="6"/>
  <c r="A161" i="6"/>
  <c r="A162" i="6"/>
  <c r="A163" i="6"/>
  <c r="A164" i="6"/>
  <c r="A165" i="6"/>
  <c r="A166" i="6"/>
  <c r="A167" i="6"/>
  <c r="A168" i="6"/>
  <c r="A169" i="6"/>
  <c r="B169" i="6" s="1"/>
  <c r="A170" i="6"/>
  <c r="A171" i="6"/>
  <c r="A172" i="6"/>
  <c r="A173" i="6"/>
  <c r="A174" i="6"/>
  <c r="A175" i="6"/>
  <c r="A176" i="6"/>
  <c r="B176" i="6" s="1"/>
  <c r="A177" i="6"/>
  <c r="B177" i="6" s="1"/>
  <c r="A178" i="6"/>
  <c r="B178" i="6" s="1"/>
  <c r="A179" i="6"/>
  <c r="B179" i="6" s="1"/>
  <c r="A180" i="6"/>
  <c r="B180" i="6" s="1"/>
  <c r="A181" i="6"/>
  <c r="B181" i="6" s="1"/>
  <c r="A182" i="6"/>
  <c r="B182" i="6" s="1"/>
  <c r="A183" i="6"/>
  <c r="B183" i="6" s="1"/>
  <c r="A184" i="6"/>
  <c r="B184" i="6" s="1"/>
  <c r="A185" i="6"/>
  <c r="B185" i="6" s="1"/>
  <c r="A186" i="6"/>
  <c r="B186" i="6" s="1"/>
  <c r="A187" i="6"/>
  <c r="B187" i="6" s="1"/>
  <c r="A188" i="6"/>
  <c r="B188" i="6" s="1"/>
  <c r="A189" i="6"/>
  <c r="B189" i="6" s="1"/>
  <c r="A190" i="6"/>
  <c r="B190" i="6" s="1"/>
  <c r="A191" i="6"/>
  <c r="B191" i="6" s="1"/>
  <c r="A192" i="6"/>
  <c r="B192" i="6" s="1"/>
  <c r="A193" i="6"/>
  <c r="B193" i="6" s="1"/>
  <c r="A194" i="6"/>
  <c r="B194" i="6" s="1"/>
  <c r="A195" i="6"/>
  <c r="B195" i="6" s="1"/>
  <c r="A196" i="6"/>
  <c r="B196" i="6" s="1"/>
  <c r="A197" i="6"/>
  <c r="B197" i="6" s="1"/>
  <c r="A198" i="6"/>
  <c r="B198" i="6" s="1"/>
  <c r="A199" i="6"/>
  <c r="B199" i="6" s="1"/>
  <c r="A200" i="6"/>
  <c r="B200" i="6" s="1"/>
  <c r="A201" i="6"/>
  <c r="B201" i="6" s="1"/>
  <c r="A202" i="6"/>
  <c r="B202" i="6" s="1"/>
  <c r="A203" i="6"/>
  <c r="B203" i="6" s="1"/>
  <c r="A204" i="6"/>
  <c r="B204" i="6" s="1"/>
  <c r="A205" i="6"/>
  <c r="B205" i="6" s="1"/>
  <c r="A206" i="6"/>
  <c r="B206" i="6" s="1"/>
  <c r="A207" i="6"/>
  <c r="B207" i="6" s="1"/>
  <c r="A208" i="6"/>
  <c r="B208" i="6" s="1"/>
  <c r="A209" i="6"/>
  <c r="B209" i="6" s="1"/>
  <c r="A210" i="6"/>
  <c r="B210" i="6" s="1"/>
  <c r="A211" i="6"/>
  <c r="B211" i="6" s="1"/>
  <c r="A212" i="6"/>
  <c r="B212" i="6" s="1"/>
  <c r="A213" i="6"/>
  <c r="B213" i="6" s="1"/>
  <c r="A214" i="6"/>
  <c r="B214" i="6" s="1"/>
  <c r="A215" i="6"/>
  <c r="B215" i="6" s="1"/>
  <c r="A216" i="6"/>
  <c r="B216" i="6" s="1"/>
  <c r="A217" i="6"/>
  <c r="B217" i="6" s="1"/>
  <c r="A218" i="6"/>
  <c r="B218" i="6" s="1"/>
  <c r="A219" i="6"/>
  <c r="B219" i="6" s="1"/>
  <c r="A220" i="6"/>
  <c r="B220" i="6" s="1"/>
  <c r="A221" i="6"/>
  <c r="B221" i="6" s="1"/>
  <c r="A222" i="6"/>
  <c r="B222" i="6" s="1"/>
  <c r="A223" i="6"/>
  <c r="B223" i="6" s="1"/>
  <c r="A224" i="6"/>
  <c r="B224" i="6" s="1"/>
  <c r="A225" i="6"/>
  <c r="B225" i="6" s="1"/>
  <c r="A226" i="6"/>
  <c r="B226" i="6" s="1"/>
  <c r="A227" i="6"/>
  <c r="B227" i="6" s="1"/>
  <c r="A228" i="6"/>
  <c r="B228" i="6" s="1"/>
  <c r="A229" i="6"/>
  <c r="A230" i="6"/>
  <c r="A231" i="6"/>
  <c r="A232" i="6"/>
  <c r="A233" i="6"/>
  <c r="A234" i="6"/>
  <c r="B234" i="6" s="1"/>
  <c r="A235" i="6"/>
  <c r="A236" i="6"/>
  <c r="A237" i="6"/>
  <c r="A238" i="6"/>
  <c r="A239" i="6"/>
  <c r="B239" i="6" s="1"/>
  <c r="A240" i="6"/>
  <c r="A241" i="6"/>
  <c r="A242" i="6"/>
  <c r="B242" i="6" s="1"/>
  <c r="A243" i="6"/>
  <c r="B243" i="6" s="1"/>
  <c r="A244" i="6"/>
  <c r="A245" i="6"/>
  <c r="A246" i="6"/>
  <c r="A247" i="6"/>
  <c r="A248" i="6"/>
  <c r="A249" i="6"/>
  <c r="A250" i="6"/>
  <c r="A251" i="6"/>
  <c r="A252" i="6"/>
  <c r="A253" i="6"/>
  <c r="A254" i="6"/>
  <c r="A255" i="6"/>
  <c r="A256" i="6"/>
  <c r="A257" i="6"/>
  <c r="A258" i="6"/>
  <c r="A259" i="6"/>
  <c r="A260" i="6"/>
  <c r="A261" i="6"/>
  <c r="B261" i="6" s="1"/>
  <c r="A262" i="6"/>
  <c r="B262" i="6" s="1"/>
  <c r="A263" i="6"/>
  <c r="B263" i="6" s="1"/>
  <c r="A264" i="6"/>
  <c r="B264" i="6" s="1"/>
  <c r="A265" i="6"/>
  <c r="B265" i="6" s="1"/>
  <c r="A266" i="6"/>
  <c r="B266" i="6" s="1"/>
  <c r="A267" i="6"/>
  <c r="B267" i="6" s="1"/>
  <c r="A268" i="6"/>
  <c r="B268" i="6" s="1"/>
  <c r="A269" i="6"/>
  <c r="B269" i="6" s="1"/>
  <c r="A270" i="6"/>
  <c r="B270" i="6" s="1"/>
  <c r="A271" i="6"/>
  <c r="B271" i="6" s="1"/>
  <c r="A272" i="6"/>
  <c r="B272" i="6" s="1"/>
  <c r="A273" i="6"/>
  <c r="B273" i="6" s="1"/>
  <c r="A274" i="6"/>
  <c r="B274" i="6" s="1"/>
  <c r="A275" i="6"/>
  <c r="B275" i="6" s="1"/>
  <c r="A276" i="6"/>
  <c r="B276" i="6" s="1"/>
  <c r="A277" i="6"/>
  <c r="B277" i="6" s="1"/>
  <c r="A278" i="6"/>
  <c r="B278" i="6" s="1"/>
  <c r="A279" i="6"/>
  <c r="B279" i="6" s="1"/>
  <c r="A280" i="6"/>
  <c r="B280" i="6" s="1"/>
  <c r="A281" i="6"/>
  <c r="B281" i="6" s="1"/>
  <c r="A282" i="6"/>
  <c r="B282" i="6" s="1"/>
  <c r="A283" i="6"/>
  <c r="B283" i="6" s="1"/>
  <c r="A284" i="6"/>
  <c r="B284" i="6" s="1"/>
  <c r="A285" i="6"/>
  <c r="B285" i="6" s="1"/>
  <c r="A286" i="6"/>
  <c r="B286" i="6" s="1"/>
  <c r="A287" i="6"/>
  <c r="B287" i="6" s="1"/>
  <c r="A288" i="6"/>
  <c r="B288" i="6" s="1"/>
  <c r="A289" i="6"/>
  <c r="B289" i="6" s="1"/>
  <c r="A290" i="6"/>
  <c r="B290" i="6" s="1"/>
  <c r="A291" i="6"/>
  <c r="B291" i="6" s="1"/>
  <c r="A292" i="6"/>
  <c r="B292" i="6" s="1"/>
  <c r="A293" i="6"/>
  <c r="B293" i="6" s="1"/>
  <c r="A294" i="6"/>
  <c r="B294" i="6" s="1"/>
  <c r="A295" i="6"/>
  <c r="B295" i="6" s="1"/>
  <c r="A296" i="6"/>
  <c r="B296" i="6" s="1"/>
  <c r="A297" i="6"/>
  <c r="B297" i="6" s="1"/>
  <c r="A298" i="6"/>
  <c r="B298" i="6" s="1"/>
  <c r="A299" i="6"/>
  <c r="B299" i="6" s="1"/>
  <c r="A300" i="6"/>
  <c r="B300" i="6" s="1"/>
  <c r="A301" i="6"/>
  <c r="B301" i="6" s="1"/>
  <c r="A302" i="6"/>
  <c r="B302" i="6" s="1"/>
  <c r="A303" i="6"/>
  <c r="B303" i="6" s="1"/>
  <c r="A304" i="6"/>
  <c r="B304" i="6" s="1"/>
  <c r="A305" i="6"/>
  <c r="B305" i="6" s="1"/>
  <c r="A306" i="6"/>
  <c r="B306" i="6" s="1"/>
  <c r="A307" i="6"/>
  <c r="B307" i="6" s="1"/>
  <c r="A308" i="6"/>
  <c r="B308" i="6" s="1"/>
  <c r="A309" i="6"/>
  <c r="B309" i="6" s="1"/>
  <c r="A310" i="6"/>
  <c r="B310" i="6" s="1"/>
  <c r="A311" i="6"/>
  <c r="B311" i="6" s="1"/>
  <c r="A312" i="6"/>
  <c r="B312" i="6" s="1"/>
  <c r="A313" i="6"/>
  <c r="B313" i="6" s="1"/>
  <c r="A314" i="6"/>
  <c r="B314" i="6" s="1"/>
  <c r="A315" i="6"/>
  <c r="B315" i="6" s="1"/>
  <c r="A316" i="6"/>
  <c r="B316" i="6" s="1"/>
  <c r="A317" i="6"/>
  <c r="B317" i="6" s="1"/>
  <c r="A318" i="6"/>
  <c r="B318" i="6" s="1"/>
  <c r="A319" i="6"/>
  <c r="B319" i="6" s="1"/>
  <c r="A320" i="6"/>
  <c r="B320" i="6" s="1"/>
  <c r="A321" i="6"/>
  <c r="B321" i="6" s="1"/>
  <c r="A322" i="6"/>
  <c r="B322" i="6" s="1"/>
  <c r="A323" i="6"/>
  <c r="B323" i="6" s="1"/>
  <c r="A324" i="6"/>
  <c r="B324" i="6" s="1"/>
  <c r="A325" i="6"/>
  <c r="B325" i="6" s="1"/>
  <c r="A326" i="6"/>
  <c r="B326" i="6" s="1"/>
  <c r="A327" i="6"/>
  <c r="B327" i="6" s="1"/>
  <c r="A328" i="6"/>
  <c r="B328" i="6" s="1"/>
  <c r="A329" i="6"/>
  <c r="B329" i="6" s="1"/>
  <c r="A330" i="6"/>
  <c r="B330" i="6" s="1"/>
  <c r="A331" i="6"/>
  <c r="B331" i="6" s="1"/>
  <c r="A332" i="6"/>
  <c r="B332" i="6" s="1"/>
  <c r="A333" i="6"/>
  <c r="B333" i="6" s="1"/>
  <c r="A334" i="6"/>
  <c r="B334" i="6" s="1"/>
  <c r="A335" i="6"/>
  <c r="B335" i="6" s="1"/>
  <c r="A336" i="6"/>
  <c r="B336" i="6" s="1"/>
  <c r="A337" i="6"/>
  <c r="B337" i="6" s="1"/>
  <c r="A338" i="6"/>
  <c r="B338" i="6" s="1"/>
  <c r="A339" i="6"/>
  <c r="B339" i="6" s="1"/>
  <c r="A340" i="6"/>
  <c r="B340" i="6" s="1"/>
  <c r="A341" i="6"/>
  <c r="B341" i="6" s="1"/>
  <c r="A342" i="6"/>
  <c r="B342" i="6" s="1"/>
  <c r="A343" i="6"/>
  <c r="B343" i="6" s="1"/>
  <c r="A344" i="6"/>
  <c r="B344" i="6" s="1"/>
  <c r="A345" i="6"/>
  <c r="B345" i="6" s="1"/>
  <c r="A346" i="6"/>
  <c r="B346" i="6" s="1"/>
  <c r="A347" i="6"/>
  <c r="B347" i="6" s="1"/>
  <c r="A348" i="6"/>
  <c r="B348" i="6" s="1"/>
  <c r="A349" i="6"/>
  <c r="B349" i="6" s="1"/>
  <c r="A350" i="6"/>
  <c r="B350" i="6" s="1"/>
  <c r="A351" i="6"/>
  <c r="B351" i="6" s="1"/>
  <c r="A352" i="6"/>
  <c r="B352" i="6" s="1"/>
  <c r="A353" i="6"/>
  <c r="B353" i="6" s="1"/>
  <c r="A354" i="6"/>
  <c r="B354" i="6" s="1"/>
  <c r="A355" i="6"/>
  <c r="B355" i="6" s="1"/>
  <c r="A356" i="6"/>
  <c r="B356" i="6" s="1"/>
  <c r="A357" i="6"/>
  <c r="B357" i="6" s="1"/>
  <c r="A358" i="6"/>
  <c r="B358" i="6" s="1"/>
  <c r="A359" i="6"/>
  <c r="B359" i="6" s="1"/>
  <c r="A360" i="6"/>
  <c r="B360" i="6" s="1"/>
  <c r="A361" i="6"/>
  <c r="B361" i="6" s="1"/>
  <c r="A362" i="6"/>
  <c r="B362" i="6" s="1"/>
  <c r="A363" i="6"/>
  <c r="B363" i="6" s="1"/>
  <c r="A364" i="6"/>
  <c r="B364" i="6" s="1"/>
  <c r="A365" i="6"/>
  <c r="B365" i="6" s="1"/>
  <c r="A366" i="6"/>
  <c r="B366" i="6" s="1"/>
  <c r="A367" i="6"/>
  <c r="B367" i="6" s="1"/>
  <c r="A368" i="6"/>
  <c r="B368" i="6" s="1"/>
  <c r="A369" i="6"/>
  <c r="B369" i="6" s="1"/>
  <c r="A370" i="6"/>
  <c r="B370" i="6" s="1"/>
  <c r="A371" i="6"/>
  <c r="B371" i="6" s="1"/>
  <c r="A372" i="6"/>
  <c r="B372" i="6" s="1"/>
  <c r="A373" i="6"/>
  <c r="B373" i="6" s="1"/>
  <c r="A374" i="6"/>
  <c r="B374" i="6" s="1"/>
  <c r="A375" i="6"/>
  <c r="B375" i="6" s="1"/>
  <c r="A376" i="6"/>
  <c r="B376" i="6" s="1"/>
  <c r="A377" i="6"/>
  <c r="B377" i="6" s="1"/>
  <c r="A378" i="6"/>
  <c r="B378" i="6" s="1"/>
  <c r="A379" i="6"/>
  <c r="B379" i="6" s="1"/>
  <c r="A380" i="6"/>
  <c r="B380" i="6" s="1"/>
  <c r="A381" i="6"/>
  <c r="B381" i="6" s="1"/>
  <c r="A382" i="6"/>
  <c r="B382" i="6" s="1"/>
  <c r="A383" i="6"/>
  <c r="B383" i="6" s="1"/>
  <c r="A384" i="6"/>
  <c r="B384" i="6" s="1"/>
  <c r="A385" i="6"/>
  <c r="B385" i="6" s="1"/>
  <c r="A386" i="6"/>
  <c r="B386" i="6" s="1"/>
  <c r="A387" i="6"/>
  <c r="B387" i="6" s="1"/>
  <c r="A388" i="6"/>
  <c r="B388" i="6" s="1"/>
  <c r="A389" i="6"/>
  <c r="B389" i="6" s="1"/>
  <c r="A390" i="6"/>
  <c r="B390" i="6" s="1"/>
  <c r="A391" i="6"/>
  <c r="B391" i="6" s="1"/>
  <c r="A392" i="6"/>
  <c r="B392" i="6" s="1"/>
  <c r="A393" i="6"/>
  <c r="B393" i="6" s="1"/>
  <c r="A394" i="6"/>
  <c r="B394" i="6" s="1"/>
  <c r="A395" i="6"/>
  <c r="B395" i="6" s="1"/>
  <c r="A396" i="6"/>
  <c r="B396" i="6" s="1"/>
  <c r="A397" i="6"/>
  <c r="B397" i="6" s="1"/>
  <c r="A398" i="6"/>
  <c r="B398" i="6" s="1"/>
  <c r="A399" i="6"/>
  <c r="B399" i="6" s="1"/>
  <c r="A400" i="6"/>
  <c r="B400" i="6" s="1"/>
  <c r="A401" i="6"/>
  <c r="B401" i="6" s="1"/>
  <c r="A402" i="6"/>
  <c r="B402" i="6" s="1"/>
  <c r="A403" i="6"/>
  <c r="B403" i="6" s="1"/>
  <c r="A404" i="6"/>
  <c r="B404" i="6" s="1"/>
  <c r="A405" i="6"/>
  <c r="B405" i="6" s="1"/>
  <c r="A406" i="6"/>
  <c r="B406" i="6" s="1"/>
  <c r="A407" i="6"/>
  <c r="B407" i="6" s="1"/>
  <c r="A408" i="6"/>
  <c r="B408" i="6" s="1"/>
  <c r="A409" i="6"/>
  <c r="B409" i="6" s="1"/>
  <c r="A410" i="6"/>
  <c r="B410" i="6" s="1"/>
  <c r="A411" i="6"/>
  <c r="B411" i="6" s="1"/>
  <c r="A412" i="6"/>
  <c r="B412" i="6" s="1"/>
  <c r="A413" i="6"/>
  <c r="B413" i="6" s="1"/>
  <c r="A414" i="6"/>
  <c r="B414" i="6" s="1"/>
  <c r="A415" i="6"/>
  <c r="B415" i="6" s="1"/>
  <c r="A416" i="6"/>
  <c r="B416" i="6" s="1"/>
  <c r="A417" i="6"/>
  <c r="B417" i="6" s="1"/>
  <c r="A418" i="6"/>
  <c r="B418" i="6" s="1"/>
  <c r="A419" i="6"/>
  <c r="B419" i="6" s="1"/>
  <c r="A420" i="6"/>
  <c r="B420" i="6" s="1"/>
  <c r="A421" i="6"/>
  <c r="B421" i="6" s="1"/>
  <c r="A422" i="6"/>
  <c r="B422" i="6" s="1"/>
  <c r="A423" i="6"/>
  <c r="B423" i="6" s="1"/>
  <c r="A424" i="6"/>
  <c r="B424" i="6" s="1"/>
  <c r="A425" i="6"/>
  <c r="B425" i="6" s="1"/>
  <c r="A426" i="6"/>
  <c r="B426" i="6" s="1"/>
  <c r="A427" i="6"/>
  <c r="B427" i="6" s="1"/>
  <c r="A428" i="6"/>
  <c r="B428" i="6" s="1"/>
  <c r="A429" i="6"/>
  <c r="B429" i="6" s="1"/>
  <c r="A430" i="6"/>
  <c r="B430" i="6" s="1"/>
  <c r="A431" i="6"/>
  <c r="B431" i="6" s="1"/>
  <c r="A432" i="6"/>
  <c r="B432" i="6" s="1"/>
  <c r="A433" i="6"/>
  <c r="B433" i="6" s="1"/>
  <c r="A434" i="6"/>
  <c r="B434" i="6" s="1"/>
  <c r="A435" i="6"/>
  <c r="B435" i="6" s="1"/>
  <c r="A436" i="6"/>
  <c r="B436" i="6" s="1"/>
  <c r="A437" i="6"/>
  <c r="B437" i="6" s="1"/>
  <c r="A438" i="6"/>
  <c r="B438" i="6" s="1"/>
  <c r="A439" i="6"/>
  <c r="B439" i="6" s="1"/>
  <c r="A440" i="6"/>
  <c r="B440" i="6" s="1"/>
  <c r="A441" i="6"/>
  <c r="B441" i="6" s="1"/>
  <c r="A442" i="6"/>
  <c r="B442" i="6" s="1"/>
  <c r="A443" i="6"/>
  <c r="B443" i="6" s="1"/>
  <c r="A444" i="6"/>
  <c r="B444" i="6" s="1"/>
  <c r="A445" i="6"/>
  <c r="B445" i="6" s="1"/>
  <c r="A446" i="6"/>
  <c r="B446" i="6" s="1"/>
  <c r="A447" i="6"/>
  <c r="B447" i="6" s="1"/>
  <c r="A448" i="6"/>
  <c r="B448" i="6" s="1"/>
  <c r="A449" i="6"/>
  <c r="B449" i="6" s="1"/>
  <c r="A450" i="6"/>
  <c r="B450" i="6" s="1"/>
  <c r="A451" i="6"/>
  <c r="B451" i="6" s="1"/>
  <c r="A452" i="6"/>
  <c r="B452" i="6" s="1"/>
  <c r="A453" i="6"/>
  <c r="B453" i="6" s="1"/>
  <c r="A454" i="6"/>
  <c r="B454" i="6" s="1"/>
  <c r="A455" i="6"/>
  <c r="B455" i="6" s="1"/>
  <c r="A456" i="6"/>
  <c r="B456" i="6" s="1"/>
  <c r="A457" i="6"/>
  <c r="B457" i="6" s="1"/>
  <c r="A458" i="6"/>
  <c r="B458" i="6" s="1"/>
  <c r="A459" i="6"/>
  <c r="B459" i="6" s="1"/>
  <c r="A460" i="6"/>
  <c r="B460" i="6" s="1"/>
  <c r="A461" i="6"/>
  <c r="B461" i="6" s="1"/>
  <c r="A462" i="6"/>
  <c r="B462" i="6" s="1"/>
  <c r="A463" i="6"/>
  <c r="B463" i="6" s="1"/>
  <c r="A464" i="6"/>
  <c r="B464" i="6" s="1"/>
  <c r="A465" i="6"/>
  <c r="B465" i="6" s="1"/>
  <c r="A466" i="6"/>
  <c r="B466" i="6" s="1"/>
  <c r="A467" i="6"/>
  <c r="B467" i="6" s="1"/>
  <c r="A468" i="6"/>
  <c r="B468" i="6" s="1"/>
  <c r="A469" i="6"/>
  <c r="B469" i="6" s="1"/>
  <c r="A470" i="6"/>
  <c r="B470" i="6" s="1"/>
  <c r="A471" i="6"/>
  <c r="B471" i="6" s="1"/>
  <c r="A472" i="6"/>
  <c r="B472" i="6" s="1"/>
  <c r="A473" i="6"/>
  <c r="B473" i="6" s="1"/>
  <c r="A474" i="6"/>
  <c r="B474" i="6" s="1"/>
  <c r="A475" i="6"/>
  <c r="B475" i="6" s="1"/>
  <c r="A476" i="6"/>
  <c r="B476" i="6" s="1"/>
  <c r="A477" i="6"/>
  <c r="B477" i="6" s="1"/>
  <c r="A478" i="6"/>
  <c r="B478" i="6" s="1"/>
  <c r="A479" i="6"/>
  <c r="B479" i="6" s="1"/>
  <c r="A480" i="6"/>
  <c r="B480" i="6" s="1"/>
  <c r="A481" i="6"/>
  <c r="B481" i="6" s="1"/>
  <c r="A482" i="6"/>
  <c r="B482" i="6" s="1"/>
  <c r="A483" i="6"/>
  <c r="B483" i="6" s="1"/>
  <c r="A484" i="6"/>
  <c r="B484" i="6" s="1"/>
  <c r="A485" i="6"/>
  <c r="B485" i="6" s="1"/>
  <c r="A486" i="6"/>
  <c r="B486" i="6" s="1"/>
  <c r="A487" i="6"/>
  <c r="B487" i="6" s="1"/>
  <c r="A488" i="6"/>
  <c r="B488" i="6" s="1"/>
  <c r="A489" i="6"/>
  <c r="B489" i="6" s="1"/>
  <c r="A490" i="6"/>
  <c r="B490" i="6" s="1"/>
  <c r="A491" i="6"/>
  <c r="B491" i="6" s="1"/>
  <c r="A492" i="6"/>
  <c r="B492" i="6" s="1"/>
  <c r="A493" i="6"/>
  <c r="B493" i="6" s="1"/>
  <c r="A494" i="6"/>
  <c r="B494" i="6" s="1"/>
  <c r="A495" i="6"/>
  <c r="B495" i="6" s="1"/>
  <c r="A496" i="6"/>
  <c r="B496" i="6" s="1"/>
  <c r="A497" i="6"/>
  <c r="A498" i="6"/>
  <c r="A499" i="6"/>
  <c r="A500" i="6"/>
  <c r="B500" i="6" s="1"/>
  <c r="A501" i="6"/>
  <c r="B501" i="6" s="1"/>
  <c r="A502" i="6"/>
  <c r="B502" i="6" s="1"/>
  <c r="A503" i="6"/>
  <c r="B503" i="6" s="1"/>
  <c r="A504" i="6"/>
  <c r="A505" i="6"/>
  <c r="A506" i="6"/>
  <c r="A507" i="6"/>
  <c r="E2" i="6" a="1"/>
  <c r="U508" i="1" a="1"/>
  <c r="L2" i="5" a="1"/>
  <c r="X508" i="1"/>
  <c r="Z508" i="1"/>
  <c r="AB508" i="1"/>
  <c r="AD508" i="1"/>
  <c r="K2" i="5" a="1"/>
  <c r="J2" i="5" a="1"/>
  <c r="T508" i="1" a="1"/>
  <c r="A9" i="6"/>
  <c r="B9" i="6" s="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C79" i="1"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AZ61" i="1"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B10" i="6" l="1"/>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88" i="6"/>
  <c r="B89" i="6"/>
  <c r="B90" i="6"/>
  <c r="B92" i="6"/>
  <c r="B93" i="6"/>
  <c r="B94"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2" i="6"/>
  <c r="B144" i="6"/>
  <c r="B145" i="6"/>
  <c r="B146" i="6"/>
  <c r="B147" i="6"/>
  <c r="B148" i="6"/>
  <c r="B149" i="6"/>
  <c r="B152" i="6"/>
  <c r="B153" i="6"/>
  <c r="B154" i="6"/>
  <c r="B155" i="6"/>
  <c r="B156" i="6"/>
  <c r="B157" i="6"/>
  <c r="B158" i="6"/>
  <c r="B159" i="6"/>
  <c r="B160" i="6"/>
  <c r="B161" i="6"/>
  <c r="B162" i="6"/>
  <c r="B163" i="6"/>
  <c r="B164" i="6"/>
  <c r="B165" i="6"/>
  <c r="B166" i="6"/>
  <c r="B167" i="6"/>
  <c r="B168" i="6"/>
  <c r="B170" i="6"/>
  <c r="B171" i="6"/>
  <c r="B172" i="6"/>
  <c r="B173" i="6"/>
  <c r="B174" i="6"/>
  <c r="B175" i="6"/>
  <c r="B229" i="6"/>
  <c r="B230" i="6"/>
  <c r="B231" i="6"/>
  <c r="B232" i="6"/>
  <c r="B233" i="6"/>
  <c r="B235" i="6"/>
  <c r="B236" i="6"/>
  <c r="B237" i="6"/>
  <c r="B238" i="6"/>
  <c r="B240" i="6"/>
  <c r="B241" i="6"/>
  <c r="B244" i="6"/>
  <c r="B245" i="6"/>
  <c r="B246" i="6"/>
  <c r="B247" i="6"/>
  <c r="B248" i="6"/>
  <c r="B249" i="6"/>
  <c r="B250" i="6"/>
  <c r="B251" i="6"/>
  <c r="B252" i="6"/>
  <c r="B253" i="6"/>
  <c r="B254" i="6"/>
  <c r="B255" i="6"/>
  <c r="B256" i="6"/>
  <c r="B257" i="6"/>
  <c r="B258" i="6"/>
  <c r="B259" i="6"/>
  <c r="B260" i="6"/>
  <c r="B497" i="6"/>
  <c r="B498" i="6"/>
  <c r="B499" i="6"/>
  <c r="B504" i="6"/>
  <c r="B505" i="6"/>
  <c r="B506" i="6"/>
  <c r="B507" i="6"/>
  <c r="B509" i="6"/>
  <c r="B510" i="6"/>
  <c r="B511" i="6"/>
  <c r="B512" i="6"/>
  <c r="B513" i="6"/>
  <c r="B518" i="6"/>
  <c r="B519" i="6"/>
  <c r="B536" i="6"/>
  <c r="B560" i="6"/>
  <c r="B571" i="6"/>
  <c r="B572" i="6"/>
  <c r="B649" i="6"/>
  <c r="B654" i="6"/>
  <c r="B660" i="6"/>
  <c r="B661" i="6"/>
  <c r="B662" i="6"/>
  <c r="B663" i="6"/>
  <c r="B664" i="6"/>
  <c r="B683" i="6"/>
  <c r="B687" i="6"/>
  <c r="M90" i="3"/>
  <c r="BA80" i="1" s="1"/>
  <c r="P20" i="3"/>
  <c r="BD10" i="1" s="1"/>
  <c r="P21" i="3"/>
  <c r="BD11" i="1" s="1"/>
  <c r="P19" i="3"/>
  <c r="BD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Y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BC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BE61" i="1" s="1"/>
  <c r="Q72" i="3"/>
  <c r="BE62" i="1" s="1"/>
  <c r="Q73" i="3"/>
  <c r="BE63" i="1" s="1"/>
  <c r="Q74" i="3"/>
  <c r="BE64" i="1" s="1"/>
  <c r="Q75" i="3"/>
  <c r="BE65" i="1" s="1"/>
  <c r="Q76" i="3"/>
  <c r="BE66" i="1" s="1"/>
  <c r="Q77" i="3"/>
  <c r="BE67" i="1" s="1"/>
  <c r="Q78" i="3"/>
  <c r="BE68" i="1" s="1"/>
  <c r="Q79" i="3"/>
  <c r="BE69" i="1" s="1"/>
  <c r="Q80" i="3"/>
  <c r="BE70" i="1" s="1"/>
  <c r="Q177" i="3"/>
  <c r="BE167" i="1" s="1"/>
  <c r="Q178" i="3"/>
  <c r="BE168" i="1" s="1"/>
  <c r="Q179" i="3"/>
  <c r="BE169" i="1" s="1"/>
  <c r="Q180" i="3"/>
  <c r="BE170" i="1" s="1"/>
  <c r="Q181" i="3"/>
  <c r="BE171" i="1" s="1"/>
  <c r="Q182" i="3"/>
  <c r="BE172" i="1" s="1"/>
  <c r="Q183" i="3"/>
  <c r="BE173" i="1" s="1"/>
  <c r="Q184" i="3"/>
  <c r="BE174" i="1" s="1"/>
  <c r="Q185" i="3"/>
  <c r="BE175" i="1" s="1"/>
  <c r="Q186" i="3"/>
  <c r="BE176" i="1" s="1"/>
  <c r="Q187" i="3"/>
  <c r="BE177" i="1" s="1"/>
  <c r="Q188" i="3"/>
  <c r="BE178" i="1" s="1"/>
  <c r="Q189" i="3"/>
  <c r="BE179" i="1" s="1"/>
  <c r="Q190" i="3"/>
  <c r="BE180" i="1" s="1"/>
  <c r="Q191" i="3"/>
  <c r="BE181" i="1" s="1"/>
  <c r="Q192" i="3"/>
  <c r="BE182" i="1" s="1"/>
  <c r="Q193" i="3"/>
  <c r="BE183" i="1" s="1"/>
  <c r="Q194" i="3"/>
  <c r="BE184" i="1" s="1"/>
  <c r="Q195" i="3"/>
  <c r="BE185" i="1" s="1"/>
  <c r="Q196" i="3"/>
  <c r="BE186" i="1" s="1"/>
  <c r="Q197" i="3"/>
  <c r="BE187" i="1" s="1"/>
  <c r="Q198" i="3"/>
  <c r="BE188" i="1" s="1"/>
  <c r="Q199" i="3"/>
  <c r="BE189" i="1" s="1"/>
  <c r="Q200" i="3"/>
  <c r="BE190" i="1" s="1"/>
  <c r="Q201" i="3"/>
  <c r="BE191" i="1" s="1"/>
  <c r="Q202" i="3"/>
  <c r="BE192" i="1" s="1"/>
  <c r="Q203" i="3"/>
  <c r="BE193" i="1" s="1"/>
  <c r="Q204" i="3"/>
  <c r="BE194" i="1" s="1"/>
  <c r="Q205" i="3"/>
  <c r="BE195" i="1" s="1"/>
  <c r="Q206" i="3"/>
  <c r="BE196" i="1" s="1"/>
  <c r="Q207" i="3"/>
  <c r="BE197" i="1" s="1"/>
  <c r="Q208" i="3"/>
  <c r="BE198" i="1" s="1"/>
  <c r="Q209" i="3"/>
  <c r="BE199" i="1" s="1"/>
  <c r="Q210" i="3"/>
  <c r="BE200" i="1" s="1"/>
  <c r="Q211" i="3"/>
  <c r="BE201" i="1" s="1"/>
  <c r="Q212" i="3"/>
  <c r="BE202" i="1" s="1"/>
  <c r="Q213" i="3"/>
  <c r="BE203" i="1" s="1"/>
  <c r="Q214" i="3"/>
  <c r="BE204" i="1" s="1"/>
  <c r="Q215" i="3"/>
  <c r="BE205" i="1" s="1"/>
  <c r="Q216" i="3"/>
  <c r="BE206" i="1" s="1"/>
  <c r="Q217" i="3"/>
  <c r="BE207" i="1" s="1"/>
  <c r="Q218" i="3"/>
  <c r="BE208" i="1" s="1"/>
  <c r="Q219" i="3"/>
  <c r="BE209" i="1" s="1"/>
  <c r="Q220" i="3"/>
  <c r="BE210" i="1" s="1"/>
  <c r="Q221" i="3"/>
  <c r="BE211" i="1" s="1"/>
  <c r="Q222" i="3"/>
  <c r="BE212" i="1" s="1"/>
  <c r="Q223" i="3"/>
  <c r="BE213" i="1" s="1"/>
  <c r="Q224" i="3"/>
  <c r="BE214" i="1" s="1"/>
  <c r="Q225" i="3"/>
  <c r="BE215" i="1" s="1"/>
  <c r="Q226" i="3"/>
  <c r="BE216" i="1" s="1"/>
  <c r="Q227" i="3"/>
  <c r="BE217" i="1" s="1"/>
  <c r="Q228" i="3"/>
  <c r="BE218" i="1" s="1"/>
  <c r="Q229" i="3"/>
  <c r="BE219" i="1" s="1"/>
  <c r="Q230" i="3"/>
  <c r="BE220" i="1" s="1"/>
  <c r="Q231" i="3"/>
  <c r="BE221" i="1" s="1"/>
  <c r="Q232" i="3"/>
  <c r="BE222" i="1" s="1"/>
  <c r="Q233" i="3"/>
  <c r="BE223" i="1" s="1"/>
  <c r="Q234" i="3"/>
  <c r="BE224" i="1" s="1"/>
  <c r="Q350" i="3"/>
  <c r="BE340" i="1" s="1"/>
  <c r="Q351" i="3"/>
  <c r="BE341" i="1" s="1"/>
  <c r="Q352" i="3"/>
  <c r="BE342" i="1" s="1"/>
  <c r="Q353" i="3"/>
  <c r="BE343" i="1" s="1"/>
  <c r="Q354" i="3"/>
  <c r="BE344" i="1" s="1"/>
  <c r="Q355" i="3"/>
  <c r="BE345" i="1" s="1"/>
  <c r="Q99" i="3"/>
  <c r="BE89" i="1" s="1"/>
  <c r="Q132" i="3"/>
  <c r="BE122" i="1" s="1"/>
  <c r="Q134" i="3"/>
  <c r="BE124" i="1" s="1"/>
  <c r="Q137" i="3"/>
  <c r="BE127" i="1" s="1"/>
  <c r="Q140" i="3"/>
  <c r="BE130" i="1" s="1"/>
  <c r="Q144" i="3"/>
  <c r="BE134" i="1" s="1"/>
  <c r="Q145" i="3"/>
  <c r="BE135" i="1" s="1"/>
  <c r="Q148" i="3"/>
  <c r="BE138" i="1" s="1"/>
  <c r="Q150" i="3"/>
  <c r="BE140" i="1" s="1"/>
  <c r="Q153" i="3"/>
  <c r="BE143" i="1" s="1"/>
  <c r="Q156" i="3"/>
  <c r="BE146" i="1" s="1"/>
  <c r="Q157" i="3"/>
  <c r="BE147" i="1" s="1"/>
  <c r="Q159" i="3"/>
  <c r="BE149" i="1" s="1"/>
  <c r="Q162" i="3"/>
  <c r="BE152" i="1" s="1"/>
  <c r="Q167" i="3"/>
  <c r="BE157" i="1" s="1"/>
  <c r="Q169" i="3"/>
  <c r="BE159" i="1" s="1"/>
  <c r="Q172" i="3"/>
  <c r="BE162" i="1" s="1"/>
  <c r="Q175" i="3"/>
  <c r="BE165" i="1" s="1"/>
  <c r="Q235" i="3"/>
  <c r="BE225" i="1" s="1"/>
  <c r="Q236" i="3"/>
  <c r="BE226" i="1" s="1"/>
  <c r="Q237" i="3"/>
  <c r="BE227" i="1" s="1"/>
  <c r="Q238" i="3"/>
  <c r="BE228" i="1" s="1"/>
  <c r="Q239" i="3"/>
  <c r="BE229" i="1" s="1"/>
  <c r="Q240" i="3"/>
  <c r="BE230" i="1" s="1"/>
  <c r="Q241" i="3"/>
  <c r="BE231" i="1" s="1"/>
  <c r="Q242" i="3"/>
  <c r="BE232" i="1" s="1"/>
  <c r="Q243" i="3"/>
  <c r="BE233" i="1" s="1"/>
  <c r="Q245" i="3"/>
  <c r="BE235" i="1" s="1"/>
  <c r="Q247" i="3"/>
  <c r="BE237" i="1" s="1"/>
  <c r="Q249" i="3"/>
  <c r="BE239" i="1" s="1"/>
  <c r="Q250" i="3"/>
  <c r="BE240" i="1" s="1"/>
  <c r="Q251" i="3"/>
  <c r="BE241" i="1" s="1"/>
  <c r="Q252" i="3"/>
  <c r="BE242" i="1" s="1"/>
  <c r="Q253" i="3"/>
  <c r="BE243" i="1" s="1"/>
  <c r="Q256" i="3"/>
  <c r="BE246" i="1" s="1"/>
  <c r="Q257" i="3"/>
  <c r="BE247" i="1" s="1"/>
  <c r="Q259" i="3"/>
  <c r="BE249" i="1" s="1"/>
  <c r="Q261" i="3"/>
  <c r="BE251" i="1" s="1"/>
  <c r="Q262" i="3"/>
  <c r="BE252" i="1" s="1"/>
  <c r="Q264" i="3"/>
  <c r="BE254" i="1" s="1"/>
  <c r="Q266" i="3"/>
  <c r="BE256" i="1" s="1"/>
  <c r="Q268" i="3"/>
  <c r="BE258" i="1" s="1"/>
  <c r="Q270" i="3"/>
  <c r="BE260" i="1" s="1"/>
  <c r="Q271" i="3"/>
  <c r="BE261" i="1" s="1"/>
  <c r="Q274" i="3"/>
  <c r="BE264" i="1" s="1"/>
  <c r="Q277" i="3"/>
  <c r="BE267" i="1" s="1"/>
  <c r="Q278" i="3"/>
  <c r="BE268" i="1" s="1"/>
  <c r="Q280" i="3"/>
  <c r="BE270" i="1" s="1"/>
  <c r="Q281" i="3"/>
  <c r="BE271" i="1" s="1"/>
  <c r="Q283" i="3"/>
  <c r="BE273" i="1" s="1"/>
  <c r="Q284" i="3"/>
  <c r="BE274" i="1" s="1"/>
  <c r="Q285" i="3"/>
  <c r="BE275" i="1" s="1"/>
  <c r="Q287" i="3"/>
  <c r="BE277" i="1" s="1"/>
  <c r="Q289" i="3"/>
  <c r="BE279" i="1" s="1"/>
  <c r="Q291" i="3"/>
  <c r="BE281" i="1" s="1"/>
  <c r="Q295" i="3"/>
  <c r="BE285" i="1" s="1"/>
  <c r="Q296" i="3"/>
  <c r="BE286" i="1" s="1"/>
  <c r="Q300" i="3"/>
  <c r="BE290" i="1" s="1"/>
  <c r="Q302" i="3"/>
  <c r="BE292" i="1" s="1"/>
  <c r="Q305" i="3"/>
  <c r="BE295" i="1" s="1"/>
  <c r="Q307" i="3"/>
  <c r="BE297" i="1" s="1"/>
  <c r="Q310" i="3"/>
  <c r="BE300" i="1" s="1"/>
  <c r="Q313" i="3"/>
  <c r="BE303" i="1" s="1"/>
  <c r="Q314" i="3"/>
  <c r="BE304" i="1" s="1"/>
  <c r="Q316" i="3"/>
  <c r="BE306" i="1" s="1"/>
  <c r="Q319" i="3"/>
  <c r="BE309" i="1" s="1"/>
  <c r="Q322" i="3"/>
  <c r="BE312" i="1" s="1"/>
  <c r="Q326" i="3"/>
  <c r="BE316" i="1" s="1"/>
  <c r="Q328" i="3"/>
  <c r="BE318" i="1" s="1"/>
  <c r="Q333" i="3"/>
  <c r="BE323" i="1" s="1"/>
  <c r="Q335" i="3"/>
  <c r="BE325" i="1" s="1"/>
  <c r="Q337" i="3"/>
  <c r="BE327" i="1" s="1"/>
  <c r="Q340" i="3"/>
  <c r="BE330" i="1" s="1"/>
  <c r="Q343" i="3"/>
  <c r="BE333" i="1" s="1"/>
  <c r="Q346" i="3"/>
  <c r="BE336" i="1" s="1"/>
  <c r="Q348" i="3"/>
  <c r="BE338" i="1" s="1"/>
  <c r="Q358" i="3"/>
  <c r="BE348" i="1" s="1"/>
  <c r="Q360" i="3"/>
  <c r="BE350" i="1" s="1"/>
  <c r="Q364" i="3"/>
  <c r="BE354" i="1" s="1"/>
  <c r="Q368" i="3"/>
  <c r="BE358" i="1" s="1"/>
  <c r="Q370" i="3"/>
  <c r="BE360" i="1" s="1"/>
  <c r="Q372" i="3"/>
  <c r="BE362" i="1" s="1"/>
  <c r="Q374" i="3"/>
  <c r="BE364" i="1" s="1"/>
  <c r="Q375" i="3"/>
  <c r="BE365" i="1" s="1"/>
  <c r="Q376" i="3"/>
  <c r="BE366" i="1" s="1"/>
  <c r="Q20" i="3"/>
  <c r="BE10" i="1" s="1"/>
  <c r="Q21" i="3"/>
  <c r="BE11" i="1" s="1"/>
  <c r="Q22" i="3"/>
  <c r="BE12" i="1" s="1"/>
  <c r="Q23" i="3"/>
  <c r="BE13" i="1" s="1"/>
  <c r="Q24" i="3"/>
  <c r="BE14" i="1" s="1"/>
  <c r="Q25" i="3"/>
  <c r="BE15" i="1" s="1"/>
  <c r="Q26" i="3"/>
  <c r="BE16" i="1" s="1"/>
  <c r="Q27" i="3"/>
  <c r="BE17" i="1" s="1"/>
  <c r="Q28" i="3"/>
  <c r="BE18" i="1" s="1"/>
  <c r="Q29" i="3"/>
  <c r="BE19" i="1" s="1"/>
  <c r="Q30" i="3"/>
  <c r="BE20" i="1" s="1"/>
  <c r="Q31" i="3"/>
  <c r="BE21" i="1" s="1"/>
  <c r="Q32" i="3"/>
  <c r="BE22" i="1" s="1"/>
  <c r="Q33" i="3"/>
  <c r="BE23" i="1" s="1"/>
  <c r="Q34" i="3"/>
  <c r="BE24" i="1" s="1"/>
  <c r="Q35" i="3"/>
  <c r="BE25" i="1" s="1"/>
  <c r="Q36" i="3"/>
  <c r="BE26" i="1" s="1"/>
  <c r="Q37" i="3"/>
  <c r="BE27" i="1" s="1"/>
  <c r="Q38" i="3"/>
  <c r="BE28" i="1" s="1"/>
  <c r="Q39" i="3"/>
  <c r="BE29" i="1" s="1"/>
  <c r="Q40" i="3"/>
  <c r="BE30" i="1" s="1"/>
  <c r="Q41" i="3"/>
  <c r="BE31" i="1" s="1"/>
  <c r="Q42" i="3"/>
  <c r="BE32" i="1" s="1"/>
  <c r="Q43" i="3"/>
  <c r="BE33" i="1" s="1"/>
  <c r="Q44" i="3"/>
  <c r="BE34" i="1" s="1"/>
  <c r="Q45" i="3"/>
  <c r="BE35" i="1" s="1"/>
  <c r="Q46" i="3"/>
  <c r="BE36" i="1" s="1"/>
  <c r="Q47" i="3"/>
  <c r="BE37" i="1" s="1"/>
  <c r="Q48" i="3"/>
  <c r="BE38" i="1" s="1"/>
  <c r="Q49" i="3"/>
  <c r="BE39" i="1" s="1"/>
  <c r="Q50" i="3"/>
  <c r="BE40" i="1" s="1"/>
  <c r="Q51" i="3"/>
  <c r="BE41" i="1" s="1"/>
  <c r="Q52" i="3"/>
  <c r="BE42" i="1" s="1"/>
  <c r="Q53" i="3"/>
  <c r="BE43" i="1" s="1"/>
  <c r="Q54" i="3"/>
  <c r="BE44" i="1" s="1"/>
  <c r="Q55" i="3"/>
  <c r="BE45" i="1" s="1"/>
  <c r="Q56" i="3"/>
  <c r="BE46" i="1" s="1"/>
  <c r="Q57" i="3"/>
  <c r="BE47" i="1" s="1"/>
  <c r="Q58" i="3"/>
  <c r="BE48" i="1" s="1"/>
  <c r="Q59" i="3"/>
  <c r="BE49" i="1" s="1"/>
  <c r="Q60" i="3"/>
  <c r="BE50" i="1" s="1"/>
  <c r="Q61" i="3"/>
  <c r="BE51" i="1" s="1"/>
  <c r="Q62" i="3"/>
  <c r="BE52" i="1" s="1"/>
  <c r="Q63" i="3"/>
  <c r="BE53" i="1" s="1"/>
  <c r="Q64" i="3"/>
  <c r="BE54" i="1" s="1"/>
  <c r="Q65" i="3"/>
  <c r="BE55" i="1" s="1"/>
  <c r="Q66" i="3"/>
  <c r="BE56" i="1" s="1"/>
  <c r="Q67" i="3"/>
  <c r="BE57" i="1" s="1"/>
  <c r="Q68" i="3"/>
  <c r="BE58" i="1" s="1"/>
  <c r="Q69" i="3"/>
  <c r="BE59" i="1" s="1"/>
  <c r="Q70" i="3"/>
  <c r="BE60" i="1" s="1"/>
  <c r="Q136" i="3"/>
  <c r="BE126" i="1" s="1"/>
  <c r="Q141" i="3"/>
  <c r="BE131" i="1" s="1"/>
  <c r="Q143" i="3"/>
  <c r="BE133" i="1" s="1"/>
  <c r="Q146" i="3"/>
  <c r="BE136" i="1" s="1"/>
  <c r="Q149" i="3"/>
  <c r="BE139" i="1" s="1"/>
  <c r="Q152" i="3"/>
  <c r="BE142" i="1" s="1"/>
  <c r="Q155" i="3"/>
  <c r="BE145" i="1" s="1"/>
  <c r="Q160" i="3"/>
  <c r="BE150" i="1" s="1"/>
  <c r="Q163" i="3"/>
  <c r="BE153" i="1" s="1"/>
  <c r="Q166" i="3"/>
  <c r="BE156" i="1" s="1"/>
  <c r="Q170" i="3"/>
  <c r="BE160" i="1" s="1"/>
  <c r="Q173" i="3"/>
  <c r="BE163" i="1" s="1"/>
  <c r="Q176" i="3"/>
  <c r="BE166" i="1" s="1"/>
  <c r="Q309" i="3"/>
  <c r="BE299" i="1" s="1"/>
  <c r="Q311" i="3"/>
  <c r="BE301" i="1" s="1"/>
  <c r="Q315" i="3"/>
  <c r="BE305" i="1" s="1"/>
  <c r="Q317" i="3"/>
  <c r="BE307" i="1" s="1"/>
  <c r="Q321" i="3"/>
  <c r="BE311" i="1" s="1"/>
  <c r="Q324" i="3"/>
  <c r="BE314" i="1" s="1"/>
  <c r="Q327" i="3"/>
  <c r="BE317" i="1" s="1"/>
  <c r="Q329" i="3"/>
  <c r="BE319" i="1" s="1"/>
  <c r="Q331" i="3"/>
  <c r="BE321" i="1" s="1"/>
  <c r="Q332" i="3"/>
  <c r="BE322" i="1" s="1"/>
  <c r="Q336" i="3"/>
  <c r="BE326" i="1" s="1"/>
  <c r="Q339" i="3"/>
  <c r="BE329" i="1" s="1"/>
  <c r="Q341" i="3"/>
  <c r="BE331" i="1" s="1"/>
  <c r="Q344" i="3"/>
  <c r="BE334" i="1" s="1"/>
  <c r="Q347" i="3"/>
  <c r="BE337" i="1" s="1"/>
  <c r="Q356" i="3"/>
  <c r="BE346" i="1" s="1"/>
  <c r="Q357" i="3"/>
  <c r="BE347" i="1" s="1"/>
  <c r="Q359" i="3"/>
  <c r="BE349" i="1" s="1"/>
  <c r="Q363" i="3"/>
  <c r="BE353" i="1" s="1"/>
  <c r="Q365" i="3"/>
  <c r="BE355" i="1" s="1"/>
  <c r="Q366" i="3"/>
  <c r="BE356" i="1" s="1"/>
  <c r="Q367" i="3"/>
  <c r="BE357" i="1" s="1"/>
  <c r="Q377" i="3"/>
  <c r="BE367" i="1" s="1"/>
  <c r="Q378" i="3"/>
  <c r="BE368" i="1" s="1"/>
  <c r="Q379" i="3"/>
  <c r="BE369" i="1" s="1"/>
  <c r="Q380" i="3"/>
  <c r="BE370" i="1" s="1"/>
  <c r="Q381" i="3"/>
  <c r="BE371" i="1" s="1"/>
  <c r="Q382" i="3"/>
  <c r="BE372" i="1" s="1"/>
  <c r="Q383" i="3"/>
  <c r="BE373" i="1" s="1"/>
  <c r="Q384" i="3"/>
  <c r="BE374" i="1" s="1"/>
  <c r="Q385" i="3"/>
  <c r="BE375" i="1" s="1"/>
  <c r="Q386" i="3"/>
  <c r="BE376" i="1" s="1"/>
  <c r="Q387" i="3"/>
  <c r="BE377" i="1" s="1"/>
  <c r="Q388" i="3"/>
  <c r="BE378" i="1" s="1"/>
  <c r="Q389" i="3"/>
  <c r="BE379" i="1" s="1"/>
  <c r="Q390" i="3"/>
  <c r="BE380" i="1" s="1"/>
  <c r="Q391" i="3"/>
  <c r="BE381" i="1" s="1"/>
  <c r="Q392" i="3"/>
  <c r="BE382" i="1" s="1"/>
  <c r="Q393" i="3"/>
  <c r="BE383" i="1" s="1"/>
  <c r="Q394" i="3"/>
  <c r="BE384" i="1" s="1"/>
  <c r="Q395" i="3"/>
  <c r="BE385" i="1" s="1"/>
  <c r="Q396" i="3"/>
  <c r="BE386" i="1" s="1"/>
  <c r="Q397" i="3"/>
  <c r="BE387" i="1" s="1"/>
  <c r="Q398" i="3"/>
  <c r="BE388" i="1" s="1"/>
  <c r="Q399" i="3"/>
  <c r="BE389" i="1" s="1"/>
  <c r="Q400" i="3"/>
  <c r="BE390" i="1" s="1"/>
  <c r="Q401" i="3"/>
  <c r="BE391" i="1" s="1"/>
  <c r="Q402" i="3"/>
  <c r="BE392" i="1" s="1"/>
  <c r="Q403" i="3"/>
  <c r="BE393" i="1" s="1"/>
  <c r="Q404" i="3"/>
  <c r="BE394" i="1" s="1"/>
  <c r="Q405" i="3"/>
  <c r="BE395" i="1" s="1"/>
  <c r="Q406" i="3"/>
  <c r="BE396" i="1" s="1"/>
  <c r="Q407" i="3"/>
  <c r="BE397" i="1" s="1"/>
  <c r="Q408" i="3"/>
  <c r="BE398" i="1" s="1"/>
  <c r="Q409" i="3"/>
  <c r="BE399" i="1" s="1"/>
  <c r="Q410" i="3"/>
  <c r="BE400" i="1" s="1"/>
  <c r="Q411" i="3"/>
  <c r="BE401" i="1" s="1"/>
  <c r="Q412" i="3"/>
  <c r="BE402" i="1" s="1"/>
  <c r="Q413" i="3"/>
  <c r="BE403" i="1" s="1"/>
  <c r="Q414" i="3"/>
  <c r="BE404" i="1" s="1"/>
  <c r="Q415" i="3"/>
  <c r="BE405" i="1" s="1"/>
  <c r="Q416" i="3"/>
  <c r="BE406" i="1" s="1"/>
  <c r="Q417" i="3"/>
  <c r="BE407" i="1" s="1"/>
  <c r="Q418" i="3"/>
  <c r="BE408" i="1" s="1"/>
  <c r="Q419" i="3"/>
  <c r="BE409" i="1" s="1"/>
  <c r="Q420" i="3"/>
  <c r="BE410" i="1" s="1"/>
  <c r="Q421" i="3"/>
  <c r="BE411" i="1" s="1"/>
  <c r="Q422" i="3"/>
  <c r="BE412" i="1" s="1"/>
  <c r="Q423" i="3"/>
  <c r="BE413" i="1" s="1"/>
  <c r="Q424" i="3"/>
  <c r="BE414" i="1" s="1"/>
  <c r="Q425" i="3"/>
  <c r="BE415" i="1" s="1"/>
  <c r="Q426" i="3"/>
  <c r="BE416" i="1" s="1"/>
  <c r="Q427" i="3"/>
  <c r="BE417" i="1" s="1"/>
  <c r="Q428" i="3"/>
  <c r="BE418" i="1" s="1"/>
  <c r="Q429" i="3"/>
  <c r="BE419" i="1" s="1"/>
  <c r="Q430" i="3"/>
  <c r="BE420" i="1" s="1"/>
  <c r="Q431" i="3"/>
  <c r="BE421" i="1" s="1"/>
  <c r="Q432" i="3"/>
  <c r="BE422" i="1" s="1"/>
  <c r="Q433" i="3"/>
  <c r="BE423" i="1" s="1"/>
  <c r="Q434" i="3"/>
  <c r="BE424" i="1" s="1"/>
  <c r="Q435" i="3"/>
  <c r="BE425" i="1" s="1"/>
  <c r="Q436" i="3"/>
  <c r="BE426" i="1" s="1"/>
  <c r="Q437" i="3"/>
  <c r="BE427" i="1" s="1"/>
  <c r="Q438" i="3"/>
  <c r="BE428" i="1" s="1"/>
  <c r="Q439" i="3"/>
  <c r="BE429" i="1" s="1"/>
  <c r="Q440" i="3"/>
  <c r="BE430" i="1" s="1"/>
  <c r="Q441" i="3"/>
  <c r="BE431" i="1" s="1"/>
  <c r="Q442" i="3"/>
  <c r="BE432" i="1" s="1"/>
  <c r="Q443" i="3"/>
  <c r="BE433" i="1" s="1"/>
  <c r="Q444" i="3"/>
  <c r="BE434" i="1" s="1"/>
  <c r="Q445" i="3"/>
  <c r="BE435" i="1" s="1"/>
  <c r="Q446" i="3"/>
  <c r="BE436" i="1" s="1"/>
  <c r="Q447" i="3"/>
  <c r="BE437" i="1" s="1"/>
  <c r="Q448" i="3"/>
  <c r="BE438" i="1" s="1"/>
  <c r="Q449" i="3"/>
  <c r="BE439" i="1" s="1"/>
  <c r="Q450" i="3"/>
  <c r="BE440" i="1" s="1"/>
  <c r="Q451" i="3"/>
  <c r="BE441" i="1" s="1"/>
  <c r="Q452" i="3"/>
  <c r="BE442" i="1" s="1"/>
  <c r="Q453" i="3"/>
  <c r="BE443" i="1" s="1"/>
  <c r="Q454" i="3"/>
  <c r="BE444" i="1" s="1"/>
  <c r="Q455" i="3"/>
  <c r="BE445" i="1" s="1"/>
  <c r="Q456" i="3"/>
  <c r="BE446" i="1" s="1"/>
  <c r="Q457" i="3"/>
  <c r="BE447" i="1" s="1"/>
  <c r="Q458" i="3"/>
  <c r="BE448" i="1" s="1"/>
  <c r="Q459" i="3"/>
  <c r="BE449" i="1" s="1"/>
  <c r="Q460" i="3"/>
  <c r="BE450" i="1" s="1"/>
  <c r="Q461" i="3"/>
  <c r="BE451" i="1" s="1"/>
  <c r="Q462" i="3"/>
  <c r="BE452" i="1" s="1"/>
  <c r="Q463" i="3"/>
  <c r="BE453" i="1" s="1"/>
  <c r="Q464" i="3"/>
  <c r="BE454" i="1" s="1"/>
  <c r="Q465" i="3"/>
  <c r="BE455" i="1" s="1"/>
  <c r="Q466" i="3"/>
  <c r="BE456" i="1" s="1"/>
  <c r="Q467" i="3"/>
  <c r="BE457" i="1" s="1"/>
  <c r="Q468" i="3"/>
  <c r="BE458" i="1" s="1"/>
  <c r="Q469" i="3"/>
  <c r="BE459" i="1" s="1"/>
  <c r="Q470" i="3"/>
  <c r="BE460" i="1" s="1"/>
  <c r="Q471" i="3"/>
  <c r="BE461" i="1" s="1"/>
  <c r="Q472" i="3"/>
  <c r="BE462" i="1" s="1"/>
  <c r="Q473" i="3"/>
  <c r="BE463" i="1" s="1"/>
  <c r="Q474" i="3"/>
  <c r="BE464" i="1" s="1"/>
  <c r="Q475" i="3"/>
  <c r="BE465" i="1" s="1"/>
  <c r="Q476" i="3"/>
  <c r="BE466" i="1" s="1"/>
  <c r="Q477" i="3"/>
  <c r="BE467" i="1" s="1"/>
  <c r="Q478" i="3"/>
  <c r="BE468" i="1" s="1"/>
  <c r="Q479" i="3"/>
  <c r="BE469" i="1" s="1"/>
  <c r="Q480" i="3"/>
  <c r="BE470" i="1" s="1"/>
  <c r="Q481" i="3"/>
  <c r="BE471" i="1" s="1"/>
  <c r="Q482" i="3"/>
  <c r="BE472" i="1" s="1"/>
  <c r="Q483" i="3"/>
  <c r="BE473" i="1" s="1"/>
  <c r="Q484" i="3"/>
  <c r="BE474" i="1" s="1"/>
  <c r="Q485" i="3"/>
  <c r="BE475" i="1" s="1"/>
  <c r="Q486" i="3"/>
  <c r="BE476" i="1" s="1"/>
  <c r="Q487" i="3"/>
  <c r="BE477" i="1" s="1"/>
  <c r="Q488" i="3"/>
  <c r="BE478" i="1" s="1"/>
  <c r="Q489" i="3"/>
  <c r="BE479" i="1" s="1"/>
  <c r="Q490" i="3"/>
  <c r="BE480" i="1" s="1"/>
  <c r="Q491" i="3"/>
  <c r="BE481" i="1" s="1"/>
  <c r="Q492" i="3"/>
  <c r="BE482" i="1" s="1"/>
  <c r="Q493" i="3"/>
  <c r="BE483" i="1" s="1"/>
  <c r="Q494" i="3"/>
  <c r="BE484" i="1" s="1"/>
  <c r="Q495" i="3"/>
  <c r="BE485" i="1" s="1"/>
  <c r="Q496" i="3"/>
  <c r="BE486" i="1" s="1"/>
  <c r="Q497" i="3"/>
  <c r="BE487" i="1" s="1"/>
  <c r="Q498" i="3"/>
  <c r="BE488" i="1" s="1"/>
  <c r="Q499" i="3"/>
  <c r="BE489" i="1" s="1"/>
  <c r="Q500" i="3"/>
  <c r="BE490" i="1" s="1"/>
  <c r="Q501" i="3"/>
  <c r="BE491" i="1" s="1"/>
  <c r="Q502" i="3"/>
  <c r="BE492" i="1" s="1"/>
  <c r="Q503" i="3"/>
  <c r="BE493" i="1" s="1"/>
  <c r="Q504" i="3"/>
  <c r="BE494" i="1" s="1"/>
  <c r="Q505" i="3"/>
  <c r="BE495" i="1" s="1"/>
  <c r="Q506" i="3"/>
  <c r="BE496" i="1" s="1"/>
  <c r="Q507" i="3"/>
  <c r="BE497" i="1" s="1"/>
  <c r="Q508" i="3"/>
  <c r="BE498" i="1" s="1"/>
  <c r="Q509" i="3"/>
  <c r="BE499" i="1" s="1"/>
  <c r="Q510" i="3"/>
  <c r="BE500" i="1" s="1"/>
  <c r="Q511" i="3"/>
  <c r="BE501" i="1" s="1"/>
  <c r="Q512" i="3"/>
  <c r="BE502" i="1" s="1"/>
  <c r="Q513" i="3"/>
  <c r="BE503" i="1" s="1"/>
  <c r="Q514" i="3"/>
  <c r="BE504" i="1" s="1"/>
  <c r="Q515" i="3"/>
  <c r="BE505" i="1" s="1"/>
  <c r="Q516" i="3"/>
  <c r="BE506" i="1" s="1"/>
  <c r="Q517" i="3"/>
  <c r="BE507" i="1" s="1"/>
  <c r="Q518" i="3"/>
  <c r="Q19" i="3"/>
  <c r="BE9" i="1" s="1"/>
  <c r="P22" i="3"/>
  <c r="BD12" i="1" s="1"/>
  <c r="P23" i="3"/>
  <c r="BD13" i="1" s="1"/>
  <c r="P24" i="3"/>
  <c r="BD14" i="1" s="1"/>
  <c r="P25" i="3"/>
  <c r="BD15" i="1" s="1"/>
  <c r="P26" i="3"/>
  <c r="BD16" i="1" s="1"/>
  <c r="P27" i="3"/>
  <c r="BD17" i="1" s="1"/>
  <c r="P28" i="3"/>
  <c r="BD18" i="1" s="1"/>
  <c r="P29" i="3"/>
  <c r="BD19" i="1" s="1"/>
  <c r="P30" i="3"/>
  <c r="BD20" i="1" s="1"/>
  <c r="P31" i="3"/>
  <c r="BD21" i="1" s="1"/>
  <c r="P32" i="3"/>
  <c r="BD22" i="1" s="1"/>
  <c r="P33" i="3"/>
  <c r="BD23" i="1" s="1"/>
  <c r="P34" i="3"/>
  <c r="BD24" i="1" s="1"/>
  <c r="P35" i="3"/>
  <c r="BD25" i="1" s="1"/>
  <c r="P36" i="3"/>
  <c r="BD26" i="1" s="1"/>
  <c r="P37" i="3"/>
  <c r="BD27" i="1" s="1"/>
  <c r="P38" i="3"/>
  <c r="BD28" i="1" s="1"/>
  <c r="P39" i="3"/>
  <c r="BD29" i="1" s="1"/>
  <c r="P40" i="3"/>
  <c r="BD30" i="1" s="1"/>
  <c r="P41" i="3"/>
  <c r="BD31" i="1" s="1"/>
  <c r="P42" i="3"/>
  <c r="BD32" i="1" s="1"/>
  <c r="P43" i="3"/>
  <c r="BD33" i="1" s="1"/>
  <c r="P44" i="3"/>
  <c r="BD34" i="1" s="1"/>
  <c r="P45" i="3"/>
  <c r="BD35" i="1" s="1"/>
  <c r="P46" i="3"/>
  <c r="BD36" i="1" s="1"/>
  <c r="P47" i="3"/>
  <c r="BD37" i="1" s="1"/>
  <c r="P48" i="3"/>
  <c r="BD38" i="1" s="1"/>
  <c r="P49" i="3"/>
  <c r="BD39" i="1" s="1"/>
  <c r="P50" i="3"/>
  <c r="BD40" i="1" s="1"/>
  <c r="P51" i="3"/>
  <c r="BD41" i="1" s="1"/>
  <c r="P52" i="3"/>
  <c r="BD42" i="1" s="1"/>
  <c r="P53" i="3"/>
  <c r="BD43" i="1" s="1"/>
  <c r="P54" i="3"/>
  <c r="BD44" i="1" s="1"/>
  <c r="P55" i="3"/>
  <c r="BD45" i="1" s="1"/>
  <c r="P56" i="3"/>
  <c r="BD46" i="1" s="1"/>
  <c r="P57" i="3"/>
  <c r="BD47" i="1" s="1"/>
  <c r="P58" i="3"/>
  <c r="BD48" i="1" s="1"/>
  <c r="P59" i="3"/>
  <c r="BD49" i="1" s="1"/>
  <c r="P60" i="3"/>
  <c r="BD50" i="1" s="1"/>
  <c r="P61" i="3"/>
  <c r="BD51" i="1" s="1"/>
  <c r="P62" i="3"/>
  <c r="BD52" i="1" s="1"/>
  <c r="P63" i="3"/>
  <c r="BD53" i="1" s="1"/>
  <c r="P64" i="3"/>
  <c r="BD54" i="1" s="1"/>
  <c r="P65" i="3"/>
  <c r="BD55" i="1" s="1"/>
  <c r="P66" i="3"/>
  <c r="BD56" i="1" s="1"/>
  <c r="P67" i="3"/>
  <c r="BD57" i="1" s="1"/>
  <c r="P68" i="3"/>
  <c r="BD58" i="1" s="1"/>
  <c r="P69" i="3"/>
  <c r="BD59" i="1" s="1"/>
  <c r="P70" i="3"/>
  <c r="BD60" i="1" s="1"/>
  <c r="P71" i="3"/>
  <c r="BD61" i="1" s="1"/>
  <c r="P72" i="3"/>
  <c r="BD62" i="1" s="1"/>
  <c r="P73" i="3"/>
  <c r="BD63" i="1" s="1"/>
  <c r="P74" i="3"/>
  <c r="BD64" i="1" s="1"/>
  <c r="P75" i="3"/>
  <c r="BD65" i="1" s="1"/>
  <c r="P76" i="3"/>
  <c r="BD66" i="1" s="1"/>
  <c r="P77" i="3"/>
  <c r="BD67" i="1" s="1"/>
  <c r="P78" i="3"/>
  <c r="BD68" i="1" s="1"/>
  <c r="P79" i="3"/>
  <c r="BD69" i="1" s="1"/>
  <c r="P80" i="3"/>
  <c r="BD70" i="1" s="1"/>
  <c r="P81" i="3"/>
  <c r="BD71" i="1" s="1"/>
  <c r="P82" i="3"/>
  <c r="BD72" i="1" s="1"/>
  <c r="P83" i="3"/>
  <c r="BD73" i="1" s="1"/>
  <c r="P84" i="3"/>
  <c r="BD74" i="1" s="1"/>
  <c r="P85" i="3"/>
  <c r="BD75" i="1" s="1"/>
  <c r="P86" i="3"/>
  <c r="BD76" i="1" s="1"/>
  <c r="P87" i="3"/>
  <c r="BD77" i="1" s="1"/>
  <c r="P88" i="3"/>
  <c r="BD78" i="1" s="1"/>
  <c r="P89" i="3"/>
  <c r="BD79" i="1" s="1"/>
  <c r="P90" i="3"/>
  <c r="BD80" i="1" s="1"/>
  <c r="P91" i="3"/>
  <c r="BD81" i="1" s="1"/>
  <c r="P92" i="3"/>
  <c r="BD82" i="1" s="1"/>
  <c r="P93" i="3"/>
  <c r="BD83" i="1" s="1"/>
  <c r="P94" i="3"/>
  <c r="BD84" i="1" s="1"/>
  <c r="P95" i="3"/>
  <c r="BD85" i="1" s="1"/>
  <c r="P96" i="3"/>
  <c r="BD86" i="1" s="1"/>
  <c r="P97" i="3"/>
  <c r="BD87" i="1" s="1"/>
  <c r="P98" i="3"/>
  <c r="BD88" i="1" s="1"/>
  <c r="P99" i="3"/>
  <c r="BD89" i="1" s="1"/>
  <c r="P100" i="3"/>
  <c r="BD90" i="1" s="1"/>
  <c r="P101" i="3"/>
  <c r="BD91" i="1" s="1"/>
  <c r="P102" i="3"/>
  <c r="BD92" i="1" s="1"/>
  <c r="P103" i="3"/>
  <c r="BD93" i="1" s="1"/>
  <c r="P104" i="3"/>
  <c r="BD94" i="1" s="1"/>
  <c r="P105" i="3"/>
  <c r="BD95" i="1" s="1"/>
  <c r="P106" i="3"/>
  <c r="BD96" i="1" s="1"/>
  <c r="P107" i="3"/>
  <c r="BD97" i="1" s="1"/>
  <c r="P108" i="3"/>
  <c r="BD98" i="1" s="1"/>
  <c r="P109" i="3"/>
  <c r="BD99" i="1" s="1"/>
  <c r="P110" i="3"/>
  <c r="BD100" i="1" s="1"/>
  <c r="P111" i="3"/>
  <c r="BD101" i="1" s="1"/>
  <c r="P112" i="3"/>
  <c r="BD102" i="1" s="1"/>
  <c r="P113" i="3"/>
  <c r="BD103" i="1" s="1"/>
  <c r="P114" i="3"/>
  <c r="BD104" i="1" s="1"/>
  <c r="P115" i="3"/>
  <c r="BD105" i="1" s="1"/>
  <c r="P116" i="3"/>
  <c r="BD106" i="1" s="1"/>
  <c r="P117" i="3"/>
  <c r="BD107" i="1" s="1"/>
  <c r="P118" i="3"/>
  <c r="BD108" i="1" s="1"/>
  <c r="P119" i="3"/>
  <c r="BD109" i="1" s="1"/>
  <c r="P120" i="3"/>
  <c r="BD110" i="1" s="1"/>
  <c r="P121" i="3"/>
  <c r="BD111" i="1" s="1"/>
  <c r="P122" i="3"/>
  <c r="BD112" i="1" s="1"/>
  <c r="P123" i="3"/>
  <c r="BD113" i="1" s="1"/>
  <c r="P124" i="3"/>
  <c r="BD114" i="1" s="1"/>
  <c r="P125" i="3"/>
  <c r="BD115" i="1" s="1"/>
  <c r="P126" i="3"/>
  <c r="BD116" i="1" s="1"/>
  <c r="P127" i="3"/>
  <c r="BD117" i="1" s="1"/>
  <c r="P128" i="3"/>
  <c r="BD118" i="1" s="1"/>
  <c r="P129" i="3"/>
  <c r="BD119" i="1" s="1"/>
  <c r="P130" i="3"/>
  <c r="BD120" i="1" s="1"/>
  <c r="P131" i="3"/>
  <c r="BD121" i="1" s="1"/>
  <c r="P132" i="3"/>
  <c r="BD122" i="1" s="1"/>
  <c r="P133" i="3"/>
  <c r="BD123" i="1" s="1"/>
  <c r="P134" i="3"/>
  <c r="BD124" i="1" s="1"/>
  <c r="P135" i="3"/>
  <c r="BD125" i="1" s="1"/>
  <c r="P136" i="3"/>
  <c r="BD126" i="1" s="1"/>
  <c r="P137" i="3"/>
  <c r="BD127" i="1" s="1"/>
  <c r="P138" i="3"/>
  <c r="BD128" i="1" s="1"/>
  <c r="P139" i="3"/>
  <c r="BD129" i="1" s="1"/>
  <c r="P140" i="3"/>
  <c r="BD130" i="1" s="1"/>
  <c r="P141" i="3"/>
  <c r="BD131" i="1" s="1"/>
  <c r="P142" i="3"/>
  <c r="BD132" i="1" s="1"/>
  <c r="P143" i="3"/>
  <c r="BD133" i="1" s="1"/>
  <c r="P144" i="3"/>
  <c r="BD134" i="1" s="1"/>
  <c r="P145" i="3"/>
  <c r="BD135" i="1" s="1"/>
  <c r="P146" i="3"/>
  <c r="BD136" i="1" s="1"/>
  <c r="P147" i="3"/>
  <c r="BD137" i="1" s="1"/>
  <c r="P148" i="3"/>
  <c r="BD138" i="1" s="1"/>
  <c r="P149" i="3"/>
  <c r="BD139" i="1" s="1"/>
  <c r="P150" i="3"/>
  <c r="BD140" i="1" s="1"/>
  <c r="P151" i="3"/>
  <c r="BD141" i="1" s="1"/>
  <c r="P152" i="3"/>
  <c r="BD142" i="1" s="1"/>
  <c r="P153" i="3"/>
  <c r="BD143" i="1" s="1"/>
  <c r="P154" i="3"/>
  <c r="BD144" i="1" s="1"/>
  <c r="P155" i="3"/>
  <c r="BD145" i="1" s="1"/>
  <c r="P156" i="3"/>
  <c r="BD146" i="1" s="1"/>
  <c r="P157" i="3"/>
  <c r="BD147" i="1" s="1"/>
  <c r="P158" i="3"/>
  <c r="BD148" i="1" s="1"/>
  <c r="P159" i="3"/>
  <c r="BD149" i="1" s="1"/>
  <c r="P160" i="3"/>
  <c r="BD150" i="1" s="1"/>
  <c r="P161" i="3"/>
  <c r="BD151" i="1" s="1"/>
  <c r="P162" i="3"/>
  <c r="BD152" i="1" s="1"/>
  <c r="P163" i="3"/>
  <c r="BD153" i="1" s="1"/>
  <c r="P164" i="3"/>
  <c r="BD154" i="1" s="1"/>
  <c r="P165" i="3"/>
  <c r="BD155" i="1" s="1"/>
  <c r="P166" i="3"/>
  <c r="BD156" i="1" s="1"/>
  <c r="P167" i="3"/>
  <c r="BD157" i="1" s="1"/>
  <c r="P168" i="3"/>
  <c r="BD158" i="1" s="1"/>
  <c r="P169" i="3"/>
  <c r="BD159" i="1" s="1"/>
  <c r="P170" i="3"/>
  <c r="BD160" i="1" s="1"/>
  <c r="P171" i="3"/>
  <c r="BD161" i="1" s="1"/>
  <c r="P172" i="3"/>
  <c r="BD162" i="1" s="1"/>
  <c r="P173" i="3"/>
  <c r="BD163" i="1" s="1"/>
  <c r="P174" i="3"/>
  <c r="BD164" i="1" s="1"/>
  <c r="P175" i="3"/>
  <c r="BD165" i="1" s="1"/>
  <c r="P176" i="3"/>
  <c r="BD166" i="1" s="1"/>
  <c r="P177" i="3"/>
  <c r="BD167" i="1" s="1"/>
  <c r="P178" i="3"/>
  <c r="BD168" i="1" s="1"/>
  <c r="P179" i="3"/>
  <c r="BD169" i="1" s="1"/>
  <c r="P180" i="3"/>
  <c r="BD170" i="1" s="1"/>
  <c r="P181" i="3"/>
  <c r="BD171" i="1" s="1"/>
  <c r="P182" i="3"/>
  <c r="BD172" i="1" s="1"/>
  <c r="P183" i="3"/>
  <c r="BD173" i="1" s="1"/>
  <c r="P184" i="3"/>
  <c r="BD174" i="1" s="1"/>
  <c r="P185" i="3"/>
  <c r="BD175" i="1" s="1"/>
  <c r="P186" i="3"/>
  <c r="BD176" i="1" s="1"/>
  <c r="P187" i="3"/>
  <c r="BD177" i="1" s="1"/>
  <c r="P188" i="3"/>
  <c r="BD178" i="1" s="1"/>
  <c r="P189" i="3"/>
  <c r="BD179" i="1" s="1"/>
  <c r="P190" i="3"/>
  <c r="BD180" i="1" s="1"/>
  <c r="P191" i="3"/>
  <c r="BD181" i="1" s="1"/>
  <c r="P192" i="3"/>
  <c r="BD182" i="1" s="1"/>
  <c r="P193" i="3"/>
  <c r="BD183" i="1" s="1"/>
  <c r="P194" i="3"/>
  <c r="BD184" i="1" s="1"/>
  <c r="P195" i="3"/>
  <c r="BD185" i="1" s="1"/>
  <c r="P196" i="3"/>
  <c r="BD186" i="1" s="1"/>
  <c r="P197" i="3"/>
  <c r="BD187" i="1" s="1"/>
  <c r="P198" i="3"/>
  <c r="BD188" i="1" s="1"/>
  <c r="P199" i="3"/>
  <c r="BD189" i="1" s="1"/>
  <c r="P200" i="3"/>
  <c r="BD190" i="1" s="1"/>
  <c r="P201" i="3"/>
  <c r="BD191" i="1" s="1"/>
  <c r="P202" i="3"/>
  <c r="BD192" i="1" s="1"/>
  <c r="P203" i="3"/>
  <c r="BD193" i="1" s="1"/>
  <c r="P204" i="3"/>
  <c r="BD194" i="1" s="1"/>
  <c r="P205" i="3"/>
  <c r="BD195" i="1" s="1"/>
  <c r="P206" i="3"/>
  <c r="BD196" i="1" s="1"/>
  <c r="P207" i="3"/>
  <c r="BD197" i="1" s="1"/>
  <c r="P208" i="3"/>
  <c r="BD198" i="1" s="1"/>
  <c r="P209" i="3"/>
  <c r="BD199" i="1" s="1"/>
  <c r="P210" i="3"/>
  <c r="BD200" i="1" s="1"/>
  <c r="P211" i="3"/>
  <c r="BD201" i="1" s="1"/>
  <c r="P212" i="3"/>
  <c r="BD202" i="1" s="1"/>
  <c r="P213" i="3"/>
  <c r="BD203" i="1" s="1"/>
  <c r="P214" i="3"/>
  <c r="BD204" i="1" s="1"/>
  <c r="P215" i="3"/>
  <c r="BD205" i="1" s="1"/>
  <c r="P216" i="3"/>
  <c r="BD206" i="1" s="1"/>
  <c r="P217" i="3"/>
  <c r="BD207" i="1" s="1"/>
  <c r="P218" i="3"/>
  <c r="BD208" i="1" s="1"/>
  <c r="P219" i="3"/>
  <c r="BD209" i="1" s="1"/>
  <c r="P220" i="3"/>
  <c r="BD210" i="1" s="1"/>
  <c r="P221" i="3"/>
  <c r="BD211" i="1" s="1"/>
  <c r="P222" i="3"/>
  <c r="BD212" i="1" s="1"/>
  <c r="P223" i="3"/>
  <c r="BD213" i="1" s="1"/>
  <c r="P224" i="3"/>
  <c r="BD214" i="1" s="1"/>
  <c r="P225" i="3"/>
  <c r="BD215" i="1" s="1"/>
  <c r="P226" i="3"/>
  <c r="BD216" i="1" s="1"/>
  <c r="P227" i="3"/>
  <c r="BD217" i="1" s="1"/>
  <c r="P228" i="3"/>
  <c r="BD218" i="1" s="1"/>
  <c r="P229" i="3"/>
  <c r="BD219" i="1" s="1"/>
  <c r="P230" i="3"/>
  <c r="BD220" i="1" s="1"/>
  <c r="P231" i="3"/>
  <c r="BD221" i="1" s="1"/>
  <c r="P232" i="3"/>
  <c r="BD222" i="1" s="1"/>
  <c r="P233" i="3"/>
  <c r="BD223" i="1" s="1"/>
  <c r="P234" i="3"/>
  <c r="BD224" i="1" s="1"/>
  <c r="P235" i="3"/>
  <c r="BD225" i="1" s="1"/>
  <c r="P236" i="3"/>
  <c r="BD226" i="1" s="1"/>
  <c r="P237" i="3"/>
  <c r="BD227" i="1" s="1"/>
  <c r="P238" i="3"/>
  <c r="BD228" i="1" s="1"/>
  <c r="P239" i="3"/>
  <c r="BD229" i="1" s="1"/>
  <c r="P240" i="3"/>
  <c r="BD230" i="1" s="1"/>
  <c r="P241" i="3"/>
  <c r="BD231" i="1" s="1"/>
  <c r="P242" i="3"/>
  <c r="BD232" i="1" s="1"/>
  <c r="P243" i="3"/>
  <c r="BD233" i="1" s="1"/>
  <c r="P244" i="3"/>
  <c r="BD234" i="1" s="1"/>
  <c r="P245" i="3"/>
  <c r="BD235" i="1" s="1"/>
  <c r="P246" i="3"/>
  <c r="BD236" i="1" s="1"/>
  <c r="P247" i="3"/>
  <c r="BD237" i="1" s="1"/>
  <c r="P248" i="3"/>
  <c r="BD238" i="1" s="1"/>
  <c r="P249" i="3"/>
  <c r="BD239" i="1" s="1"/>
  <c r="P250" i="3"/>
  <c r="BD240" i="1" s="1"/>
  <c r="P251" i="3"/>
  <c r="BD241" i="1" s="1"/>
  <c r="P252" i="3"/>
  <c r="BD242" i="1" s="1"/>
  <c r="P253" i="3"/>
  <c r="BD243" i="1" s="1"/>
  <c r="P254" i="3"/>
  <c r="BD244" i="1" s="1"/>
  <c r="P255" i="3"/>
  <c r="BD245" i="1" s="1"/>
  <c r="P256" i="3"/>
  <c r="BD246" i="1" s="1"/>
  <c r="P257" i="3"/>
  <c r="BD247" i="1" s="1"/>
  <c r="P258" i="3"/>
  <c r="BD248" i="1" s="1"/>
  <c r="P259" i="3"/>
  <c r="BD249" i="1" s="1"/>
  <c r="P260" i="3"/>
  <c r="BD250" i="1" s="1"/>
  <c r="P261" i="3"/>
  <c r="BD251" i="1" s="1"/>
  <c r="P262" i="3"/>
  <c r="BD252" i="1" s="1"/>
  <c r="P263" i="3"/>
  <c r="BD253" i="1" s="1"/>
  <c r="P264" i="3"/>
  <c r="BD254" i="1" s="1"/>
  <c r="P265" i="3"/>
  <c r="BD255" i="1" s="1"/>
  <c r="P266" i="3"/>
  <c r="BD256" i="1" s="1"/>
  <c r="P267" i="3"/>
  <c r="BD257" i="1" s="1"/>
  <c r="P268" i="3"/>
  <c r="BD258" i="1" s="1"/>
  <c r="P269" i="3"/>
  <c r="BD259" i="1" s="1"/>
  <c r="P270" i="3"/>
  <c r="BD260" i="1" s="1"/>
  <c r="P271" i="3"/>
  <c r="BD261" i="1" s="1"/>
  <c r="P272" i="3"/>
  <c r="BD262" i="1" s="1"/>
  <c r="P273" i="3"/>
  <c r="BD263" i="1" s="1"/>
  <c r="P274" i="3"/>
  <c r="BD264" i="1" s="1"/>
  <c r="P275" i="3"/>
  <c r="BD265" i="1" s="1"/>
  <c r="P276" i="3"/>
  <c r="BD266" i="1" s="1"/>
  <c r="P277" i="3"/>
  <c r="BD267" i="1" s="1"/>
  <c r="P278" i="3"/>
  <c r="BD268" i="1" s="1"/>
  <c r="P279" i="3"/>
  <c r="BD269" i="1" s="1"/>
  <c r="P280" i="3"/>
  <c r="BD270" i="1" s="1"/>
  <c r="P281" i="3"/>
  <c r="BD271" i="1" s="1"/>
  <c r="P282" i="3"/>
  <c r="BD272" i="1" s="1"/>
  <c r="P283" i="3"/>
  <c r="BD273" i="1" s="1"/>
  <c r="P284" i="3"/>
  <c r="BD274" i="1" s="1"/>
  <c r="P285" i="3"/>
  <c r="BD275" i="1" s="1"/>
  <c r="P286" i="3"/>
  <c r="BD276" i="1" s="1"/>
  <c r="P287" i="3"/>
  <c r="BD277" i="1" s="1"/>
  <c r="P288" i="3"/>
  <c r="BD278" i="1" s="1"/>
  <c r="P289" i="3"/>
  <c r="BD279" i="1" s="1"/>
  <c r="P290" i="3"/>
  <c r="BD280" i="1" s="1"/>
  <c r="P291" i="3"/>
  <c r="BD281" i="1" s="1"/>
  <c r="P292" i="3"/>
  <c r="BD282" i="1" s="1"/>
  <c r="P293" i="3"/>
  <c r="BD283" i="1" s="1"/>
  <c r="P294" i="3"/>
  <c r="BD284" i="1" s="1"/>
  <c r="P295" i="3"/>
  <c r="BD285" i="1" s="1"/>
  <c r="P296" i="3"/>
  <c r="BD286" i="1" s="1"/>
  <c r="P297" i="3"/>
  <c r="BD287" i="1" s="1"/>
  <c r="P298" i="3"/>
  <c r="BD288" i="1" s="1"/>
  <c r="P299" i="3"/>
  <c r="BD289" i="1" s="1"/>
  <c r="P300" i="3"/>
  <c r="BD290" i="1" s="1"/>
  <c r="P301" i="3"/>
  <c r="BD291" i="1" s="1"/>
  <c r="P302" i="3"/>
  <c r="BD292" i="1" s="1"/>
  <c r="P303" i="3"/>
  <c r="BD293" i="1" s="1"/>
  <c r="P304" i="3"/>
  <c r="BD294" i="1" s="1"/>
  <c r="P305" i="3"/>
  <c r="BD295" i="1" s="1"/>
  <c r="P306" i="3"/>
  <c r="BD296" i="1" s="1"/>
  <c r="P307" i="3"/>
  <c r="BD297" i="1" s="1"/>
  <c r="P308" i="3"/>
  <c r="BD298" i="1" s="1"/>
  <c r="P309" i="3"/>
  <c r="BD299" i="1" s="1"/>
  <c r="P310" i="3"/>
  <c r="BD300" i="1" s="1"/>
  <c r="P311" i="3"/>
  <c r="BD301" i="1" s="1"/>
  <c r="P312" i="3"/>
  <c r="BD302" i="1" s="1"/>
  <c r="P313" i="3"/>
  <c r="BD303" i="1" s="1"/>
  <c r="P314" i="3"/>
  <c r="BD304" i="1" s="1"/>
  <c r="P315" i="3"/>
  <c r="BD305" i="1" s="1"/>
  <c r="P316" i="3"/>
  <c r="BD306" i="1" s="1"/>
  <c r="P317" i="3"/>
  <c r="BD307" i="1" s="1"/>
  <c r="P318" i="3"/>
  <c r="BD308" i="1" s="1"/>
  <c r="P319" i="3"/>
  <c r="BD309" i="1" s="1"/>
  <c r="P320" i="3"/>
  <c r="BD310" i="1" s="1"/>
  <c r="P321" i="3"/>
  <c r="BD311" i="1" s="1"/>
  <c r="P322" i="3"/>
  <c r="BD312" i="1" s="1"/>
  <c r="P323" i="3"/>
  <c r="BD313" i="1" s="1"/>
  <c r="P324" i="3"/>
  <c r="BD314" i="1" s="1"/>
  <c r="P325" i="3"/>
  <c r="BD315" i="1" s="1"/>
  <c r="P326" i="3"/>
  <c r="BD316" i="1" s="1"/>
  <c r="P327" i="3"/>
  <c r="BD317" i="1" s="1"/>
  <c r="P328" i="3"/>
  <c r="BD318" i="1" s="1"/>
  <c r="P329" i="3"/>
  <c r="BD319" i="1" s="1"/>
  <c r="P330" i="3"/>
  <c r="BD320" i="1" s="1"/>
  <c r="P331" i="3"/>
  <c r="BD321" i="1" s="1"/>
  <c r="P332" i="3"/>
  <c r="BD322" i="1" s="1"/>
  <c r="P333" i="3"/>
  <c r="BD323" i="1" s="1"/>
  <c r="P334" i="3"/>
  <c r="BD324" i="1" s="1"/>
  <c r="P335" i="3"/>
  <c r="BD325" i="1" s="1"/>
  <c r="P336" i="3"/>
  <c r="BD326" i="1" s="1"/>
  <c r="P337" i="3"/>
  <c r="BD327" i="1" s="1"/>
  <c r="P338" i="3"/>
  <c r="BD328" i="1" s="1"/>
  <c r="P339" i="3"/>
  <c r="BD329" i="1" s="1"/>
  <c r="P340" i="3"/>
  <c r="BD330" i="1" s="1"/>
  <c r="P341" i="3"/>
  <c r="BD331" i="1" s="1"/>
  <c r="P342" i="3"/>
  <c r="BD332" i="1" s="1"/>
  <c r="P343" i="3"/>
  <c r="BD333" i="1" s="1"/>
  <c r="P344" i="3"/>
  <c r="BD334" i="1" s="1"/>
  <c r="P345" i="3"/>
  <c r="BD335" i="1" s="1"/>
  <c r="P346" i="3"/>
  <c r="BD336" i="1" s="1"/>
  <c r="P347" i="3"/>
  <c r="BD337" i="1" s="1"/>
  <c r="P348" i="3"/>
  <c r="BD338" i="1" s="1"/>
  <c r="P349" i="3"/>
  <c r="BD339" i="1" s="1"/>
  <c r="P350" i="3"/>
  <c r="BD340" i="1" s="1"/>
  <c r="P351" i="3"/>
  <c r="BD341" i="1" s="1"/>
  <c r="P352" i="3"/>
  <c r="BD342" i="1" s="1"/>
  <c r="P353" i="3"/>
  <c r="BD343" i="1" s="1"/>
  <c r="P354" i="3"/>
  <c r="BD344" i="1" s="1"/>
  <c r="P355" i="3"/>
  <c r="BD345" i="1" s="1"/>
  <c r="P356" i="3"/>
  <c r="BD346" i="1" s="1"/>
  <c r="P357" i="3"/>
  <c r="BD347" i="1" s="1"/>
  <c r="P358" i="3"/>
  <c r="BD348" i="1" s="1"/>
  <c r="P359" i="3"/>
  <c r="BD349" i="1" s="1"/>
  <c r="P360" i="3"/>
  <c r="BD350" i="1" s="1"/>
  <c r="P361" i="3"/>
  <c r="BD351" i="1" s="1"/>
  <c r="P362" i="3"/>
  <c r="BD352" i="1" s="1"/>
  <c r="P363" i="3"/>
  <c r="BD353" i="1" s="1"/>
  <c r="P364" i="3"/>
  <c r="BD354" i="1" s="1"/>
  <c r="P365" i="3"/>
  <c r="BD355" i="1" s="1"/>
  <c r="P366" i="3"/>
  <c r="BD356" i="1" s="1"/>
  <c r="P367" i="3"/>
  <c r="BD357" i="1" s="1"/>
  <c r="P368" i="3"/>
  <c r="BD358" i="1" s="1"/>
  <c r="P369" i="3"/>
  <c r="BD359" i="1" s="1"/>
  <c r="P370" i="3"/>
  <c r="BD360" i="1" s="1"/>
  <c r="P371" i="3"/>
  <c r="BD361" i="1" s="1"/>
  <c r="P372" i="3"/>
  <c r="BD362" i="1" s="1"/>
  <c r="P373" i="3"/>
  <c r="BD363" i="1" s="1"/>
  <c r="P374" i="3"/>
  <c r="BD364" i="1" s="1"/>
  <c r="P375" i="3"/>
  <c r="BD365" i="1" s="1"/>
  <c r="P376" i="3"/>
  <c r="BD366" i="1" s="1"/>
  <c r="P377" i="3"/>
  <c r="BD367" i="1" s="1"/>
  <c r="P378" i="3"/>
  <c r="BD368" i="1" s="1"/>
  <c r="P379" i="3"/>
  <c r="BD369" i="1" s="1"/>
  <c r="P380" i="3"/>
  <c r="BD370" i="1" s="1"/>
  <c r="P381" i="3"/>
  <c r="BD371" i="1" s="1"/>
  <c r="P382" i="3"/>
  <c r="BD372" i="1" s="1"/>
  <c r="P383" i="3"/>
  <c r="BD373" i="1" s="1"/>
  <c r="P384" i="3"/>
  <c r="BD374" i="1" s="1"/>
  <c r="P385" i="3"/>
  <c r="BD375" i="1" s="1"/>
  <c r="P386" i="3"/>
  <c r="BD376" i="1" s="1"/>
  <c r="P387" i="3"/>
  <c r="BD377" i="1" s="1"/>
  <c r="P388" i="3"/>
  <c r="BD378" i="1" s="1"/>
  <c r="P389" i="3"/>
  <c r="BD379" i="1" s="1"/>
  <c r="P390" i="3"/>
  <c r="BD380" i="1" s="1"/>
  <c r="P391" i="3"/>
  <c r="BD381" i="1" s="1"/>
  <c r="P392" i="3"/>
  <c r="BD382" i="1" s="1"/>
  <c r="P393" i="3"/>
  <c r="BD383" i="1" s="1"/>
  <c r="P394" i="3"/>
  <c r="BD384" i="1" s="1"/>
  <c r="P395" i="3"/>
  <c r="BD385" i="1" s="1"/>
  <c r="P396" i="3"/>
  <c r="BD386" i="1" s="1"/>
  <c r="P397" i="3"/>
  <c r="BD387" i="1" s="1"/>
  <c r="P398" i="3"/>
  <c r="BD388" i="1" s="1"/>
  <c r="P399" i="3"/>
  <c r="BD389" i="1" s="1"/>
  <c r="P400" i="3"/>
  <c r="BD390" i="1" s="1"/>
  <c r="P401" i="3"/>
  <c r="BD391" i="1" s="1"/>
  <c r="P402" i="3"/>
  <c r="BD392" i="1" s="1"/>
  <c r="P403" i="3"/>
  <c r="BD393" i="1" s="1"/>
  <c r="P404" i="3"/>
  <c r="BD394" i="1" s="1"/>
  <c r="P405" i="3"/>
  <c r="BD395" i="1" s="1"/>
  <c r="P406" i="3"/>
  <c r="BD396" i="1" s="1"/>
  <c r="P407" i="3"/>
  <c r="BD397" i="1" s="1"/>
  <c r="P408" i="3"/>
  <c r="BD398" i="1" s="1"/>
  <c r="P409" i="3"/>
  <c r="BD399" i="1" s="1"/>
  <c r="P410" i="3"/>
  <c r="BD400" i="1" s="1"/>
  <c r="P411" i="3"/>
  <c r="BD401" i="1" s="1"/>
  <c r="P412" i="3"/>
  <c r="BD402" i="1" s="1"/>
  <c r="P413" i="3"/>
  <c r="BD403" i="1" s="1"/>
  <c r="P414" i="3"/>
  <c r="BD404" i="1" s="1"/>
  <c r="P415" i="3"/>
  <c r="BD405" i="1" s="1"/>
  <c r="P416" i="3"/>
  <c r="BD406" i="1" s="1"/>
  <c r="P417" i="3"/>
  <c r="BD407" i="1" s="1"/>
  <c r="P418" i="3"/>
  <c r="BD408" i="1" s="1"/>
  <c r="P419" i="3"/>
  <c r="BD409" i="1" s="1"/>
  <c r="P420" i="3"/>
  <c r="BD410" i="1" s="1"/>
  <c r="P421" i="3"/>
  <c r="BD411" i="1" s="1"/>
  <c r="P422" i="3"/>
  <c r="BD412" i="1" s="1"/>
  <c r="P423" i="3"/>
  <c r="BD413" i="1" s="1"/>
  <c r="P424" i="3"/>
  <c r="BD414" i="1" s="1"/>
  <c r="P425" i="3"/>
  <c r="BD415" i="1" s="1"/>
  <c r="P426" i="3"/>
  <c r="BD416" i="1" s="1"/>
  <c r="P427" i="3"/>
  <c r="BD417" i="1" s="1"/>
  <c r="P428" i="3"/>
  <c r="BD418" i="1" s="1"/>
  <c r="P429" i="3"/>
  <c r="BD419" i="1" s="1"/>
  <c r="P430" i="3"/>
  <c r="BD420" i="1" s="1"/>
  <c r="P431" i="3"/>
  <c r="BD421" i="1" s="1"/>
  <c r="P432" i="3"/>
  <c r="BD422" i="1" s="1"/>
  <c r="P433" i="3"/>
  <c r="BD423" i="1" s="1"/>
  <c r="P434" i="3"/>
  <c r="BD424" i="1" s="1"/>
  <c r="P435" i="3"/>
  <c r="BD425" i="1" s="1"/>
  <c r="P436" i="3"/>
  <c r="BD426" i="1" s="1"/>
  <c r="P437" i="3"/>
  <c r="BD427" i="1" s="1"/>
  <c r="P438" i="3"/>
  <c r="BD428" i="1" s="1"/>
  <c r="P439" i="3"/>
  <c r="BD429" i="1" s="1"/>
  <c r="P440" i="3"/>
  <c r="BD430" i="1" s="1"/>
  <c r="P441" i="3"/>
  <c r="BD431" i="1" s="1"/>
  <c r="P442" i="3"/>
  <c r="BD432" i="1" s="1"/>
  <c r="P443" i="3"/>
  <c r="BD433" i="1" s="1"/>
  <c r="P444" i="3"/>
  <c r="BD434" i="1" s="1"/>
  <c r="P445" i="3"/>
  <c r="BD435" i="1" s="1"/>
  <c r="P446" i="3"/>
  <c r="BD436" i="1" s="1"/>
  <c r="P447" i="3"/>
  <c r="BD437" i="1" s="1"/>
  <c r="P448" i="3"/>
  <c r="BD438" i="1" s="1"/>
  <c r="P449" i="3"/>
  <c r="BD439" i="1" s="1"/>
  <c r="P450" i="3"/>
  <c r="BD440" i="1" s="1"/>
  <c r="P451" i="3"/>
  <c r="BD441" i="1" s="1"/>
  <c r="P452" i="3"/>
  <c r="BD442" i="1" s="1"/>
  <c r="P453" i="3"/>
  <c r="BD443" i="1" s="1"/>
  <c r="P454" i="3"/>
  <c r="BD444" i="1" s="1"/>
  <c r="P455" i="3"/>
  <c r="BD445" i="1" s="1"/>
  <c r="P456" i="3"/>
  <c r="BD446" i="1" s="1"/>
  <c r="P457" i="3"/>
  <c r="BD447" i="1" s="1"/>
  <c r="P458" i="3"/>
  <c r="BD448" i="1" s="1"/>
  <c r="P459" i="3"/>
  <c r="BD449" i="1" s="1"/>
  <c r="P460" i="3"/>
  <c r="BD450" i="1" s="1"/>
  <c r="P461" i="3"/>
  <c r="BD451" i="1" s="1"/>
  <c r="P462" i="3"/>
  <c r="BD452" i="1" s="1"/>
  <c r="P463" i="3"/>
  <c r="BD453" i="1" s="1"/>
  <c r="P464" i="3"/>
  <c r="BD454" i="1" s="1"/>
  <c r="P465" i="3"/>
  <c r="BD455" i="1" s="1"/>
  <c r="P466" i="3"/>
  <c r="BD456" i="1" s="1"/>
  <c r="P467" i="3"/>
  <c r="BD457" i="1" s="1"/>
  <c r="P468" i="3"/>
  <c r="BD458" i="1" s="1"/>
  <c r="P469" i="3"/>
  <c r="BD459" i="1" s="1"/>
  <c r="P470" i="3"/>
  <c r="BD460" i="1" s="1"/>
  <c r="P471" i="3"/>
  <c r="BD461" i="1" s="1"/>
  <c r="P472" i="3"/>
  <c r="BD462" i="1" s="1"/>
  <c r="P473" i="3"/>
  <c r="BD463" i="1" s="1"/>
  <c r="P474" i="3"/>
  <c r="BD464" i="1" s="1"/>
  <c r="P475" i="3"/>
  <c r="BD465" i="1" s="1"/>
  <c r="P476" i="3"/>
  <c r="BD466" i="1" s="1"/>
  <c r="P477" i="3"/>
  <c r="BD467" i="1" s="1"/>
  <c r="P478" i="3"/>
  <c r="BD468" i="1" s="1"/>
  <c r="P479" i="3"/>
  <c r="BD469" i="1" s="1"/>
  <c r="P480" i="3"/>
  <c r="BD470" i="1" s="1"/>
  <c r="P481" i="3"/>
  <c r="BD471" i="1" s="1"/>
  <c r="P482" i="3"/>
  <c r="BD472" i="1" s="1"/>
  <c r="P483" i="3"/>
  <c r="BD473" i="1" s="1"/>
  <c r="P484" i="3"/>
  <c r="BD474" i="1" s="1"/>
  <c r="P485" i="3"/>
  <c r="BD475" i="1" s="1"/>
  <c r="P486" i="3"/>
  <c r="BD476" i="1" s="1"/>
  <c r="P487" i="3"/>
  <c r="BD477" i="1" s="1"/>
  <c r="P488" i="3"/>
  <c r="BD478" i="1" s="1"/>
  <c r="P489" i="3"/>
  <c r="BD479" i="1" s="1"/>
  <c r="P490" i="3"/>
  <c r="BD480" i="1" s="1"/>
  <c r="P491" i="3"/>
  <c r="BD481" i="1" s="1"/>
  <c r="P492" i="3"/>
  <c r="BD482" i="1" s="1"/>
  <c r="P493" i="3"/>
  <c r="BD483" i="1" s="1"/>
  <c r="P494" i="3"/>
  <c r="BD484" i="1" s="1"/>
  <c r="P495" i="3"/>
  <c r="BD485" i="1" s="1"/>
  <c r="P496" i="3"/>
  <c r="BD486" i="1" s="1"/>
  <c r="P497" i="3"/>
  <c r="BD487" i="1" s="1"/>
  <c r="P498" i="3"/>
  <c r="BD488" i="1" s="1"/>
  <c r="P499" i="3"/>
  <c r="BD489" i="1" s="1"/>
  <c r="P500" i="3"/>
  <c r="BD490" i="1" s="1"/>
  <c r="P501" i="3"/>
  <c r="BD491" i="1" s="1"/>
  <c r="P502" i="3"/>
  <c r="BD492" i="1" s="1"/>
  <c r="P503" i="3"/>
  <c r="BD493" i="1" s="1"/>
  <c r="P504" i="3"/>
  <c r="BD494" i="1" s="1"/>
  <c r="P505" i="3"/>
  <c r="BD495" i="1" s="1"/>
  <c r="P506" i="3"/>
  <c r="BD496" i="1" s="1"/>
  <c r="P507" i="3"/>
  <c r="BD497" i="1" s="1"/>
  <c r="P508" i="3"/>
  <c r="BD498" i="1" s="1"/>
  <c r="P509" i="3"/>
  <c r="BD499" i="1" s="1"/>
  <c r="P510" i="3"/>
  <c r="BD500" i="1" s="1"/>
  <c r="P511" i="3"/>
  <c r="BD501" i="1" s="1"/>
  <c r="P512" i="3"/>
  <c r="BD502" i="1" s="1"/>
  <c r="P513" i="3"/>
  <c r="BD503" i="1" s="1"/>
  <c r="P514" i="3"/>
  <c r="BD504" i="1" s="1"/>
  <c r="P515" i="3"/>
  <c r="BD505" i="1" s="1"/>
  <c r="P516" i="3"/>
  <c r="BD506" i="1" s="1"/>
  <c r="P517" i="3"/>
  <c r="BD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S22" i="3" s="1"/>
  <c r="BG12" i="1" s="1"/>
  <c r="F22" i="3"/>
  <c r="R22" i="3" s="1"/>
  <c r="BF12" i="1" s="1"/>
  <c r="G21" i="3"/>
  <c r="F21" i="3"/>
  <c r="G20" i="3"/>
  <c r="G19" i="3"/>
  <c r="F19" i="3"/>
  <c r="Q244" i="3"/>
  <c r="BE234" i="1" s="1"/>
  <c r="Q246" i="3"/>
  <c r="BE236" i="1" s="1"/>
  <c r="Q248" i="3"/>
  <c r="BE238" i="1" s="1"/>
  <c r="Q254" i="3"/>
  <c r="BE244" i="1" s="1"/>
  <c r="Q255" i="3"/>
  <c r="BE245" i="1" s="1"/>
  <c r="Q258" i="3"/>
  <c r="BE248" i="1" s="1"/>
  <c r="Q260" i="3"/>
  <c r="BE250" i="1" s="1"/>
  <c r="Q263" i="3"/>
  <c r="BE253" i="1" s="1"/>
  <c r="Q265" i="3"/>
  <c r="BE255" i="1" s="1"/>
  <c r="Q267" i="3"/>
  <c r="BE257" i="1" s="1"/>
  <c r="Q269" i="3"/>
  <c r="BE259" i="1" s="1"/>
  <c r="Q272" i="3"/>
  <c r="BE262" i="1" s="1"/>
  <c r="Q273" i="3"/>
  <c r="BE263" i="1" s="1"/>
  <c r="Q275" i="3"/>
  <c r="BE265" i="1" s="1"/>
  <c r="Q276" i="3"/>
  <c r="BE266" i="1" s="1"/>
  <c r="Q279" i="3"/>
  <c r="BE269" i="1" s="1"/>
  <c r="Q282" i="3"/>
  <c r="BE272" i="1" s="1"/>
  <c r="Q286" i="3"/>
  <c r="BE276" i="1" s="1"/>
  <c r="Q288" i="3"/>
  <c r="BE278" i="1" s="1"/>
  <c r="Q290" i="3"/>
  <c r="BE280" i="1" s="1"/>
  <c r="Q292" i="3"/>
  <c r="BE282" i="1" s="1"/>
  <c r="Q293" i="3"/>
  <c r="BE283" i="1" s="1"/>
  <c r="Q294" i="3"/>
  <c r="BE284" i="1" s="1"/>
  <c r="Q297" i="3"/>
  <c r="BE287" i="1" s="1"/>
  <c r="Q298" i="3"/>
  <c r="BE288" i="1" s="1"/>
  <c r="Q299" i="3"/>
  <c r="BE289" i="1" s="1"/>
  <c r="Q301" i="3"/>
  <c r="BE291" i="1" s="1"/>
  <c r="Q303" i="3"/>
  <c r="BE293" i="1" s="1"/>
  <c r="Q304" i="3"/>
  <c r="BE294" i="1" s="1"/>
  <c r="Q306" i="3"/>
  <c r="BE296" i="1" s="1"/>
  <c r="Q308" i="3"/>
  <c r="BE298" i="1" s="1"/>
  <c r="Q312" i="3"/>
  <c r="BE302" i="1" s="1"/>
  <c r="Q318" i="3"/>
  <c r="BE308" i="1" s="1"/>
  <c r="Q320" i="3"/>
  <c r="BE310" i="1" s="1"/>
  <c r="Q323" i="3"/>
  <c r="BE313" i="1" s="1"/>
  <c r="Q325" i="3"/>
  <c r="BE315" i="1" s="1"/>
  <c r="Q330" i="3"/>
  <c r="BE320" i="1" s="1"/>
  <c r="Q334" i="3"/>
  <c r="BE324" i="1" s="1"/>
  <c r="Q338" i="3"/>
  <c r="BE328" i="1" s="1"/>
  <c r="Q342" i="3"/>
  <c r="BE332" i="1" s="1"/>
  <c r="Q345" i="3"/>
  <c r="BE335" i="1" s="1"/>
  <c r="Q349" i="3"/>
  <c r="BE339" i="1" s="1"/>
  <c r="Q361" i="3"/>
  <c r="BE351" i="1" s="1"/>
  <c r="Q362" i="3"/>
  <c r="BE352" i="1" s="1"/>
  <c r="Q369" i="3"/>
  <c r="BE359" i="1" s="1"/>
  <c r="Q371" i="3"/>
  <c r="BE361" i="1" s="1"/>
  <c r="Q373" i="3"/>
  <c r="BE363" i="1" s="1"/>
  <c r="Q81" i="3"/>
  <c r="BE71" i="1" s="1"/>
  <c r="Q82" i="3"/>
  <c r="BE72" i="1" s="1"/>
  <c r="Q83" i="3"/>
  <c r="BE73" i="1" s="1"/>
  <c r="Q84" i="3"/>
  <c r="BE74" i="1" s="1"/>
  <c r="Q85" i="3"/>
  <c r="BE75" i="1" s="1"/>
  <c r="Q86" i="3"/>
  <c r="BE76" i="1" s="1"/>
  <c r="Q87" i="3"/>
  <c r="BE77" i="1" s="1"/>
  <c r="Q88" i="3"/>
  <c r="BE78" i="1" s="1"/>
  <c r="Q89" i="3"/>
  <c r="BE79" i="1" s="1"/>
  <c r="Q90" i="3"/>
  <c r="BE80" i="1" s="1"/>
  <c r="Q91" i="3"/>
  <c r="BE81" i="1" s="1"/>
  <c r="Q92" i="3"/>
  <c r="BE82" i="1" s="1"/>
  <c r="Q93" i="3"/>
  <c r="BE83" i="1" s="1"/>
  <c r="Q94" i="3"/>
  <c r="BE84" i="1" s="1"/>
  <c r="Q95" i="3"/>
  <c r="BE85" i="1" s="1"/>
  <c r="Q96" i="3"/>
  <c r="BE86" i="1" s="1"/>
  <c r="Q97" i="3"/>
  <c r="BE87" i="1" s="1"/>
  <c r="Q98" i="3"/>
  <c r="BE88" i="1" s="1"/>
  <c r="Q100" i="3"/>
  <c r="BE90" i="1" s="1"/>
  <c r="Q101" i="3"/>
  <c r="BE91" i="1" s="1"/>
  <c r="Q102" i="3"/>
  <c r="BE92" i="1" s="1"/>
  <c r="Q103" i="3"/>
  <c r="BE93" i="1" s="1"/>
  <c r="Q104" i="3"/>
  <c r="BE94" i="1" s="1"/>
  <c r="Q105" i="3"/>
  <c r="BE95" i="1" s="1"/>
  <c r="Q106" i="3"/>
  <c r="BE96" i="1" s="1"/>
  <c r="Q107" i="3"/>
  <c r="BE97" i="1" s="1"/>
  <c r="Q108" i="3"/>
  <c r="BE98" i="1" s="1"/>
  <c r="Q109" i="3"/>
  <c r="BE99" i="1" s="1"/>
  <c r="Q110" i="3"/>
  <c r="BE100" i="1" s="1"/>
  <c r="Q111" i="3"/>
  <c r="BE101" i="1" s="1"/>
  <c r="Q112" i="3"/>
  <c r="BE102" i="1" s="1"/>
  <c r="Q113" i="3"/>
  <c r="BE103" i="1" s="1"/>
  <c r="Q114" i="3"/>
  <c r="BE104" i="1" s="1"/>
  <c r="Q115" i="3"/>
  <c r="BE105" i="1" s="1"/>
  <c r="Q116" i="3"/>
  <c r="BE106" i="1" s="1"/>
  <c r="Q117" i="3"/>
  <c r="BE107" i="1" s="1"/>
  <c r="Q118" i="3"/>
  <c r="BE108" i="1" s="1"/>
  <c r="Q119" i="3"/>
  <c r="BE109" i="1" s="1"/>
  <c r="Q120" i="3"/>
  <c r="BE110" i="1" s="1"/>
  <c r="Q121" i="3"/>
  <c r="BE111" i="1" s="1"/>
  <c r="Q122" i="3"/>
  <c r="BE112" i="1" s="1"/>
  <c r="Q123" i="3"/>
  <c r="BE113" i="1" s="1"/>
  <c r="Q124" i="3"/>
  <c r="BE114" i="1" s="1"/>
  <c r="Q125" i="3"/>
  <c r="BE115" i="1" s="1"/>
  <c r="Q126" i="3"/>
  <c r="BE116" i="1" s="1"/>
  <c r="Q127" i="3"/>
  <c r="BE117" i="1" s="1"/>
  <c r="Q128" i="3"/>
  <c r="BE118" i="1" s="1"/>
  <c r="Q129" i="3"/>
  <c r="BE119" i="1" s="1"/>
  <c r="Q130" i="3"/>
  <c r="BE120" i="1" s="1"/>
  <c r="Q131" i="3"/>
  <c r="BE121" i="1" s="1"/>
  <c r="Q133" i="3"/>
  <c r="BE123" i="1" s="1"/>
  <c r="Q135" i="3"/>
  <c r="BE125" i="1" s="1"/>
  <c r="Q138" i="3"/>
  <c r="BE128" i="1" s="1"/>
  <c r="Q139" i="3"/>
  <c r="BE129" i="1" s="1"/>
  <c r="Q142" i="3"/>
  <c r="BE132" i="1" s="1"/>
  <c r="Q147" i="3"/>
  <c r="BE137" i="1" s="1"/>
  <c r="Q151" i="3"/>
  <c r="BE141" i="1" s="1"/>
  <c r="Q154" i="3"/>
  <c r="BE144" i="1" s="1"/>
  <c r="Q158" i="3"/>
  <c r="BE148" i="1" s="1"/>
  <c r="Q161" i="3"/>
  <c r="BE151" i="1" s="1"/>
  <c r="Q164" i="3"/>
  <c r="BE154" i="1" s="1"/>
  <c r="Q165" i="3"/>
  <c r="BE155" i="1" s="1"/>
  <c r="Q168" i="3"/>
  <c r="BE158" i="1" s="1"/>
  <c r="Q171" i="3"/>
  <c r="BE161" i="1" s="1"/>
  <c r="Q174" i="3"/>
  <c r="BE164" i="1" s="1"/>
  <c r="N110" i="3"/>
  <c r="BB100" i="1" s="1"/>
  <c r="O518" i="3"/>
  <c r="N518" i="3"/>
  <c r="BB508" i="1" s="1"/>
  <c r="M518" i="3"/>
  <c r="BA508" i="1" s="1"/>
  <c r="L518" i="3"/>
  <c r="AZ508" i="1" s="1"/>
  <c r="K518" i="3"/>
  <c r="AY508" i="1" s="1"/>
  <c r="O517" i="3"/>
  <c r="BC507" i="1" s="1"/>
  <c r="N517" i="3"/>
  <c r="BB507" i="1" s="1"/>
  <c r="M517" i="3"/>
  <c r="BA507" i="1" s="1"/>
  <c r="L517" i="3"/>
  <c r="AZ507" i="1" s="1"/>
  <c r="K517" i="3"/>
  <c r="AY507" i="1" s="1"/>
  <c r="O516" i="3"/>
  <c r="BC506" i="1" s="1"/>
  <c r="N516" i="3"/>
  <c r="BB506" i="1" s="1"/>
  <c r="M516" i="3"/>
  <c r="BA506" i="1" s="1"/>
  <c r="L516" i="3"/>
  <c r="AZ506" i="1" s="1"/>
  <c r="K516" i="3"/>
  <c r="AY506" i="1" s="1"/>
  <c r="O515" i="3"/>
  <c r="BC505" i="1" s="1"/>
  <c r="N515" i="3"/>
  <c r="BB505" i="1" s="1"/>
  <c r="M515" i="3"/>
  <c r="BA505" i="1" s="1"/>
  <c r="L515" i="3"/>
  <c r="AZ505" i="1" s="1"/>
  <c r="K515" i="3"/>
  <c r="AY505" i="1" s="1"/>
  <c r="O514" i="3"/>
  <c r="BC504" i="1" s="1"/>
  <c r="N514" i="3"/>
  <c r="BB504" i="1" s="1"/>
  <c r="M514" i="3"/>
  <c r="BA504" i="1" s="1"/>
  <c r="L514" i="3"/>
  <c r="AZ504" i="1" s="1"/>
  <c r="K514" i="3"/>
  <c r="AY504" i="1" s="1"/>
  <c r="O513" i="3"/>
  <c r="BC503" i="1" s="1"/>
  <c r="N513" i="3"/>
  <c r="BB503" i="1" s="1"/>
  <c r="M513" i="3"/>
  <c r="BA503" i="1" s="1"/>
  <c r="L513" i="3"/>
  <c r="AZ503" i="1" s="1"/>
  <c r="K513" i="3"/>
  <c r="AY503" i="1" s="1"/>
  <c r="O512" i="3"/>
  <c r="BC502" i="1" s="1"/>
  <c r="N512" i="3"/>
  <c r="BB502" i="1" s="1"/>
  <c r="M512" i="3"/>
  <c r="BA502" i="1" s="1"/>
  <c r="L512" i="3"/>
  <c r="AZ502" i="1" s="1"/>
  <c r="K512" i="3"/>
  <c r="AY502" i="1" s="1"/>
  <c r="O511" i="3"/>
  <c r="BC501" i="1" s="1"/>
  <c r="N511" i="3"/>
  <c r="BB501" i="1" s="1"/>
  <c r="M511" i="3"/>
  <c r="BA501" i="1" s="1"/>
  <c r="L511" i="3"/>
  <c r="AZ501" i="1" s="1"/>
  <c r="K511" i="3"/>
  <c r="AY501" i="1" s="1"/>
  <c r="O510" i="3"/>
  <c r="BC500" i="1" s="1"/>
  <c r="N510" i="3"/>
  <c r="BB500" i="1" s="1"/>
  <c r="M510" i="3"/>
  <c r="BA500" i="1" s="1"/>
  <c r="L510" i="3"/>
  <c r="AZ500" i="1" s="1"/>
  <c r="K510" i="3"/>
  <c r="AY500" i="1" s="1"/>
  <c r="O509" i="3"/>
  <c r="BC499" i="1" s="1"/>
  <c r="N509" i="3"/>
  <c r="BB499" i="1" s="1"/>
  <c r="M509" i="3"/>
  <c r="BA499" i="1" s="1"/>
  <c r="L509" i="3"/>
  <c r="AZ499" i="1" s="1"/>
  <c r="K509" i="3"/>
  <c r="AY499" i="1" s="1"/>
  <c r="O508" i="3"/>
  <c r="BC498" i="1" s="1"/>
  <c r="N508" i="3"/>
  <c r="BB498" i="1" s="1"/>
  <c r="M508" i="3"/>
  <c r="BA498" i="1" s="1"/>
  <c r="L508" i="3"/>
  <c r="AZ498" i="1" s="1"/>
  <c r="K508" i="3"/>
  <c r="AY498" i="1" s="1"/>
  <c r="O507" i="3"/>
  <c r="BC497" i="1" s="1"/>
  <c r="N507" i="3"/>
  <c r="BB497" i="1" s="1"/>
  <c r="M507" i="3"/>
  <c r="BA497" i="1" s="1"/>
  <c r="L507" i="3"/>
  <c r="AZ497" i="1" s="1"/>
  <c r="K507" i="3"/>
  <c r="AY497" i="1" s="1"/>
  <c r="O506" i="3"/>
  <c r="BC496" i="1" s="1"/>
  <c r="N506" i="3"/>
  <c r="BB496" i="1" s="1"/>
  <c r="M506" i="3"/>
  <c r="BA496" i="1" s="1"/>
  <c r="L506" i="3"/>
  <c r="AZ496" i="1" s="1"/>
  <c r="K506" i="3"/>
  <c r="AY496" i="1" s="1"/>
  <c r="O505" i="3"/>
  <c r="BC495" i="1" s="1"/>
  <c r="N505" i="3"/>
  <c r="BB495" i="1" s="1"/>
  <c r="M505" i="3"/>
  <c r="BA495" i="1" s="1"/>
  <c r="L505" i="3"/>
  <c r="AZ495" i="1" s="1"/>
  <c r="K505" i="3"/>
  <c r="AY495" i="1" s="1"/>
  <c r="O504" i="3"/>
  <c r="BC494" i="1" s="1"/>
  <c r="N504" i="3"/>
  <c r="BB494" i="1" s="1"/>
  <c r="M504" i="3"/>
  <c r="BA494" i="1" s="1"/>
  <c r="L504" i="3"/>
  <c r="AZ494" i="1" s="1"/>
  <c r="K504" i="3"/>
  <c r="AY494" i="1" s="1"/>
  <c r="O503" i="3"/>
  <c r="BC493" i="1" s="1"/>
  <c r="N503" i="3"/>
  <c r="BB493" i="1" s="1"/>
  <c r="M503" i="3"/>
  <c r="BA493" i="1" s="1"/>
  <c r="L503" i="3"/>
  <c r="AZ493" i="1" s="1"/>
  <c r="K503" i="3"/>
  <c r="AY493" i="1" s="1"/>
  <c r="O502" i="3"/>
  <c r="BC492" i="1" s="1"/>
  <c r="N502" i="3"/>
  <c r="BB492" i="1" s="1"/>
  <c r="M502" i="3"/>
  <c r="BA492" i="1" s="1"/>
  <c r="L502" i="3"/>
  <c r="AZ492" i="1" s="1"/>
  <c r="K502" i="3"/>
  <c r="AY492" i="1" s="1"/>
  <c r="O501" i="3"/>
  <c r="BC491" i="1" s="1"/>
  <c r="N501" i="3"/>
  <c r="BB491" i="1" s="1"/>
  <c r="M501" i="3"/>
  <c r="BA491" i="1" s="1"/>
  <c r="L501" i="3"/>
  <c r="AZ491" i="1" s="1"/>
  <c r="K501" i="3"/>
  <c r="AY491" i="1" s="1"/>
  <c r="O500" i="3"/>
  <c r="BC490" i="1" s="1"/>
  <c r="N500" i="3"/>
  <c r="BB490" i="1" s="1"/>
  <c r="M500" i="3"/>
  <c r="BA490" i="1" s="1"/>
  <c r="L500" i="3"/>
  <c r="AZ490" i="1" s="1"/>
  <c r="K500" i="3"/>
  <c r="AY490" i="1" s="1"/>
  <c r="O499" i="3"/>
  <c r="BC489" i="1" s="1"/>
  <c r="N499" i="3"/>
  <c r="BB489" i="1" s="1"/>
  <c r="M499" i="3"/>
  <c r="BA489" i="1" s="1"/>
  <c r="L499" i="3"/>
  <c r="AZ489" i="1" s="1"/>
  <c r="K499" i="3"/>
  <c r="AY489" i="1" s="1"/>
  <c r="O498" i="3"/>
  <c r="BC488" i="1" s="1"/>
  <c r="N498" i="3"/>
  <c r="BB488" i="1" s="1"/>
  <c r="M498" i="3"/>
  <c r="BA488" i="1" s="1"/>
  <c r="L498" i="3"/>
  <c r="AZ488" i="1" s="1"/>
  <c r="K498" i="3"/>
  <c r="AY488" i="1" s="1"/>
  <c r="O497" i="3"/>
  <c r="BC487" i="1" s="1"/>
  <c r="N497" i="3"/>
  <c r="BB487" i="1" s="1"/>
  <c r="M497" i="3"/>
  <c r="BA487" i="1" s="1"/>
  <c r="L497" i="3"/>
  <c r="AZ487" i="1" s="1"/>
  <c r="K497" i="3"/>
  <c r="AY487" i="1" s="1"/>
  <c r="M496" i="3"/>
  <c r="BA486" i="1" s="1"/>
  <c r="N496" i="3"/>
  <c r="BB486" i="1" s="1"/>
  <c r="O496" i="3"/>
  <c r="BC486" i="1" s="1"/>
  <c r="L496" i="3"/>
  <c r="AZ486" i="1" s="1"/>
  <c r="K496" i="3"/>
  <c r="AY486" i="1" s="1"/>
  <c r="O495" i="3"/>
  <c r="BC485" i="1" s="1"/>
  <c r="N495" i="3"/>
  <c r="BB485" i="1" s="1"/>
  <c r="M495" i="3"/>
  <c r="BA485" i="1" s="1"/>
  <c r="L495" i="3"/>
  <c r="AZ485" i="1" s="1"/>
  <c r="K495" i="3"/>
  <c r="AY485" i="1" s="1"/>
  <c r="O494" i="3"/>
  <c r="BC484" i="1" s="1"/>
  <c r="N494" i="3"/>
  <c r="BB484" i="1" s="1"/>
  <c r="M494" i="3"/>
  <c r="BA484" i="1" s="1"/>
  <c r="L494" i="3"/>
  <c r="AZ484" i="1" s="1"/>
  <c r="K494" i="3"/>
  <c r="AY484" i="1" s="1"/>
  <c r="O493" i="3"/>
  <c r="BC483" i="1" s="1"/>
  <c r="N493" i="3"/>
  <c r="BB483" i="1" s="1"/>
  <c r="M493" i="3"/>
  <c r="BA483" i="1" s="1"/>
  <c r="L493" i="3"/>
  <c r="AZ483" i="1" s="1"/>
  <c r="K493" i="3"/>
  <c r="AY483" i="1" s="1"/>
  <c r="O492" i="3"/>
  <c r="BC482" i="1" s="1"/>
  <c r="N492" i="3"/>
  <c r="BB482" i="1" s="1"/>
  <c r="M492" i="3"/>
  <c r="BA482" i="1" s="1"/>
  <c r="L492" i="3"/>
  <c r="AZ482" i="1" s="1"/>
  <c r="K492" i="3"/>
  <c r="AY482" i="1" s="1"/>
  <c r="O491" i="3"/>
  <c r="BC481" i="1" s="1"/>
  <c r="N491" i="3"/>
  <c r="BB481" i="1" s="1"/>
  <c r="M491" i="3"/>
  <c r="BA481" i="1" s="1"/>
  <c r="L491" i="3"/>
  <c r="AZ481" i="1" s="1"/>
  <c r="K491" i="3"/>
  <c r="AY481" i="1" s="1"/>
  <c r="K490" i="3"/>
  <c r="AY480" i="1" s="1"/>
  <c r="N490" i="3"/>
  <c r="BB480" i="1" s="1"/>
  <c r="M490" i="3"/>
  <c r="BA480" i="1" s="1"/>
  <c r="L490" i="3"/>
  <c r="AZ480" i="1" s="1"/>
  <c r="O490" i="3"/>
  <c r="BC480" i="1" s="1"/>
  <c r="O489" i="3"/>
  <c r="BC479" i="1" s="1"/>
  <c r="N489" i="3"/>
  <c r="BB479" i="1" s="1"/>
  <c r="M489" i="3"/>
  <c r="BA479" i="1" s="1"/>
  <c r="L489" i="3"/>
  <c r="AZ479" i="1" s="1"/>
  <c r="K489" i="3"/>
  <c r="AY479" i="1" s="1"/>
  <c r="O488" i="3"/>
  <c r="BC478" i="1" s="1"/>
  <c r="N488" i="3"/>
  <c r="BB478" i="1" s="1"/>
  <c r="M488" i="3"/>
  <c r="BA478" i="1" s="1"/>
  <c r="L488" i="3"/>
  <c r="AZ478" i="1" s="1"/>
  <c r="K488" i="3"/>
  <c r="AY478" i="1" s="1"/>
  <c r="K487" i="3"/>
  <c r="AY477" i="1" s="1"/>
  <c r="N487" i="3"/>
  <c r="BB477" i="1" s="1"/>
  <c r="M487" i="3"/>
  <c r="BA477" i="1" s="1"/>
  <c r="L487" i="3"/>
  <c r="AZ477" i="1" s="1"/>
  <c r="O487" i="3"/>
  <c r="BC477" i="1" s="1"/>
  <c r="O486" i="3"/>
  <c r="BC476" i="1" s="1"/>
  <c r="N486" i="3"/>
  <c r="BB476" i="1" s="1"/>
  <c r="M486" i="3"/>
  <c r="BA476" i="1" s="1"/>
  <c r="L486" i="3"/>
  <c r="AZ476" i="1" s="1"/>
  <c r="K486" i="3"/>
  <c r="AY476" i="1" s="1"/>
  <c r="O485" i="3"/>
  <c r="BC475" i="1" s="1"/>
  <c r="N485" i="3"/>
  <c r="BB475" i="1" s="1"/>
  <c r="M485" i="3"/>
  <c r="BA475" i="1" s="1"/>
  <c r="L485" i="3"/>
  <c r="AZ475" i="1" s="1"/>
  <c r="K485" i="3"/>
  <c r="AY475" i="1" s="1"/>
  <c r="O484" i="3"/>
  <c r="BC474" i="1" s="1"/>
  <c r="N484" i="3"/>
  <c r="BB474" i="1" s="1"/>
  <c r="M484" i="3"/>
  <c r="BA474" i="1" s="1"/>
  <c r="L484" i="3"/>
  <c r="AZ474" i="1" s="1"/>
  <c r="K484" i="3"/>
  <c r="AY474" i="1" s="1"/>
  <c r="N483" i="3"/>
  <c r="BB473" i="1" s="1"/>
  <c r="O483" i="3"/>
  <c r="BC473" i="1" s="1"/>
  <c r="M483" i="3"/>
  <c r="BA473" i="1" s="1"/>
  <c r="L483" i="3"/>
  <c r="AZ473" i="1" s="1"/>
  <c r="K483" i="3"/>
  <c r="AY473" i="1" s="1"/>
  <c r="O482" i="3"/>
  <c r="BC472" i="1" s="1"/>
  <c r="N482" i="3"/>
  <c r="BB472" i="1" s="1"/>
  <c r="M482" i="3"/>
  <c r="BA472" i="1" s="1"/>
  <c r="L482" i="3"/>
  <c r="AZ472" i="1" s="1"/>
  <c r="K482" i="3"/>
  <c r="AY472" i="1" s="1"/>
  <c r="O481" i="3"/>
  <c r="BC471" i="1" s="1"/>
  <c r="N481" i="3"/>
  <c r="BB471" i="1" s="1"/>
  <c r="M481" i="3"/>
  <c r="BA471" i="1" s="1"/>
  <c r="L481" i="3"/>
  <c r="AZ471" i="1" s="1"/>
  <c r="K481" i="3"/>
  <c r="AY471" i="1" s="1"/>
  <c r="O480" i="3"/>
  <c r="BC470" i="1" s="1"/>
  <c r="N480" i="3"/>
  <c r="BB470" i="1" s="1"/>
  <c r="M480" i="3"/>
  <c r="BA470" i="1" s="1"/>
  <c r="L480" i="3"/>
  <c r="AZ470" i="1" s="1"/>
  <c r="K480" i="3"/>
  <c r="AY470" i="1" s="1"/>
  <c r="O479" i="3"/>
  <c r="BC469" i="1" s="1"/>
  <c r="N479" i="3"/>
  <c r="BB469" i="1" s="1"/>
  <c r="M479" i="3"/>
  <c r="BA469" i="1" s="1"/>
  <c r="L479" i="3"/>
  <c r="AZ469" i="1" s="1"/>
  <c r="K479" i="3"/>
  <c r="AY469" i="1" s="1"/>
  <c r="O478" i="3"/>
  <c r="BC468" i="1" s="1"/>
  <c r="N478" i="3"/>
  <c r="BB468" i="1" s="1"/>
  <c r="M478" i="3"/>
  <c r="BA468" i="1" s="1"/>
  <c r="L478" i="3"/>
  <c r="AZ468" i="1" s="1"/>
  <c r="K478" i="3"/>
  <c r="AY468" i="1" s="1"/>
  <c r="L477" i="3"/>
  <c r="AZ467" i="1" s="1"/>
  <c r="N477" i="3"/>
  <c r="BB467" i="1" s="1"/>
  <c r="M477" i="3"/>
  <c r="BA467" i="1" s="1"/>
  <c r="O477" i="3"/>
  <c r="BC467" i="1" s="1"/>
  <c r="K477" i="3"/>
  <c r="AY467" i="1" s="1"/>
  <c r="O476" i="3"/>
  <c r="BC466" i="1" s="1"/>
  <c r="N476" i="3"/>
  <c r="BB466" i="1" s="1"/>
  <c r="M476" i="3"/>
  <c r="BA466" i="1" s="1"/>
  <c r="L476" i="3"/>
  <c r="AZ466" i="1" s="1"/>
  <c r="K476" i="3"/>
  <c r="AY466" i="1" s="1"/>
  <c r="O475" i="3"/>
  <c r="BC465" i="1" s="1"/>
  <c r="N475" i="3"/>
  <c r="BB465" i="1" s="1"/>
  <c r="M475" i="3"/>
  <c r="BA465" i="1" s="1"/>
  <c r="L475" i="3"/>
  <c r="AZ465" i="1" s="1"/>
  <c r="K475" i="3"/>
  <c r="AY465" i="1" s="1"/>
  <c r="L474" i="3"/>
  <c r="AZ464" i="1" s="1"/>
  <c r="N474" i="3"/>
  <c r="BB464" i="1" s="1"/>
  <c r="M474" i="3"/>
  <c r="BA464" i="1" s="1"/>
  <c r="O474" i="3"/>
  <c r="BC464" i="1" s="1"/>
  <c r="K474" i="3"/>
  <c r="AY464" i="1" s="1"/>
  <c r="O473" i="3"/>
  <c r="BC463" i="1" s="1"/>
  <c r="N473" i="3"/>
  <c r="BB463" i="1" s="1"/>
  <c r="M473" i="3"/>
  <c r="BA463" i="1" s="1"/>
  <c r="L473" i="3"/>
  <c r="AZ463" i="1" s="1"/>
  <c r="K473" i="3"/>
  <c r="AY463" i="1" s="1"/>
  <c r="O472" i="3"/>
  <c r="BC462" i="1" s="1"/>
  <c r="N472" i="3"/>
  <c r="BB462" i="1" s="1"/>
  <c r="M472" i="3"/>
  <c r="BA462" i="1" s="1"/>
  <c r="L472" i="3"/>
  <c r="AZ462" i="1" s="1"/>
  <c r="K472" i="3"/>
  <c r="AY462" i="1" s="1"/>
  <c r="O471" i="3"/>
  <c r="BC461" i="1" s="1"/>
  <c r="N471" i="3"/>
  <c r="BB461" i="1" s="1"/>
  <c r="M471" i="3"/>
  <c r="BA461" i="1" s="1"/>
  <c r="L471" i="3"/>
  <c r="AZ461" i="1" s="1"/>
  <c r="K471" i="3"/>
  <c r="AY461" i="1" s="1"/>
  <c r="O470" i="3"/>
  <c r="BC460" i="1" s="1"/>
  <c r="N470" i="3"/>
  <c r="BB460" i="1" s="1"/>
  <c r="M470" i="3"/>
  <c r="BA460" i="1" s="1"/>
  <c r="L470" i="3"/>
  <c r="AZ460" i="1" s="1"/>
  <c r="K470" i="3"/>
  <c r="AY460" i="1" s="1"/>
  <c r="O469" i="3"/>
  <c r="BC459" i="1" s="1"/>
  <c r="N469" i="3"/>
  <c r="BB459" i="1" s="1"/>
  <c r="M469" i="3"/>
  <c r="BA459" i="1" s="1"/>
  <c r="L469" i="3"/>
  <c r="AZ459" i="1" s="1"/>
  <c r="K469" i="3"/>
  <c r="AY459" i="1" s="1"/>
  <c r="O468" i="3"/>
  <c r="BC458" i="1" s="1"/>
  <c r="N468" i="3"/>
  <c r="BB458" i="1" s="1"/>
  <c r="M468" i="3"/>
  <c r="BA458" i="1" s="1"/>
  <c r="L468" i="3"/>
  <c r="AZ458" i="1" s="1"/>
  <c r="K468" i="3"/>
  <c r="AY458" i="1" s="1"/>
  <c r="O467" i="3"/>
  <c r="BC457" i="1" s="1"/>
  <c r="N467" i="3"/>
  <c r="BB457" i="1" s="1"/>
  <c r="M467" i="3"/>
  <c r="BA457" i="1" s="1"/>
  <c r="L467" i="3"/>
  <c r="AZ457" i="1" s="1"/>
  <c r="K467" i="3"/>
  <c r="AY457" i="1" s="1"/>
  <c r="O466" i="3"/>
  <c r="BC456" i="1" s="1"/>
  <c r="N466" i="3"/>
  <c r="BB456" i="1" s="1"/>
  <c r="M466" i="3"/>
  <c r="BA456" i="1" s="1"/>
  <c r="L466" i="3"/>
  <c r="AZ456" i="1" s="1"/>
  <c r="K466" i="3"/>
  <c r="AY456" i="1" s="1"/>
  <c r="O465" i="3"/>
  <c r="BC455" i="1" s="1"/>
  <c r="N465" i="3"/>
  <c r="BB455" i="1" s="1"/>
  <c r="M465" i="3"/>
  <c r="BA455" i="1" s="1"/>
  <c r="L465" i="3"/>
  <c r="AZ455" i="1" s="1"/>
  <c r="K465" i="3"/>
  <c r="AY455" i="1" s="1"/>
  <c r="M464" i="3"/>
  <c r="BA454" i="1" s="1"/>
  <c r="N464" i="3"/>
  <c r="BB454" i="1" s="1"/>
  <c r="O464" i="3"/>
  <c r="BC454" i="1" s="1"/>
  <c r="L464" i="3"/>
  <c r="AZ454" i="1" s="1"/>
  <c r="K464" i="3"/>
  <c r="AY454" i="1" s="1"/>
  <c r="O463" i="3"/>
  <c r="BC453" i="1" s="1"/>
  <c r="N463" i="3"/>
  <c r="BB453" i="1" s="1"/>
  <c r="M463" i="3"/>
  <c r="BA453" i="1" s="1"/>
  <c r="L463" i="3"/>
  <c r="AZ453" i="1" s="1"/>
  <c r="K463" i="3"/>
  <c r="AY453" i="1" s="1"/>
  <c r="O462" i="3"/>
  <c r="BC452" i="1" s="1"/>
  <c r="N462" i="3"/>
  <c r="BB452" i="1" s="1"/>
  <c r="M462" i="3"/>
  <c r="BA452" i="1" s="1"/>
  <c r="L462" i="3"/>
  <c r="AZ452" i="1" s="1"/>
  <c r="K462" i="3"/>
  <c r="AY452" i="1" s="1"/>
  <c r="L461" i="3"/>
  <c r="AZ451" i="1" s="1"/>
  <c r="N461" i="3"/>
  <c r="BB451" i="1" s="1"/>
  <c r="M461" i="3"/>
  <c r="BA451" i="1" s="1"/>
  <c r="O461" i="3"/>
  <c r="BC451" i="1" s="1"/>
  <c r="K461" i="3"/>
  <c r="AY451" i="1" s="1"/>
  <c r="O460" i="3"/>
  <c r="BC450" i="1" s="1"/>
  <c r="N460" i="3"/>
  <c r="BB450" i="1" s="1"/>
  <c r="M460" i="3"/>
  <c r="BA450" i="1" s="1"/>
  <c r="L460" i="3"/>
  <c r="AZ450" i="1" s="1"/>
  <c r="K460" i="3"/>
  <c r="AY450" i="1" s="1"/>
  <c r="O459" i="3"/>
  <c r="BC449" i="1" s="1"/>
  <c r="N459" i="3"/>
  <c r="BB449" i="1" s="1"/>
  <c r="M459" i="3"/>
  <c r="BA449" i="1" s="1"/>
  <c r="L459" i="3"/>
  <c r="AZ449" i="1" s="1"/>
  <c r="K459" i="3"/>
  <c r="AY449" i="1" s="1"/>
  <c r="O458" i="3"/>
  <c r="BC448" i="1" s="1"/>
  <c r="N458" i="3"/>
  <c r="BB448" i="1" s="1"/>
  <c r="M458" i="3"/>
  <c r="BA448" i="1" s="1"/>
  <c r="L458" i="3"/>
  <c r="AZ448" i="1" s="1"/>
  <c r="K458" i="3"/>
  <c r="AY448" i="1" s="1"/>
  <c r="O457" i="3"/>
  <c r="BC447" i="1" s="1"/>
  <c r="N457" i="3"/>
  <c r="BB447" i="1" s="1"/>
  <c r="M457" i="3"/>
  <c r="BA447" i="1" s="1"/>
  <c r="L457" i="3"/>
  <c r="AZ447" i="1" s="1"/>
  <c r="K457" i="3"/>
  <c r="AY447" i="1" s="1"/>
  <c r="O456" i="3"/>
  <c r="BC446" i="1" s="1"/>
  <c r="N456" i="3"/>
  <c r="BB446" i="1" s="1"/>
  <c r="M456" i="3"/>
  <c r="BA446" i="1" s="1"/>
  <c r="L456" i="3"/>
  <c r="AZ446" i="1" s="1"/>
  <c r="K456" i="3"/>
  <c r="AY446" i="1" s="1"/>
  <c r="O455" i="3"/>
  <c r="BC445" i="1" s="1"/>
  <c r="N455" i="3"/>
  <c r="BB445" i="1" s="1"/>
  <c r="M455" i="3"/>
  <c r="BA445" i="1" s="1"/>
  <c r="L455" i="3"/>
  <c r="AZ445" i="1" s="1"/>
  <c r="K455" i="3"/>
  <c r="AY445" i="1" s="1"/>
  <c r="O454" i="3"/>
  <c r="BC444" i="1" s="1"/>
  <c r="N454" i="3"/>
  <c r="BB444" i="1" s="1"/>
  <c r="M454" i="3"/>
  <c r="BA444" i="1" s="1"/>
  <c r="L454" i="3"/>
  <c r="AZ444" i="1" s="1"/>
  <c r="K454" i="3"/>
  <c r="AY444" i="1" s="1"/>
  <c r="O453" i="3"/>
  <c r="BC443" i="1" s="1"/>
  <c r="N453" i="3"/>
  <c r="BB443" i="1" s="1"/>
  <c r="M453" i="3"/>
  <c r="BA443" i="1" s="1"/>
  <c r="L453" i="3"/>
  <c r="AZ443" i="1" s="1"/>
  <c r="K453" i="3"/>
  <c r="AY443" i="1" s="1"/>
  <c r="O452" i="3"/>
  <c r="BC442" i="1" s="1"/>
  <c r="N452" i="3"/>
  <c r="BB442" i="1" s="1"/>
  <c r="M452" i="3"/>
  <c r="BA442" i="1" s="1"/>
  <c r="L452" i="3"/>
  <c r="AZ442" i="1" s="1"/>
  <c r="K452" i="3"/>
  <c r="AY442" i="1" s="1"/>
  <c r="O451" i="3"/>
  <c r="BC441" i="1" s="1"/>
  <c r="N451" i="3"/>
  <c r="BB441" i="1" s="1"/>
  <c r="M451" i="3"/>
  <c r="BA441" i="1" s="1"/>
  <c r="L451" i="3"/>
  <c r="AZ441" i="1" s="1"/>
  <c r="K451" i="3"/>
  <c r="AY441" i="1" s="1"/>
  <c r="O450" i="3"/>
  <c r="BC440" i="1" s="1"/>
  <c r="N450" i="3"/>
  <c r="BB440" i="1" s="1"/>
  <c r="M450" i="3"/>
  <c r="BA440" i="1" s="1"/>
  <c r="L450" i="3"/>
  <c r="AZ440" i="1" s="1"/>
  <c r="K450" i="3"/>
  <c r="AY440" i="1" s="1"/>
  <c r="O449" i="3"/>
  <c r="BC439" i="1" s="1"/>
  <c r="N449" i="3"/>
  <c r="BB439" i="1" s="1"/>
  <c r="M449" i="3"/>
  <c r="BA439" i="1" s="1"/>
  <c r="L449" i="3"/>
  <c r="AZ439" i="1" s="1"/>
  <c r="K449" i="3"/>
  <c r="AY439" i="1" s="1"/>
  <c r="O448" i="3"/>
  <c r="BC438" i="1" s="1"/>
  <c r="N448" i="3"/>
  <c r="BB438" i="1" s="1"/>
  <c r="M448" i="3"/>
  <c r="BA438" i="1" s="1"/>
  <c r="L448" i="3"/>
  <c r="AZ438" i="1" s="1"/>
  <c r="K448" i="3"/>
  <c r="AY438" i="1" s="1"/>
  <c r="O447" i="3"/>
  <c r="BC437" i="1" s="1"/>
  <c r="N447" i="3"/>
  <c r="BB437" i="1" s="1"/>
  <c r="M447" i="3"/>
  <c r="BA437" i="1" s="1"/>
  <c r="L447" i="3"/>
  <c r="AZ437" i="1" s="1"/>
  <c r="K447" i="3"/>
  <c r="AY437" i="1" s="1"/>
  <c r="O446" i="3"/>
  <c r="BC436" i="1" s="1"/>
  <c r="N446" i="3"/>
  <c r="BB436" i="1" s="1"/>
  <c r="M446" i="3"/>
  <c r="BA436" i="1" s="1"/>
  <c r="L446" i="3"/>
  <c r="AZ436" i="1" s="1"/>
  <c r="K446" i="3"/>
  <c r="AY436" i="1" s="1"/>
  <c r="L445" i="3"/>
  <c r="AZ435" i="1" s="1"/>
  <c r="N445" i="3"/>
  <c r="BB435" i="1" s="1"/>
  <c r="M445" i="3"/>
  <c r="BA435" i="1" s="1"/>
  <c r="O445" i="3"/>
  <c r="BC435" i="1" s="1"/>
  <c r="K445" i="3"/>
  <c r="AY435" i="1" s="1"/>
  <c r="O444" i="3"/>
  <c r="BC434" i="1" s="1"/>
  <c r="N444" i="3"/>
  <c r="BB434" i="1" s="1"/>
  <c r="M444" i="3"/>
  <c r="BA434" i="1" s="1"/>
  <c r="L444" i="3"/>
  <c r="AZ434" i="1" s="1"/>
  <c r="K444" i="3"/>
  <c r="AY434" i="1" s="1"/>
  <c r="O443" i="3"/>
  <c r="BC433" i="1" s="1"/>
  <c r="N443" i="3"/>
  <c r="BB433" i="1" s="1"/>
  <c r="M443" i="3"/>
  <c r="BA433" i="1" s="1"/>
  <c r="L443" i="3"/>
  <c r="AZ433" i="1" s="1"/>
  <c r="K443" i="3"/>
  <c r="AY433" i="1" s="1"/>
  <c r="O442" i="3"/>
  <c r="BC432" i="1" s="1"/>
  <c r="N442" i="3"/>
  <c r="BB432" i="1" s="1"/>
  <c r="M442" i="3"/>
  <c r="BA432" i="1" s="1"/>
  <c r="L442" i="3"/>
  <c r="AZ432" i="1" s="1"/>
  <c r="K442" i="3"/>
  <c r="AY432" i="1" s="1"/>
  <c r="O441" i="3"/>
  <c r="BC431" i="1" s="1"/>
  <c r="N441" i="3"/>
  <c r="BB431" i="1" s="1"/>
  <c r="M441" i="3"/>
  <c r="BA431" i="1" s="1"/>
  <c r="L441" i="3"/>
  <c r="AZ431" i="1" s="1"/>
  <c r="K441" i="3"/>
  <c r="AY431" i="1" s="1"/>
  <c r="O440" i="3"/>
  <c r="BC430" i="1" s="1"/>
  <c r="N440" i="3"/>
  <c r="BB430" i="1" s="1"/>
  <c r="M440" i="3"/>
  <c r="BA430" i="1" s="1"/>
  <c r="L440" i="3"/>
  <c r="AZ430" i="1" s="1"/>
  <c r="K440" i="3"/>
  <c r="AY430" i="1" s="1"/>
  <c r="K439" i="3"/>
  <c r="AY429" i="1" s="1"/>
  <c r="N439" i="3"/>
  <c r="BB429" i="1" s="1"/>
  <c r="M439" i="3"/>
  <c r="BA429" i="1" s="1"/>
  <c r="L439" i="3"/>
  <c r="AZ429" i="1" s="1"/>
  <c r="O439" i="3"/>
  <c r="BC429" i="1" s="1"/>
  <c r="O438" i="3"/>
  <c r="BC428" i="1" s="1"/>
  <c r="N438" i="3"/>
  <c r="BB428" i="1" s="1"/>
  <c r="M438" i="3"/>
  <c r="BA428" i="1" s="1"/>
  <c r="L438" i="3"/>
  <c r="AZ428" i="1" s="1"/>
  <c r="K438" i="3"/>
  <c r="AY428" i="1" s="1"/>
  <c r="O437" i="3"/>
  <c r="BC427" i="1" s="1"/>
  <c r="N437" i="3"/>
  <c r="BB427" i="1" s="1"/>
  <c r="M437" i="3"/>
  <c r="BA427" i="1" s="1"/>
  <c r="L437" i="3"/>
  <c r="AZ427" i="1" s="1"/>
  <c r="K437" i="3"/>
  <c r="AY427" i="1" s="1"/>
  <c r="K436" i="3"/>
  <c r="AY426" i="1" s="1"/>
  <c r="N436" i="3"/>
  <c r="BB426" i="1" s="1"/>
  <c r="M436" i="3"/>
  <c r="BA426" i="1" s="1"/>
  <c r="L436" i="3"/>
  <c r="AZ426" i="1" s="1"/>
  <c r="O436" i="3"/>
  <c r="BC426" i="1" s="1"/>
  <c r="O435" i="3"/>
  <c r="BC425" i="1" s="1"/>
  <c r="N435" i="3"/>
  <c r="BB425" i="1" s="1"/>
  <c r="M435" i="3"/>
  <c r="BA425" i="1" s="1"/>
  <c r="L435" i="3"/>
  <c r="AZ425" i="1" s="1"/>
  <c r="K435" i="3"/>
  <c r="AY425" i="1" s="1"/>
  <c r="O434" i="3"/>
  <c r="BC424" i="1" s="1"/>
  <c r="N434" i="3"/>
  <c r="BB424" i="1" s="1"/>
  <c r="M434" i="3"/>
  <c r="BA424" i="1" s="1"/>
  <c r="L434" i="3"/>
  <c r="AZ424" i="1" s="1"/>
  <c r="K434" i="3"/>
  <c r="AY424" i="1" s="1"/>
  <c r="O433" i="3"/>
  <c r="BC423" i="1" s="1"/>
  <c r="N433" i="3"/>
  <c r="BB423" i="1" s="1"/>
  <c r="M433" i="3"/>
  <c r="BA423" i="1" s="1"/>
  <c r="L433" i="3"/>
  <c r="AZ423" i="1" s="1"/>
  <c r="K433" i="3"/>
  <c r="AY423" i="1" s="1"/>
  <c r="L432" i="3"/>
  <c r="AZ422" i="1" s="1"/>
  <c r="N432" i="3"/>
  <c r="BB422" i="1" s="1"/>
  <c r="M432" i="3"/>
  <c r="BA422" i="1" s="1"/>
  <c r="O432" i="3"/>
  <c r="BC422" i="1" s="1"/>
  <c r="K432" i="3"/>
  <c r="AY422" i="1" s="1"/>
  <c r="O431" i="3"/>
  <c r="BC421" i="1" s="1"/>
  <c r="N431" i="3"/>
  <c r="BB421" i="1" s="1"/>
  <c r="M431" i="3"/>
  <c r="BA421" i="1" s="1"/>
  <c r="L431" i="3"/>
  <c r="AZ421" i="1" s="1"/>
  <c r="K431" i="3"/>
  <c r="AY421" i="1" s="1"/>
  <c r="O430" i="3"/>
  <c r="BC420" i="1" s="1"/>
  <c r="N430" i="3"/>
  <c r="BB420" i="1" s="1"/>
  <c r="M430" i="3"/>
  <c r="BA420" i="1" s="1"/>
  <c r="L430" i="3"/>
  <c r="AZ420" i="1" s="1"/>
  <c r="K430" i="3"/>
  <c r="AY420" i="1" s="1"/>
  <c r="O429" i="3"/>
  <c r="BC419" i="1" s="1"/>
  <c r="N429" i="3"/>
  <c r="BB419" i="1" s="1"/>
  <c r="M429" i="3"/>
  <c r="BA419" i="1" s="1"/>
  <c r="L429" i="3"/>
  <c r="AZ419" i="1" s="1"/>
  <c r="K429" i="3"/>
  <c r="AY419" i="1" s="1"/>
  <c r="O428" i="3"/>
  <c r="BC418" i="1" s="1"/>
  <c r="N428" i="3"/>
  <c r="BB418" i="1" s="1"/>
  <c r="M428" i="3"/>
  <c r="BA418" i="1" s="1"/>
  <c r="L428" i="3"/>
  <c r="AZ418" i="1" s="1"/>
  <c r="K428" i="3"/>
  <c r="AY418" i="1" s="1"/>
  <c r="O427" i="3"/>
  <c r="BC417" i="1" s="1"/>
  <c r="N427" i="3"/>
  <c r="BB417" i="1" s="1"/>
  <c r="M427" i="3"/>
  <c r="BA417" i="1" s="1"/>
  <c r="L427" i="3"/>
  <c r="AZ417" i="1" s="1"/>
  <c r="K427" i="3"/>
  <c r="AY417" i="1" s="1"/>
  <c r="O426" i="3"/>
  <c r="BC416" i="1" s="1"/>
  <c r="N426" i="3"/>
  <c r="BB416" i="1" s="1"/>
  <c r="M426" i="3"/>
  <c r="BA416" i="1" s="1"/>
  <c r="L426" i="3"/>
  <c r="AZ416" i="1" s="1"/>
  <c r="K426" i="3"/>
  <c r="AY416" i="1" s="1"/>
  <c r="O425" i="3"/>
  <c r="BC415" i="1" s="1"/>
  <c r="N425" i="3"/>
  <c r="BB415" i="1" s="1"/>
  <c r="M425" i="3"/>
  <c r="BA415" i="1" s="1"/>
  <c r="L425" i="3"/>
  <c r="AZ415" i="1" s="1"/>
  <c r="K425" i="3"/>
  <c r="AY415" i="1" s="1"/>
  <c r="O424" i="3"/>
  <c r="BC414" i="1" s="1"/>
  <c r="N424" i="3"/>
  <c r="BB414" i="1" s="1"/>
  <c r="M424" i="3"/>
  <c r="BA414" i="1" s="1"/>
  <c r="L424" i="3"/>
  <c r="AZ414" i="1" s="1"/>
  <c r="K424" i="3"/>
  <c r="AY414" i="1" s="1"/>
  <c r="O423" i="3"/>
  <c r="BC413" i="1" s="1"/>
  <c r="N423" i="3"/>
  <c r="BB413" i="1" s="1"/>
  <c r="M423" i="3"/>
  <c r="BA413" i="1" s="1"/>
  <c r="L423" i="3"/>
  <c r="AZ413" i="1" s="1"/>
  <c r="K423" i="3"/>
  <c r="AY413" i="1" s="1"/>
  <c r="O422" i="3"/>
  <c r="BC412" i="1" s="1"/>
  <c r="N422" i="3"/>
  <c r="BB412" i="1" s="1"/>
  <c r="M422" i="3"/>
  <c r="BA412" i="1" s="1"/>
  <c r="L422" i="3"/>
  <c r="AZ412" i="1" s="1"/>
  <c r="K422" i="3"/>
  <c r="AY412" i="1" s="1"/>
  <c r="O421" i="3"/>
  <c r="BC411" i="1" s="1"/>
  <c r="N421" i="3"/>
  <c r="BB411" i="1" s="1"/>
  <c r="M421" i="3"/>
  <c r="BA411" i="1" s="1"/>
  <c r="L421" i="3"/>
  <c r="AZ411" i="1" s="1"/>
  <c r="K421" i="3"/>
  <c r="AY411" i="1" s="1"/>
  <c r="O420" i="3"/>
  <c r="BC410" i="1" s="1"/>
  <c r="N420" i="3"/>
  <c r="BB410" i="1" s="1"/>
  <c r="M420" i="3"/>
  <c r="BA410" i="1" s="1"/>
  <c r="L420" i="3"/>
  <c r="AZ410" i="1" s="1"/>
  <c r="K420" i="3"/>
  <c r="AY410" i="1" s="1"/>
  <c r="O419" i="3"/>
  <c r="BC409" i="1" s="1"/>
  <c r="N419" i="3"/>
  <c r="BB409" i="1" s="1"/>
  <c r="M419" i="3"/>
  <c r="BA409" i="1" s="1"/>
  <c r="L419" i="3"/>
  <c r="AZ409" i="1" s="1"/>
  <c r="K419" i="3"/>
  <c r="AY409" i="1" s="1"/>
  <c r="O418" i="3"/>
  <c r="BC408" i="1" s="1"/>
  <c r="N418" i="3"/>
  <c r="BB408" i="1" s="1"/>
  <c r="M418" i="3"/>
  <c r="BA408" i="1" s="1"/>
  <c r="L418" i="3"/>
  <c r="AZ408" i="1" s="1"/>
  <c r="K418" i="3"/>
  <c r="AY408" i="1" s="1"/>
  <c r="O417" i="3"/>
  <c r="BC407" i="1" s="1"/>
  <c r="N417" i="3"/>
  <c r="BB407" i="1" s="1"/>
  <c r="M417" i="3"/>
  <c r="BA407" i="1" s="1"/>
  <c r="L417" i="3"/>
  <c r="AZ407" i="1" s="1"/>
  <c r="K417" i="3"/>
  <c r="AY407" i="1" s="1"/>
  <c r="O416" i="3"/>
  <c r="BC406" i="1" s="1"/>
  <c r="N416" i="3"/>
  <c r="BB406" i="1" s="1"/>
  <c r="M416" i="3"/>
  <c r="BA406" i="1" s="1"/>
  <c r="L416" i="3"/>
  <c r="AZ406" i="1" s="1"/>
  <c r="K416" i="3"/>
  <c r="AY406" i="1" s="1"/>
  <c r="O415" i="3"/>
  <c r="BC405" i="1" s="1"/>
  <c r="N415" i="3"/>
  <c r="BB405" i="1" s="1"/>
  <c r="M415" i="3"/>
  <c r="BA405" i="1" s="1"/>
  <c r="L415" i="3"/>
  <c r="AZ405" i="1" s="1"/>
  <c r="K415" i="3"/>
  <c r="AY405" i="1" s="1"/>
  <c r="O414" i="3"/>
  <c r="BC404" i="1" s="1"/>
  <c r="N414" i="3"/>
  <c r="BB404" i="1" s="1"/>
  <c r="M414" i="3"/>
  <c r="BA404" i="1" s="1"/>
  <c r="L414" i="3"/>
  <c r="AZ404" i="1" s="1"/>
  <c r="K414" i="3"/>
  <c r="AY404" i="1" s="1"/>
  <c r="O413" i="3"/>
  <c r="BC403" i="1" s="1"/>
  <c r="N413" i="3"/>
  <c r="BB403" i="1" s="1"/>
  <c r="M413" i="3"/>
  <c r="BA403" i="1" s="1"/>
  <c r="L413" i="3"/>
  <c r="AZ403" i="1" s="1"/>
  <c r="K413" i="3"/>
  <c r="AY403" i="1" s="1"/>
  <c r="O412" i="3"/>
  <c r="BC402" i="1" s="1"/>
  <c r="N412" i="3"/>
  <c r="BB402" i="1" s="1"/>
  <c r="M412" i="3"/>
  <c r="BA402" i="1" s="1"/>
  <c r="L412" i="3"/>
  <c r="AZ402" i="1" s="1"/>
  <c r="K412" i="3"/>
  <c r="AY402" i="1" s="1"/>
  <c r="O411" i="3"/>
  <c r="BC401" i="1" s="1"/>
  <c r="N411" i="3"/>
  <c r="BB401" i="1" s="1"/>
  <c r="M411" i="3"/>
  <c r="BA401" i="1" s="1"/>
  <c r="L411" i="3"/>
  <c r="AZ401" i="1" s="1"/>
  <c r="K411" i="3"/>
  <c r="AY401" i="1" s="1"/>
  <c r="O410" i="3"/>
  <c r="BC400" i="1" s="1"/>
  <c r="N410" i="3"/>
  <c r="BB400" i="1" s="1"/>
  <c r="M410" i="3"/>
  <c r="BA400" i="1" s="1"/>
  <c r="L410" i="3"/>
  <c r="AZ400" i="1" s="1"/>
  <c r="K410" i="3"/>
  <c r="AY400" i="1" s="1"/>
  <c r="O409" i="3"/>
  <c r="BC399" i="1" s="1"/>
  <c r="N409" i="3"/>
  <c r="BB399" i="1" s="1"/>
  <c r="M409" i="3"/>
  <c r="BA399" i="1" s="1"/>
  <c r="L409" i="3"/>
  <c r="AZ399" i="1" s="1"/>
  <c r="K409" i="3"/>
  <c r="AY399" i="1" s="1"/>
  <c r="O408" i="3"/>
  <c r="BC398" i="1" s="1"/>
  <c r="N408" i="3"/>
  <c r="BB398" i="1" s="1"/>
  <c r="M408" i="3"/>
  <c r="BA398" i="1" s="1"/>
  <c r="L408" i="3"/>
  <c r="AZ398" i="1" s="1"/>
  <c r="K408" i="3"/>
  <c r="AY398" i="1" s="1"/>
  <c r="O407" i="3"/>
  <c r="BC397" i="1" s="1"/>
  <c r="N407" i="3"/>
  <c r="BB397" i="1" s="1"/>
  <c r="M407" i="3"/>
  <c r="BA397" i="1" s="1"/>
  <c r="L407" i="3"/>
  <c r="AZ397" i="1" s="1"/>
  <c r="K407" i="3"/>
  <c r="AY397" i="1" s="1"/>
  <c r="N406" i="3"/>
  <c r="BB396" i="1" s="1"/>
  <c r="O406" i="3"/>
  <c r="BC396" i="1" s="1"/>
  <c r="M406" i="3"/>
  <c r="BA396" i="1" s="1"/>
  <c r="L406" i="3"/>
  <c r="AZ396" i="1" s="1"/>
  <c r="K406" i="3"/>
  <c r="AY396" i="1" s="1"/>
  <c r="O405" i="3"/>
  <c r="BC395" i="1" s="1"/>
  <c r="N405" i="3"/>
  <c r="BB395" i="1" s="1"/>
  <c r="M405" i="3"/>
  <c r="BA395" i="1" s="1"/>
  <c r="L405" i="3"/>
  <c r="AZ395" i="1" s="1"/>
  <c r="K405" i="3"/>
  <c r="AY395" i="1" s="1"/>
  <c r="O404" i="3"/>
  <c r="BC394" i="1" s="1"/>
  <c r="N404" i="3"/>
  <c r="BB394" i="1" s="1"/>
  <c r="M404" i="3"/>
  <c r="BA394" i="1" s="1"/>
  <c r="L404" i="3"/>
  <c r="AZ394" i="1" s="1"/>
  <c r="K404" i="3"/>
  <c r="AY394" i="1" s="1"/>
  <c r="O403" i="3"/>
  <c r="BC393" i="1" s="1"/>
  <c r="N403" i="3"/>
  <c r="BB393" i="1" s="1"/>
  <c r="M403" i="3"/>
  <c r="BA393" i="1" s="1"/>
  <c r="L403" i="3"/>
  <c r="AZ393" i="1" s="1"/>
  <c r="K403" i="3"/>
  <c r="AY393" i="1" s="1"/>
  <c r="O402" i="3"/>
  <c r="BC392" i="1" s="1"/>
  <c r="N402" i="3"/>
  <c r="BB392" i="1" s="1"/>
  <c r="M402" i="3"/>
  <c r="BA392" i="1" s="1"/>
  <c r="L402" i="3"/>
  <c r="AZ392" i="1" s="1"/>
  <c r="K402" i="3"/>
  <c r="AY392" i="1" s="1"/>
  <c r="O401" i="3"/>
  <c r="BC391" i="1" s="1"/>
  <c r="N401" i="3"/>
  <c r="BB391" i="1" s="1"/>
  <c r="M401" i="3"/>
  <c r="BA391" i="1" s="1"/>
  <c r="L401" i="3"/>
  <c r="AZ391" i="1" s="1"/>
  <c r="K401" i="3"/>
  <c r="AY391" i="1" s="1"/>
  <c r="O400" i="3"/>
  <c r="BC390" i="1" s="1"/>
  <c r="N400" i="3"/>
  <c r="BB390" i="1" s="1"/>
  <c r="M400" i="3"/>
  <c r="BA390" i="1" s="1"/>
  <c r="L400" i="3"/>
  <c r="AZ390" i="1" s="1"/>
  <c r="K400" i="3"/>
  <c r="AY390" i="1" s="1"/>
  <c r="O399" i="3"/>
  <c r="BC389" i="1" s="1"/>
  <c r="N399" i="3"/>
  <c r="BB389" i="1" s="1"/>
  <c r="M399" i="3"/>
  <c r="BA389" i="1" s="1"/>
  <c r="L399" i="3"/>
  <c r="AZ389" i="1" s="1"/>
  <c r="K399" i="3"/>
  <c r="AY389" i="1" s="1"/>
  <c r="O398" i="3"/>
  <c r="BC388" i="1" s="1"/>
  <c r="N398" i="3"/>
  <c r="BB388" i="1" s="1"/>
  <c r="M398" i="3"/>
  <c r="BA388" i="1" s="1"/>
  <c r="L398" i="3"/>
  <c r="AZ388" i="1" s="1"/>
  <c r="K398" i="3"/>
  <c r="AY388" i="1" s="1"/>
  <c r="O397" i="3"/>
  <c r="BC387" i="1" s="1"/>
  <c r="N397" i="3"/>
  <c r="BB387" i="1" s="1"/>
  <c r="M397" i="3"/>
  <c r="BA387" i="1" s="1"/>
  <c r="L397" i="3"/>
  <c r="AZ387" i="1" s="1"/>
  <c r="K397" i="3"/>
  <c r="AY387" i="1" s="1"/>
  <c r="O396" i="3"/>
  <c r="BC386" i="1" s="1"/>
  <c r="N396" i="3"/>
  <c r="BB386" i="1" s="1"/>
  <c r="M396" i="3"/>
  <c r="BA386" i="1" s="1"/>
  <c r="L396" i="3"/>
  <c r="AZ386" i="1" s="1"/>
  <c r="K396" i="3"/>
  <c r="AY386" i="1" s="1"/>
  <c r="O395" i="3"/>
  <c r="BC385" i="1" s="1"/>
  <c r="N395" i="3"/>
  <c r="BB385" i="1" s="1"/>
  <c r="M395" i="3"/>
  <c r="BA385" i="1" s="1"/>
  <c r="L395" i="3"/>
  <c r="AZ385" i="1" s="1"/>
  <c r="K395" i="3"/>
  <c r="AY385" i="1" s="1"/>
  <c r="K394" i="3"/>
  <c r="AY384" i="1" s="1"/>
  <c r="N394" i="3"/>
  <c r="BB384" i="1" s="1"/>
  <c r="M394" i="3"/>
  <c r="BA384" i="1" s="1"/>
  <c r="L394" i="3"/>
  <c r="AZ384" i="1" s="1"/>
  <c r="O394" i="3"/>
  <c r="BC384" i="1" s="1"/>
  <c r="O393" i="3"/>
  <c r="BC383" i="1" s="1"/>
  <c r="N393" i="3"/>
  <c r="BB383" i="1" s="1"/>
  <c r="M393" i="3"/>
  <c r="BA383" i="1" s="1"/>
  <c r="L393" i="3"/>
  <c r="AZ383" i="1" s="1"/>
  <c r="K393" i="3"/>
  <c r="AY383" i="1" s="1"/>
  <c r="O392" i="3"/>
  <c r="BC382" i="1" s="1"/>
  <c r="N392" i="3"/>
  <c r="BB382" i="1" s="1"/>
  <c r="M392" i="3"/>
  <c r="BA382" i="1" s="1"/>
  <c r="L392" i="3"/>
  <c r="AZ382" i="1" s="1"/>
  <c r="K392" i="3"/>
  <c r="AY382" i="1" s="1"/>
  <c r="O391" i="3"/>
  <c r="BC381" i="1" s="1"/>
  <c r="N391" i="3"/>
  <c r="BB381" i="1" s="1"/>
  <c r="M391" i="3"/>
  <c r="BA381" i="1" s="1"/>
  <c r="L391" i="3"/>
  <c r="AZ381" i="1" s="1"/>
  <c r="K391" i="3"/>
  <c r="AY381" i="1" s="1"/>
  <c r="O390" i="3"/>
  <c r="BC380" i="1" s="1"/>
  <c r="N390" i="3"/>
  <c r="BB380" i="1" s="1"/>
  <c r="M390" i="3"/>
  <c r="BA380" i="1" s="1"/>
  <c r="L390" i="3"/>
  <c r="AZ380" i="1" s="1"/>
  <c r="K390" i="3"/>
  <c r="AY380" i="1" s="1"/>
  <c r="O389" i="3"/>
  <c r="BC379" i="1" s="1"/>
  <c r="N389" i="3"/>
  <c r="BB379" i="1" s="1"/>
  <c r="M389" i="3"/>
  <c r="BA379" i="1" s="1"/>
  <c r="L389" i="3"/>
  <c r="AZ379" i="1" s="1"/>
  <c r="K389" i="3"/>
  <c r="AY379" i="1" s="1"/>
  <c r="K388" i="3"/>
  <c r="AY378" i="1" s="1"/>
  <c r="N388" i="3"/>
  <c r="BB378" i="1" s="1"/>
  <c r="M388" i="3"/>
  <c r="BA378" i="1" s="1"/>
  <c r="L388" i="3"/>
  <c r="AZ378" i="1" s="1"/>
  <c r="O388" i="3"/>
  <c r="BC378" i="1" s="1"/>
  <c r="O387" i="3"/>
  <c r="BC377" i="1" s="1"/>
  <c r="N387" i="3"/>
  <c r="BB377" i="1" s="1"/>
  <c r="M387" i="3"/>
  <c r="BA377" i="1" s="1"/>
  <c r="L387" i="3"/>
  <c r="AZ377" i="1" s="1"/>
  <c r="K387" i="3"/>
  <c r="AY377" i="1" s="1"/>
  <c r="O386" i="3"/>
  <c r="BC376" i="1" s="1"/>
  <c r="N386" i="3"/>
  <c r="BB376" i="1" s="1"/>
  <c r="M386" i="3"/>
  <c r="BA376" i="1" s="1"/>
  <c r="L386" i="3"/>
  <c r="AZ376" i="1" s="1"/>
  <c r="K386" i="3"/>
  <c r="AY376" i="1" s="1"/>
  <c r="K385" i="3"/>
  <c r="AY375" i="1" s="1"/>
  <c r="N385" i="3"/>
  <c r="BB375" i="1" s="1"/>
  <c r="M385" i="3"/>
  <c r="BA375" i="1" s="1"/>
  <c r="L385" i="3"/>
  <c r="AZ375" i="1" s="1"/>
  <c r="O385" i="3"/>
  <c r="BC375" i="1" s="1"/>
  <c r="O384" i="3"/>
  <c r="BC374" i="1" s="1"/>
  <c r="N384" i="3"/>
  <c r="BB374" i="1" s="1"/>
  <c r="M384" i="3"/>
  <c r="BA374" i="1" s="1"/>
  <c r="L384" i="3"/>
  <c r="AZ374" i="1" s="1"/>
  <c r="K384" i="3"/>
  <c r="AY374" i="1" s="1"/>
  <c r="O383" i="3"/>
  <c r="BC373" i="1" s="1"/>
  <c r="N383" i="3"/>
  <c r="BB373" i="1" s="1"/>
  <c r="M383" i="3"/>
  <c r="BA373" i="1" s="1"/>
  <c r="L383" i="3"/>
  <c r="AZ373" i="1" s="1"/>
  <c r="K383" i="3"/>
  <c r="AY373" i="1" s="1"/>
  <c r="O382" i="3"/>
  <c r="BC372" i="1" s="1"/>
  <c r="N382" i="3"/>
  <c r="BB372" i="1" s="1"/>
  <c r="M382" i="3"/>
  <c r="BA372" i="1" s="1"/>
  <c r="L382" i="3"/>
  <c r="AZ372" i="1" s="1"/>
  <c r="K382" i="3"/>
  <c r="AY372" i="1" s="1"/>
  <c r="K381" i="3"/>
  <c r="AY371" i="1" s="1"/>
  <c r="N381" i="3"/>
  <c r="BB371" i="1" s="1"/>
  <c r="M381" i="3"/>
  <c r="BA371" i="1" s="1"/>
  <c r="L381" i="3"/>
  <c r="AZ371" i="1" s="1"/>
  <c r="O381" i="3"/>
  <c r="BC371" i="1" s="1"/>
  <c r="O380" i="3"/>
  <c r="BC370" i="1" s="1"/>
  <c r="N380" i="3"/>
  <c r="BB370" i="1" s="1"/>
  <c r="M380" i="3"/>
  <c r="BA370" i="1" s="1"/>
  <c r="L380" i="3"/>
  <c r="AZ370" i="1" s="1"/>
  <c r="K380" i="3"/>
  <c r="AY370" i="1" s="1"/>
  <c r="O379" i="3"/>
  <c r="BC369" i="1" s="1"/>
  <c r="N379" i="3"/>
  <c r="BB369" i="1" s="1"/>
  <c r="M379" i="3"/>
  <c r="BA369" i="1" s="1"/>
  <c r="L379" i="3"/>
  <c r="AZ369" i="1" s="1"/>
  <c r="K379" i="3"/>
  <c r="AY369" i="1" s="1"/>
  <c r="O378" i="3"/>
  <c r="BC368" i="1" s="1"/>
  <c r="N378" i="3"/>
  <c r="BB368" i="1" s="1"/>
  <c r="M378" i="3"/>
  <c r="BA368" i="1" s="1"/>
  <c r="L378" i="3"/>
  <c r="AZ368" i="1" s="1"/>
  <c r="K378" i="3"/>
  <c r="AY368" i="1" s="1"/>
  <c r="O377" i="3"/>
  <c r="BC367" i="1" s="1"/>
  <c r="N377" i="3"/>
  <c r="BB367" i="1" s="1"/>
  <c r="M377" i="3"/>
  <c r="BA367" i="1" s="1"/>
  <c r="L377" i="3"/>
  <c r="AZ367" i="1" s="1"/>
  <c r="K377" i="3"/>
  <c r="AY367" i="1" s="1"/>
  <c r="O376" i="3"/>
  <c r="BC366" i="1" s="1"/>
  <c r="N376" i="3"/>
  <c r="BB366" i="1" s="1"/>
  <c r="M376" i="3"/>
  <c r="BA366" i="1" s="1"/>
  <c r="L376" i="3"/>
  <c r="AZ366" i="1" s="1"/>
  <c r="K376" i="3"/>
  <c r="AY366" i="1" s="1"/>
  <c r="O375" i="3"/>
  <c r="BC365" i="1" s="1"/>
  <c r="N375" i="3"/>
  <c r="BB365" i="1" s="1"/>
  <c r="M375" i="3"/>
  <c r="BA365" i="1" s="1"/>
  <c r="L375" i="3"/>
  <c r="AZ365" i="1" s="1"/>
  <c r="K375" i="3"/>
  <c r="AY365" i="1" s="1"/>
  <c r="O374" i="3"/>
  <c r="BC364" i="1" s="1"/>
  <c r="N374" i="3"/>
  <c r="BB364" i="1" s="1"/>
  <c r="M374" i="3"/>
  <c r="BA364" i="1" s="1"/>
  <c r="L374" i="3"/>
  <c r="AZ364" i="1" s="1"/>
  <c r="K374" i="3"/>
  <c r="AY364" i="1" s="1"/>
  <c r="O373" i="3"/>
  <c r="BC363" i="1" s="1"/>
  <c r="N373" i="3"/>
  <c r="BB363" i="1" s="1"/>
  <c r="M373" i="3"/>
  <c r="BA363" i="1" s="1"/>
  <c r="L373" i="3"/>
  <c r="AZ363" i="1" s="1"/>
  <c r="K373" i="3"/>
  <c r="AY363" i="1" s="1"/>
  <c r="O372" i="3"/>
  <c r="BC362" i="1" s="1"/>
  <c r="N372" i="3"/>
  <c r="BB362" i="1" s="1"/>
  <c r="M372" i="3"/>
  <c r="BA362" i="1" s="1"/>
  <c r="L372" i="3"/>
  <c r="AZ362" i="1" s="1"/>
  <c r="K372" i="3"/>
  <c r="AY362" i="1" s="1"/>
  <c r="O371" i="3"/>
  <c r="BC361" i="1" s="1"/>
  <c r="N371" i="3"/>
  <c r="BB361" i="1" s="1"/>
  <c r="M371" i="3"/>
  <c r="BA361" i="1" s="1"/>
  <c r="L371" i="3"/>
  <c r="AZ361" i="1" s="1"/>
  <c r="K371" i="3"/>
  <c r="AY361" i="1" s="1"/>
  <c r="O370" i="3"/>
  <c r="BC360" i="1" s="1"/>
  <c r="N370" i="3"/>
  <c r="BB360" i="1" s="1"/>
  <c r="M370" i="3"/>
  <c r="BA360" i="1" s="1"/>
  <c r="L370" i="3"/>
  <c r="AZ360" i="1" s="1"/>
  <c r="K370" i="3"/>
  <c r="AY360" i="1" s="1"/>
  <c r="O369" i="3"/>
  <c r="BC359" i="1" s="1"/>
  <c r="N369" i="3"/>
  <c r="BB359" i="1" s="1"/>
  <c r="M369" i="3"/>
  <c r="BA359" i="1" s="1"/>
  <c r="L369" i="3"/>
  <c r="AZ359" i="1" s="1"/>
  <c r="K369" i="3"/>
  <c r="AY359" i="1" s="1"/>
  <c r="O368" i="3"/>
  <c r="BC358" i="1" s="1"/>
  <c r="N368" i="3"/>
  <c r="BB358" i="1" s="1"/>
  <c r="M368" i="3"/>
  <c r="BA358" i="1" s="1"/>
  <c r="L368" i="3"/>
  <c r="AZ358" i="1" s="1"/>
  <c r="K368" i="3"/>
  <c r="AY358" i="1" s="1"/>
  <c r="O367" i="3"/>
  <c r="BC357" i="1" s="1"/>
  <c r="N367" i="3"/>
  <c r="BB357" i="1" s="1"/>
  <c r="M367" i="3"/>
  <c r="BA357" i="1" s="1"/>
  <c r="L367" i="3"/>
  <c r="AZ357" i="1" s="1"/>
  <c r="K367" i="3"/>
  <c r="AY357" i="1" s="1"/>
  <c r="O366" i="3"/>
  <c r="BC356" i="1" s="1"/>
  <c r="N366" i="3"/>
  <c r="BB356" i="1" s="1"/>
  <c r="M366" i="3"/>
  <c r="BA356" i="1" s="1"/>
  <c r="L366" i="3"/>
  <c r="AZ356" i="1" s="1"/>
  <c r="K366" i="3"/>
  <c r="AY356" i="1" s="1"/>
  <c r="O365" i="3"/>
  <c r="BC355" i="1" s="1"/>
  <c r="N365" i="3"/>
  <c r="BB355" i="1" s="1"/>
  <c r="M365" i="3"/>
  <c r="BA355" i="1" s="1"/>
  <c r="L365" i="3"/>
  <c r="AZ355" i="1" s="1"/>
  <c r="K365" i="3"/>
  <c r="AY355" i="1" s="1"/>
  <c r="O364" i="3"/>
  <c r="BC354" i="1" s="1"/>
  <c r="N364" i="3"/>
  <c r="BB354" i="1" s="1"/>
  <c r="M364" i="3"/>
  <c r="BA354" i="1" s="1"/>
  <c r="L364" i="3"/>
  <c r="AZ354" i="1" s="1"/>
  <c r="K364" i="3"/>
  <c r="AY354" i="1" s="1"/>
  <c r="O363" i="3"/>
  <c r="BC353" i="1" s="1"/>
  <c r="N363" i="3"/>
  <c r="BB353" i="1" s="1"/>
  <c r="M363" i="3"/>
  <c r="BA353" i="1" s="1"/>
  <c r="L363" i="3"/>
  <c r="AZ353" i="1" s="1"/>
  <c r="K363" i="3"/>
  <c r="AY353" i="1" s="1"/>
  <c r="O362" i="3"/>
  <c r="BC352" i="1" s="1"/>
  <c r="N362" i="3"/>
  <c r="BB352" i="1" s="1"/>
  <c r="M362" i="3"/>
  <c r="BA352" i="1" s="1"/>
  <c r="L362" i="3"/>
  <c r="AZ352" i="1" s="1"/>
  <c r="K362" i="3"/>
  <c r="AY352" i="1" s="1"/>
  <c r="O361" i="3"/>
  <c r="BC351" i="1" s="1"/>
  <c r="N361" i="3"/>
  <c r="BB351" i="1" s="1"/>
  <c r="M361" i="3"/>
  <c r="BA351" i="1" s="1"/>
  <c r="L361" i="3"/>
  <c r="AZ351" i="1" s="1"/>
  <c r="K361" i="3"/>
  <c r="AY351" i="1" s="1"/>
  <c r="O360" i="3"/>
  <c r="BC350" i="1" s="1"/>
  <c r="N360" i="3"/>
  <c r="BB350" i="1" s="1"/>
  <c r="M360" i="3"/>
  <c r="BA350" i="1" s="1"/>
  <c r="L360" i="3"/>
  <c r="AZ350" i="1" s="1"/>
  <c r="K360" i="3"/>
  <c r="AY350" i="1" s="1"/>
  <c r="O359" i="3"/>
  <c r="BC349" i="1" s="1"/>
  <c r="N359" i="3"/>
  <c r="BB349" i="1" s="1"/>
  <c r="M359" i="3"/>
  <c r="BA349" i="1" s="1"/>
  <c r="L359" i="3"/>
  <c r="AZ349" i="1" s="1"/>
  <c r="K359" i="3"/>
  <c r="AY349" i="1" s="1"/>
  <c r="O358" i="3"/>
  <c r="BC348" i="1" s="1"/>
  <c r="N358" i="3"/>
  <c r="BB348" i="1" s="1"/>
  <c r="M358" i="3"/>
  <c r="BA348" i="1" s="1"/>
  <c r="L358" i="3"/>
  <c r="AZ348" i="1" s="1"/>
  <c r="K358" i="3"/>
  <c r="AY348" i="1" s="1"/>
  <c r="O357" i="3"/>
  <c r="BC347" i="1" s="1"/>
  <c r="N357" i="3"/>
  <c r="BB347" i="1" s="1"/>
  <c r="M357" i="3"/>
  <c r="BA347" i="1" s="1"/>
  <c r="L357" i="3"/>
  <c r="AZ347" i="1" s="1"/>
  <c r="K357" i="3"/>
  <c r="AY347" i="1" s="1"/>
  <c r="O356" i="3"/>
  <c r="BC346" i="1" s="1"/>
  <c r="N356" i="3"/>
  <c r="BB346" i="1" s="1"/>
  <c r="M356" i="3"/>
  <c r="BA346" i="1" s="1"/>
  <c r="L356" i="3"/>
  <c r="AZ346" i="1" s="1"/>
  <c r="K356" i="3"/>
  <c r="AY346" i="1" s="1"/>
  <c r="L355" i="3"/>
  <c r="AZ345" i="1" s="1"/>
  <c r="N355" i="3"/>
  <c r="BB345" i="1" s="1"/>
  <c r="M355" i="3"/>
  <c r="BA345" i="1" s="1"/>
  <c r="O355" i="3"/>
  <c r="BC345" i="1" s="1"/>
  <c r="K355" i="3"/>
  <c r="AY345" i="1" s="1"/>
  <c r="O354" i="3"/>
  <c r="BC344" i="1" s="1"/>
  <c r="N354" i="3"/>
  <c r="BB344" i="1" s="1"/>
  <c r="M354" i="3"/>
  <c r="BA344" i="1" s="1"/>
  <c r="L354" i="3"/>
  <c r="AZ344" i="1" s="1"/>
  <c r="K354" i="3"/>
  <c r="AY344" i="1" s="1"/>
  <c r="O353" i="3"/>
  <c r="BC343" i="1" s="1"/>
  <c r="N353" i="3"/>
  <c r="BB343" i="1" s="1"/>
  <c r="M353" i="3"/>
  <c r="BA343" i="1" s="1"/>
  <c r="L353" i="3"/>
  <c r="AZ343" i="1" s="1"/>
  <c r="K353" i="3"/>
  <c r="AY343" i="1" s="1"/>
  <c r="O352" i="3"/>
  <c r="BC342" i="1" s="1"/>
  <c r="N352" i="3"/>
  <c r="BB342" i="1" s="1"/>
  <c r="M352" i="3"/>
  <c r="BA342" i="1" s="1"/>
  <c r="L352" i="3"/>
  <c r="AZ342" i="1" s="1"/>
  <c r="K352" i="3"/>
  <c r="AY342" i="1" s="1"/>
  <c r="O351" i="3"/>
  <c r="BC341" i="1" s="1"/>
  <c r="N351" i="3"/>
  <c r="BB341" i="1" s="1"/>
  <c r="M351" i="3"/>
  <c r="BA341" i="1" s="1"/>
  <c r="L351" i="3"/>
  <c r="AZ341" i="1" s="1"/>
  <c r="K351" i="3"/>
  <c r="AY341" i="1" s="1"/>
  <c r="O350" i="3"/>
  <c r="BC340" i="1" s="1"/>
  <c r="N350" i="3"/>
  <c r="BB340" i="1" s="1"/>
  <c r="M350" i="3"/>
  <c r="BA340" i="1" s="1"/>
  <c r="L350" i="3"/>
  <c r="AZ340" i="1" s="1"/>
  <c r="K350" i="3"/>
  <c r="AY340" i="1" s="1"/>
  <c r="L349" i="3"/>
  <c r="AZ339" i="1" s="1"/>
  <c r="N349" i="3"/>
  <c r="BB339" i="1" s="1"/>
  <c r="M349" i="3"/>
  <c r="BA339" i="1" s="1"/>
  <c r="O349" i="3"/>
  <c r="BC339" i="1" s="1"/>
  <c r="K349" i="3"/>
  <c r="AY339" i="1" s="1"/>
  <c r="O348" i="3"/>
  <c r="BC338" i="1" s="1"/>
  <c r="N348" i="3"/>
  <c r="BB338" i="1" s="1"/>
  <c r="M348" i="3"/>
  <c r="BA338" i="1" s="1"/>
  <c r="L348" i="3"/>
  <c r="AZ338" i="1" s="1"/>
  <c r="K348" i="3"/>
  <c r="AY338" i="1" s="1"/>
  <c r="O347" i="3"/>
  <c r="BC337" i="1" s="1"/>
  <c r="N347" i="3"/>
  <c r="BB337" i="1" s="1"/>
  <c r="M347" i="3"/>
  <c r="BA337" i="1" s="1"/>
  <c r="L347" i="3"/>
  <c r="AZ337" i="1" s="1"/>
  <c r="K347" i="3"/>
  <c r="AY337" i="1" s="1"/>
  <c r="L346" i="3"/>
  <c r="AZ336" i="1" s="1"/>
  <c r="N346" i="3"/>
  <c r="BB336" i="1" s="1"/>
  <c r="M346" i="3"/>
  <c r="BA336" i="1" s="1"/>
  <c r="O346" i="3"/>
  <c r="BC336" i="1" s="1"/>
  <c r="K346" i="3"/>
  <c r="AY336" i="1" s="1"/>
  <c r="O345" i="3"/>
  <c r="BC335" i="1" s="1"/>
  <c r="N345" i="3"/>
  <c r="BB335" i="1" s="1"/>
  <c r="M345" i="3"/>
  <c r="BA335" i="1" s="1"/>
  <c r="L345" i="3"/>
  <c r="AZ335" i="1" s="1"/>
  <c r="K345" i="3"/>
  <c r="AY335" i="1" s="1"/>
  <c r="O344" i="3"/>
  <c r="BC334" i="1" s="1"/>
  <c r="N344" i="3"/>
  <c r="BB334" i="1" s="1"/>
  <c r="M344" i="3"/>
  <c r="BA334" i="1" s="1"/>
  <c r="L344" i="3"/>
  <c r="AZ334" i="1" s="1"/>
  <c r="K344" i="3"/>
  <c r="AY334" i="1" s="1"/>
  <c r="O343" i="3"/>
  <c r="BC333" i="1" s="1"/>
  <c r="N343" i="3"/>
  <c r="BB333" i="1" s="1"/>
  <c r="M343" i="3"/>
  <c r="BA333" i="1" s="1"/>
  <c r="L343" i="3"/>
  <c r="AZ333" i="1" s="1"/>
  <c r="K343" i="3"/>
  <c r="AY333" i="1" s="1"/>
  <c r="O342" i="3"/>
  <c r="BC332" i="1" s="1"/>
  <c r="N342" i="3"/>
  <c r="BB332" i="1" s="1"/>
  <c r="M342" i="3"/>
  <c r="BA332" i="1" s="1"/>
  <c r="L342" i="3"/>
  <c r="AZ332" i="1" s="1"/>
  <c r="K342" i="3"/>
  <c r="AY332" i="1" s="1"/>
  <c r="O341" i="3"/>
  <c r="BC331" i="1" s="1"/>
  <c r="N341" i="3"/>
  <c r="BB331" i="1" s="1"/>
  <c r="M341" i="3"/>
  <c r="BA331" i="1" s="1"/>
  <c r="L341" i="3"/>
  <c r="AZ331" i="1" s="1"/>
  <c r="K341" i="3"/>
  <c r="AY331" i="1" s="1"/>
  <c r="O340" i="3"/>
  <c r="BC330" i="1" s="1"/>
  <c r="N340" i="3"/>
  <c r="BB330" i="1" s="1"/>
  <c r="M340" i="3"/>
  <c r="BA330" i="1" s="1"/>
  <c r="L340" i="3"/>
  <c r="AZ330" i="1" s="1"/>
  <c r="K340" i="3"/>
  <c r="AY330" i="1" s="1"/>
  <c r="O339" i="3"/>
  <c r="BC329" i="1" s="1"/>
  <c r="N339" i="3"/>
  <c r="BB329" i="1" s="1"/>
  <c r="M339" i="3"/>
  <c r="BA329" i="1" s="1"/>
  <c r="L339" i="3"/>
  <c r="AZ329" i="1" s="1"/>
  <c r="K339" i="3"/>
  <c r="AY329" i="1" s="1"/>
  <c r="O338" i="3"/>
  <c r="BC328" i="1" s="1"/>
  <c r="N338" i="3"/>
  <c r="BB328" i="1" s="1"/>
  <c r="M338" i="3"/>
  <c r="BA328" i="1" s="1"/>
  <c r="L338" i="3"/>
  <c r="AZ328" i="1" s="1"/>
  <c r="K338" i="3"/>
  <c r="AY328" i="1" s="1"/>
  <c r="O337" i="3"/>
  <c r="BC327" i="1" s="1"/>
  <c r="N337" i="3"/>
  <c r="BB327" i="1" s="1"/>
  <c r="M337" i="3"/>
  <c r="BA327" i="1" s="1"/>
  <c r="L337" i="3"/>
  <c r="AZ327" i="1" s="1"/>
  <c r="K337" i="3"/>
  <c r="AY327" i="1" s="1"/>
  <c r="M336" i="3"/>
  <c r="BA326" i="1" s="1"/>
  <c r="N336" i="3"/>
  <c r="BB326" i="1" s="1"/>
  <c r="O336" i="3"/>
  <c r="BC326" i="1" s="1"/>
  <c r="L336" i="3"/>
  <c r="AZ326" i="1" s="1"/>
  <c r="K336" i="3"/>
  <c r="AY326" i="1" s="1"/>
  <c r="O335" i="3"/>
  <c r="BC325" i="1" s="1"/>
  <c r="N335" i="3"/>
  <c r="BB325" i="1" s="1"/>
  <c r="M335" i="3"/>
  <c r="BA325" i="1" s="1"/>
  <c r="L335" i="3"/>
  <c r="AZ325" i="1" s="1"/>
  <c r="K335" i="3"/>
  <c r="AY325" i="1" s="1"/>
  <c r="O334" i="3"/>
  <c r="BC324" i="1" s="1"/>
  <c r="N334" i="3"/>
  <c r="BB324" i="1" s="1"/>
  <c r="M334" i="3"/>
  <c r="BA324" i="1" s="1"/>
  <c r="L334" i="3"/>
  <c r="AZ324" i="1" s="1"/>
  <c r="K334" i="3"/>
  <c r="AY324" i="1" s="1"/>
  <c r="L333" i="3"/>
  <c r="AZ323" i="1" s="1"/>
  <c r="N333" i="3"/>
  <c r="BB323" i="1" s="1"/>
  <c r="M333" i="3"/>
  <c r="BA323" i="1" s="1"/>
  <c r="O333" i="3"/>
  <c r="BC323" i="1" s="1"/>
  <c r="K333" i="3"/>
  <c r="AY323" i="1" s="1"/>
  <c r="O332" i="3"/>
  <c r="BC322" i="1" s="1"/>
  <c r="N332" i="3"/>
  <c r="BB322" i="1" s="1"/>
  <c r="M332" i="3"/>
  <c r="BA322" i="1" s="1"/>
  <c r="L332" i="3"/>
  <c r="AZ322" i="1" s="1"/>
  <c r="K332" i="3"/>
  <c r="AY322" i="1" s="1"/>
  <c r="O331" i="3"/>
  <c r="BC321" i="1" s="1"/>
  <c r="N331" i="3"/>
  <c r="BB321" i="1" s="1"/>
  <c r="M331" i="3"/>
  <c r="BA321" i="1" s="1"/>
  <c r="L331" i="3"/>
  <c r="AZ321" i="1" s="1"/>
  <c r="K331" i="3"/>
  <c r="AY321" i="1" s="1"/>
  <c r="O330" i="3"/>
  <c r="BC320" i="1" s="1"/>
  <c r="N330" i="3"/>
  <c r="BB320" i="1" s="1"/>
  <c r="M330" i="3"/>
  <c r="BA320" i="1" s="1"/>
  <c r="L330" i="3"/>
  <c r="AZ320" i="1" s="1"/>
  <c r="K330" i="3"/>
  <c r="AY320" i="1" s="1"/>
  <c r="O329" i="3"/>
  <c r="BC319" i="1" s="1"/>
  <c r="N329" i="3"/>
  <c r="BB319" i="1" s="1"/>
  <c r="M329" i="3"/>
  <c r="BA319" i="1" s="1"/>
  <c r="L329" i="3"/>
  <c r="AZ319" i="1" s="1"/>
  <c r="K329" i="3"/>
  <c r="AY319" i="1" s="1"/>
  <c r="O328" i="3"/>
  <c r="BC318" i="1" s="1"/>
  <c r="N328" i="3"/>
  <c r="BB318" i="1" s="1"/>
  <c r="M328" i="3"/>
  <c r="BA318" i="1" s="1"/>
  <c r="L328" i="3"/>
  <c r="AZ318" i="1" s="1"/>
  <c r="K328" i="3"/>
  <c r="AY318" i="1" s="1"/>
  <c r="O327" i="3"/>
  <c r="BC317" i="1" s="1"/>
  <c r="N327" i="3"/>
  <c r="BB317" i="1" s="1"/>
  <c r="M327" i="3"/>
  <c r="BA317" i="1" s="1"/>
  <c r="L327" i="3"/>
  <c r="AZ317" i="1" s="1"/>
  <c r="K327" i="3"/>
  <c r="AY317" i="1" s="1"/>
  <c r="O326" i="3"/>
  <c r="BC316" i="1" s="1"/>
  <c r="N326" i="3"/>
  <c r="BB316" i="1" s="1"/>
  <c r="M326" i="3"/>
  <c r="BA316" i="1" s="1"/>
  <c r="L326" i="3"/>
  <c r="AZ316" i="1" s="1"/>
  <c r="K326" i="3"/>
  <c r="AY316" i="1" s="1"/>
  <c r="O325" i="3"/>
  <c r="BC315" i="1" s="1"/>
  <c r="N325" i="3"/>
  <c r="BB315" i="1" s="1"/>
  <c r="M325" i="3"/>
  <c r="BA315" i="1" s="1"/>
  <c r="L325" i="3"/>
  <c r="AZ315" i="1" s="1"/>
  <c r="K325" i="3"/>
  <c r="AY315" i="1" s="1"/>
  <c r="O324" i="3"/>
  <c r="BC314" i="1" s="1"/>
  <c r="N324" i="3"/>
  <c r="BB314" i="1" s="1"/>
  <c r="M324" i="3"/>
  <c r="BA314" i="1" s="1"/>
  <c r="L324" i="3"/>
  <c r="AZ314" i="1" s="1"/>
  <c r="K324" i="3"/>
  <c r="AY314" i="1" s="1"/>
  <c r="O323" i="3"/>
  <c r="BC313" i="1" s="1"/>
  <c r="N323" i="3"/>
  <c r="BB313" i="1" s="1"/>
  <c r="M323" i="3"/>
  <c r="BA313" i="1" s="1"/>
  <c r="L323" i="3"/>
  <c r="AZ313" i="1" s="1"/>
  <c r="K323" i="3"/>
  <c r="AY313" i="1" s="1"/>
  <c r="O322" i="3"/>
  <c r="BC312" i="1" s="1"/>
  <c r="N322" i="3"/>
  <c r="BB312" i="1" s="1"/>
  <c r="M322" i="3"/>
  <c r="BA312" i="1" s="1"/>
  <c r="L322" i="3"/>
  <c r="AZ312" i="1" s="1"/>
  <c r="K322" i="3"/>
  <c r="AY312" i="1" s="1"/>
  <c r="O321" i="3"/>
  <c r="BC311" i="1" s="1"/>
  <c r="N321" i="3"/>
  <c r="BB311" i="1" s="1"/>
  <c r="M321" i="3"/>
  <c r="BA311" i="1" s="1"/>
  <c r="L321" i="3"/>
  <c r="AZ311" i="1" s="1"/>
  <c r="K321" i="3"/>
  <c r="AY311" i="1" s="1"/>
  <c r="O320" i="3"/>
  <c r="BC310" i="1" s="1"/>
  <c r="N320" i="3"/>
  <c r="BB310" i="1" s="1"/>
  <c r="M320" i="3"/>
  <c r="BA310" i="1" s="1"/>
  <c r="L320" i="3"/>
  <c r="AZ310" i="1" s="1"/>
  <c r="K320" i="3"/>
  <c r="AY310" i="1" s="1"/>
  <c r="O319" i="3"/>
  <c r="BC309" i="1" s="1"/>
  <c r="N319" i="3"/>
  <c r="BB309" i="1" s="1"/>
  <c r="M319" i="3"/>
  <c r="BA309" i="1" s="1"/>
  <c r="L319" i="3"/>
  <c r="AZ309" i="1" s="1"/>
  <c r="K319" i="3"/>
  <c r="AY309" i="1" s="1"/>
  <c r="O318" i="3"/>
  <c r="BC308" i="1" s="1"/>
  <c r="N318" i="3"/>
  <c r="BB308" i="1" s="1"/>
  <c r="M318" i="3"/>
  <c r="BA308" i="1" s="1"/>
  <c r="L318" i="3"/>
  <c r="AZ308" i="1" s="1"/>
  <c r="K318" i="3"/>
  <c r="AY308" i="1" s="1"/>
  <c r="O317" i="3"/>
  <c r="BC307" i="1" s="1"/>
  <c r="N317" i="3"/>
  <c r="BB307" i="1" s="1"/>
  <c r="M317" i="3"/>
  <c r="BA307" i="1" s="1"/>
  <c r="L317" i="3"/>
  <c r="AZ307" i="1" s="1"/>
  <c r="K317" i="3"/>
  <c r="AY307" i="1" s="1"/>
  <c r="O316" i="3"/>
  <c r="BC306" i="1" s="1"/>
  <c r="N316" i="3"/>
  <c r="BB306" i="1" s="1"/>
  <c r="M316" i="3"/>
  <c r="BA306" i="1" s="1"/>
  <c r="L316" i="3"/>
  <c r="AZ306" i="1" s="1"/>
  <c r="K316" i="3"/>
  <c r="AY306" i="1" s="1"/>
  <c r="O315" i="3"/>
  <c r="BC305" i="1" s="1"/>
  <c r="N315" i="3"/>
  <c r="BB305" i="1" s="1"/>
  <c r="M315" i="3"/>
  <c r="BA305" i="1" s="1"/>
  <c r="L315" i="3"/>
  <c r="AZ305" i="1" s="1"/>
  <c r="K315" i="3"/>
  <c r="AY305" i="1" s="1"/>
  <c r="O314" i="3"/>
  <c r="BC304" i="1" s="1"/>
  <c r="N314" i="3"/>
  <c r="BB304" i="1" s="1"/>
  <c r="M314" i="3"/>
  <c r="BA304" i="1" s="1"/>
  <c r="L314" i="3"/>
  <c r="AZ304" i="1" s="1"/>
  <c r="K314" i="3"/>
  <c r="AY304" i="1" s="1"/>
  <c r="O313" i="3"/>
  <c r="BC303" i="1" s="1"/>
  <c r="N313" i="3"/>
  <c r="BB303" i="1" s="1"/>
  <c r="M313" i="3"/>
  <c r="BA303" i="1" s="1"/>
  <c r="L313" i="3"/>
  <c r="AZ303" i="1" s="1"/>
  <c r="K313" i="3"/>
  <c r="AY303" i="1" s="1"/>
  <c r="O312" i="3"/>
  <c r="BC302" i="1" s="1"/>
  <c r="N312" i="3"/>
  <c r="BB302" i="1" s="1"/>
  <c r="M312" i="3"/>
  <c r="BA302" i="1" s="1"/>
  <c r="L312" i="3"/>
  <c r="AZ302" i="1" s="1"/>
  <c r="K312" i="3"/>
  <c r="AY302" i="1" s="1"/>
  <c r="O311" i="3"/>
  <c r="BC301" i="1" s="1"/>
  <c r="N311" i="3"/>
  <c r="BB301" i="1" s="1"/>
  <c r="M311" i="3"/>
  <c r="BA301" i="1" s="1"/>
  <c r="L311" i="3"/>
  <c r="AZ301" i="1" s="1"/>
  <c r="K311" i="3"/>
  <c r="AY301" i="1" s="1"/>
  <c r="O310" i="3"/>
  <c r="BC300" i="1" s="1"/>
  <c r="N310" i="3"/>
  <c r="BB300" i="1" s="1"/>
  <c r="M310" i="3"/>
  <c r="BA300" i="1" s="1"/>
  <c r="L310" i="3"/>
  <c r="AZ300" i="1" s="1"/>
  <c r="K310" i="3"/>
  <c r="AY300" i="1" s="1"/>
  <c r="O309" i="3"/>
  <c r="BC299" i="1" s="1"/>
  <c r="N309" i="3"/>
  <c r="BB299" i="1" s="1"/>
  <c r="M309" i="3"/>
  <c r="BA299" i="1" s="1"/>
  <c r="L309" i="3"/>
  <c r="AZ299" i="1" s="1"/>
  <c r="K309" i="3"/>
  <c r="AY299" i="1" s="1"/>
  <c r="O308" i="3"/>
  <c r="BC298" i="1" s="1"/>
  <c r="N308" i="3"/>
  <c r="BB298" i="1" s="1"/>
  <c r="M308" i="3"/>
  <c r="BA298" i="1" s="1"/>
  <c r="L308" i="3"/>
  <c r="AZ298" i="1" s="1"/>
  <c r="K308" i="3"/>
  <c r="AY298" i="1" s="1"/>
  <c r="O307" i="3"/>
  <c r="BC297" i="1" s="1"/>
  <c r="N307" i="3"/>
  <c r="BB297" i="1" s="1"/>
  <c r="M307" i="3"/>
  <c r="BA297" i="1" s="1"/>
  <c r="L307" i="3"/>
  <c r="AZ297" i="1" s="1"/>
  <c r="K307" i="3"/>
  <c r="AY297" i="1" s="1"/>
  <c r="O306" i="3"/>
  <c r="BC296" i="1" s="1"/>
  <c r="N306" i="3"/>
  <c r="BB296" i="1" s="1"/>
  <c r="M306" i="3"/>
  <c r="BA296" i="1" s="1"/>
  <c r="L306" i="3"/>
  <c r="AZ296" i="1" s="1"/>
  <c r="K306" i="3"/>
  <c r="AY296" i="1" s="1"/>
  <c r="O305" i="3"/>
  <c r="BC295" i="1" s="1"/>
  <c r="N305" i="3"/>
  <c r="BB295" i="1" s="1"/>
  <c r="M305" i="3"/>
  <c r="BA295" i="1" s="1"/>
  <c r="L305" i="3"/>
  <c r="AZ295" i="1" s="1"/>
  <c r="K305" i="3"/>
  <c r="AY295" i="1" s="1"/>
  <c r="O304" i="3"/>
  <c r="BC294" i="1" s="1"/>
  <c r="N304" i="3"/>
  <c r="BB294" i="1" s="1"/>
  <c r="M304" i="3"/>
  <c r="BA294" i="1" s="1"/>
  <c r="L304" i="3"/>
  <c r="AZ294" i="1" s="1"/>
  <c r="K304" i="3"/>
  <c r="AY294" i="1" s="1"/>
  <c r="N303" i="3"/>
  <c r="BB293" i="1" s="1"/>
  <c r="L303" i="3"/>
  <c r="AZ293" i="1" s="1"/>
  <c r="O303" i="3"/>
  <c r="BC293" i="1" s="1"/>
  <c r="M303" i="3"/>
  <c r="BA293" i="1" s="1"/>
  <c r="K303" i="3"/>
  <c r="AY293" i="1" s="1"/>
  <c r="N302" i="3"/>
  <c r="BB292" i="1" s="1"/>
  <c r="K302" i="3"/>
  <c r="AY292" i="1" s="1"/>
  <c r="O302" i="3"/>
  <c r="BC292" i="1" s="1"/>
  <c r="L302" i="3"/>
  <c r="AZ292" i="1" s="1"/>
  <c r="M302" i="3"/>
  <c r="BA292" i="1" s="1"/>
  <c r="K301" i="3"/>
  <c r="AY291" i="1" s="1"/>
  <c r="M301" i="3"/>
  <c r="BA291" i="1" s="1"/>
  <c r="L301" i="3"/>
  <c r="AZ291" i="1" s="1"/>
  <c r="N301" i="3"/>
  <c r="BB291" i="1" s="1"/>
  <c r="O301" i="3"/>
  <c r="BC291" i="1" s="1"/>
  <c r="O300" i="3"/>
  <c r="BC290" i="1" s="1"/>
  <c r="N300" i="3"/>
  <c r="BB290" i="1" s="1"/>
  <c r="M300" i="3"/>
  <c r="BA290" i="1" s="1"/>
  <c r="L300" i="3"/>
  <c r="AZ290" i="1" s="1"/>
  <c r="K300" i="3"/>
  <c r="AY290" i="1" s="1"/>
  <c r="L299" i="3"/>
  <c r="AZ289" i="1" s="1"/>
  <c r="N299" i="3"/>
  <c r="BB289" i="1" s="1"/>
  <c r="M299" i="3"/>
  <c r="BA289" i="1" s="1"/>
  <c r="K299" i="3"/>
  <c r="AY289" i="1" s="1"/>
  <c r="O299" i="3"/>
  <c r="BC289" i="1" s="1"/>
  <c r="L298" i="3"/>
  <c r="AZ288" i="1" s="1"/>
  <c r="N298" i="3"/>
  <c r="BB288" i="1" s="1"/>
  <c r="O298" i="3"/>
  <c r="BC288" i="1" s="1"/>
  <c r="K298" i="3"/>
  <c r="AY288" i="1" s="1"/>
  <c r="M298" i="3"/>
  <c r="BA288" i="1" s="1"/>
  <c r="K297" i="3"/>
  <c r="AY287" i="1" s="1"/>
  <c r="L297" i="3"/>
  <c r="AZ287" i="1" s="1"/>
  <c r="M297" i="3"/>
  <c r="BA287" i="1" s="1"/>
  <c r="O297" i="3"/>
  <c r="BC287" i="1" s="1"/>
  <c r="N297" i="3"/>
  <c r="BB287" i="1" s="1"/>
  <c r="O296" i="3"/>
  <c r="BC286" i="1" s="1"/>
  <c r="N296" i="3"/>
  <c r="BB286" i="1" s="1"/>
  <c r="M296" i="3"/>
  <c r="BA286" i="1" s="1"/>
  <c r="L296" i="3"/>
  <c r="AZ286" i="1" s="1"/>
  <c r="K296" i="3"/>
  <c r="AY286" i="1" s="1"/>
  <c r="M295" i="3"/>
  <c r="BA285" i="1" s="1"/>
  <c r="L295" i="3"/>
  <c r="AZ285" i="1" s="1"/>
  <c r="K295" i="3"/>
  <c r="AY285" i="1" s="1"/>
  <c r="O295" i="3"/>
  <c r="BC285" i="1" s="1"/>
  <c r="N295" i="3"/>
  <c r="BB285" i="1" s="1"/>
  <c r="M294" i="3"/>
  <c r="BA284" i="1" s="1"/>
  <c r="N294" i="3"/>
  <c r="BB284" i="1" s="1"/>
  <c r="L294" i="3"/>
  <c r="AZ284" i="1" s="1"/>
  <c r="K294" i="3"/>
  <c r="AY284" i="1" s="1"/>
  <c r="O294" i="3"/>
  <c r="BC284" i="1" s="1"/>
  <c r="K293" i="3"/>
  <c r="AY283" i="1" s="1"/>
  <c r="L293" i="3"/>
  <c r="AZ283" i="1" s="1"/>
  <c r="N293" i="3"/>
  <c r="BB283" i="1" s="1"/>
  <c r="M293" i="3"/>
  <c r="BA283" i="1" s="1"/>
  <c r="O293" i="3"/>
  <c r="BC283" i="1" s="1"/>
  <c r="O292" i="3"/>
  <c r="BC282" i="1" s="1"/>
  <c r="N292" i="3"/>
  <c r="BB282" i="1" s="1"/>
  <c r="L292" i="3"/>
  <c r="AZ282" i="1" s="1"/>
  <c r="K292" i="3"/>
  <c r="AY282" i="1" s="1"/>
  <c r="M292" i="3"/>
  <c r="BA282" i="1" s="1"/>
  <c r="N291" i="3"/>
  <c r="BB281" i="1" s="1"/>
  <c r="O291" i="3"/>
  <c r="BC281" i="1" s="1"/>
  <c r="L291" i="3"/>
  <c r="AZ281" i="1" s="1"/>
  <c r="M291" i="3"/>
  <c r="BA281" i="1" s="1"/>
  <c r="K291" i="3"/>
  <c r="AY281" i="1" s="1"/>
  <c r="M290" i="3"/>
  <c r="BA280" i="1" s="1"/>
  <c r="N290" i="3"/>
  <c r="BB280" i="1" s="1"/>
  <c r="O290" i="3"/>
  <c r="BC280" i="1" s="1"/>
  <c r="K290" i="3"/>
  <c r="AY280" i="1" s="1"/>
  <c r="L290" i="3"/>
  <c r="AZ280" i="1" s="1"/>
  <c r="M289" i="3"/>
  <c r="BA279" i="1" s="1"/>
  <c r="K289" i="3"/>
  <c r="AY279" i="1" s="1"/>
  <c r="L289" i="3"/>
  <c r="AZ279" i="1" s="1"/>
  <c r="N289" i="3"/>
  <c r="BB279" i="1" s="1"/>
  <c r="O289" i="3"/>
  <c r="BC279" i="1" s="1"/>
  <c r="L288" i="3"/>
  <c r="AZ278" i="1" s="1"/>
  <c r="M288" i="3"/>
  <c r="BA278" i="1" s="1"/>
  <c r="N288" i="3"/>
  <c r="BB278" i="1" s="1"/>
  <c r="O288" i="3"/>
  <c r="BC278" i="1" s="1"/>
  <c r="K288" i="3"/>
  <c r="AY278" i="1" s="1"/>
  <c r="L287" i="3"/>
  <c r="AZ277" i="1" s="1"/>
  <c r="M287" i="3"/>
  <c r="BA277" i="1" s="1"/>
  <c r="O287" i="3"/>
  <c r="BC277" i="1" s="1"/>
  <c r="N287" i="3"/>
  <c r="BB277" i="1" s="1"/>
  <c r="K287" i="3"/>
  <c r="AY277" i="1" s="1"/>
  <c r="L286" i="3"/>
  <c r="AZ276" i="1" s="1"/>
  <c r="O286" i="3"/>
  <c r="BC276" i="1" s="1"/>
  <c r="N286" i="3"/>
  <c r="BB276" i="1" s="1"/>
  <c r="M286" i="3"/>
  <c r="BA276" i="1" s="1"/>
  <c r="K286" i="3"/>
  <c r="AY276" i="1" s="1"/>
  <c r="M285" i="3"/>
  <c r="BA275" i="1" s="1"/>
  <c r="K285" i="3"/>
  <c r="AY275" i="1" s="1"/>
  <c r="N285" i="3"/>
  <c r="BB275" i="1" s="1"/>
  <c r="O285" i="3"/>
  <c r="BC275" i="1" s="1"/>
  <c r="L285" i="3"/>
  <c r="AZ275" i="1" s="1"/>
  <c r="O284" i="3"/>
  <c r="BC274" i="1" s="1"/>
  <c r="L284" i="3"/>
  <c r="AZ274" i="1" s="1"/>
  <c r="N284" i="3"/>
  <c r="BB274" i="1" s="1"/>
  <c r="K284" i="3"/>
  <c r="AY274" i="1" s="1"/>
  <c r="M284" i="3"/>
  <c r="BA274" i="1" s="1"/>
  <c r="M283" i="3"/>
  <c r="BA273" i="1" s="1"/>
  <c r="K283" i="3"/>
  <c r="AY273" i="1" s="1"/>
  <c r="L283" i="3"/>
  <c r="AZ273" i="1" s="1"/>
  <c r="O283" i="3"/>
  <c r="BC273" i="1" s="1"/>
  <c r="N283" i="3"/>
  <c r="BB273" i="1" s="1"/>
  <c r="O282" i="3"/>
  <c r="BC272" i="1" s="1"/>
  <c r="K282" i="3"/>
  <c r="AY272" i="1" s="1"/>
  <c r="N282" i="3"/>
  <c r="BB272" i="1" s="1"/>
  <c r="M282" i="3"/>
  <c r="BA272" i="1" s="1"/>
  <c r="L282" i="3"/>
  <c r="AZ272" i="1" s="1"/>
  <c r="O281" i="3"/>
  <c r="BC271" i="1" s="1"/>
  <c r="N281" i="3"/>
  <c r="BB271" i="1" s="1"/>
  <c r="K281" i="3"/>
  <c r="AY271" i="1" s="1"/>
  <c r="L281" i="3"/>
  <c r="AZ271" i="1" s="1"/>
  <c r="M281" i="3"/>
  <c r="BA271" i="1" s="1"/>
  <c r="M280" i="3"/>
  <c r="BA270" i="1" s="1"/>
  <c r="O280" i="3"/>
  <c r="BC270" i="1" s="1"/>
  <c r="N280" i="3"/>
  <c r="BB270" i="1" s="1"/>
  <c r="L280" i="3"/>
  <c r="AZ270" i="1" s="1"/>
  <c r="K280" i="3"/>
  <c r="AY270" i="1" s="1"/>
  <c r="N279" i="3"/>
  <c r="BB269" i="1" s="1"/>
  <c r="M279" i="3"/>
  <c r="BA269" i="1" s="1"/>
  <c r="L279" i="3"/>
  <c r="AZ269" i="1" s="1"/>
  <c r="K279" i="3"/>
  <c r="AY269" i="1" s="1"/>
  <c r="O279" i="3"/>
  <c r="BC269" i="1" s="1"/>
  <c r="N278" i="3"/>
  <c r="BB268" i="1" s="1"/>
  <c r="K278" i="3"/>
  <c r="AY268" i="1" s="1"/>
  <c r="L278" i="3"/>
  <c r="AZ268" i="1" s="1"/>
  <c r="M278" i="3"/>
  <c r="BA268" i="1" s="1"/>
  <c r="O278" i="3"/>
  <c r="BC268" i="1" s="1"/>
  <c r="L277" i="3"/>
  <c r="AZ267" i="1" s="1"/>
  <c r="N277" i="3"/>
  <c r="BB267" i="1" s="1"/>
  <c r="O277" i="3"/>
  <c r="BC267" i="1" s="1"/>
  <c r="M277" i="3"/>
  <c r="BA267" i="1" s="1"/>
  <c r="K277" i="3"/>
  <c r="AY267" i="1" s="1"/>
  <c r="N276" i="3"/>
  <c r="BB266" i="1" s="1"/>
  <c r="K276" i="3"/>
  <c r="AY266" i="1" s="1"/>
  <c r="M276" i="3"/>
  <c r="BA266" i="1" s="1"/>
  <c r="L276" i="3"/>
  <c r="AZ266" i="1" s="1"/>
  <c r="O276" i="3"/>
  <c r="BC266" i="1" s="1"/>
  <c r="K275" i="3"/>
  <c r="AY265" i="1" s="1"/>
  <c r="L275" i="3"/>
  <c r="AZ265" i="1" s="1"/>
  <c r="M275" i="3"/>
  <c r="BA265" i="1" s="1"/>
  <c r="N275" i="3"/>
  <c r="BB265" i="1" s="1"/>
  <c r="O275" i="3"/>
  <c r="BC265" i="1" s="1"/>
  <c r="L274" i="3"/>
  <c r="AZ264" i="1" s="1"/>
  <c r="M274" i="3"/>
  <c r="BA264" i="1" s="1"/>
  <c r="N274" i="3"/>
  <c r="BB264" i="1" s="1"/>
  <c r="K274" i="3"/>
  <c r="AY264" i="1" s="1"/>
  <c r="O274" i="3"/>
  <c r="BC264" i="1" s="1"/>
  <c r="M273" i="3"/>
  <c r="BA263" i="1" s="1"/>
  <c r="L273" i="3"/>
  <c r="AZ263" i="1" s="1"/>
  <c r="N273" i="3"/>
  <c r="BB263" i="1" s="1"/>
  <c r="K273" i="3"/>
  <c r="AY263" i="1" s="1"/>
  <c r="O273" i="3"/>
  <c r="BC263" i="1" s="1"/>
  <c r="L272" i="3"/>
  <c r="AZ262" i="1" s="1"/>
  <c r="K272" i="3"/>
  <c r="AY262" i="1" s="1"/>
  <c r="N272" i="3"/>
  <c r="BB262" i="1" s="1"/>
  <c r="M272" i="3"/>
  <c r="BA262" i="1" s="1"/>
  <c r="O272" i="3"/>
  <c r="BC262" i="1" s="1"/>
  <c r="N271" i="3"/>
  <c r="BB261" i="1" s="1"/>
  <c r="M271" i="3"/>
  <c r="BA261" i="1" s="1"/>
  <c r="L271" i="3"/>
  <c r="AZ261" i="1" s="1"/>
  <c r="O271" i="3"/>
  <c r="BC261" i="1" s="1"/>
  <c r="K271" i="3"/>
  <c r="AY261" i="1" s="1"/>
  <c r="M270" i="3"/>
  <c r="BA260" i="1" s="1"/>
  <c r="K270" i="3"/>
  <c r="AY260" i="1" s="1"/>
  <c r="N270" i="3"/>
  <c r="BB260" i="1" s="1"/>
  <c r="O270" i="3"/>
  <c r="BC260" i="1" s="1"/>
  <c r="L270" i="3"/>
  <c r="AZ260" i="1" s="1"/>
  <c r="O269" i="3"/>
  <c r="BC259" i="1" s="1"/>
  <c r="N269" i="3"/>
  <c r="BB259" i="1" s="1"/>
  <c r="L269" i="3"/>
  <c r="AZ259" i="1" s="1"/>
  <c r="M269" i="3"/>
  <c r="BA259" i="1" s="1"/>
  <c r="K269" i="3"/>
  <c r="AY259" i="1" s="1"/>
  <c r="M268" i="3"/>
  <c r="BA258" i="1" s="1"/>
  <c r="L268" i="3"/>
  <c r="AZ258" i="1" s="1"/>
  <c r="N268" i="3"/>
  <c r="BB258" i="1" s="1"/>
  <c r="O268" i="3"/>
  <c r="BC258" i="1" s="1"/>
  <c r="K268" i="3"/>
  <c r="AY258" i="1" s="1"/>
  <c r="L267" i="3"/>
  <c r="AZ257" i="1" s="1"/>
  <c r="N267" i="3"/>
  <c r="BB257" i="1" s="1"/>
  <c r="O267" i="3"/>
  <c r="BC257" i="1" s="1"/>
  <c r="M267" i="3"/>
  <c r="BA257" i="1" s="1"/>
  <c r="K267" i="3"/>
  <c r="AY257" i="1" s="1"/>
  <c r="N266" i="3"/>
  <c r="BB256" i="1" s="1"/>
  <c r="M266" i="3"/>
  <c r="BA256" i="1" s="1"/>
  <c r="L266" i="3"/>
  <c r="AZ256" i="1" s="1"/>
  <c r="O266" i="3"/>
  <c r="BC256" i="1" s="1"/>
  <c r="K266" i="3"/>
  <c r="AY256" i="1" s="1"/>
  <c r="K265" i="3"/>
  <c r="AY255" i="1" s="1"/>
  <c r="L265" i="3"/>
  <c r="AZ255" i="1" s="1"/>
  <c r="N265" i="3"/>
  <c r="BB255" i="1" s="1"/>
  <c r="O265" i="3"/>
  <c r="BC255" i="1" s="1"/>
  <c r="M265" i="3"/>
  <c r="BA255" i="1" s="1"/>
  <c r="L264" i="3"/>
  <c r="AZ254" i="1" s="1"/>
  <c r="N264" i="3"/>
  <c r="BB254" i="1" s="1"/>
  <c r="M264" i="3"/>
  <c r="BA254" i="1" s="1"/>
  <c r="K264" i="3"/>
  <c r="AY254" i="1" s="1"/>
  <c r="O264" i="3"/>
  <c r="BC254" i="1" s="1"/>
  <c r="L263" i="3"/>
  <c r="AZ253" i="1" s="1"/>
  <c r="O263" i="3"/>
  <c r="BC253" i="1" s="1"/>
  <c r="N263" i="3"/>
  <c r="BB253" i="1" s="1"/>
  <c r="K263" i="3"/>
  <c r="AY253" i="1" s="1"/>
  <c r="M263" i="3"/>
  <c r="BA253" i="1" s="1"/>
  <c r="M262" i="3"/>
  <c r="BA252" i="1" s="1"/>
  <c r="O262" i="3"/>
  <c r="BC252" i="1" s="1"/>
  <c r="L262" i="3"/>
  <c r="AZ252" i="1" s="1"/>
  <c r="K262" i="3"/>
  <c r="AY252" i="1" s="1"/>
  <c r="N262" i="3"/>
  <c r="BB252" i="1" s="1"/>
  <c r="O261" i="3"/>
  <c r="BC251" i="1" s="1"/>
  <c r="N261" i="3"/>
  <c r="BB251" i="1" s="1"/>
  <c r="M261" i="3"/>
  <c r="BA251" i="1" s="1"/>
  <c r="L261" i="3"/>
  <c r="AZ251" i="1" s="1"/>
  <c r="K261" i="3"/>
  <c r="AY251" i="1" s="1"/>
  <c r="L260" i="3"/>
  <c r="AZ250" i="1" s="1"/>
  <c r="N260" i="3"/>
  <c r="BB250" i="1" s="1"/>
  <c r="O260" i="3"/>
  <c r="BC250" i="1" s="1"/>
  <c r="M260" i="3"/>
  <c r="BA250" i="1" s="1"/>
  <c r="K260" i="3"/>
  <c r="AY250" i="1" s="1"/>
  <c r="N259" i="3"/>
  <c r="BB249" i="1" s="1"/>
  <c r="K259" i="3"/>
  <c r="AY249" i="1" s="1"/>
  <c r="M259" i="3"/>
  <c r="BA249" i="1" s="1"/>
  <c r="O259" i="3"/>
  <c r="BC249" i="1" s="1"/>
  <c r="L259" i="3"/>
  <c r="AZ249" i="1" s="1"/>
  <c r="N258" i="3"/>
  <c r="BB248" i="1" s="1"/>
  <c r="K258" i="3"/>
  <c r="AY248" i="1" s="1"/>
  <c r="L258" i="3"/>
  <c r="AZ248" i="1" s="1"/>
  <c r="O258" i="3"/>
  <c r="BC248" i="1" s="1"/>
  <c r="M258" i="3"/>
  <c r="BA248" i="1" s="1"/>
  <c r="M257" i="3"/>
  <c r="BA247" i="1" s="1"/>
  <c r="L257" i="3"/>
  <c r="AZ247" i="1" s="1"/>
  <c r="N257" i="3"/>
  <c r="BB247" i="1" s="1"/>
  <c r="O257" i="3"/>
  <c r="BC247" i="1" s="1"/>
  <c r="K257" i="3"/>
  <c r="AY247" i="1" s="1"/>
  <c r="L256" i="3"/>
  <c r="AZ246" i="1" s="1"/>
  <c r="N256" i="3"/>
  <c r="BB246" i="1" s="1"/>
  <c r="M256" i="3"/>
  <c r="BA246" i="1" s="1"/>
  <c r="K256" i="3"/>
  <c r="AY246" i="1" s="1"/>
  <c r="O256" i="3"/>
  <c r="BC246" i="1" s="1"/>
  <c r="K255" i="3"/>
  <c r="AY245" i="1" s="1"/>
  <c r="N255" i="3"/>
  <c r="BB245" i="1" s="1"/>
  <c r="M255" i="3"/>
  <c r="BA245" i="1" s="1"/>
  <c r="O255" i="3"/>
  <c r="BC245" i="1" s="1"/>
  <c r="L255" i="3"/>
  <c r="AZ245" i="1" s="1"/>
  <c r="M254" i="3"/>
  <c r="BA244" i="1" s="1"/>
  <c r="O254" i="3"/>
  <c r="BC244" i="1" s="1"/>
  <c r="N254" i="3"/>
  <c r="BB244" i="1" s="1"/>
  <c r="L254" i="3"/>
  <c r="AZ244" i="1" s="1"/>
  <c r="K254" i="3"/>
  <c r="AY244" i="1" s="1"/>
  <c r="L253" i="3"/>
  <c r="AZ243" i="1" s="1"/>
  <c r="M253" i="3"/>
  <c r="BA243" i="1" s="1"/>
  <c r="K253" i="3"/>
  <c r="AY243" i="1" s="1"/>
  <c r="N253" i="3"/>
  <c r="BB243" i="1" s="1"/>
  <c r="O253" i="3"/>
  <c r="BC243" i="1" s="1"/>
  <c r="N252" i="3"/>
  <c r="BB242" i="1" s="1"/>
  <c r="K252" i="3"/>
  <c r="AY242" i="1" s="1"/>
  <c r="L252" i="3"/>
  <c r="AZ242" i="1" s="1"/>
  <c r="M252" i="3"/>
  <c r="BA242" i="1" s="1"/>
  <c r="O252" i="3"/>
  <c r="BC242" i="1" s="1"/>
  <c r="K251" i="3"/>
  <c r="AY241" i="1" s="1"/>
  <c r="L251" i="3"/>
  <c r="AZ241" i="1" s="1"/>
  <c r="O251" i="3"/>
  <c r="BC241" i="1" s="1"/>
  <c r="M251" i="3"/>
  <c r="BA241" i="1" s="1"/>
  <c r="N251" i="3"/>
  <c r="BB241" i="1" s="1"/>
  <c r="M250" i="3"/>
  <c r="BA240" i="1" s="1"/>
  <c r="N250" i="3"/>
  <c r="BB240" i="1" s="1"/>
  <c r="K250" i="3"/>
  <c r="AY240" i="1" s="1"/>
  <c r="O250" i="3"/>
  <c r="BC240" i="1" s="1"/>
  <c r="L250" i="3"/>
  <c r="AZ240" i="1" s="1"/>
  <c r="L249" i="3"/>
  <c r="AZ239" i="1" s="1"/>
  <c r="O249" i="3"/>
  <c r="BC239" i="1" s="1"/>
  <c r="M249" i="3"/>
  <c r="BA239" i="1" s="1"/>
  <c r="N249" i="3"/>
  <c r="BB239" i="1" s="1"/>
  <c r="K249" i="3"/>
  <c r="AY239" i="1" s="1"/>
  <c r="N248" i="3"/>
  <c r="BB238" i="1" s="1"/>
  <c r="M248" i="3"/>
  <c r="BA238" i="1" s="1"/>
  <c r="K248" i="3"/>
  <c r="AY238" i="1" s="1"/>
  <c r="O248" i="3"/>
  <c r="BC238" i="1" s="1"/>
  <c r="L248" i="3"/>
  <c r="AZ238" i="1" s="1"/>
  <c r="L247" i="3"/>
  <c r="AZ237" i="1" s="1"/>
  <c r="M247" i="3"/>
  <c r="BA237" i="1" s="1"/>
  <c r="O247" i="3"/>
  <c r="BC237" i="1" s="1"/>
  <c r="N247" i="3"/>
  <c r="BB237" i="1" s="1"/>
  <c r="K247" i="3"/>
  <c r="AY237" i="1" s="1"/>
  <c r="K246" i="3"/>
  <c r="AY236" i="1" s="1"/>
  <c r="O246" i="3"/>
  <c r="BC236" i="1" s="1"/>
  <c r="N246" i="3"/>
  <c r="BB236" i="1" s="1"/>
  <c r="M246" i="3"/>
  <c r="BA236" i="1" s="1"/>
  <c r="L246" i="3"/>
  <c r="AZ236" i="1" s="1"/>
  <c r="K245" i="3"/>
  <c r="AY235" i="1" s="1"/>
  <c r="O245" i="3"/>
  <c r="BC235" i="1" s="1"/>
  <c r="N245" i="3"/>
  <c r="BB235" i="1" s="1"/>
  <c r="M245" i="3"/>
  <c r="BA235" i="1" s="1"/>
  <c r="L245" i="3"/>
  <c r="AZ235" i="1" s="1"/>
  <c r="L244" i="3"/>
  <c r="AZ234" i="1" s="1"/>
  <c r="M244" i="3"/>
  <c r="BA234" i="1" s="1"/>
  <c r="K244" i="3"/>
  <c r="AY234" i="1" s="1"/>
  <c r="N244" i="3"/>
  <c r="BB234" i="1" s="1"/>
  <c r="O244" i="3"/>
  <c r="BC234" i="1" s="1"/>
  <c r="M243" i="3"/>
  <c r="BA233" i="1" s="1"/>
  <c r="N243" i="3"/>
  <c r="BB233" i="1" s="1"/>
  <c r="L243" i="3"/>
  <c r="AZ233" i="1" s="1"/>
  <c r="O243" i="3"/>
  <c r="BC233" i="1" s="1"/>
  <c r="K243" i="3"/>
  <c r="AY233" i="1" s="1"/>
  <c r="L242" i="3"/>
  <c r="AZ232" i="1" s="1"/>
  <c r="K242" i="3"/>
  <c r="AY232" i="1" s="1"/>
  <c r="M242" i="3"/>
  <c r="BA232" i="1" s="1"/>
  <c r="N242" i="3"/>
  <c r="BB232" i="1" s="1"/>
  <c r="O242" i="3"/>
  <c r="BC232" i="1" s="1"/>
  <c r="M241" i="3"/>
  <c r="BA231" i="1" s="1"/>
  <c r="N241" i="3"/>
  <c r="BB231" i="1" s="1"/>
  <c r="K241" i="3"/>
  <c r="AY231" i="1" s="1"/>
  <c r="O241" i="3"/>
  <c r="BC231" i="1" s="1"/>
  <c r="L241" i="3"/>
  <c r="AZ231" i="1" s="1"/>
  <c r="O240" i="3"/>
  <c r="BC230" i="1" s="1"/>
  <c r="K240" i="3"/>
  <c r="AY230" i="1" s="1"/>
  <c r="N240" i="3"/>
  <c r="BB230" i="1" s="1"/>
  <c r="M240" i="3"/>
  <c r="BA230" i="1" s="1"/>
  <c r="L240" i="3"/>
  <c r="AZ230" i="1" s="1"/>
  <c r="N239" i="3"/>
  <c r="BB229" i="1" s="1"/>
  <c r="O239" i="3"/>
  <c r="BC229" i="1" s="1"/>
  <c r="M239" i="3"/>
  <c r="BA229" i="1" s="1"/>
  <c r="K239" i="3"/>
  <c r="AY229" i="1" s="1"/>
  <c r="L239" i="3"/>
  <c r="AZ229" i="1" s="1"/>
  <c r="K238" i="3"/>
  <c r="AY228" i="1" s="1"/>
  <c r="O238" i="3"/>
  <c r="BC228" i="1" s="1"/>
  <c r="L238" i="3"/>
  <c r="AZ228" i="1" s="1"/>
  <c r="M238" i="3"/>
  <c r="BA228" i="1" s="1"/>
  <c r="N238" i="3"/>
  <c r="BB228" i="1" s="1"/>
  <c r="L237" i="3"/>
  <c r="AZ227" i="1" s="1"/>
  <c r="M237" i="3"/>
  <c r="BA227" i="1" s="1"/>
  <c r="O237" i="3"/>
  <c r="BC227" i="1" s="1"/>
  <c r="K237" i="3"/>
  <c r="AY227" i="1" s="1"/>
  <c r="N237" i="3"/>
  <c r="BB227" i="1" s="1"/>
  <c r="N236" i="3"/>
  <c r="BB226" i="1" s="1"/>
  <c r="M236" i="3"/>
  <c r="BA226" i="1" s="1"/>
  <c r="K236" i="3"/>
  <c r="AY226" i="1" s="1"/>
  <c r="O236" i="3"/>
  <c r="BC226" i="1" s="1"/>
  <c r="L236" i="3"/>
  <c r="AZ226" i="1" s="1"/>
  <c r="N235" i="3"/>
  <c r="BB225" i="1" s="1"/>
  <c r="O235" i="3"/>
  <c r="BC225" i="1" s="1"/>
  <c r="M235" i="3"/>
  <c r="BA225" i="1" s="1"/>
  <c r="K235" i="3"/>
  <c r="AY225" i="1" s="1"/>
  <c r="L235" i="3"/>
  <c r="AZ225" i="1" s="1"/>
  <c r="L234" i="3"/>
  <c r="AZ224" i="1" s="1"/>
  <c r="N234" i="3"/>
  <c r="BB224" i="1" s="1"/>
  <c r="M234" i="3"/>
  <c r="BA224" i="1" s="1"/>
  <c r="O234" i="3"/>
  <c r="BC224" i="1" s="1"/>
  <c r="K234" i="3"/>
  <c r="AY224" i="1" s="1"/>
  <c r="L233" i="3"/>
  <c r="AZ223" i="1" s="1"/>
  <c r="M233" i="3"/>
  <c r="BA223" i="1" s="1"/>
  <c r="N233" i="3"/>
  <c r="BB223" i="1" s="1"/>
  <c r="O233" i="3"/>
  <c r="BC223" i="1" s="1"/>
  <c r="K233" i="3"/>
  <c r="AY223" i="1" s="1"/>
  <c r="L232" i="3"/>
  <c r="AZ222" i="1" s="1"/>
  <c r="M232" i="3"/>
  <c r="BA222" i="1" s="1"/>
  <c r="N232" i="3"/>
  <c r="BB222" i="1" s="1"/>
  <c r="O232" i="3"/>
  <c r="BC222" i="1" s="1"/>
  <c r="K232" i="3"/>
  <c r="AY222" i="1" s="1"/>
  <c r="M231" i="3"/>
  <c r="BA221" i="1" s="1"/>
  <c r="O231" i="3"/>
  <c r="BC221" i="1" s="1"/>
  <c r="L231" i="3"/>
  <c r="AZ221" i="1" s="1"/>
  <c r="K231" i="3"/>
  <c r="AY221" i="1" s="1"/>
  <c r="N231" i="3"/>
  <c r="BB221" i="1" s="1"/>
  <c r="O230" i="3"/>
  <c r="BC220" i="1" s="1"/>
  <c r="K230" i="3"/>
  <c r="AY220" i="1" s="1"/>
  <c r="N230" i="3"/>
  <c r="BB220" i="1" s="1"/>
  <c r="M230" i="3"/>
  <c r="BA220" i="1" s="1"/>
  <c r="L230" i="3"/>
  <c r="AZ220" i="1" s="1"/>
  <c r="M229" i="3"/>
  <c r="BA219" i="1" s="1"/>
  <c r="N229" i="3"/>
  <c r="BB219" i="1" s="1"/>
  <c r="K229" i="3"/>
  <c r="AY219" i="1" s="1"/>
  <c r="O229" i="3"/>
  <c r="BC219" i="1" s="1"/>
  <c r="L229" i="3"/>
  <c r="AZ219" i="1" s="1"/>
  <c r="L228" i="3"/>
  <c r="AZ218" i="1" s="1"/>
  <c r="M228" i="3"/>
  <c r="BA218" i="1" s="1"/>
  <c r="O228" i="3"/>
  <c r="BC218" i="1" s="1"/>
  <c r="N228" i="3"/>
  <c r="BB218" i="1" s="1"/>
  <c r="K228" i="3"/>
  <c r="AY218" i="1" s="1"/>
  <c r="N227" i="3"/>
  <c r="BB217" i="1" s="1"/>
  <c r="O227" i="3"/>
  <c r="BC217" i="1" s="1"/>
  <c r="M227" i="3"/>
  <c r="BA217" i="1" s="1"/>
  <c r="K227" i="3"/>
  <c r="AY217" i="1" s="1"/>
  <c r="L227" i="3"/>
  <c r="AZ217" i="1" s="1"/>
  <c r="O226" i="3"/>
  <c r="BC216" i="1" s="1"/>
  <c r="K226" i="3"/>
  <c r="AY216" i="1" s="1"/>
  <c r="M226" i="3"/>
  <c r="BA216" i="1" s="1"/>
  <c r="L226" i="3"/>
  <c r="AZ216" i="1" s="1"/>
  <c r="N226" i="3"/>
  <c r="BB216" i="1" s="1"/>
  <c r="N225" i="3"/>
  <c r="BB215" i="1" s="1"/>
  <c r="O225" i="3"/>
  <c r="BC215" i="1" s="1"/>
  <c r="K225" i="3"/>
  <c r="AY215" i="1" s="1"/>
  <c r="M225" i="3"/>
  <c r="BA215" i="1" s="1"/>
  <c r="L225" i="3"/>
  <c r="AZ215" i="1" s="1"/>
  <c r="M224" i="3"/>
  <c r="BA214" i="1" s="1"/>
  <c r="O224" i="3"/>
  <c r="BC214" i="1" s="1"/>
  <c r="N224" i="3"/>
  <c r="BB214" i="1" s="1"/>
  <c r="L224" i="3"/>
  <c r="AZ214" i="1" s="1"/>
  <c r="K224" i="3"/>
  <c r="AY214" i="1" s="1"/>
  <c r="L223" i="3"/>
  <c r="AZ213" i="1" s="1"/>
  <c r="M223" i="3"/>
  <c r="BA213" i="1" s="1"/>
  <c r="N223" i="3"/>
  <c r="BB213" i="1" s="1"/>
  <c r="O223" i="3"/>
  <c r="BC213" i="1" s="1"/>
  <c r="K223" i="3"/>
  <c r="AY213" i="1" s="1"/>
  <c r="M222" i="3"/>
  <c r="BA212" i="1" s="1"/>
  <c r="L222" i="3"/>
  <c r="AZ212" i="1" s="1"/>
  <c r="K222" i="3"/>
  <c r="AY212" i="1" s="1"/>
  <c r="N222" i="3"/>
  <c r="BB212" i="1" s="1"/>
  <c r="O222" i="3"/>
  <c r="BC212" i="1" s="1"/>
  <c r="L221" i="3"/>
  <c r="AZ211" i="1" s="1"/>
  <c r="N221" i="3"/>
  <c r="BB211" i="1" s="1"/>
  <c r="O221" i="3"/>
  <c r="BC211" i="1" s="1"/>
  <c r="K221" i="3"/>
  <c r="AY211" i="1" s="1"/>
  <c r="M221" i="3"/>
  <c r="BA211" i="1" s="1"/>
  <c r="M220" i="3"/>
  <c r="BA210" i="1" s="1"/>
  <c r="O220" i="3"/>
  <c r="BC210" i="1" s="1"/>
  <c r="L220" i="3"/>
  <c r="AZ210" i="1" s="1"/>
  <c r="K220" i="3"/>
  <c r="AY210" i="1" s="1"/>
  <c r="N220" i="3"/>
  <c r="BB210" i="1" s="1"/>
  <c r="K219" i="3"/>
  <c r="AY209" i="1" s="1"/>
  <c r="M219" i="3"/>
  <c r="BA209" i="1" s="1"/>
  <c r="N219" i="3"/>
  <c r="BB209" i="1" s="1"/>
  <c r="L219" i="3"/>
  <c r="AZ209" i="1" s="1"/>
  <c r="O219" i="3"/>
  <c r="BC209" i="1" s="1"/>
  <c r="L218" i="3"/>
  <c r="AZ208" i="1" s="1"/>
  <c r="K218" i="3"/>
  <c r="AY208" i="1" s="1"/>
  <c r="N218" i="3"/>
  <c r="BB208" i="1" s="1"/>
  <c r="M218" i="3"/>
  <c r="BA208" i="1" s="1"/>
  <c r="O218" i="3"/>
  <c r="BC208" i="1" s="1"/>
  <c r="L217" i="3"/>
  <c r="AZ207" i="1" s="1"/>
  <c r="M217" i="3"/>
  <c r="BA207" i="1" s="1"/>
  <c r="O217" i="3"/>
  <c r="BC207" i="1" s="1"/>
  <c r="N217" i="3"/>
  <c r="BB207" i="1" s="1"/>
  <c r="K217" i="3"/>
  <c r="AY207" i="1" s="1"/>
  <c r="K216" i="3"/>
  <c r="AY206" i="1" s="1"/>
  <c r="M216" i="3"/>
  <c r="BA206" i="1" s="1"/>
  <c r="O216" i="3"/>
  <c r="BC206" i="1" s="1"/>
  <c r="N216" i="3"/>
  <c r="BB206" i="1" s="1"/>
  <c r="L216" i="3"/>
  <c r="AZ206" i="1" s="1"/>
  <c r="M215" i="3"/>
  <c r="BA205" i="1" s="1"/>
  <c r="N215" i="3"/>
  <c r="BB205" i="1" s="1"/>
  <c r="O215" i="3"/>
  <c r="BC205" i="1" s="1"/>
  <c r="L215" i="3"/>
  <c r="AZ205" i="1" s="1"/>
  <c r="K215" i="3"/>
  <c r="AY205" i="1" s="1"/>
  <c r="M214" i="3"/>
  <c r="BA204" i="1" s="1"/>
  <c r="L214" i="3"/>
  <c r="AZ204" i="1" s="1"/>
  <c r="O214" i="3"/>
  <c r="BC204" i="1" s="1"/>
  <c r="N214" i="3"/>
  <c r="BB204" i="1" s="1"/>
  <c r="K214" i="3"/>
  <c r="AY204" i="1" s="1"/>
  <c r="K213" i="3"/>
  <c r="AY203" i="1" s="1"/>
  <c r="N213" i="3"/>
  <c r="BB203" i="1" s="1"/>
  <c r="L213" i="3"/>
  <c r="AZ203" i="1" s="1"/>
  <c r="O213" i="3"/>
  <c r="BC203" i="1" s="1"/>
  <c r="M213" i="3"/>
  <c r="BA203" i="1" s="1"/>
  <c r="M212" i="3"/>
  <c r="BA202" i="1" s="1"/>
  <c r="O212" i="3"/>
  <c r="BC202" i="1" s="1"/>
  <c r="K212" i="3"/>
  <c r="AY202" i="1" s="1"/>
  <c r="N212" i="3"/>
  <c r="BB202" i="1" s="1"/>
  <c r="L212" i="3"/>
  <c r="AZ202" i="1" s="1"/>
  <c r="L211" i="3"/>
  <c r="AZ201" i="1" s="1"/>
  <c r="N211" i="3"/>
  <c r="BB201" i="1" s="1"/>
  <c r="K211" i="3"/>
  <c r="AY201" i="1" s="1"/>
  <c r="M211" i="3"/>
  <c r="BA201" i="1" s="1"/>
  <c r="O211" i="3"/>
  <c r="BC201" i="1" s="1"/>
  <c r="O210" i="3"/>
  <c r="BC200" i="1" s="1"/>
  <c r="K210" i="3"/>
  <c r="AY200" i="1" s="1"/>
  <c r="N210" i="3"/>
  <c r="BB200" i="1" s="1"/>
  <c r="M210" i="3"/>
  <c r="BA200" i="1" s="1"/>
  <c r="L210" i="3"/>
  <c r="AZ200" i="1" s="1"/>
  <c r="O209" i="3"/>
  <c r="BC199" i="1" s="1"/>
  <c r="M209" i="3"/>
  <c r="BA199" i="1" s="1"/>
  <c r="L209" i="3"/>
  <c r="AZ199" i="1" s="1"/>
  <c r="N209" i="3"/>
  <c r="BB199" i="1" s="1"/>
  <c r="K209" i="3"/>
  <c r="AY199" i="1" s="1"/>
  <c r="M208" i="3"/>
  <c r="BA198" i="1" s="1"/>
  <c r="N208" i="3"/>
  <c r="BB198" i="1" s="1"/>
  <c r="O208" i="3"/>
  <c r="BC198" i="1" s="1"/>
  <c r="L208" i="3"/>
  <c r="AZ198" i="1" s="1"/>
  <c r="K208" i="3"/>
  <c r="AY198" i="1" s="1"/>
  <c r="L207" i="3"/>
  <c r="AZ197" i="1" s="1"/>
  <c r="O207" i="3"/>
  <c r="BC197" i="1" s="1"/>
  <c r="M207" i="3"/>
  <c r="BA197" i="1" s="1"/>
  <c r="N207" i="3"/>
  <c r="BB197" i="1" s="1"/>
  <c r="K207" i="3"/>
  <c r="AY197" i="1" s="1"/>
  <c r="K206" i="3"/>
  <c r="AY196" i="1" s="1"/>
  <c r="N206" i="3"/>
  <c r="BB196" i="1" s="1"/>
  <c r="M206" i="3"/>
  <c r="BA196" i="1" s="1"/>
  <c r="L206" i="3"/>
  <c r="AZ196" i="1" s="1"/>
  <c r="O206" i="3"/>
  <c r="BC196" i="1" s="1"/>
  <c r="O205" i="3"/>
  <c r="BC195" i="1" s="1"/>
  <c r="M205" i="3"/>
  <c r="BA195" i="1" s="1"/>
  <c r="N205" i="3"/>
  <c r="BB195" i="1" s="1"/>
  <c r="L205" i="3"/>
  <c r="AZ195" i="1" s="1"/>
  <c r="K205" i="3"/>
  <c r="AY195" i="1" s="1"/>
  <c r="O204" i="3"/>
  <c r="BC194" i="1" s="1"/>
  <c r="M204" i="3"/>
  <c r="BA194" i="1" s="1"/>
  <c r="K204" i="3"/>
  <c r="AY194" i="1" s="1"/>
  <c r="L204" i="3"/>
  <c r="AZ194" i="1" s="1"/>
  <c r="N204" i="3"/>
  <c r="BB194" i="1" s="1"/>
  <c r="K203" i="3"/>
  <c r="AY193" i="1" s="1"/>
  <c r="L203" i="3"/>
  <c r="AZ193" i="1" s="1"/>
  <c r="M203" i="3"/>
  <c r="BA193" i="1" s="1"/>
  <c r="O203" i="3"/>
  <c r="BC193" i="1" s="1"/>
  <c r="N203" i="3"/>
  <c r="BB193" i="1" s="1"/>
  <c r="O202" i="3"/>
  <c r="BC192" i="1" s="1"/>
  <c r="L202" i="3"/>
  <c r="AZ192" i="1" s="1"/>
  <c r="M202" i="3"/>
  <c r="BA192" i="1" s="1"/>
  <c r="K202" i="3"/>
  <c r="AY192" i="1" s="1"/>
  <c r="N202" i="3"/>
  <c r="BB192" i="1" s="1"/>
  <c r="O201" i="3"/>
  <c r="BC191" i="1" s="1"/>
  <c r="N201" i="3"/>
  <c r="BB191" i="1" s="1"/>
  <c r="M201" i="3"/>
  <c r="BA191" i="1" s="1"/>
  <c r="K201" i="3"/>
  <c r="AY191" i="1" s="1"/>
  <c r="L201" i="3"/>
  <c r="AZ191" i="1" s="1"/>
  <c r="M200" i="3"/>
  <c r="BA190" i="1" s="1"/>
  <c r="L200" i="3"/>
  <c r="AZ190" i="1" s="1"/>
  <c r="O200" i="3"/>
  <c r="BC190" i="1" s="1"/>
  <c r="N200" i="3"/>
  <c r="BB190" i="1" s="1"/>
  <c r="K200" i="3"/>
  <c r="AY190" i="1" s="1"/>
  <c r="N199" i="3"/>
  <c r="BB189" i="1" s="1"/>
  <c r="L199" i="3"/>
  <c r="AZ189" i="1" s="1"/>
  <c r="O199" i="3"/>
  <c r="BC189" i="1" s="1"/>
  <c r="M199" i="3"/>
  <c r="BA189" i="1" s="1"/>
  <c r="K199" i="3"/>
  <c r="AY189" i="1" s="1"/>
  <c r="K198" i="3"/>
  <c r="AY188" i="1" s="1"/>
  <c r="L198" i="3"/>
  <c r="AZ188" i="1" s="1"/>
  <c r="O198" i="3"/>
  <c r="BC188" i="1" s="1"/>
  <c r="M198" i="3"/>
  <c r="BA188" i="1" s="1"/>
  <c r="N198" i="3"/>
  <c r="BB188" i="1" s="1"/>
  <c r="L197" i="3"/>
  <c r="AZ187" i="1" s="1"/>
  <c r="M197" i="3"/>
  <c r="BA187" i="1" s="1"/>
  <c r="K197" i="3"/>
  <c r="AY187" i="1" s="1"/>
  <c r="O197" i="3"/>
  <c r="BC187" i="1" s="1"/>
  <c r="N197" i="3"/>
  <c r="BB187" i="1" s="1"/>
  <c r="O196" i="3"/>
  <c r="BC186" i="1" s="1"/>
  <c r="L196" i="3"/>
  <c r="AZ186" i="1" s="1"/>
  <c r="M196" i="3"/>
  <c r="BA186" i="1" s="1"/>
  <c r="K196" i="3"/>
  <c r="AY186" i="1" s="1"/>
  <c r="N196" i="3"/>
  <c r="BB186" i="1" s="1"/>
  <c r="O195" i="3"/>
  <c r="BC185" i="1" s="1"/>
  <c r="N195" i="3"/>
  <c r="BB185" i="1" s="1"/>
  <c r="L195" i="3"/>
  <c r="AZ185" i="1" s="1"/>
  <c r="K195" i="3"/>
  <c r="AY185" i="1" s="1"/>
  <c r="M195" i="3"/>
  <c r="BA185" i="1" s="1"/>
  <c r="L194" i="3"/>
  <c r="AZ184" i="1" s="1"/>
  <c r="O194" i="3"/>
  <c r="BC184" i="1" s="1"/>
  <c r="M194" i="3"/>
  <c r="BA184" i="1" s="1"/>
  <c r="K194" i="3"/>
  <c r="AY184" i="1" s="1"/>
  <c r="N194" i="3"/>
  <c r="BB184" i="1" s="1"/>
  <c r="K193" i="3"/>
  <c r="AY183" i="1" s="1"/>
  <c r="L193" i="3"/>
  <c r="AZ183" i="1" s="1"/>
  <c r="N193" i="3"/>
  <c r="BB183" i="1" s="1"/>
  <c r="O193" i="3"/>
  <c r="BC183" i="1" s="1"/>
  <c r="M193" i="3"/>
  <c r="BA183" i="1" s="1"/>
  <c r="K192" i="3"/>
  <c r="AY182" i="1" s="1"/>
  <c r="M192" i="3"/>
  <c r="BA182" i="1" s="1"/>
  <c r="L192" i="3"/>
  <c r="AZ182" i="1" s="1"/>
  <c r="N192" i="3"/>
  <c r="BB182" i="1" s="1"/>
  <c r="O192" i="3"/>
  <c r="BC182" i="1" s="1"/>
  <c r="N191" i="3"/>
  <c r="BB181" i="1" s="1"/>
  <c r="K191" i="3"/>
  <c r="AY181" i="1" s="1"/>
  <c r="M191" i="3"/>
  <c r="BA181" i="1" s="1"/>
  <c r="L191" i="3"/>
  <c r="AZ181" i="1" s="1"/>
  <c r="O191" i="3"/>
  <c r="BC181" i="1" s="1"/>
  <c r="L190" i="3"/>
  <c r="AZ180" i="1" s="1"/>
  <c r="N190" i="3"/>
  <c r="BB180" i="1" s="1"/>
  <c r="M190" i="3"/>
  <c r="BA180" i="1" s="1"/>
  <c r="O190" i="3"/>
  <c r="BC180" i="1" s="1"/>
  <c r="K190" i="3"/>
  <c r="AY180" i="1" s="1"/>
  <c r="K189" i="3"/>
  <c r="AY179" i="1" s="1"/>
  <c r="O189" i="3"/>
  <c r="BC179" i="1" s="1"/>
  <c r="M189" i="3"/>
  <c r="BA179" i="1" s="1"/>
  <c r="N189" i="3"/>
  <c r="BB179" i="1" s="1"/>
  <c r="L189" i="3"/>
  <c r="AZ179" i="1" s="1"/>
  <c r="K188" i="3"/>
  <c r="AY178" i="1" s="1"/>
  <c r="N188" i="3"/>
  <c r="BB178" i="1" s="1"/>
  <c r="M188" i="3"/>
  <c r="BA178" i="1" s="1"/>
  <c r="L188" i="3"/>
  <c r="AZ178" i="1" s="1"/>
  <c r="O188" i="3"/>
  <c r="BC178" i="1" s="1"/>
  <c r="M187" i="3"/>
  <c r="BA177" i="1" s="1"/>
  <c r="N187" i="3"/>
  <c r="BB177" i="1" s="1"/>
  <c r="O187" i="3"/>
  <c r="BC177" i="1" s="1"/>
  <c r="L187" i="3"/>
  <c r="AZ177" i="1" s="1"/>
  <c r="K187" i="3"/>
  <c r="AY177" i="1" s="1"/>
  <c r="N186" i="3"/>
  <c r="BB176" i="1" s="1"/>
  <c r="M186" i="3"/>
  <c r="BA176" i="1" s="1"/>
  <c r="O186" i="3"/>
  <c r="BC176" i="1" s="1"/>
  <c r="L186" i="3"/>
  <c r="AZ176" i="1" s="1"/>
  <c r="K186" i="3"/>
  <c r="AY176" i="1" s="1"/>
  <c r="O185" i="3"/>
  <c r="BC175" i="1" s="1"/>
  <c r="M185" i="3"/>
  <c r="BA175" i="1" s="1"/>
  <c r="L185" i="3"/>
  <c r="AZ175" i="1" s="1"/>
  <c r="N185" i="3"/>
  <c r="BB175" i="1" s="1"/>
  <c r="K185" i="3"/>
  <c r="AY175" i="1" s="1"/>
  <c r="N184" i="3"/>
  <c r="BB174" i="1" s="1"/>
  <c r="K184" i="3"/>
  <c r="AY174" i="1" s="1"/>
  <c r="O184" i="3"/>
  <c r="BC174" i="1" s="1"/>
  <c r="M184" i="3"/>
  <c r="BA174" i="1" s="1"/>
  <c r="L184" i="3"/>
  <c r="AZ174" i="1" s="1"/>
  <c r="M183" i="3"/>
  <c r="BA173" i="1" s="1"/>
  <c r="O183" i="3"/>
  <c r="BC173" i="1" s="1"/>
  <c r="L183" i="3"/>
  <c r="AZ173" i="1" s="1"/>
  <c r="K183" i="3"/>
  <c r="AY173" i="1" s="1"/>
  <c r="N183" i="3"/>
  <c r="BB173" i="1" s="1"/>
  <c r="M182" i="3"/>
  <c r="BA172" i="1" s="1"/>
  <c r="K182" i="3"/>
  <c r="AY172" i="1" s="1"/>
  <c r="L182" i="3"/>
  <c r="AZ172" i="1" s="1"/>
  <c r="N182" i="3"/>
  <c r="BB172" i="1" s="1"/>
  <c r="O182" i="3"/>
  <c r="BC172" i="1" s="1"/>
  <c r="O181" i="3"/>
  <c r="BC171" i="1" s="1"/>
  <c r="N181" i="3"/>
  <c r="BB171" i="1" s="1"/>
  <c r="M181" i="3"/>
  <c r="BA171" i="1" s="1"/>
  <c r="L181" i="3"/>
  <c r="AZ171" i="1" s="1"/>
  <c r="K181" i="3"/>
  <c r="AY171" i="1" s="1"/>
  <c r="N180" i="3"/>
  <c r="BB170" i="1" s="1"/>
  <c r="K180" i="3"/>
  <c r="AY170" i="1" s="1"/>
  <c r="O180" i="3"/>
  <c r="BC170" i="1" s="1"/>
  <c r="M180" i="3"/>
  <c r="BA170" i="1" s="1"/>
  <c r="L180" i="3"/>
  <c r="AZ170" i="1" s="1"/>
  <c r="O179" i="3"/>
  <c r="BC169" i="1" s="1"/>
  <c r="L179" i="3"/>
  <c r="AZ169" i="1" s="1"/>
  <c r="N179" i="3"/>
  <c r="BB169" i="1" s="1"/>
  <c r="M179" i="3"/>
  <c r="BA169" i="1" s="1"/>
  <c r="K179" i="3"/>
  <c r="AY169" i="1" s="1"/>
  <c r="K178" i="3"/>
  <c r="AY168" i="1" s="1"/>
  <c r="O178" i="3"/>
  <c r="BC168" i="1" s="1"/>
  <c r="N178" i="3"/>
  <c r="BB168" i="1" s="1"/>
  <c r="M178" i="3"/>
  <c r="BA168" i="1" s="1"/>
  <c r="L178" i="3"/>
  <c r="AZ168" i="1" s="1"/>
  <c r="L177" i="3"/>
  <c r="AZ167" i="1" s="1"/>
  <c r="O177" i="3"/>
  <c r="BC167" i="1" s="1"/>
  <c r="K177" i="3"/>
  <c r="AY167" i="1" s="1"/>
  <c r="N177" i="3"/>
  <c r="BB167" i="1" s="1"/>
  <c r="M177" i="3"/>
  <c r="BA167" i="1" s="1"/>
  <c r="N176" i="3"/>
  <c r="BB166" i="1" s="1"/>
  <c r="O176" i="3"/>
  <c r="BC166" i="1" s="1"/>
  <c r="L176" i="3"/>
  <c r="AZ166" i="1" s="1"/>
  <c r="K176" i="3"/>
  <c r="AY166" i="1" s="1"/>
  <c r="M176" i="3"/>
  <c r="BA166" i="1" s="1"/>
  <c r="O175" i="3"/>
  <c r="BC165" i="1" s="1"/>
  <c r="L175" i="3"/>
  <c r="AZ165" i="1" s="1"/>
  <c r="N175" i="3"/>
  <c r="BB165" i="1" s="1"/>
  <c r="K175" i="3"/>
  <c r="AY165" i="1" s="1"/>
  <c r="M175" i="3"/>
  <c r="BA165" i="1" s="1"/>
  <c r="K174" i="3"/>
  <c r="AY164" i="1" s="1"/>
  <c r="L174" i="3"/>
  <c r="AZ164" i="1" s="1"/>
  <c r="N174" i="3"/>
  <c r="BB164" i="1" s="1"/>
  <c r="O174" i="3"/>
  <c r="BC164" i="1" s="1"/>
  <c r="M174" i="3"/>
  <c r="BA164" i="1" s="1"/>
  <c r="K173" i="3"/>
  <c r="AY163" i="1" s="1"/>
  <c r="M173" i="3"/>
  <c r="BA163" i="1" s="1"/>
  <c r="L173" i="3"/>
  <c r="AZ163" i="1" s="1"/>
  <c r="O173" i="3"/>
  <c r="BC163" i="1" s="1"/>
  <c r="N173" i="3"/>
  <c r="BB163" i="1" s="1"/>
  <c r="N172" i="3"/>
  <c r="BB162" i="1" s="1"/>
  <c r="O172" i="3"/>
  <c r="BC162" i="1" s="1"/>
  <c r="K172" i="3"/>
  <c r="AY162" i="1" s="1"/>
  <c r="L172" i="3"/>
  <c r="AZ162" i="1" s="1"/>
  <c r="M172" i="3"/>
  <c r="BA162" i="1" s="1"/>
  <c r="K171" i="3"/>
  <c r="AY161" i="1" s="1"/>
  <c r="O171" i="3"/>
  <c r="BC161" i="1" s="1"/>
  <c r="L171" i="3"/>
  <c r="AZ161" i="1" s="1"/>
  <c r="N171" i="3"/>
  <c r="BB161" i="1" s="1"/>
  <c r="M171" i="3"/>
  <c r="BA161" i="1" s="1"/>
  <c r="O170" i="3"/>
  <c r="BC160" i="1" s="1"/>
  <c r="K170" i="3"/>
  <c r="AY160" i="1" s="1"/>
  <c r="M170" i="3"/>
  <c r="BA160" i="1" s="1"/>
  <c r="L170" i="3"/>
  <c r="AZ160" i="1" s="1"/>
  <c r="N170" i="3"/>
  <c r="BB160" i="1" s="1"/>
  <c r="O169" i="3"/>
  <c r="BC159" i="1" s="1"/>
  <c r="L169" i="3"/>
  <c r="AZ159" i="1" s="1"/>
  <c r="N169" i="3"/>
  <c r="BB159" i="1" s="1"/>
  <c r="K169" i="3"/>
  <c r="AY159" i="1" s="1"/>
  <c r="M169" i="3"/>
  <c r="BA159" i="1" s="1"/>
  <c r="O168" i="3"/>
  <c r="BC158" i="1" s="1"/>
  <c r="N168" i="3"/>
  <c r="BB158" i="1" s="1"/>
  <c r="L168" i="3"/>
  <c r="AZ158" i="1" s="1"/>
  <c r="M168" i="3"/>
  <c r="BA158" i="1" s="1"/>
  <c r="K168" i="3"/>
  <c r="AY158" i="1" s="1"/>
  <c r="O167" i="3"/>
  <c r="BC157" i="1" s="1"/>
  <c r="L167" i="3"/>
  <c r="AZ157" i="1" s="1"/>
  <c r="M167" i="3"/>
  <c r="BA157" i="1" s="1"/>
  <c r="K167" i="3"/>
  <c r="AY157" i="1" s="1"/>
  <c r="N167" i="3"/>
  <c r="BB157" i="1" s="1"/>
  <c r="N166" i="3"/>
  <c r="BB156" i="1" s="1"/>
  <c r="O166" i="3"/>
  <c r="BC156" i="1" s="1"/>
  <c r="L166" i="3"/>
  <c r="AZ156" i="1" s="1"/>
  <c r="K166" i="3"/>
  <c r="AY156" i="1" s="1"/>
  <c r="M166" i="3"/>
  <c r="BA156" i="1" s="1"/>
  <c r="N165" i="3"/>
  <c r="BB155" i="1" s="1"/>
  <c r="M165" i="3"/>
  <c r="BA155" i="1" s="1"/>
  <c r="O165" i="3"/>
  <c r="BC155" i="1" s="1"/>
  <c r="L165" i="3"/>
  <c r="AZ155" i="1" s="1"/>
  <c r="K165" i="3"/>
  <c r="AY155" i="1" s="1"/>
  <c r="M164" i="3"/>
  <c r="BA154" i="1" s="1"/>
  <c r="K164" i="3"/>
  <c r="AY154" i="1" s="1"/>
  <c r="N164" i="3"/>
  <c r="BB154" i="1" s="1"/>
  <c r="O164" i="3"/>
  <c r="BC154" i="1" s="1"/>
  <c r="L164" i="3"/>
  <c r="AZ154" i="1" s="1"/>
  <c r="N163" i="3"/>
  <c r="BB153" i="1" s="1"/>
  <c r="O163" i="3"/>
  <c r="BC153" i="1" s="1"/>
  <c r="K163" i="3"/>
  <c r="AY153" i="1" s="1"/>
  <c r="L163" i="3"/>
  <c r="AZ153" i="1" s="1"/>
  <c r="M163" i="3"/>
  <c r="BA153" i="1" s="1"/>
  <c r="K162" i="3"/>
  <c r="AY152" i="1" s="1"/>
  <c r="O162" i="3"/>
  <c r="BC152" i="1" s="1"/>
  <c r="L162" i="3"/>
  <c r="AZ152" i="1" s="1"/>
  <c r="M162" i="3"/>
  <c r="BA152" i="1" s="1"/>
  <c r="N162" i="3"/>
  <c r="BB152" i="1" s="1"/>
  <c r="O161" i="3"/>
  <c r="BC151" i="1" s="1"/>
  <c r="K161" i="3"/>
  <c r="AY151" i="1" s="1"/>
  <c r="N161" i="3"/>
  <c r="BB151" i="1" s="1"/>
  <c r="L161" i="3"/>
  <c r="AZ151" i="1" s="1"/>
  <c r="M161" i="3"/>
  <c r="BA151" i="1" s="1"/>
  <c r="O160" i="3"/>
  <c r="BC150" i="1" s="1"/>
  <c r="L160" i="3"/>
  <c r="AZ150" i="1" s="1"/>
  <c r="N160" i="3"/>
  <c r="BB150" i="1" s="1"/>
  <c r="K160" i="3"/>
  <c r="AY150" i="1" s="1"/>
  <c r="M160" i="3"/>
  <c r="BA150" i="1" s="1"/>
  <c r="M159" i="3"/>
  <c r="BA149" i="1" s="1"/>
  <c r="K159" i="3"/>
  <c r="AY149" i="1" s="1"/>
  <c r="N159" i="3"/>
  <c r="BB149" i="1" s="1"/>
  <c r="L159" i="3"/>
  <c r="AZ149" i="1" s="1"/>
  <c r="O159" i="3"/>
  <c r="BC149" i="1" s="1"/>
  <c r="K158" i="3"/>
  <c r="AY148" i="1" s="1"/>
  <c r="L158" i="3"/>
  <c r="AZ148" i="1" s="1"/>
  <c r="N158" i="3"/>
  <c r="BB148" i="1" s="1"/>
  <c r="M158" i="3"/>
  <c r="BA148" i="1" s="1"/>
  <c r="O158" i="3"/>
  <c r="BC148" i="1" s="1"/>
  <c r="O157" i="3"/>
  <c r="BC147" i="1" s="1"/>
  <c r="M157" i="3"/>
  <c r="BA147" i="1" s="1"/>
  <c r="K157" i="3"/>
  <c r="AY147" i="1" s="1"/>
  <c r="N157" i="3"/>
  <c r="BB147" i="1" s="1"/>
  <c r="L157" i="3"/>
  <c r="AZ147" i="1" s="1"/>
  <c r="L156" i="3"/>
  <c r="AZ146" i="1" s="1"/>
  <c r="N156" i="3"/>
  <c r="BB146" i="1" s="1"/>
  <c r="M156" i="3"/>
  <c r="BA146" i="1" s="1"/>
  <c r="O156" i="3"/>
  <c r="BC146" i="1" s="1"/>
  <c r="K156" i="3"/>
  <c r="AY146" i="1" s="1"/>
  <c r="M155" i="3"/>
  <c r="BA145" i="1" s="1"/>
  <c r="O155" i="3"/>
  <c r="BC145" i="1" s="1"/>
  <c r="N155" i="3"/>
  <c r="BB145" i="1" s="1"/>
  <c r="K155" i="3"/>
  <c r="AY145" i="1" s="1"/>
  <c r="L155" i="3"/>
  <c r="AZ145" i="1" s="1"/>
  <c r="O154" i="3"/>
  <c r="BC144" i="1" s="1"/>
  <c r="K154" i="3"/>
  <c r="AY144" i="1" s="1"/>
  <c r="M154" i="3"/>
  <c r="BA144" i="1" s="1"/>
  <c r="L154" i="3"/>
  <c r="AZ144" i="1" s="1"/>
  <c r="N154" i="3"/>
  <c r="BB144" i="1" s="1"/>
  <c r="N153" i="3"/>
  <c r="BB143" i="1" s="1"/>
  <c r="K153" i="3"/>
  <c r="AY143" i="1" s="1"/>
  <c r="M153" i="3"/>
  <c r="BA143" i="1" s="1"/>
  <c r="L153" i="3"/>
  <c r="AZ143" i="1" s="1"/>
  <c r="O153" i="3"/>
  <c r="BC143" i="1" s="1"/>
  <c r="O152" i="3"/>
  <c r="BC142" i="1" s="1"/>
  <c r="K152" i="3"/>
  <c r="AY142" i="1" s="1"/>
  <c r="L152" i="3"/>
  <c r="AZ142" i="1" s="1"/>
  <c r="N152" i="3"/>
  <c r="BB142" i="1" s="1"/>
  <c r="M152" i="3"/>
  <c r="BA142" i="1" s="1"/>
  <c r="M151" i="3"/>
  <c r="BA141" i="1" s="1"/>
  <c r="O151" i="3"/>
  <c r="BC141" i="1" s="1"/>
  <c r="L151" i="3"/>
  <c r="AZ141" i="1" s="1"/>
  <c r="K151" i="3"/>
  <c r="AY141" i="1" s="1"/>
  <c r="N151" i="3"/>
  <c r="BB141" i="1" s="1"/>
  <c r="L150" i="3"/>
  <c r="AZ140" i="1" s="1"/>
  <c r="O150" i="3"/>
  <c r="BC140" i="1" s="1"/>
  <c r="M150" i="3"/>
  <c r="BA140" i="1" s="1"/>
  <c r="N150" i="3"/>
  <c r="BB140" i="1" s="1"/>
  <c r="K150" i="3"/>
  <c r="AY140" i="1" s="1"/>
  <c r="K149" i="3"/>
  <c r="AY139" i="1" s="1"/>
  <c r="M149" i="3"/>
  <c r="BA139" i="1" s="1"/>
  <c r="L149" i="3"/>
  <c r="AZ139" i="1" s="1"/>
  <c r="N149" i="3"/>
  <c r="BB139" i="1" s="1"/>
  <c r="O149" i="3"/>
  <c r="BC139" i="1" s="1"/>
  <c r="N148" i="3"/>
  <c r="BB138" i="1" s="1"/>
  <c r="O148" i="3"/>
  <c r="BC138" i="1" s="1"/>
  <c r="M148" i="3"/>
  <c r="BA138" i="1" s="1"/>
  <c r="L148" i="3"/>
  <c r="AZ138" i="1" s="1"/>
  <c r="K148" i="3"/>
  <c r="AY138" i="1" s="1"/>
  <c r="L147" i="3"/>
  <c r="AZ137" i="1" s="1"/>
  <c r="O147" i="3"/>
  <c r="BC137" i="1" s="1"/>
  <c r="K147" i="3"/>
  <c r="AY137" i="1" s="1"/>
  <c r="N147" i="3"/>
  <c r="BB137" i="1" s="1"/>
  <c r="M147" i="3"/>
  <c r="BA137" i="1" s="1"/>
  <c r="K146" i="3"/>
  <c r="AY136" i="1" s="1"/>
  <c r="N146" i="3"/>
  <c r="BB136" i="1" s="1"/>
  <c r="L146" i="3"/>
  <c r="AZ136" i="1" s="1"/>
  <c r="M146" i="3"/>
  <c r="BA136" i="1" s="1"/>
  <c r="O146" i="3"/>
  <c r="BC136" i="1" s="1"/>
  <c r="N145" i="3"/>
  <c r="BB135" i="1" s="1"/>
  <c r="K145" i="3"/>
  <c r="AY135" i="1" s="1"/>
  <c r="M145" i="3"/>
  <c r="BA135" i="1" s="1"/>
  <c r="O145" i="3"/>
  <c r="BC135" i="1" s="1"/>
  <c r="L145" i="3"/>
  <c r="AZ135" i="1" s="1"/>
  <c r="N144" i="3"/>
  <c r="BB134" i="1" s="1"/>
  <c r="K144" i="3"/>
  <c r="AY134" i="1" s="1"/>
  <c r="M144" i="3"/>
  <c r="BA134" i="1" s="1"/>
  <c r="O144" i="3"/>
  <c r="BC134" i="1" s="1"/>
  <c r="L144" i="3"/>
  <c r="AZ134" i="1" s="1"/>
  <c r="M143" i="3"/>
  <c r="BA133" i="1" s="1"/>
  <c r="N143" i="3"/>
  <c r="BB133" i="1" s="1"/>
  <c r="O143" i="3"/>
  <c r="BC133" i="1" s="1"/>
  <c r="L143" i="3"/>
  <c r="AZ133" i="1" s="1"/>
  <c r="K143" i="3"/>
  <c r="AY133" i="1" s="1"/>
  <c r="L142" i="3"/>
  <c r="AZ132" i="1" s="1"/>
  <c r="K142" i="3"/>
  <c r="AY132" i="1" s="1"/>
  <c r="M142" i="3"/>
  <c r="BA132" i="1" s="1"/>
  <c r="N142" i="3"/>
  <c r="BB132" i="1" s="1"/>
  <c r="O142" i="3"/>
  <c r="BC132" i="1" s="1"/>
  <c r="K141" i="3"/>
  <c r="AY131" i="1" s="1"/>
  <c r="L141" i="3"/>
  <c r="AZ131" i="1" s="1"/>
  <c r="O141" i="3"/>
  <c r="BC131" i="1" s="1"/>
  <c r="N141" i="3"/>
  <c r="BB131" i="1" s="1"/>
  <c r="M141" i="3"/>
  <c r="BA131" i="1" s="1"/>
  <c r="L140" i="3"/>
  <c r="AZ130" i="1" s="1"/>
  <c r="K140" i="3"/>
  <c r="AY130" i="1" s="1"/>
  <c r="M140" i="3"/>
  <c r="BA130" i="1" s="1"/>
  <c r="O140" i="3"/>
  <c r="BC130" i="1" s="1"/>
  <c r="N140" i="3"/>
  <c r="BB130" i="1" s="1"/>
  <c r="K139" i="3"/>
  <c r="AY129" i="1" s="1"/>
  <c r="N139" i="3"/>
  <c r="BB129" i="1" s="1"/>
  <c r="O139" i="3"/>
  <c r="BC129" i="1" s="1"/>
  <c r="M139" i="3"/>
  <c r="BA129" i="1" s="1"/>
  <c r="L139" i="3"/>
  <c r="AZ129" i="1" s="1"/>
  <c r="O138" i="3"/>
  <c r="BC128" i="1" s="1"/>
  <c r="M138" i="3"/>
  <c r="BA128" i="1" s="1"/>
  <c r="N138" i="3"/>
  <c r="BB128" i="1" s="1"/>
  <c r="L138" i="3"/>
  <c r="AZ128" i="1" s="1"/>
  <c r="K138" i="3"/>
  <c r="AY128" i="1" s="1"/>
  <c r="N137" i="3"/>
  <c r="BB127" i="1" s="1"/>
  <c r="M137" i="3"/>
  <c r="BA127" i="1" s="1"/>
  <c r="O137" i="3"/>
  <c r="BC127" i="1" s="1"/>
  <c r="K137" i="3"/>
  <c r="AY127" i="1" s="1"/>
  <c r="L137" i="3"/>
  <c r="AZ127" i="1" s="1"/>
  <c r="O136" i="3"/>
  <c r="BC126" i="1" s="1"/>
  <c r="L136" i="3"/>
  <c r="AZ126" i="1" s="1"/>
  <c r="N136" i="3"/>
  <c r="BB126" i="1" s="1"/>
  <c r="M136" i="3"/>
  <c r="BA126" i="1" s="1"/>
  <c r="K136" i="3"/>
  <c r="AY126" i="1" s="1"/>
  <c r="L135" i="3"/>
  <c r="AZ125" i="1" s="1"/>
  <c r="M135" i="3"/>
  <c r="BA125" i="1" s="1"/>
  <c r="N135" i="3"/>
  <c r="BB125" i="1" s="1"/>
  <c r="K135" i="3"/>
  <c r="AY125" i="1" s="1"/>
  <c r="O135" i="3"/>
  <c r="BC125" i="1" s="1"/>
  <c r="N134" i="3"/>
  <c r="BB124" i="1" s="1"/>
  <c r="O134" i="3"/>
  <c r="BC124" i="1" s="1"/>
  <c r="L134" i="3"/>
  <c r="AZ124" i="1" s="1"/>
  <c r="M134" i="3"/>
  <c r="BA124" i="1" s="1"/>
  <c r="K134" i="3"/>
  <c r="AY124" i="1" s="1"/>
  <c r="N133" i="3"/>
  <c r="BB123" i="1" s="1"/>
  <c r="K133" i="3"/>
  <c r="AY123" i="1" s="1"/>
  <c r="L133" i="3"/>
  <c r="AZ123" i="1" s="1"/>
  <c r="M133" i="3"/>
  <c r="BA123" i="1" s="1"/>
  <c r="O133" i="3"/>
  <c r="BC123" i="1" s="1"/>
  <c r="L132" i="3"/>
  <c r="AZ122" i="1" s="1"/>
  <c r="N132" i="3"/>
  <c r="BB122" i="1" s="1"/>
  <c r="O132" i="3"/>
  <c r="BC122" i="1" s="1"/>
  <c r="M132" i="3"/>
  <c r="BA122" i="1" s="1"/>
  <c r="K132" i="3"/>
  <c r="AY122" i="1" s="1"/>
  <c r="O131" i="3"/>
  <c r="BC121" i="1" s="1"/>
  <c r="K131" i="3"/>
  <c r="AY121" i="1" s="1"/>
  <c r="N131" i="3"/>
  <c r="BB121" i="1" s="1"/>
  <c r="M131" i="3"/>
  <c r="BA121" i="1" s="1"/>
  <c r="L131" i="3"/>
  <c r="AZ121" i="1" s="1"/>
  <c r="M130" i="3"/>
  <c r="BA120" i="1" s="1"/>
  <c r="K130" i="3"/>
  <c r="AY120" i="1" s="1"/>
  <c r="L130" i="3"/>
  <c r="AZ120" i="1" s="1"/>
  <c r="O130" i="3"/>
  <c r="BC120" i="1" s="1"/>
  <c r="N130" i="3"/>
  <c r="BB120" i="1" s="1"/>
  <c r="K129" i="3"/>
  <c r="AY119" i="1" s="1"/>
  <c r="N129" i="3"/>
  <c r="BB119" i="1" s="1"/>
  <c r="O129" i="3"/>
  <c r="BC119" i="1" s="1"/>
  <c r="L129" i="3"/>
  <c r="AZ119" i="1" s="1"/>
  <c r="M129" i="3"/>
  <c r="BA119" i="1" s="1"/>
  <c r="O128" i="3"/>
  <c r="BC118" i="1" s="1"/>
  <c r="L128" i="3"/>
  <c r="AZ118" i="1" s="1"/>
  <c r="M128" i="3"/>
  <c r="BA118" i="1" s="1"/>
  <c r="N128" i="3"/>
  <c r="BB118" i="1" s="1"/>
  <c r="K128" i="3"/>
  <c r="AY118" i="1" s="1"/>
  <c r="M127" i="3"/>
  <c r="BA117" i="1" s="1"/>
  <c r="K127" i="3"/>
  <c r="AY117" i="1" s="1"/>
  <c r="O127" i="3"/>
  <c r="BC117" i="1" s="1"/>
  <c r="N127" i="3"/>
  <c r="BB117" i="1" s="1"/>
  <c r="L127" i="3"/>
  <c r="AZ117" i="1" s="1"/>
  <c r="M126" i="3"/>
  <c r="BA116" i="1" s="1"/>
  <c r="N126" i="3"/>
  <c r="BB116" i="1" s="1"/>
  <c r="L126" i="3"/>
  <c r="AZ116" i="1" s="1"/>
  <c r="K126" i="3"/>
  <c r="AY116" i="1" s="1"/>
  <c r="O126" i="3"/>
  <c r="BC116" i="1" s="1"/>
  <c r="O125" i="3"/>
  <c r="BC115" i="1" s="1"/>
  <c r="L125" i="3"/>
  <c r="AZ115" i="1" s="1"/>
  <c r="K125" i="3"/>
  <c r="AY115" i="1" s="1"/>
  <c r="N125" i="3"/>
  <c r="BB115" i="1" s="1"/>
  <c r="M125" i="3"/>
  <c r="BA115" i="1" s="1"/>
  <c r="L124" i="3"/>
  <c r="AZ114" i="1" s="1"/>
  <c r="M124" i="3"/>
  <c r="BA114" i="1" s="1"/>
  <c r="O124" i="3"/>
  <c r="BC114" i="1" s="1"/>
  <c r="N124" i="3"/>
  <c r="BB114" i="1" s="1"/>
  <c r="K124" i="3"/>
  <c r="AY114" i="1" s="1"/>
  <c r="M123" i="3"/>
  <c r="BA113" i="1" s="1"/>
  <c r="O123" i="3"/>
  <c r="BC113" i="1" s="1"/>
  <c r="L123" i="3"/>
  <c r="AZ113" i="1" s="1"/>
  <c r="K123" i="3"/>
  <c r="AY113" i="1" s="1"/>
  <c r="N123" i="3"/>
  <c r="BB113" i="1" s="1"/>
  <c r="O122" i="3"/>
  <c r="BC112" i="1" s="1"/>
  <c r="K122" i="3"/>
  <c r="AY112" i="1" s="1"/>
  <c r="N122" i="3"/>
  <c r="BB112" i="1" s="1"/>
  <c r="L122" i="3"/>
  <c r="AZ112" i="1" s="1"/>
  <c r="M122" i="3"/>
  <c r="BA112" i="1" s="1"/>
  <c r="N121" i="3"/>
  <c r="BB111" i="1" s="1"/>
  <c r="M121" i="3"/>
  <c r="BA111" i="1" s="1"/>
  <c r="O121" i="3"/>
  <c r="BC111" i="1" s="1"/>
  <c r="K121" i="3"/>
  <c r="AY111" i="1" s="1"/>
  <c r="L121" i="3"/>
  <c r="AZ111" i="1" s="1"/>
  <c r="O120" i="3"/>
  <c r="BC110" i="1" s="1"/>
  <c r="M120" i="3"/>
  <c r="BA110" i="1" s="1"/>
  <c r="N120" i="3"/>
  <c r="BB110" i="1" s="1"/>
  <c r="L120" i="3"/>
  <c r="AZ110" i="1" s="1"/>
  <c r="K120" i="3"/>
  <c r="AY110" i="1" s="1"/>
  <c r="K119" i="3"/>
  <c r="AY109" i="1" s="1"/>
  <c r="L119" i="3"/>
  <c r="AZ109" i="1" s="1"/>
  <c r="O119" i="3"/>
  <c r="BC109" i="1" s="1"/>
  <c r="M119" i="3"/>
  <c r="BA109" i="1" s="1"/>
  <c r="N119" i="3"/>
  <c r="BB109" i="1" s="1"/>
  <c r="L118" i="3"/>
  <c r="AZ108" i="1" s="1"/>
  <c r="M118" i="3"/>
  <c r="BA108" i="1" s="1"/>
  <c r="O118" i="3"/>
  <c r="BC108" i="1" s="1"/>
  <c r="N118" i="3"/>
  <c r="BB108" i="1" s="1"/>
  <c r="K118" i="3"/>
  <c r="AY108" i="1" s="1"/>
  <c r="M117" i="3"/>
  <c r="BA107" i="1" s="1"/>
  <c r="K117" i="3"/>
  <c r="AY107" i="1" s="1"/>
  <c r="L117" i="3"/>
  <c r="AZ107" i="1" s="1"/>
  <c r="N117" i="3"/>
  <c r="BB107" i="1" s="1"/>
  <c r="O117" i="3"/>
  <c r="BC107" i="1" s="1"/>
  <c r="M116" i="3"/>
  <c r="BA106" i="1" s="1"/>
  <c r="N116" i="3"/>
  <c r="BB106" i="1" s="1"/>
  <c r="K116" i="3"/>
  <c r="AY106" i="1" s="1"/>
  <c r="L116" i="3"/>
  <c r="AZ106" i="1" s="1"/>
  <c r="O116" i="3"/>
  <c r="BC106" i="1" s="1"/>
  <c r="K115" i="3"/>
  <c r="AY105" i="1" s="1"/>
  <c r="L115" i="3"/>
  <c r="AZ105" i="1" s="1"/>
  <c r="N115" i="3"/>
  <c r="BB105" i="1" s="1"/>
  <c r="M115" i="3"/>
  <c r="BA105" i="1" s="1"/>
  <c r="O115" i="3"/>
  <c r="BC105" i="1" s="1"/>
  <c r="K114" i="3"/>
  <c r="AY104" i="1" s="1"/>
  <c r="L114" i="3"/>
  <c r="AZ104" i="1" s="1"/>
  <c r="M114" i="3"/>
  <c r="BA104" i="1" s="1"/>
  <c r="O114" i="3"/>
  <c r="BC104" i="1" s="1"/>
  <c r="N114" i="3"/>
  <c r="BB104" i="1" s="1"/>
  <c r="L113" i="3"/>
  <c r="AZ103" i="1" s="1"/>
  <c r="K113" i="3"/>
  <c r="AY103" i="1" s="1"/>
  <c r="M113" i="3"/>
  <c r="BA103" i="1" s="1"/>
  <c r="N113" i="3"/>
  <c r="BB103" i="1" s="1"/>
  <c r="O113" i="3"/>
  <c r="BC103" i="1" s="1"/>
  <c r="N112" i="3"/>
  <c r="BB102" i="1" s="1"/>
  <c r="K112" i="3"/>
  <c r="AY102" i="1" s="1"/>
  <c r="L112" i="3"/>
  <c r="AZ102" i="1" s="1"/>
  <c r="M112" i="3"/>
  <c r="BA102" i="1" s="1"/>
  <c r="O112" i="3"/>
  <c r="BC102" i="1" s="1"/>
  <c r="M111" i="3"/>
  <c r="BA101" i="1" s="1"/>
  <c r="O111" i="3"/>
  <c r="BC101" i="1" s="1"/>
  <c r="N111" i="3"/>
  <c r="BB101" i="1" s="1"/>
  <c r="L111" i="3"/>
  <c r="AZ101" i="1" s="1"/>
  <c r="K111" i="3"/>
  <c r="AY101" i="1" s="1"/>
  <c r="O110" i="3"/>
  <c r="BC100" i="1" s="1"/>
  <c r="M110" i="3"/>
  <c r="BA100" i="1" s="1"/>
  <c r="K110" i="3"/>
  <c r="AY100" i="1" s="1"/>
  <c r="L110" i="3"/>
  <c r="AZ100" i="1" s="1"/>
  <c r="N109" i="3"/>
  <c r="BB99" i="1" s="1"/>
  <c r="O109" i="3"/>
  <c r="BC99" i="1" s="1"/>
  <c r="K109" i="3"/>
  <c r="AY99" i="1" s="1"/>
  <c r="L109" i="3"/>
  <c r="AZ99" i="1" s="1"/>
  <c r="M109" i="3"/>
  <c r="BA99" i="1" s="1"/>
  <c r="M108" i="3"/>
  <c r="BA98" i="1" s="1"/>
  <c r="K108" i="3"/>
  <c r="AY98" i="1" s="1"/>
  <c r="N108" i="3"/>
  <c r="BB98" i="1" s="1"/>
  <c r="O108" i="3"/>
  <c r="BC98" i="1" s="1"/>
  <c r="L108" i="3"/>
  <c r="AZ98" i="1" s="1"/>
  <c r="L107" i="3"/>
  <c r="AZ97" i="1" s="1"/>
  <c r="M107" i="3"/>
  <c r="BA97" i="1" s="1"/>
  <c r="K107" i="3"/>
  <c r="AY97" i="1" s="1"/>
  <c r="N107" i="3"/>
  <c r="BB97" i="1" s="1"/>
  <c r="O107" i="3"/>
  <c r="BC97" i="1" s="1"/>
  <c r="M106" i="3"/>
  <c r="BA96" i="1" s="1"/>
  <c r="L106" i="3"/>
  <c r="AZ96" i="1" s="1"/>
  <c r="K106" i="3"/>
  <c r="AY96" i="1" s="1"/>
  <c r="O106" i="3"/>
  <c r="BC96" i="1" s="1"/>
  <c r="N106" i="3"/>
  <c r="BB96" i="1" s="1"/>
  <c r="O105" i="3"/>
  <c r="BC95" i="1" s="1"/>
  <c r="N105" i="3"/>
  <c r="BB95" i="1" s="1"/>
  <c r="M105" i="3"/>
  <c r="BA95" i="1" s="1"/>
  <c r="L105" i="3"/>
  <c r="AZ95" i="1" s="1"/>
  <c r="K105" i="3"/>
  <c r="AY95" i="1" s="1"/>
  <c r="N104" i="3"/>
  <c r="BB94" i="1" s="1"/>
  <c r="K104" i="3"/>
  <c r="AY94" i="1" s="1"/>
  <c r="M104" i="3"/>
  <c r="BA94" i="1" s="1"/>
  <c r="L104" i="3"/>
  <c r="AZ94" i="1" s="1"/>
  <c r="O104" i="3"/>
  <c r="BC94" i="1" s="1"/>
  <c r="M103" i="3"/>
  <c r="BA93" i="1" s="1"/>
  <c r="K103" i="3"/>
  <c r="AY93" i="1" s="1"/>
  <c r="L103" i="3"/>
  <c r="AZ93" i="1" s="1"/>
  <c r="N103" i="3"/>
  <c r="BB93" i="1" s="1"/>
  <c r="O103" i="3"/>
  <c r="BC93" i="1" s="1"/>
  <c r="N102" i="3"/>
  <c r="BB92" i="1" s="1"/>
  <c r="M102" i="3"/>
  <c r="BA92" i="1" s="1"/>
  <c r="O102" i="3"/>
  <c r="BC92" i="1" s="1"/>
  <c r="L102" i="3"/>
  <c r="AZ92" i="1" s="1"/>
  <c r="K102" i="3"/>
  <c r="AY92" i="1" s="1"/>
  <c r="N101" i="3"/>
  <c r="BB91" i="1" s="1"/>
  <c r="O101" i="3"/>
  <c r="BC91" i="1" s="1"/>
  <c r="K101" i="3"/>
  <c r="AY91" i="1" s="1"/>
  <c r="L101" i="3"/>
  <c r="AZ91" i="1" s="1"/>
  <c r="M101" i="3"/>
  <c r="BA91" i="1" s="1"/>
  <c r="N100" i="3"/>
  <c r="BB90" i="1" s="1"/>
  <c r="K100" i="3"/>
  <c r="AY90" i="1" s="1"/>
  <c r="O100" i="3"/>
  <c r="BC90" i="1" s="1"/>
  <c r="L100" i="3"/>
  <c r="AZ90" i="1" s="1"/>
  <c r="M100" i="3"/>
  <c r="BA90" i="1" s="1"/>
  <c r="N99" i="3"/>
  <c r="BB89" i="1" s="1"/>
  <c r="M99" i="3"/>
  <c r="BA89" i="1" s="1"/>
  <c r="L99" i="3"/>
  <c r="AZ89" i="1" s="1"/>
  <c r="K99" i="3"/>
  <c r="AY89" i="1" s="1"/>
  <c r="N98" i="3"/>
  <c r="BB88" i="1" s="1"/>
  <c r="O98" i="3"/>
  <c r="BC88" i="1" s="1"/>
  <c r="L98" i="3"/>
  <c r="AZ88" i="1" s="1"/>
  <c r="M98" i="3"/>
  <c r="BA88" i="1" s="1"/>
  <c r="K98" i="3"/>
  <c r="AY88" i="1" s="1"/>
  <c r="L97" i="3"/>
  <c r="AZ87" i="1" s="1"/>
  <c r="N97" i="3"/>
  <c r="BB87" i="1" s="1"/>
  <c r="K97" i="3"/>
  <c r="AY87" i="1" s="1"/>
  <c r="M97" i="3"/>
  <c r="BA87" i="1" s="1"/>
  <c r="O97" i="3"/>
  <c r="BC87" i="1" s="1"/>
  <c r="N96" i="3"/>
  <c r="BB86" i="1" s="1"/>
  <c r="O96" i="3"/>
  <c r="BC86" i="1" s="1"/>
  <c r="K96" i="3"/>
  <c r="AY86" i="1" s="1"/>
  <c r="M96" i="3"/>
  <c r="BA86" i="1" s="1"/>
  <c r="L96" i="3"/>
  <c r="AZ86" i="1" s="1"/>
  <c r="O95" i="3"/>
  <c r="BC85" i="1" s="1"/>
  <c r="N95" i="3"/>
  <c r="BB85" i="1" s="1"/>
  <c r="L95" i="3"/>
  <c r="AZ85" i="1" s="1"/>
  <c r="M95" i="3"/>
  <c r="BA85" i="1" s="1"/>
  <c r="K95" i="3"/>
  <c r="AY85" i="1" s="1"/>
  <c r="M94" i="3"/>
  <c r="BA84" i="1" s="1"/>
  <c r="N94" i="3"/>
  <c r="BB84" i="1" s="1"/>
  <c r="O94" i="3"/>
  <c r="BC84" i="1" s="1"/>
  <c r="K94" i="3"/>
  <c r="AY84" i="1" s="1"/>
  <c r="L94" i="3"/>
  <c r="AZ84" i="1" s="1"/>
  <c r="L93" i="3"/>
  <c r="AZ83" i="1" s="1"/>
  <c r="K93" i="3"/>
  <c r="AY83" i="1" s="1"/>
  <c r="O93" i="3"/>
  <c r="BC83" i="1" s="1"/>
  <c r="M93" i="3"/>
  <c r="BA83" i="1" s="1"/>
  <c r="N93" i="3"/>
  <c r="BB83" i="1" s="1"/>
  <c r="L92" i="3"/>
  <c r="AZ82" i="1" s="1"/>
  <c r="K92" i="3"/>
  <c r="AY82" i="1" s="1"/>
  <c r="M92" i="3"/>
  <c r="BA82" i="1" s="1"/>
  <c r="N92" i="3"/>
  <c r="BB82" i="1" s="1"/>
  <c r="O92" i="3"/>
  <c r="BC82" i="1" s="1"/>
  <c r="M91" i="3"/>
  <c r="BA81" i="1" s="1"/>
  <c r="L91" i="3"/>
  <c r="AZ81" i="1" s="1"/>
  <c r="O91" i="3"/>
  <c r="BC81" i="1" s="1"/>
  <c r="K91" i="3"/>
  <c r="AY81" i="1" s="1"/>
  <c r="N91" i="3"/>
  <c r="BB81" i="1" s="1"/>
  <c r="K90" i="3"/>
  <c r="AY80" i="1" s="1"/>
  <c r="L90" i="3"/>
  <c r="AZ80" i="1" s="1"/>
  <c r="O90" i="3"/>
  <c r="BC80" i="1" s="1"/>
  <c r="N90" i="3"/>
  <c r="BB80" i="1" s="1"/>
  <c r="L89" i="3"/>
  <c r="AZ79" i="1" s="1"/>
  <c r="M89" i="3"/>
  <c r="BA79" i="1" s="1"/>
  <c r="K89" i="3"/>
  <c r="AY79" i="1" s="1"/>
  <c r="N89" i="3"/>
  <c r="BB79" i="1" s="1"/>
  <c r="N88" i="3"/>
  <c r="BB78" i="1" s="1"/>
  <c r="O88" i="3"/>
  <c r="BC78" i="1" s="1"/>
  <c r="K88" i="3"/>
  <c r="AY78" i="1" s="1"/>
  <c r="L88" i="3"/>
  <c r="AZ78" i="1" s="1"/>
  <c r="M88" i="3"/>
  <c r="BA78" i="1" s="1"/>
  <c r="M87" i="3"/>
  <c r="BA77" i="1" s="1"/>
  <c r="K87" i="3"/>
  <c r="AY77" i="1" s="1"/>
  <c r="N87" i="3"/>
  <c r="BB77" i="1" s="1"/>
  <c r="L87" i="3"/>
  <c r="AZ77" i="1" s="1"/>
  <c r="O87" i="3"/>
  <c r="BC77" i="1" s="1"/>
  <c r="M86" i="3"/>
  <c r="BA76" i="1" s="1"/>
  <c r="K86" i="3"/>
  <c r="AY76" i="1" s="1"/>
  <c r="L86" i="3"/>
  <c r="AZ76" i="1" s="1"/>
  <c r="N86" i="3"/>
  <c r="BB76" i="1" s="1"/>
  <c r="O86" i="3"/>
  <c r="BC76" i="1" s="1"/>
  <c r="O85" i="3"/>
  <c r="BC75" i="1" s="1"/>
  <c r="N85" i="3"/>
  <c r="BB75" i="1" s="1"/>
  <c r="M85" i="3"/>
  <c r="BA75" i="1" s="1"/>
  <c r="L85" i="3"/>
  <c r="AZ75" i="1" s="1"/>
  <c r="K85" i="3"/>
  <c r="AY75" i="1" s="1"/>
  <c r="N84" i="3"/>
  <c r="BB74" i="1" s="1"/>
  <c r="M84" i="3"/>
  <c r="BA74" i="1" s="1"/>
  <c r="O84" i="3"/>
  <c r="BC74" i="1" s="1"/>
  <c r="L84" i="3"/>
  <c r="AZ74" i="1" s="1"/>
  <c r="K84" i="3"/>
  <c r="AY74" i="1" s="1"/>
  <c r="O83" i="3"/>
  <c r="BC73" i="1" s="1"/>
  <c r="K83" i="3"/>
  <c r="AY73" i="1" s="1"/>
  <c r="M83" i="3"/>
  <c r="BA73" i="1" s="1"/>
  <c r="L83" i="3"/>
  <c r="AZ73" i="1" s="1"/>
  <c r="N83" i="3"/>
  <c r="BB73" i="1" s="1"/>
  <c r="K82" i="3"/>
  <c r="AY72" i="1" s="1"/>
  <c r="L82" i="3"/>
  <c r="AZ72" i="1" s="1"/>
  <c r="M82" i="3"/>
  <c r="BA72" i="1" s="1"/>
  <c r="N82" i="3"/>
  <c r="BB72" i="1" s="1"/>
  <c r="O82" i="3"/>
  <c r="BC72" i="1" s="1"/>
  <c r="K81" i="3"/>
  <c r="AY71" i="1" s="1"/>
  <c r="L81" i="3"/>
  <c r="AZ71" i="1" s="1"/>
  <c r="M81" i="3"/>
  <c r="BA71" i="1" s="1"/>
  <c r="N81" i="3"/>
  <c r="BB71" i="1" s="1"/>
  <c r="O81" i="3"/>
  <c r="BC71" i="1" s="1"/>
  <c r="K80" i="3"/>
  <c r="AY70" i="1" s="1"/>
  <c r="L80" i="3"/>
  <c r="AZ70" i="1" s="1"/>
  <c r="O80" i="3"/>
  <c r="BC70" i="1" s="1"/>
  <c r="M80" i="3"/>
  <c r="BA70" i="1" s="1"/>
  <c r="N80" i="3"/>
  <c r="BB70" i="1" s="1"/>
  <c r="K79" i="3"/>
  <c r="AY69" i="1" s="1"/>
  <c r="L79" i="3"/>
  <c r="AZ69" i="1" s="1"/>
  <c r="M79" i="3"/>
  <c r="BA69" i="1" s="1"/>
  <c r="N79" i="3"/>
  <c r="BB69" i="1" s="1"/>
  <c r="O79" i="3"/>
  <c r="BC69" i="1" s="1"/>
  <c r="M78" i="3"/>
  <c r="BA68" i="1" s="1"/>
  <c r="O78" i="3"/>
  <c r="BC68" i="1" s="1"/>
  <c r="K78" i="3"/>
  <c r="AY68" i="1" s="1"/>
  <c r="N78" i="3"/>
  <c r="BB68" i="1" s="1"/>
  <c r="L78" i="3"/>
  <c r="AZ68" i="1" s="1"/>
  <c r="L77" i="3"/>
  <c r="AZ67" i="1" s="1"/>
  <c r="M77" i="3"/>
  <c r="BA67" i="1" s="1"/>
  <c r="N77" i="3"/>
  <c r="BB67" i="1" s="1"/>
  <c r="O77" i="3"/>
  <c r="BC67" i="1" s="1"/>
  <c r="K77" i="3"/>
  <c r="AY67" i="1" s="1"/>
  <c r="O76" i="3"/>
  <c r="BC66" i="1" s="1"/>
  <c r="K76" i="3"/>
  <c r="AY66" i="1" s="1"/>
  <c r="L76" i="3"/>
  <c r="AZ66" i="1" s="1"/>
  <c r="M76" i="3"/>
  <c r="BA66" i="1" s="1"/>
  <c r="N76" i="3"/>
  <c r="BB66" i="1" s="1"/>
  <c r="L75" i="3"/>
  <c r="AZ65" i="1" s="1"/>
  <c r="M75" i="3"/>
  <c r="BA65" i="1" s="1"/>
  <c r="N75" i="3"/>
  <c r="BB65" i="1" s="1"/>
  <c r="O75" i="3"/>
  <c r="BC65" i="1" s="1"/>
  <c r="K75" i="3"/>
  <c r="AY65" i="1" s="1"/>
  <c r="N74" i="3"/>
  <c r="BB64" i="1" s="1"/>
  <c r="M74" i="3"/>
  <c r="BA64" i="1" s="1"/>
  <c r="O74" i="3"/>
  <c r="BC64" i="1" s="1"/>
  <c r="L74" i="3"/>
  <c r="AZ64" i="1" s="1"/>
  <c r="K74" i="3"/>
  <c r="AY64" i="1" s="1"/>
  <c r="O73" i="3"/>
  <c r="BC63" i="1" s="1"/>
  <c r="N73" i="3"/>
  <c r="BB63" i="1" s="1"/>
  <c r="M73" i="3"/>
  <c r="BA63" i="1" s="1"/>
  <c r="L73" i="3"/>
  <c r="AZ63" i="1" s="1"/>
  <c r="K73" i="3"/>
  <c r="AY63" i="1" s="1"/>
  <c r="L72" i="3"/>
  <c r="AZ62" i="1" s="1"/>
  <c r="M72" i="3"/>
  <c r="BA62" i="1" s="1"/>
  <c r="K72" i="3"/>
  <c r="AY62" i="1" s="1"/>
  <c r="O72" i="3"/>
  <c r="BC62" i="1" s="1"/>
  <c r="N72" i="3"/>
  <c r="BB62" i="1" s="1"/>
  <c r="M71" i="3"/>
  <c r="BA61" i="1" s="1"/>
  <c r="N71" i="3"/>
  <c r="BB61" i="1" s="1"/>
  <c r="O71" i="3"/>
  <c r="BC61" i="1" s="1"/>
  <c r="K71" i="3"/>
  <c r="AY61" i="1" s="1"/>
  <c r="L70" i="3"/>
  <c r="AZ60" i="1" s="1"/>
  <c r="K70" i="3"/>
  <c r="AY60" i="1" s="1"/>
  <c r="O70" i="3"/>
  <c r="BC60" i="1" s="1"/>
  <c r="M70" i="3"/>
  <c r="BA60" i="1" s="1"/>
  <c r="N70" i="3"/>
  <c r="BB60" i="1" s="1"/>
  <c r="N69" i="3"/>
  <c r="BB59" i="1" s="1"/>
  <c r="O69" i="3"/>
  <c r="BC59" i="1" s="1"/>
  <c r="K69" i="3"/>
  <c r="AY59" i="1" s="1"/>
  <c r="M69" i="3"/>
  <c r="BA59" i="1" s="1"/>
  <c r="L69" i="3"/>
  <c r="AZ59" i="1" s="1"/>
  <c r="O68" i="3"/>
  <c r="BC58" i="1" s="1"/>
  <c r="M68" i="3"/>
  <c r="BA58" i="1" s="1"/>
  <c r="K68" i="3"/>
  <c r="AY58" i="1" s="1"/>
  <c r="L68" i="3"/>
  <c r="AZ58" i="1" s="1"/>
  <c r="N68" i="3"/>
  <c r="BB58" i="1" s="1"/>
  <c r="M67" i="3"/>
  <c r="BA57" i="1" s="1"/>
  <c r="N67" i="3"/>
  <c r="BB57" i="1" s="1"/>
  <c r="O67" i="3"/>
  <c r="BC57" i="1" s="1"/>
  <c r="K67" i="3"/>
  <c r="AY57" i="1" s="1"/>
  <c r="L67" i="3"/>
  <c r="AZ57" i="1" s="1"/>
  <c r="N66" i="3"/>
  <c r="BB56" i="1" s="1"/>
  <c r="M66" i="3"/>
  <c r="BA56" i="1" s="1"/>
  <c r="L66" i="3"/>
  <c r="AZ56" i="1" s="1"/>
  <c r="K66" i="3"/>
  <c r="AY56" i="1" s="1"/>
  <c r="O66" i="3"/>
  <c r="BC56" i="1" s="1"/>
  <c r="L65" i="3"/>
  <c r="AZ55" i="1" s="1"/>
  <c r="O65" i="3"/>
  <c r="BC55" i="1" s="1"/>
  <c r="N65" i="3"/>
  <c r="BB55" i="1" s="1"/>
  <c r="M65" i="3"/>
  <c r="BA55" i="1" s="1"/>
  <c r="K65" i="3"/>
  <c r="AY55" i="1" s="1"/>
  <c r="O64" i="3"/>
  <c r="BC54" i="1" s="1"/>
  <c r="N64" i="3"/>
  <c r="BB54" i="1" s="1"/>
  <c r="M64" i="3"/>
  <c r="BA54" i="1" s="1"/>
  <c r="K64" i="3"/>
  <c r="AY54" i="1" s="1"/>
  <c r="L64" i="3"/>
  <c r="AZ54" i="1" s="1"/>
  <c r="N63" i="3"/>
  <c r="BB53" i="1" s="1"/>
  <c r="K63" i="3"/>
  <c r="AY53" i="1" s="1"/>
  <c r="L63" i="3"/>
  <c r="AZ53" i="1" s="1"/>
  <c r="M63" i="3"/>
  <c r="BA53" i="1" s="1"/>
  <c r="O63" i="3"/>
  <c r="BC53" i="1" s="1"/>
  <c r="M62" i="3"/>
  <c r="BA52" i="1" s="1"/>
  <c r="O62" i="3"/>
  <c r="BC52" i="1" s="1"/>
  <c r="L62" i="3"/>
  <c r="AZ52" i="1" s="1"/>
  <c r="K62" i="3"/>
  <c r="AY52" i="1" s="1"/>
  <c r="N62" i="3"/>
  <c r="BB52" i="1" s="1"/>
  <c r="L61" i="3"/>
  <c r="AZ51" i="1" s="1"/>
  <c r="O61" i="3"/>
  <c r="BC51" i="1" s="1"/>
  <c r="N61" i="3"/>
  <c r="BB51" i="1" s="1"/>
  <c r="K61" i="3"/>
  <c r="AY51" i="1" s="1"/>
  <c r="M61" i="3"/>
  <c r="BA51" i="1" s="1"/>
  <c r="L60" i="3"/>
  <c r="AZ50" i="1" s="1"/>
  <c r="K60" i="3"/>
  <c r="AY50" i="1" s="1"/>
  <c r="M60" i="3"/>
  <c r="BA50" i="1" s="1"/>
  <c r="N60" i="3"/>
  <c r="BB50" i="1" s="1"/>
  <c r="O60" i="3"/>
  <c r="BC50" i="1" s="1"/>
  <c r="L59" i="3"/>
  <c r="AZ49" i="1" s="1"/>
  <c r="N59" i="3"/>
  <c r="BB49" i="1" s="1"/>
  <c r="K59" i="3"/>
  <c r="AY49" i="1" s="1"/>
  <c r="O59" i="3"/>
  <c r="BC49" i="1" s="1"/>
  <c r="M59" i="3"/>
  <c r="BA49" i="1" s="1"/>
  <c r="N58" i="3"/>
  <c r="BB48" i="1" s="1"/>
  <c r="K58" i="3"/>
  <c r="AY48" i="1" s="1"/>
  <c r="M58" i="3"/>
  <c r="BA48" i="1" s="1"/>
  <c r="O58" i="3"/>
  <c r="BC48" i="1" s="1"/>
  <c r="L58" i="3"/>
  <c r="AZ48" i="1" s="1"/>
  <c r="N57" i="3"/>
  <c r="BB47" i="1" s="1"/>
  <c r="K57" i="3"/>
  <c r="AY47" i="1" s="1"/>
  <c r="L57" i="3"/>
  <c r="AZ47" i="1" s="1"/>
  <c r="M57" i="3"/>
  <c r="BA47" i="1" s="1"/>
  <c r="O57" i="3"/>
  <c r="BC47" i="1" s="1"/>
  <c r="L56" i="3"/>
  <c r="AZ46" i="1" s="1"/>
  <c r="M56" i="3"/>
  <c r="BA46" i="1" s="1"/>
  <c r="O56" i="3"/>
  <c r="BC46" i="1" s="1"/>
  <c r="K56" i="3"/>
  <c r="AY46" i="1" s="1"/>
  <c r="N56" i="3"/>
  <c r="BB46" i="1" s="1"/>
  <c r="O55" i="3"/>
  <c r="BC45" i="1" s="1"/>
  <c r="N55" i="3"/>
  <c r="BB45" i="1" s="1"/>
  <c r="M55" i="3"/>
  <c r="BA45" i="1" s="1"/>
  <c r="L55" i="3"/>
  <c r="AZ45" i="1" s="1"/>
  <c r="K55" i="3"/>
  <c r="AY45" i="1" s="1"/>
  <c r="M54" i="3"/>
  <c r="BA44" i="1" s="1"/>
  <c r="L54" i="3"/>
  <c r="AZ44" i="1" s="1"/>
  <c r="N54" i="3"/>
  <c r="BB44" i="1" s="1"/>
  <c r="O54" i="3"/>
  <c r="BC44" i="1" s="1"/>
  <c r="K54" i="3"/>
  <c r="AY44" i="1" s="1"/>
  <c r="N53" i="3"/>
  <c r="BB43" i="1" s="1"/>
  <c r="M53" i="3"/>
  <c r="BA43" i="1" s="1"/>
  <c r="K53" i="3"/>
  <c r="AY43" i="1" s="1"/>
  <c r="L53" i="3"/>
  <c r="AZ43" i="1" s="1"/>
  <c r="O53" i="3"/>
  <c r="BC43" i="1" s="1"/>
  <c r="K52" i="3"/>
  <c r="AY42" i="1" s="1"/>
  <c r="L52" i="3"/>
  <c r="AZ42" i="1" s="1"/>
  <c r="O52" i="3"/>
  <c r="BC42" i="1" s="1"/>
  <c r="N52" i="3"/>
  <c r="BB42" i="1" s="1"/>
  <c r="M52" i="3"/>
  <c r="BA42" i="1" s="1"/>
  <c r="L51" i="3"/>
  <c r="AZ41" i="1" s="1"/>
  <c r="K51" i="3"/>
  <c r="AY41" i="1" s="1"/>
  <c r="M51" i="3"/>
  <c r="BA41" i="1" s="1"/>
  <c r="N51" i="3"/>
  <c r="BB41" i="1" s="1"/>
  <c r="O51" i="3"/>
  <c r="BC41" i="1" s="1"/>
  <c r="K50" i="3"/>
  <c r="AY40" i="1" s="1"/>
  <c r="M50" i="3"/>
  <c r="BA40" i="1" s="1"/>
  <c r="L50" i="3"/>
  <c r="AZ40" i="1" s="1"/>
  <c r="N50" i="3"/>
  <c r="BB40" i="1" s="1"/>
  <c r="O50" i="3"/>
  <c r="BC40" i="1" s="1"/>
  <c r="K49" i="3"/>
  <c r="AY39" i="1" s="1"/>
  <c r="O49" i="3"/>
  <c r="BC39" i="1" s="1"/>
  <c r="N49" i="3"/>
  <c r="BB39" i="1" s="1"/>
  <c r="M49" i="3"/>
  <c r="BA39" i="1" s="1"/>
  <c r="L49" i="3"/>
  <c r="AZ39" i="1" s="1"/>
  <c r="M48" i="3"/>
  <c r="BA38" i="1" s="1"/>
  <c r="O48" i="3"/>
  <c r="BC38" i="1" s="1"/>
  <c r="N48" i="3"/>
  <c r="BB38" i="1" s="1"/>
  <c r="L48" i="3"/>
  <c r="AZ38" i="1" s="1"/>
  <c r="K48" i="3"/>
  <c r="AY38" i="1" s="1"/>
  <c r="N47" i="3"/>
  <c r="BB37" i="1" s="1"/>
  <c r="L47" i="3"/>
  <c r="AZ37" i="1" s="1"/>
  <c r="K47" i="3"/>
  <c r="AY37" i="1" s="1"/>
  <c r="M47" i="3"/>
  <c r="BA37" i="1" s="1"/>
  <c r="O47" i="3"/>
  <c r="BC37" i="1" s="1"/>
  <c r="K46" i="3"/>
  <c r="AY36" i="1" s="1"/>
  <c r="N46" i="3"/>
  <c r="BB36" i="1" s="1"/>
  <c r="L46" i="3"/>
  <c r="AZ36" i="1" s="1"/>
  <c r="M46" i="3"/>
  <c r="BA36" i="1" s="1"/>
  <c r="O46" i="3"/>
  <c r="BC36" i="1" s="1"/>
  <c r="O45" i="3"/>
  <c r="BC35" i="1" s="1"/>
  <c r="N45" i="3"/>
  <c r="BB35" i="1" s="1"/>
  <c r="M45" i="3"/>
  <c r="BA35" i="1" s="1"/>
  <c r="K45" i="3"/>
  <c r="AY35" i="1" s="1"/>
  <c r="L45" i="3"/>
  <c r="AZ35" i="1" s="1"/>
  <c r="O44" i="3"/>
  <c r="BC34" i="1" s="1"/>
  <c r="K44" i="3"/>
  <c r="AY34" i="1" s="1"/>
  <c r="M44" i="3"/>
  <c r="BA34" i="1" s="1"/>
  <c r="L44" i="3"/>
  <c r="AZ34" i="1" s="1"/>
  <c r="N44" i="3"/>
  <c r="BB34" i="1" s="1"/>
  <c r="N43" i="3"/>
  <c r="BB33" i="1" s="1"/>
  <c r="M43" i="3"/>
  <c r="BA33" i="1" s="1"/>
  <c r="K43" i="3"/>
  <c r="AY33" i="1" s="1"/>
  <c r="O43" i="3"/>
  <c r="BC33" i="1" s="1"/>
  <c r="L43" i="3"/>
  <c r="AZ33" i="1" s="1"/>
  <c r="K42" i="3"/>
  <c r="AY32" i="1" s="1"/>
  <c r="O42" i="3"/>
  <c r="BC32" i="1" s="1"/>
  <c r="N42" i="3"/>
  <c r="BB32" i="1" s="1"/>
  <c r="M42" i="3"/>
  <c r="BA32" i="1" s="1"/>
  <c r="L42" i="3"/>
  <c r="AZ32" i="1" s="1"/>
  <c r="L41" i="3"/>
  <c r="AZ31" i="1" s="1"/>
  <c r="O41" i="3"/>
  <c r="BC31" i="1" s="1"/>
  <c r="M41" i="3"/>
  <c r="BA31" i="1" s="1"/>
  <c r="K41" i="3"/>
  <c r="AY31" i="1" s="1"/>
  <c r="N41" i="3"/>
  <c r="BB31" i="1" s="1"/>
  <c r="K40" i="3"/>
  <c r="AY30" i="1" s="1"/>
  <c r="O40" i="3"/>
  <c r="BC30" i="1" s="1"/>
  <c r="M40" i="3"/>
  <c r="BA30" i="1" s="1"/>
  <c r="N40" i="3"/>
  <c r="BB30" i="1" s="1"/>
  <c r="L40" i="3"/>
  <c r="AZ30" i="1" s="1"/>
  <c r="N39" i="3"/>
  <c r="BB29" i="1" s="1"/>
  <c r="K39" i="3"/>
  <c r="AY29" i="1" s="1"/>
  <c r="O39" i="3"/>
  <c r="BC29" i="1" s="1"/>
  <c r="L39" i="3"/>
  <c r="AZ29" i="1" s="1"/>
  <c r="M39" i="3"/>
  <c r="BA29" i="1" s="1"/>
  <c r="M38" i="3"/>
  <c r="BA28" i="1" s="1"/>
  <c r="N38" i="3"/>
  <c r="BB28" i="1" s="1"/>
  <c r="L38" i="3"/>
  <c r="AZ28" i="1" s="1"/>
  <c r="O38" i="3"/>
  <c r="BC28" i="1" s="1"/>
  <c r="K38" i="3"/>
  <c r="AY28" i="1" s="1"/>
  <c r="O37" i="3"/>
  <c r="BC27" i="1" s="1"/>
  <c r="K37" i="3"/>
  <c r="AY27" i="1" s="1"/>
  <c r="L37" i="3"/>
  <c r="AZ27" i="1" s="1"/>
  <c r="N37" i="3"/>
  <c r="BB27" i="1" s="1"/>
  <c r="M37" i="3"/>
  <c r="BA27" i="1" s="1"/>
  <c r="L36" i="3"/>
  <c r="AZ26" i="1" s="1"/>
  <c r="K36" i="3"/>
  <c r="AY26" i="1" s="1"/>
  <c r="N36" i="3"/>
  <c r="BB26" i="1" s="1"/>
  <c r="M36" i="3"/>
  <c r="BA26" i="1" s="1"/>
  <c r="O36" i="3"/>
  <c r="BC26" i="1" s="1"/>
  <c r="O35" i="3"/>
  <c r="BC25" i="1" s="1"/>
  <c r="K35" i="3"/>
  <c r="AY25" i="1" s="1"/>
  <c r="N35" i="3"/>
  <c r="BB25" i="1" s="1"/>
  <c r="M35" i="3"/>
  <c r="BA25" i="1" s="1"/>
  <c r="L35" i="3"/>
  <c r="AZ25" i="1" s="1"/>
  <c r="M34" i="3"/>
  <c r="BA24" i="1" s="1"/>
  <c r="L34" i="3"/>
  <c r="AZ24" i="1" s="1"/>
  <c r="K34" i="3"/>
  <c r="AY24" i="1" s="1"/>
  <c r="N34" i="3"/>
  <c r="BB24" i="1" s="1"/>
  <c r="O34" i="3"/>
  <c r="BC24" i="1" s="1"/>
  <c r="K33" i="3"/>
  <c r="AY23" i="1" s="1"/>
  <c r="O33" i="3"/>
  <c r="BC23" i="1" s="1"/>
  <c r="N33" i="3"/>
  <c r="BB23" i="1" s="1"/>
  <c r="M33" i="3"/>
  <c r="BA23" i="1" s="1"/>
  <c r="L33" i="3"/>
  <c r="AZ23" i="1" s="1"/>
  <c r="L32" i="3"/>
  <c r="AZ22" i="1" s="1"/>
  <c r="O32" i="3"/>
  <c r="BC22" i="1" s="1"/>
  <c r="N32" i="3"/>
  <c r="BB22" i="1" s="1"/>
  <c r="K32" i="3"/>
  <c r="AY22" i="1" s="1"/>
  <c r="M32" i="3"/>
  <c r="BA22" i="1" s="1"/>
  <c r="N31" i="3"/>
  <c r="BB21" i="1" s="1"/>
  <c r="O31" i="3"/>
  <c r="BC21" i="1" s="1"/>
  <c r="M31" i="3"/>
  <c r="BA21" i="1" s="1"/>
  <c r="L31" i="3"/>
  <c r="AZ21" i="1" s="1"/>
  <c r="K31" i="3"/>
  <c r="AY21" i="1" s="1"/>
  <c r="O30" i="3"/>
  <c r="BC20" i="1" s="1"/>
  <c r="N30" i="3"/>
  <c r="BB20" i="1" s="1"/>
  <c r="M30" i="3"/>
  <c r="BA20" i="1" s="1"/>
  <c r="L30" i="3"/>
  <c r="AZ20" i="1" s="1"/>
  <c r="K30" i="3"/>
  <c r="AY20" i="1" s="1"/>
  <c r="M29" i="3"/>
  <c r="BA19" i="1" s="1"/>
  <c r="N29" i="3"/>
  <c r="BB19" i="1" s="1"/>
  <c r="O29" i="3"/>
  <c r="BC19" i="1" s="1"/>
  <c r="L29" i="3"/>
  <c r="AZ19" i="1" s="1"/>
  <c r="K29" i="3"/>
  <c r="AY19" i="1" s="1"/>
  <c r="M28" i="3"/>
  <c r="BA18" i="1" s="1"/>
  <c r="K28" i="3"/>
  <c r="AY18" i="1" s="1"/>
  <c r="N28" i="3"/>
  <c r="BB18" i="1" s="1"/>
  <c r="O28" i="3"/>
  <c r="BC18" i="1" s="1"/>
  <c r="L28" i="3"/>
  <c r="AZ18" i="1" s="1"/>
  <c r="K27" i="3"/>
  <c r="AY17" i="1" s="1"/>
  <c r="L27" i="3"/>
  <c r="AZ17" i="1" s="1"/>
  <c r="O27" i="3"/>
  <c r="BC17" i="1" s="1"/>
  <c r="N27" i="3"/>
  <c r="BB17" i="1" s="1"/>
  <c r="M27" i="3"/>
  <c r="BA17" i="1" s="1"/>
  <c r="O26" i="3"/>
  <c r="BC16" i="1" s="1"/>
  <c r="N26" i="3"/>
  <c r="BB16" i="1" s="1"/>
  <c r="M26" i="3"/>
  <c r="BA16" i="1" s="1"/>
  <c r="L26" i="3"/>
  <c r="AZ16" i="1" s="1"/>
  <c r="K26" i="3"/>
  <c r="AY16" i="1" s="1"/>
  <c r="M25" i="3"/>
  <c r="BA15" i="1" s="1"/>
  <c r="N25" i="3"/>
  <c r="BB15" i="1" s="1"/>
  <c r="L25" i="3"/>
  <c r="AZ15" i="1" s="1"/>
  <c r="O25" i="3"/>
  <c r="BC15" i="1" s="1"/>
  <c r="L24" i="3"/>
  <c r="AZ14" i="1" s="1"/>
  <c r="O24" i="3"/>
  <c r="BC14" i="1" s="1"/>
  <c r="N24" i="3"/>
  <c r="BB14" i="1" s="1"/>
  <c r="M24" i="3"/>
  <c r="BA14" i="1" s="1"/>
  <c r="K24" i="3"/>
  <c r="AY14" i="1" s="1"/>
  <c r="K23" i="3"/>
  <c r="AY13" i="1" s="1"/>
  <c r="L23" i="3"/>
  <c r="AZ13" i="1" s="1"/>
  <c r="M23" i="3"/>
  <c r="BA13" i="1" s="1"/>
  <c r="N23" i="3"/>
  <c r="BB13" i="1" s="1"/>
  <c r="O23" i="3"/>
  <c r="BC13" i="1" s="1"/>
  <c r="M22" i="3"/>
  <c r="BA12" i="1" s="1"/>
  <c r="K22" i="3"/>
  <c r="AY12" i="1" s="1"/>
  <c r="L22" i="3"/>
  <c r="AZ12" i="1" s="1"/>
  <c r="O22" i="3"/>
  <c r="BC12" i="1" s="1"/>
  <c r="N22" i="3"/>
  <c r="BB12" i="1" s="1"/>
  <c r="M21" i="3"/>
  <c r="BA11" i="1" s="1"/>
  <c r="L21" i="3"/>
  <c r="AZ11" i="1" s="1"/>
  <c r="N21" i="3"/>
  <c r="BB11" i="1" s="1"/>
  <c r="O21" i="3"/>
  <c r="BC11" i="1" s="1"/>
  <c r="K21" i="3"/>
  <c r="AY11" i="1" s="1"/>
  <c r="K20" i="3"/>
  <c r="AY10" i="1" s="1"/>
  <c r="L20" i="3"/>
  <c r="AZ10" i="1" s="1"/>
  <c r="M20" i="3"/>
  <c r="BA10" i="1" s="1"/>
  <c r="N20" i="3"/>
  <c r="BB10" i="1" s="1"/>
  <c r="O20" i="3"/>
  <c r="BC10" i="1" s="1"/>
  <c r="M19" i="3"/>
  <c r="BA9" i="1" s="1"/>
  <c r="N19" i="3"/>
  <c r="BB9" i="1" s="1"/>
  <c r="O19" i="3"/>
  <c r="BC9" i="1" s="1"/>
  <c r="L19" i="3"/>
  <c r="AZ9" i="1" s="1"/>
  <c r="P1579" i="5" l="1"/>
  <c r="Q1579" i="5" s="1" a="1"/>
  <c r="R1579" i="5" s="1"/>
  <c r="P1562" i="5"/>
  <c r="P1553" i="5"/>
  <c r="P1548" i="5"/>
  <c r="Q1548" i="5" s="1" a="1"/>
  <c r="R1548" i="5" s="1"/>
  <c r="P1544" i="5"/>
  <c r="P1540" i="5"/>
  <c r="P1536" i="5"/>
  <c r="Q1536" i="5" s="1" a="1"/>
  <c r="R1536" i="5" s="1"/>
  <c r="P1532" i="5"/>
  <c r="P1528" i="5"/>
  <c r="P1524" i="5"/>
  <c r="Q1524" i="5" s="1" a="1"/>
  <c r="R1524" i="5" s="1"/>
  <c r="P1520" i="5"/>
  <c r="Q1520" i="5" s="1" a="1"/>
  <c r="R1520" i="5" s="1"/>
  <c r="P1517" i="5"/>
  <c r="P1512" i="5"/>
  <c r="P1509" i="5"/>
  <c r="P1504" i="5"/>
  <c r="P1501" i="5"/>
  <c r="P1496" i="5"/>
  <c r="P1493" i="5"/>
  <c r="P1490" i="5"/>
  <c r="P1485" i="5"/>
  <c r="P1482" i="5"/>
  <c r="P1477" i="5"/>
  <c r="P1474" i="5"/>
  <c r="P1469" i="5"/>
  <c r="P1466" i="5"/>
  <c r="P1461" i="5"/>
  <c r="P1458" i="5"/>
  <c r="P1453" i="5"/>
  <c r="P1450" i="5"/>
  <c r="P1446" i="5"/>
  <c r="P1442" i="5"/>
  <c r="P1438" i="5"/>
  <c r="P1435" i="5"/>
  <c r="P1430" i="5"/>
  <c r="P1427" i="5"/>
  <c r="P1422" i="5"/>
  <c r="P1419" i="5"/>
  <c r="P1415" i="5"/>
  <c r="P1411" i="5"/>
  <c r="P1408" i="5"/>
  <c r="P1403" i="5"/>
  <c r="P1400" i="5"/>
  <c r="P1395" i="5"/>
  <c r="P1392" i="5"/>
  <c r="P1387" i="5"/>
  <c r="P1384" i="5"/>
  <c r="P1380" i="5"/>
  <c r="P1376" i="5"/>
  <c r="P1372" i="5"/>
  <c r="P1368" i="5"/>
  <c r="P1364" i="5"/>
  <c r="P1361" i="5"/>
  <c r="P1359" i="5"/>
  <c r="P1356" i="5"/>
  <c r="P1351" i="5"/>
  <c r="P1348" i="5"/>
  <c r="P1344" i="5"/>
  <c r="P1340" i="5"/>
  <c r="P1337" i="5"/>
  <c r="P1332" i="5"/>
  <c r="P1329" i="5"/>
  <c r="P1324" i="5"/>
  <c r="P1321" i="5"/>
  <c r="P1317" i="5"/>
  <c r="P1313" i="5"/>
  <c r="P1309" i="5"/>
  <c r="P1305" i="5"/>
  <c r="P1301" i="5"/>
  <c r="P1298" i="5"/>
  <c r="P1293" i="5"/>
  <c r="P1290" i="5"/>
  <c r="P1285" i="5"/>
  <c r="P1282" i="5"/>
  <c r="P1278" i="5"/>
  <c r="P1274" i="5"/>
  <c r="P1270" i="5"/>
  <c r="P1266" i="5"/>
  <c r="P1262" i="5"/>
  <c r="P1259" i="5"/>
  <c r="P1255" i="5"/>
  <c r="P1251" i="5"/>
  <c r="P1247" i="5"/>
  <c r="P1243" i="5"/>
  <c r="P1240" i="5"/>
  <c r="P1235" i="5"/>
  <c r="P1232" i="5"/>
  <c r="P1229" i="5"/>
  <c r="P1224" i="5"/>
  <c r="P1221" i="5"/>
  <c r="P1217" i="5"/>
  <c r="P1213" i="5"/>
  <c r="P1208" i="5"/>
  <c r="P1205" i="5"/>
  <c r="P1202" i="5"/>
  <c r="P1197" i="5"/>
  <c r="P1194" i="5"/>
  <c r="P1189" i="5"/>
  <c r="P1186" i="5"/>
  <c r="P1181" i="5"/>
  <c r="P1178" i="5"/>
  <c r="P1174" i="5"/>
  <c r="P1170" i="5"/>
  <c r="P1166" i="5"/>
  <c r="P1163" i="5"/>
  <c r="P1158" i="5"/>
  <c r="P1155" i="5"/>
  <c r="P1150" i="5"/>
  <c r="P1147" i="5"/>
  <c r="P1142" i="5"/>
  <c r="P1139" i="5"/>
  <c r="P1135" i="5"/>
  <c r="P1132" i="5"/>
  <c r="P1128" i="5"/>
  <c r="P1125" i="5"/>
  <c r="P1120" i="5"/>
  <c r="P1117" i="5"/>
  <c r="P1113" i="5"/>
  <c r="P1109" i="5"/>
  <c r="P1106" i="5"/>
  <c r="P1102" i="5"/>
  <c r="P1098" i="5"/>
  <c r="P1094" i="5"/>
  <c r="P1090" i="5"/>
  <c r="P1086" i="5"/>
  <c r="P1082" i="5"/>
  <c r="P1078" i="5"/>
  <c r="P1075" i="5"/>
  <c r="P1070" i="5"/>
  <c r="P1067" i="5"/>
  <c r="P1063" i="5"/>
  <c r="P1058" i="5"/>
  <c r="P1055" i="5"/>
  <c r="P1051" i="5"/>
  <c r="P1047" i="5"/>
  <c r="P1042" i="5"/>
  <c r="P1038" i="5"/>
  <c r="P1033" i="5"/>
  <c r="P1029" i="5"/>
  <c r="P1025" i="5"/>
  <c r="P1019" i="5"/>
  <c r="P1015" i="5"/>
  <c r="P1010" i="5"/>
  <c r="P1005" i="5"/>
  <c r="P1001" i="5"/>
  <c r="P997" i="5"/>
  <c r="P993" i="5"/>
  <c r="P987" i="5"/>
  <c r="P983" i="5"/>
  <c r="P978" i="5"/>
  <c r="P973" i="5"/>
  <c r="P969" i="5"/>
  <c r="P963" i="5"/>
  <c r="P959" i="5"/>
  <c r="P954" i="5"/>
  <c r="P949" i="5"/>
  <c r="P945" i="5"/>
  <c r="P940" i="5"/>
  <c r="P935" i="5"/>
  <c r="P931" i="5"/>
  <c r="P926" i="5"/>
  <c r="P921" i="5"/>
  <c r="P917" i="5"/>
  <c r="P911" i="5"/>
  <c r="P907" i="5"/>
  <c r="P903" i="5"/>
  <c r="P897" i="5"/>
  <c r="P893" i="5"/>
  <c r="P887" i="5"/>
  <c r="P883" i="5"/>
  <c r="P880" i="5"/>
  <c r="P759" i="5"/>
  <c r="P754" i="5"/>
  <c r="P748" i="5"/>
  <c r="P743" i="5"/>
  <c r="P736" i="5"/>
  <c r="P731" i="5"/>
  <c r="P726" i="5"/>
  <c r="P719" i="5"/>
  <c r="P714" i="5"/>
  <c r="P708" i="5"/>
  <c r="Q708" i="5" s="1" a="1"/>
  <c r="P702" i="5"/>
  <c r="P697" i="5"/>
  <c r="P691" i="5"/>
  <c r="P686" i="5"/>
  <c r="P680" i="5"/>
  <c r="P675" i="5"/>
  <c r="P669" i="5"/>
  <c r="P663" i="5"/>
  <c r="P658" i="5"/>
  <c r="P653" i="5"/>
  <c r="P648" i="5"/>
  <c r="P643" i="5"/>
  <c r="P638" i="5"/>
  <c r="P632" i="5"/>
  <c r="P626" i="5"/>
  <c r="P622" i="5"/>
  <c r="P617" i="5"/>
  <c r="P612" i="5"/>
  <c r="P606" i="5"/>
  <c r="P600" i="5"/>
  <c r="P595" i="5"/>
  <c r="P590" i="5"/>
  <c r="P584" i="5"/>
  <c r="P578" i="5"/>
  <c r="P572" i="5"/>
  <c r="P566" i="5"/>
  <c r="P561" i="5"/>
  <c r="P556" i="5"/>
  <c r="P549" i="5"/>
  <c r="P544" i="5"/>
  <c r="P539" i="5"/>
  <c r="P532" i="5"/>
  <c r="P528" i="5"/>
  <c r="P523" i="5"/>
  <c r="P518" i="5"/>
  <c r="P514" i="5"/>
  <c r="P510" i="5"/>
  <c r="P506" i="5"/>
  <c r="P501" i="5"/>
  <c r="P497" i="5"/>
  <c r="P493" i="5"/>
  <c r="P490" i="5"/>
  <c r="P486" i="5"/>
  <c r="P482" i="5"/>
  <c r="P478" i="5"/>
  <c r="P475" i="5"/>
  <c r="P470" i="5"/>
  <c r="P467" i="5"/>
  <c r="P463" i="5"/>
  <c r="P459" i="5"/>
  <c r="P454" i="5"/>
  <c r="P448" i="5"/>
  <c r="P442" i="5"/>
  <c r="P437" i="5"/>
  <c r="P431" i="5"/>
  <c r="P424" i="5"/>
  <c r="P418" i="5"/>
  <c r="P413" i="5"/>
  <c r="P407" i="5"/>
  <c r="P402" i="5"/>
  <c r="P396" i="5"/>
  <c r="P390" i="5"/>
  <c r="P385" i="5"/>
  <c r="P379" i="5"/>
  <c r="P374" i="5"/>
  <c r="P368" i="5"/>
  <c r="P362" i="5"/>
  <c r="P356" i="5"/>
  <c r="P351" i="5"/>
  <c r="P346" i="5"/>
  <c r="P341" i="5"/>
  <c r="P335" i="5"/>
  <c r="P329" i="5"/>
  <c r="P324" i="5"/>
  <c r="P317" i="5"/>
  <c r="P312" i="5"/>
  <c r="P306" i="5"/>
  <c r="P300" i="5"/>
  <c r="P295" i="5"/>
  <c r="P290" i="5"/>
  <c r="P283" i="5"/>
  <c r="P278" i="5"/>
  <c r="P272" i="5"/>
  <c r="P266" i="5"/>
  <c r="P260" i="5"/>
  <c r="P255" i="5"/>
  <c r="P249" i="5"/>
  <c r="P244" i="5"/>
  <c r="P239" i="5"/>
  <c r="P232" i="5"/>
  <c r="P227" i="5"/>
  <c r="P221" i="5"/>
  <c r="P215" i="5"/>
  <c r="P208" i="5"/>
  <c r="P203" i="5"/>
  <c r="P198" i="5"/>
  <c r="P191" i="5"/>
  <c r="P187" i="5"/>
  <c r="P181" i="5"/>
  <c r="P175" i="5"/>
  <c r="P169" i="5"/>
  <c r="P164" i="5"/>
  <c r="P157" i="5"/>
  <c r="P152" i="5"/>
  <c r="P146" i="5"/>
  <c r="P139" i="5"/>
  <c r="P134" i="5"/>
  <c r="P128" i="5"/>
  <c r="P123" i="5"/>
  <c r="P118" i="5"/>
  <c r="P111" i="5"/>
  <c r="P106" i="5"/>
  <c r="P99" i="5"/>
  <c r="P94" i="5"/>
  <c r="P86" i="5"/>
  <c r="P81" i="5"/>
  <c r="P75" i="5"/>
  <c r="P69" i="5"/>
  <c r="P64" i="5"/>
  <c r="P58" i="5"/>
  <c r="P52" i="5"/>
  <c r="P47" i="5"/>
  <c r="P41" i="5"/>
  <c r="P37" i="5"/>
  <c r="P31" i="5"/>
  <c r="P26" i="5"/>
  <c r="P20" i="5"/>
  <c r="P14" i="5"/>
  <c r="P8" i="5"/>
  <c r="P2" i="5"/>
  <c r="R136" i="3"/>
  <c r="BF126" i="1" s="1"/>
  <c r="S131" i="3"/>
  <c r="BG121" i="1" s="1"/>
  <c r="R126" i="3"/>
  <c r="BF116" i="1" s="1"/>
  <c r="S122" i="3"/>
  <c r="BG112" i="1" s="1"/>
  <c r="R119" i="3"/>
  <c r="BF109" i="1" s="1"/>
  <c r="S116" i="3"/>
  <c r="BG106" i="1" s="1"/>
  <c r="R114" i="3"/>
  <c r="BF104" i="1" s="1"/>
  <c r="R111" i="3"/>
  <c r="BF101" i="1" s="1"/>
  <c r="S107" i="3"/>
  <c r="BG97" i="1" s="1"/>
  <c r="P1580" i="5"/>
  <c r="P1577" i="5"/>
  <c r="P1575" i="5"/>
  <c r="P1573" i="5"/>
  <c r="Q1573" i="5" s="1" a="1"/>
  <c r="R1573" i="5" s="1"/>
  <c r="P1571" i="5"/>
  <c r="Q1571" i="5" s="1" a="1"/>
  <c r="R1571" i="5" s="1"/>
  <c r="P1569" i="5"/>
  <c r="Q1569" i="5" s="1" a="1"/>
  <c r="R1569" i="5" s="1"/>
  <c r="P1567" i="5"/>
  <c r="P1565" i="5"/>
  <c r="P1563" i="5"/>
  <c r="Q1563" i="5" s="1" a="1"/>
  <c r="R1563" i="5" s="1"/>
  <c r="P1560" i="5"/>
  <c r="Q1560" i="5" s="1" a="1"/>
  <c r="R1560" i="5" s="1"/>
  <c r="P1558" i="5"/>
  <c r="P1556" i="5"/>
  <c r="P1554" i="5"/>
  <c r="P1551" i="5"/>
  <c r="Q1551" i="5" s="1" a="1"/>
  <c r="R1551" i="5" s="1"/>
  <c r="P1549" i="5"/>
  <c r="Q1549" i="5" s="1" a="1"/>
  <c r="R1549" i="5" s="1"/>
  <c r="P1546" i="5"/>
  <c r="P1543" i="5"/>
  <c r="P1541" i="5"/>
  <c r="Q1541" i="5" s="1" a="1"/>
  <c r="R1541" i="5" s="1"/>
  <c r="P1538" i="5"/>
  <c r="P1535" i="5"/>
  <c r="P1533" i="5"/>
  <c r="P1530" i="5"/>
  <c r="Q1530" i="5" s="1" a="1"/>
  <c r="R1530" i="5" s="1"/>
  <c r="P1527" i="5"/>
  <c r="Q1527" i="5" s="1" a="1"/>
  <c r="R1527" i="5" s="1"/>
  <c r="P1525" i="5"/>
  <c r="P1522" i="5"/>
  <c r="Q1522" i="5" s="1" a="1"/>
  <c r="R1522" i="5" s="1"/>
  <c r="P1519" i="5"/>
  <c r="P1516" i="5"/>
  <c r="P1514" i="5"/>
  <c r="P1511" i="5"/>
  <c r="Q1511" i="5" s="1" a="1"/>
  <c r="R1511" i="5" s="1"/>
  <c r="P1508" i="5"/>
  <c r="P1506" i="5"/>
  <c r="P1503" i="5"/>
  <c r="P1500" i="5"/>
  <c r="P1498" i="5"/>
  <c r="Q1498" i="5" s="1" a="1"/>
  <c r="R1498" i="5" s="1"/>
  <c r="P1495" i="5"/>
  <c r="P1491" i="5"/>
  <c r="P1488" i="5"/>
  <c r="P1486" i="5"/>
  <c r="Q1486" i="5" s="1" a="1"/>
  <c r="R1486" i="5" s="1"/>
  <c r="P1483" i="5"/>
  <c r="P1480" i="5"/>
  <c r="P1478" i="5"/>
  <c r="P1475" i="5"/>
  <c r="P1472" i="5"/>
  <c r="P1470" i="5"/>
  <c r="P1467" i="5"/>
  <c r="P1464" i="5"/>
  <c r="P1462" i="5"/>
  <c r="P1459" i="5"/>
  <c r="P1456" i="5"/>
  <c r="P1454" i="5"/>
  <c r="P1451" i="5"/>
  <c r="P1448" i="5"/>
  <c r="P1445" i="5"/>
  <c r="P1443" i="5"/>
  <c r="P1440" i="5"/>
  <c r="P1437" i="5"/>
  <c r="P1434" i="5"/>
  <c r="P1432" i="5"/>
  <c r="P1428" i="5"/>
  <c r="P1425" i="5"/>
  <c r="P1423" i="5"/>
  <c r="P1420" i="5"/>
  <c r="P1417" i="5"/>
  <c r="P1414" i="5"/>
  <c r="P1412" i="5"/>
  <c r="P1409" i="5"/>
  <c r="P1406" i="5"/>
  <c r="P1404" i="5"/>
  <c r="P1401" i="5"/>
  <c r="P1398" i="5"/>
  <c r="P1396" i="5"/>
  <c r="P1393" i="5"/>
  <c r="P1390" i="5"/>
  <c r="P1388" i="5"/>
  <c r="P1385" i="5"/>
  <c r="P1382" i="5"/>
  <c r="P1379" i="5"/>
  <c r="P1377" i="5"/>
  <c r="P1374" i="5"/>
  <c r="P1371" i="5"/>
  <c r="P1369" i="5"/>
  <c r="P1366" i="5"/>
  <c r="P1363" i="5"/>
  <c r="P1362" i="5"/>
  <c r="P1360" i="5"/>
  <c r="P1358" i="5"/>
  <c r="P1355" i="5"/>
  <c r="P1353" i="5"/>
  <c r="P1350" i="5"/>
  <c r="P1347" i="5"/>
  <c r="P1345" i="5"/>
  <c r="P1342" i="5"/>
  <c r="P1339" i="5"/>
  <c r="P1336" i="5"/>
  <c r="Q1336" i="5" s="1" a="1"/>
  <c r="P1334" i="5"/>
  <c r="P1330" i="5"/>
  <c r="P1327" i="5"/>
  <c r="P1325" i="5"/>
  <c r="P1322" i="5"/>
  <c r="P1319" i="5"/>
  <c r="P1316" i="5"/>
  <c r="P1314" i="5"/>
  <c r="P1311" i="5"/>
  <c r="P1308" i="5"/>
  <c r="P1306" i="5"/>
  <c r="P1303" i="5"/>
  <c r="P1300" i="5"/>
  <c r="P1297" i="5"/>
  <c r="P1295" i="5"/>
  <c r="P1292" i="5"/>
  <c r="P1289" i="5"/>
  <c r="P1287" i="5"/>
  <c r="P1283" i="5"/>
  <c r="P1280" i="5"/>
  <c r="P1277" i="5"/>
  <c r="P1275" i="5"/>
  <c r="P1272" i="5"/>
  <c r="P1269" i="5"/>
  <c r="P1267" i="5"/>
  <c r="P1264" i="5"/>
  <c r="P1261" i="5"/>
  <c r="P1258" i="5"/>
  <c r="Q1258" i="5" s="1" a="1"/>
  <c r="P1256" i="5"/>
  <c r="P1253" i="5"/>
  <c r="P1250" i="5"/>
  <c r="P1248" i="5"/>
  <c r="P1245" i="5"/>
  <c r="P1242" i="5"/>
  <c r="P1239" i="5"/>
  <c r="P1237" i="5"/>
  <c r="P1234" i="5"/>
  <c r="P1231" i="5"/>
  <c r="P1228" i="5"/>
  <c r="P1226" i="5"/>
  <c r="P1223" i="5"/>
  <c r="P1220" i="5"/>
  <c r="P1218" i="5"/>
  <c r="P1215" i="5"/>
  <c r="P1212" i="5"/>
  <c r="P1210" i="5"/>
  <c r="P1207" i="5"/>
  <c r="P1203" i="5"/>
  <c r="P1200" i="5"/>
  <c r="P1198" i="5"/>
  <c r="P1195" i="5"/>
  <c r="P1192" i="5"/>
  <c r="P1190" i="5"/>
  <c r="P1187" i="5"/>
  <c r="P1184" i="5"/>
  <c r="P1182" i="5"/>
  <c r="P1179" i="5"/>
  <c r="P1176" i="5"/>
  <c r="P1173" i="5"/>
  <c r="P1171" i="5"/>
  <c r="P1168" i="5"/>
  <c r="P1165" i="5"/>
  <c r="P1162" i="5"/>
  <c r="P1160" i="5"/>
  <c r="P1157" i="5"/>
  <c r="P1154" i="5"/>
  <c r="P1152" i="5"/>
  <c r="P1149" i="5"/>
  <c r="P1145" i="5"/>
  <c r="P1143" i="5"/>
  <c r="P1140" i="5"/>
  <c r="P1137" i="5"/>
  <c r="P1134" i="5"/>
  <c r="P1133" i="5"/>
  <c r="Q1133" i="5" s="1" a="1"/>
  <c r="P1130" i="5"/>
  <c r="P1127" i="5"/>
  <c r="P1124" i="5"/>
  <c r="P1121" i="5"/>
  <c r="P1118" i="5"/>
  <c r="P1115" i="5"/>
  <c r="P1112" i="5"/>
  <c r="P1110" i="5"/>
  <c r="P1107" i="5"/>
  <c r="P1104" i="5"/>
  <c r="P1101" i="5"/>
  <c r="P1099" i="5"/>
  <c r="P1096" i="5"/>
  <c r="P1093" i="5"/>
  <c r="P1091" i="5"/>
  <c r="P1088" i="5"/>
  <c r="P1085" i="5"/>
  <c r="P1083" i="5"/>
  <c r="P1080" i="5"/>
  <c r="P1077" i="5"/>
  <c r="P1074" i="5"/>
  <c r="P1072" i="5"/>
  <c r="P1068" i="5"/>
  <c r="P1065" i="5"/>
  <c r="P1062" i="5"/>
  <c r="P1059" i="5"/>
  <c r="P1056" i="5"/>
  <c r="P1053" i="5"/>
  <c r="P1050" i="5"/>
  <c r="P1048" i="5"/>
  <c r="P1044" i="5"/>
  <c r="P1041" i="5"/>
  <c r="P1037" i="5"/>
  <c r="P1035" i="5"/>
  <c r="P1031" i="5"/>
  <c r="P1026" i="5"/>
  <c r="P1023" i="5"/>
  <c r="P1020" i="5"/>
  <c r="P1016" i="5"/>
  <c r="P1013" i="5"/>
  <c r="P1009" i="5"/>
  <c r="P1006" i="5"/>
  <c r="P1003" i="5"/>
  <c r="P999" i="5"/>
  <c r="P995" i="5"/>
  <c r="P992" i="5"/>
  <c r="P989" i="5"/>
  <c r="P984" i="5"/>
  <c r="P981" i="5"/>
  <c r="P977" i="5"/>
  <c r="P974" i="5"/>
  <c r="P971" i="5"/>
  <c r="P967" i="5"/>
  <c r="P964" i="5"/>
  <c r="P961" i="5"/>
  <c r="P957" i="5"/>
  <c r="P953" i="5"/>
  <c r="P951" i="5"/>
  <c r="P947" i="5"/>
  <c r="P943" i="5"/>
  <c r="P941" i="5"/>
  <c r="P937" i="5"/>
  <c r="P933" i="5"/>
  <c r="P930" i="5"/>
  <c r="P927" i="5"/>
  <c r="P923" i="5"/>
  <c r="P919" i="5"/>
  <c r="P916" i="5"/>
  <c r="P913" i="5"/>
  <c r="P909" i="5"/>
  <c r="P906" i="5"/>
  <c r="P902" i="5"/>
  <c r="P898" i="5"/>
  <c r="P895" i="5"/>
  <c r="P891" i="5"/>
  <c r="P889" i="5"/>
  <c r="P885" i="5"/>
  <c r="P882" i="5"/>
  <c r="P878" i="5"/>
  <c r="P760" i="5"/>
  <c r="Q760" i="5" s="1" a="1"/>
  <c r="P755" i="5"/>
  <c r="P750" i="5"/>
  <c r="P746" i="5"/>
  <c r="P741" i="5"/>
  <c r="P737" i="5"/>
  <c r="P732" i="5"/>
  <c r="P729" i="5"/>
  <c r="P724" i="5"/>
  <c r="P720" i="5"/>
  <c r="P715" i="5"/>
  <c r="P712" i="5"/>
  <c r="P707" i="5"/>
  <c r="P703" i="5"/>
  <c r="P699" i="5"/>
  <c r="P695" i="5"/>
  <c r="P690" i="5"/>
  <c r="P687" i="5"/>
  <c r="P682" i="5"/>
  <c r="P678" i="5"/>
  <c r="P674" i="5"/>
  <c r="P670" i="5"/>
  <c r="P665" i="5"/>
  <c r="P660" i="5"/>
  <c r="P656" i="5"/>
  <c r="P650" i="5"/>
  <c r="P646" i="5"/>
  <c r="P641" i="5"/>
  <c r="P636" i="5"/>
  <c r="P631" i="5"/>
  <c r="P628" i="5"/>
  <c r="P623" i="5"/>
  <c r="P618" i="5"/>
  <c r="P613" i="5"/>
  <c r="P608" i="5"/>
  <c r="P604" i="5"/>
  <c r="P601" i="5"/>
  <c r="P596" i="5"/>
  <c r="P591" i="5"/>
  <c r="P586" i="5"/>
  <c r="P582" i="5"/>
  <c r="P577" i="5"/>
  <c r="P573" i="5"/>
  <c r="P569" i="5"/>
  <c r="P565" i="5"/>
  <c r="P560" i="5"/>
  <c r="P554" i="5"/>
  <c r="P550" i="5"/>
  <c r="P547" i="5"/>
  <c r="P542" i="5"/>
  <c r="P537" i="5"/>
  <c r="P534" i="5"/>
  <c r="P530" i="5"/>
  <c r="P525" i="5"/>
  <c r="P521" i="5"/>
  <c r="P519" i="5"/>
  <c r="P485" i="5"/>
  <c r="P481" i="5"/>
  <c r="P477" i="5"/>
  <c r="P474" i="5"/>
  <c r="P472" i="5"/>
  <c r="P468" i="5"/>
  <c r="P464" i="5"/>
  <c r="P461" i="5"/>
  <c r="P460" i="5"/>
  <c r="P455" i="5"/>
  <c r="P450" i="5"/>
  <c r="P447" i="5"/>
  <c r="P443" i="5"/>
  <c r="P438" i="5"/>
  <c r="P434" i="5"/>
  <c r="P429" i="5"/>
  <c r="P426" i="5"/>
  <c r="P422" i="5"/>
  <c r="P417" i="5"/>
  <c r="P412" i="5"/>
  <c r="P410" i="5"/>
  <c r="P405" i="5"/>
  <c r="P400" i="5"/>
  <c r="P397" i="5"/>
  <c r="P391" i="5"/>
  <c r="P386" i="5"/>
  <c r="P381" i="5"/>
  <c r="P377" i="5"/>
  <c r="P375" i="5"/>
  <c r="P370" i="5"/>
  <c r="P366" i="5"/>
  <c r="P361" i="5"/>
  <c r="P357" i="5"/>
  <c r="P353" i="5"/>
  <c r="P349" i="5"/>
  <c r="P344" i="5"/>
  <c r="P340" i="5"/>
  <c r="P336" i="5"/>
  <c r="P331" i="5"/>
  <c r="P327" i="5"/>
  <c r="P323" i="5"/>
  <c r="P319" i="5"/>
  <c r="P315" i="5"/>
  <c r="P310" i="5"/>
  <c r="P304" i="5"/>
  <c r="P299" i="5"/>
  <c r="P297" i="5"/>
  <c r="P292" i="5"/>
  <c r="P288" i="5"/>
  <c r="P284" i="5"/>
  <c r="P280" i="5"/>
  <c r="P276" i="5"/>
  <c r="P271" i="5"/>
  <c r="P267" i="5"/>
  <c r="P264" i="5"/>
  <c r="P259" i="5"/>
  <c r="P254" i="5"/>
  <c r="P251" i="5"/>
  <c r="P246" i="5"/>
  <c r="P241" i="5"/>
  <c r="P237" i="5"/>
  <c r="P233" i="5"/>
  <c r="P228" i="5"/>
  <c r="P224" i="5"/>
  <c r="P219" i="5"/>
  <c r="P214" i="5"/>
  <c r="P211" i="5"/>
  <c r="P207" i="5"/>
  <c r="P202" i="5"/>
  <c r="P196" i="5"/>
  <c r="P193" i="5"/>
  <c r="P188" i="5"/>
  <c r="P184" i="5"/>
  <c r="P180" i="5"/>
  <c r="P176" i="5"/>
  <c r="P171" i="5"/>
  <c r="P167" i="5"/>
  <c r="P163" i="5"/>
  <c r="P159" i="5"/>
  <c r="P154" i="5"/>
  <c r="P149" i="5"/>
  <c r="P144" i="5"/>
  <c r="P141" i="5"/>
  <c r="P137" i="5"/>
  <c r="P132" i="5"/>
  <c r="P129" i="5"/>
  <c r="P124" i="5"/>
  <c r="P120" i="5"/>
  <c r="P116" i="5"/>
  <c r="P112" i="5"/>
  <c r="P107" i="5"/>
  <c r="P104" i="5"/>
  <c r="P100" i="5"/>
  <c r="P95" i="5"/>
  <c r="P91" i="5"/>
  <c r="P88" i="5"/>
  <c r="P83" i="5"/>
  <c r="P79" i="5"/>
  <c r="P74" i="5"/>
  <c r="P70" i="5"/>
  <c r="P67" i="5"/>
  <c r="P62" i="5"/>
  <c r="P57" i="5"/>
  <c r="P54" i="5"/>
  <c r="P50" i="5"/>
  <c r="P44" i="5"/>
  <c r="P42" i="5"/>
  <c r="P38" i="5"/>
  <c r="P34" i="5"/>
  <c r="P32" i="5"/>
  <c r="P27" i="5"/>
  <c r="P22" i="5"/>
  <c r="P19" i="5"/>
  <c r="P15" i="5"/>
  <c r="P10" i="5"/>
  <c r="P6" i="5"/>
  <c r="N2" i="5"/>
  <c r="I7" i="6" s="1"/>
  <c r="R152" i="3"/>
  <c r="BF142" i="1" s="1"/>
  <c r="R149" i="3"/>
  <c r="BF139" i="1" s="1"/>
  <c r="R148" i="3"/>
  <c r="BF138" i="1" s="1"/>
  <c r="S145" i="3"/>
  <c r="BG135" i="1" s="1"/>
  <c r="S144" i="3"/>
  <c r="BG134" i="1" s="1"/>
  <c r="R142" i="3"/>
  <c r="BF132" i="1" s="1"/>
  <c r="R139" i="3"/>
  <c r="BF129" i="1" s="1"/>
  <c r="R138" i="3"/>
  <c r="BF128" i="1" s="1"/>
  <c r="R135" i="3"/>
  <c r="BF125" i="1" s="1"/>
  <c r="R133" i="3"/>
  <c r="BF123" i="1" s="1"/>
  <c r="S130" i="3"/>
  <c r="BG120" i="1" s="1"/>
  <c r="S128" i="3"/>
  <c r="BG118" i="1" s="1"/>
  <c r="R127" i="3"/>
  <c r="BF117" i="1" s="1"/>
  <c r="R124" i="3"/>
  <c r="BF114" i="1" s="1"/>
  <c r="R123" i="3"/>
  <c r="BF113" i="1" s="1"/>
  <c r="S121" i="3"/>
  <c r="BG111" i="1" s="1"/>
  <c r="S119" i="3"/>
  <c r="BG109" i="1" s="1"/>
  <c r="S118" i="3"/>
  <c r="BG108" i="1" s="1"/>
  <c r="R117" i="3"/>
  <c r="BF107" i="1" s="1"/>
  <c r="S114" i="3"/>
  <c r="BG104" i="1" s="1"/>
  <c r="S113" i="3"/>
  <c r="BG103" i="1" s="1"/>
  <c r="S111" i="3"/>
  <c r="BG101" i="1" s="1"/>
  <c r="S109" i="3"/>
  <c r="BG99" i="1" s="1"/>
  <c r="S108" i="3"/>
  <c r="BG98" i="1" s="1"/>
  <c r="R106" i="3"/>
  <c r="BF96" i="1" s="1"/>
  <c r="R105" i="3"/>
  <c r="BF95" i="1" s="1"/>
  <c r="R103" i="3"/>
  <c r="BF93" i="1" s="1"/>
  <c r="R101" i="3"/>
  <c r="BF91" i="1" s="1"/>
  <c r="S99" i="3"/>
  <c r="BG89" i="1" s="1"/>
  <c r="S97" i="3"/>
  <c r="BG87" i="1" s="1"/>
  <c r="S95" i="3"/>
  <c r="BG85" i="1" s="1"/>
  <c r="R93" i="3"/>
  <c r="BF83" i="1" s="1"/>
  <c r="S91" i="3"/>
  <c r="BG81" i="1" s="1"/>
  <c r="S88" i="3"/>
  <c r="BG78" i="1" s="1"/>
  <c r="S87" i="3"/>
  <c r="BG77" i="1" s="1"/>
  <c r="P1060" i="5"/>
  <c r="P1045" i="5"/>
  <c r="P1039" i="5"/>
  <c r="P1032" i="5"/>
  <c r="P1028" i="5"/>
  <c r="P1022" i="5"/>
  <c r="P1018" i="5"/>
  <c r="P1012" i="5"/>
  <c r="P1007" i="5"/>
  <c r="P1002" i="5"/>
  <c r="P996" i="5"/>
  <c r="P990" i="5"/>
  <c r="P986" i="5"/>
  <c r="P980" i="5"/>
  <c r="P976" i="5"/>
  <c r="P970" i="5"/>
  <c r="P966" i="5"/>
  <c r="P960" i="5"/>
  <c r="P956" i="5"/>
  <c r="P950" i="5"/>
  <c r="P944" i="5"/>
  <c r="P939" i="5"/>
  <c r="P934" i="5"/>
  <c r="P929" i="5"/>
  <c r="P924" i="5"/>
  <c r="P920" i="5"/>
  <c r="P914" i="5"/>
  <c r="P910" i="5"/>
  <c r="P904" i="5"/>
  <c r="P900" i="5"/>
  <c r="P894" i="5"/>
  <c r="P890" i="5"/>
  <c r="P884" i="5"/>
  <c r="P879" i="5"/>
  <c r="P758" i="5"/>
  <c r="P752" i="5"/>
  <c r="P747" i="5"/>
  <c r="P740" i="5"/>
  <c r="P734" i="5"/>
  <c r="P727" i="5"/>
  <c r="P722" i="5"/>
  <c r="P716" i="5"/>
  <c r="P710" i="5"/>
  <c r="P704" i="5"/>
  <c r="P698" i="5"/>
  <c r="P692" i="5"/>
  <c r="P685" i="5"/>
  <c r="P679" i="5"/>
  <c r="P673" i="5"/>
  <c r="P667" i="5"/>
  <c r="P661" i="5"/>
  <c r="P654" i="5"/>
  <c r="P649" i="5"/>
  <c r="P644" i="5"/>
  <c r="P639" i="5"/>
  <c r="P634" i="5"/>
  <c r="P627" i="5"/>
  <c r="P621" i="5"/>
  <c r="P615" i="5"/>
  <c r="P609" i="5"/>
  <c r="P603" i="5"/>
  <c r="P598" i="5"/>
  <c r="P593" i="5"/>
  <c r="P587" i="5"/>
  <c r="P581" i="5"/>
  <c r="P576" i="5"/>
  <c r="P570" i="5"/>
  <c r="P564" i="5"/>
  <c r="P558" i="5"/>
  <c r="P553" i="5"/>
  <c r="P545" i="5"/>
  <c r="P540" i="5"/>
  <c r="P533" i="5"/>
  <c r="P527" i="5"/>
  <c r="P522" i="5"/>
  <c r="P517" i="5"/>
  <c r="P513" i="5"/>
  <c r="P509" i="5"/>
  <c r="P505" i="5"/>
  <c r="P500" i="5"/>
  <c r="P496" i="5"/>
  <c r="P492" i="5"/>
  <c r="P489" i="5"/>
  <c r="P487" i="5"/>
  <c r="P483" i="5"/>
  <c r="P479" i="5"/>
  <c r="P471" i="5"/>
  <c r="P466" i="5"/>
  <c r="P462" i="5"/>
  <c r="P457" i="5"/>
  <c r="P452" i="5"/>
  <c r="P445" i="5"/>
  <c r="P439" i="5"/>
  <c r="P433" i="5"/>
  <c r="P427" i="5"/>
  <c r="P421" i="5"/>
  <c r="P414" i="5"/>
  <c r="P406" i="5"/>
  <c r="P401" i="5"/>
  <c r="P394" i="5"/>
  <c r="P389" i="5"/>
  <c r="P383" i="5"/>
  <c r="P376" i="5"/>
  <c r="P372" i="5"/>
  <c r="P365" i="5"/>
  <c r="Q365" i="5" s="1" a="1"/>
  <c r="P358" i="5"/>
  <c r="P352" i="5"/>
  <c r="P345" i="5"/>
  <c r="P339" i="5"/>
  <c r="P333" i="5"/>
  <c r="P326" i="5"/>
  <c r="P320" i="5"/>
  <c r="P314" i="5"/>
  <c r="P308" i="5"/>
  <c r="P302" i="5"/>
  <c r="P294" i="5"/>
  <c r="P287" i="5"/>
  <c r="P282" i="5"/>
  <c r="P275" i="5"/>
  <c r="P269" i="5"/>
  <c r="P262" i="5"/>
  <c r="P256" i="5"/>
  <c r="P248" i="5"/>
  <c r="P243" i="5"/>
  <c r="P235" i="5"/>
  <c r="P230" i="5"/>
  <c r="P223" i="5"/>
  <c r="P217" i="5"/>
  <c r="P212" i="5"/>
  <c r="P204" i="5"/>
  <c r="P199" i="5"/>
  <c r="P192" i="5"/>
  <c r="P186" i="5"/>
  <c r="P179" i="5"/>
  <c r="P173" i="5"/>
  <c r="P166" i="5"/>
  <c r="P160" i="5"/>
  <c r="P153" i="5"/>
  <c r="P148" i="5"/>
  <c r="P140" i="5"/>
  <c r="P135" i="5"/>
  <c r="P127" i="5"/>
  <c r="P122" i="5"/>
  <c r="P115" i="5"/>
  <c r="P110" i="5"/>
  <c r="P102" i="5"/>
  <c r="P97" i="5"/>
  <c r="P90" i="5"/>
  <c r="P85" i="5"/>
  <c r="P78" i="5"/>
  <c r="P72" i="5"/>
  <c r="P66" i="5"/>
  <c r="P59" i="5"/>
  <c r="P51" i="5"/>
  <c r="P46" i="5"/>
  <c r="P40" i="5"/>
  <c r="P36" i="5"/>
  <c r="P29" i="5"/>
  <c r="P24" i="5"/>
  <c r="P17" i="5"/>
  <c r="P11" i="5"/>
  <c r="P5" i="5"/>
  <c r="S103" i="3"/>
  <c r="BG93" i="1" s="1"/>
  <c r="R98" i="3"/>
  <c r="BF88" i="1" s="1"/>
  <c r="R94" i="3"/>
  <c r="BF84" i="1" s="1"/>
  <c r="S89" i="3"/>
  <c r="BG79" i="1" s="1"/>
  <c r="F2" i="6"/>
  <c r="P1581" i="5"/>
  <c r="Q1581" i="5" s="1" a="1"/>
  <c r="R1581" i="5" s="1"/>
  <c r="P1578" i="5"/>
  <c r="P1576" i="5"/>
  <c r="P1574" i="5"/>
  <c r="Q1574" i="5" s="1" a="1"/>
  <c r="R1574" i="5" s="1"/>
  <c r="P1572" i="5"/>
  <c r="Q1572" i="5" s="1" a="1"/>
  <c r="R1572" i="5" s="1"/>
  <c r="P1570" i="5"/>
  <c r="Q1570" i="5" s="1" a="1"/>
  <c r="R1570" i="5" s="1"/>
  <c r="P1568" i="5"/>
  <c r="Q1568" i="5" s="1" a="1"/>
  <c r="R1568" i="5" s="1"/>
  <c r="P1566" i="5"/>
  <c r="P1564" i="5"/>
  <c r="P1561" i="5"/>
  <c r="P1559" i="5"/>
  <c r="P1557" i="5"/>
  <c r="P1555" i="5"/>
  <c r="P1552" i="5"/>
  <c r="P1550" i="5"/>
  <c r="P1547" i="5"/>
  <c r="P1545" i="5"/>
  <c r="P1542" i="5"/>
  <c r="P1539" i="5"/>
  <c r="Q1539" i="5" s="1" a="1"/>
  <c r="R1539" i="5" s="1"/>
  <c r="P1537" i="5"/>
  <c r="P1534" i="5"/>
  <c r="P1531" i="5"/>
  <c r="P1529" i="5"/>
  <c r="P1526" i="5"/>
  <c r="Q1526" i="5" s="1" a="1"/>
  <c r="R1526" i="5" s="1"/>
  <c r="P1523" i="5"/>
  <c r="Q1523" i="5" s="1" a="1"/>
  <c r="R1523" i="5" s="1"/>
  <c r="P1521" i="5"/>
  <c r="Q1521" i="5" s="1" a="1"/>
  <c r="R1521" i="5" s="1"/>
  <c r="P1518" i="5"/>
  <c r="P1515" i="5"/>
  <c r="Q1515" i="5" s="1" a="1"/>
  <c r="R1515" i="5" s="1"/>
  <c r="P1513" i="5"/>
  <c r="P1510" i="5"/>
  <c r="P1507" i="5"/>
  <c r="P1505" i="5"/>
  <c r="P1502" i="5"/>
  <c r="P1499" i="5"/>
  <c r="Q1499" i="5" s="1" a="1"/>
  <c r="R1499" i="5" s="1"/>
  <c r="P1497" i="5"/>
  <c r="P1494" i="5"/>
  <c r="P1492" i="5"/>
  <c r="P1489" i="5"/>
  <c r="P1487" i="5"/>
  <c r="P1484" i="5"/>
  <c r="P1481" i="5"/>
  <c r="P1479" i="5"/>
  <c r="P1476" i="5"/>
  <c r="P1473" i="5"/>
  <c r="P1471" i="5"/>
  <c r="P1468" i="5"/>
  <c r="P1465" i="5"/>
  <c r="P1463" i="5"/>
  <c r="P1460" i="5"/>
  <c r="P1457" i="5"/>
  <c r="P1455" i="5"/>
  <c r="P1452" i="5"/>
  <c r="P1449" i="5"/>
  <c r="P1447" i="5"/>
  <c r="P1444" i="5"/>
  <c r="P1441" i="5"/>
  <c r="P1439" i="5"/>
  <c r="P1436" i="5"/>
  <c r="P1433" i="5"/>
  <c r="P1431" i="5"/>
  <c r="P1429" i="5"/>
  <c r="P1426" i="5"/>
  <c r="P1424" i="5"/>
  <c r="P1421" i="5"/>
  <c r="P1418" i="5"/>
  <c r="P1416" i="5"/>
  <c r="P1413" i="5"/>
  <c r="P1410" i="5"/>
  <c r="P1407" i="5"/>
  <c r="P1405" i="5"/>
  <c r="P1402" i="5"/>
  <c r="P1399" i="5"/>
  <c r="P1397" i="5"/>
  <c r="P1394" i="5"/>
  <c r="P1391" i="5"/>
  <c r="P1389" i="5"/>
  <c r="P1386" i="5"/>
  <c r="P1383" i="5"/>
  <c r="P1381" i="5"/>
  <c r="P1378" i="5"/>
  <c r="P1375" i="5"/>
  <c r="P1373" i="5"/>
  <c r="P1370" i="5"/>
  <c r="P1367" i="5"/>
  <c r="P1365" i="5"/>
  <c r="P1357" i="5"/>
  <c r="P1354" i="5"/>
  <c r="P1352" i="5"/>
  <c r="P1349" i="5"/>
  <c r="P1346" i="5"/>
  <c r="P1343" i="5"/>
  <c r="P1341" i="5"/>
  <c r="P1338" i="5"/>
  <c r="Q1338" i="5" s="1" a="1"/>
  <c r="P1335" i="5"/>
  <c r="Q1335" i="5" s="1" a="1"/>
  <c r="P1333" i="5"/>
  <c r="P1331" i="5"/>
  <c r="P1328" i="5"/>
  <c r="P1326" i="5"/>
  <c r="P1323" i="5"/>
  <c r="P1320" i="5"/>
  <c r="P1318" i="5"/>
  <c r="P1315" i="5"/>
  <c r="P1312" i="5"/>
  <c r="P1310" i="5"/>
  <c r="P1307" i="5"/>
  <c r="P1304" i="5"/>
  <c r="P1302" i="5"/>
  <c r="P1299" i="5"/>
  <c r="P1296" i="5"/>
  <c r="P1294" i="5"/>
  <c r="P1291" i="5"/>
  <c r="P1288" i="5"/>
  <c r="P1286" i="5"/>
  <c r="P1284" i="5"/>
  <c r="P1281" i="5"/>
  <c r="P1279" i="5"/>
  <c r="P1276" i="5"/>
  <c r="P1273" i="5"/>
  <c r="P1271" i="5"/>
  <c r="P1268" i="5"/>
  <c r="P1265" i="5"/>
  <c r="P1263" i="5"/>
  <c r="P1260" i="5"/>
  <c r="P1257" i="5"/>
  <c r="P1254" i="5"/>
  <c r="P1252" i="5"/>
  <c r="P1249" i="5"/>
  <c r="P1246" i="5"/>
  <c r="P1244" i="5"/>
  <c r="P1241" i="5"/>
  <c r="P1238" i="5"/>
  <c r="P1236" i="5"/>
  <c r="P1233" i="5"/>
  <c r="P1230" i="5"/>
  <c r="P1227" i="5"/>
  <c r="P1225" i="5"/>
  <c r="P1222" i="5"/>
  <c r="P1219" i="5"/>
  <c r="P1216" i="5"/>
  <c r="P1214" i="5"/>
  <c r="P1211" i="5"/>
  <c r="P1209" i="5"/>
  <c r="P1206" i="5"/>
  <c r="P1204" i="5"/>
  <c r="P1201" i="5"/>
  <c r="P1199" i="5"/>
  <c r="P1196" i="5"/>
  <c r="P1193" i="5"/>
  <c r="P1191" i="5"/>
  <c r="P1188" i="5"/>
  <c r="P1185" i="5"/>
  <c r="P1183" i="5"/>
  <c r="P1180" i="5"/>
  <c r="P1177" i="5"/>
  <c r="P1175" i="5"/>
  <c r="P1172" i="5"/>
  <c r="P1169" i="5"/>
  <c r="P1167" i="5"/>
  <c r="P1164" i="5"/>
  <c r="P1161" i="5"/>
  <c r="P1159" i="5"/>
  <c r="P1156" i="5"/>
  <c r="P1153" i="5"/>
  <c r="P1151" i="5"/>
  <c r="P1148" i="5"/>
  <c r="P1146" i="5"/>
  <c r="P1144" i="5"/>
  <c r="P1141" i="5"/>
  <c r="P1138" i="5"/>
  <c r="P1136" i="5"/>
  <c r="P1131" i="5"/>
  <c r="P1129" i="5"/>
  <c r="P1126" i="5"/>
  <c r="P1123" i="5"/>
  <c r="P1122" i="5"/>
  <c r="P1119" i="5"/>
  <c r="P1116" i="5"/>
  <c r="P1114" i="5"/>
  <c r="P1111" i="5"/>
  <c r="P1108" i="5"/>
  <c r="P1105" i="5"/>
  <c r="P1103" i="5"/>
  <c r="P1100" i="5"/>
  <c r="P1097" i="5"/>
  <c r="P1095" i="5"/>
  <c r="P1092" i="5"/>
  <c r="P1089" i="5"/>
  <c r="P1087" i="5"/>
  <c r="P1084" i="5"/>
  <c r="P1081" i="5"/>
  <c r="P1079" i="5"/>
  <c r="P1076" i="5"/>
  <c r="P1073" i="5"/>
  <c r="P1071" i="5"/>
  <c r="P1069" i="5"/>
  <c r="P1066" i="5"/>
  <c r="P1064" i="5"/>
  <c r="P1061" i="5"/>
  <c r="P1057" i="5"/>
  <c r="P1054" i="5"/>
  <c r="P1052" i="5"/>
  <c r="P1049" i="5"/>
  <c r="P1046" i="5"/>
  <c r="P1043" i="5"/>
  <c r="P1040" i="5"/>
  <c r="P1036" i="5"/>
  <c r="P1034" i="5"/>
  <c r="P1030" i="5"/>
  <c r="P1027" i="5"/>
  <c r="P1024" i="5"/>
  <c r="P1021" i="5"/>
  <c r="P1017" i="5"/>
  <c r="P1014" i="5"/>
  <c r="P1011" i="5"/>
  <c r="P1008" i="5"/>
  <c r="P1004" i="5"/>
  <c r="P1000" i="5"/>
  <c r="P998" i="5"/>
  <c r="P994" i="5"/>
  <c r="P991" i="5"/>
  <c r="P988" i="5"/>
  <c r="P985" i="5"/>
  <c r="P982" i="5"/>
  <c r="P979" i="5"/>
  <c r="P975" i="5"/>
  <c r="P972" i="5"/>
  <c r="P968" i="5"/>
  <c r="P965" i="5"/>
  <c r="P962" i="5"/>
  <c r="P958" i="5"/>
  <c r="P955" i="5"/>
  <c r="P952" i="5"/>
  <c r="P948" i="5"/>
  <c r="P946" i="5"/>
  <c r="P942" i="5"/>
  <c r="P938" i="5"/>
  <c r="P936" i="5"/>
  <c r="P932" i="5"/>
  <c r="P928" i="5"/>
  <c r="P925" i="5"/>
  <c r="P922" i="5"/>
  <c r="P918" i="5"/>
  <c r="P915" i="5"/>
  <c r="P912" i="5"/>
  <c r="P908" i="5"/>
  <c r="P905" i="5"/>
  <c r="P901" i="5"/>
  <c r="P899" i="5"/>
  <c r="P896" i="5"/>
  <c r="P892" i="5"/>
  <c r="P888" i="5"/>
  <c r="P886" i="5"/>
  <c r="P881" i="5"/>
  <c r="P877" i="5"/>
  <c r="P876" i="5"/>
  <c r="P757" i="5"/>
  <c r="P753" i="5"/>
  <c r="P749" i="5"/>
  <c r="P745" i="5"/>
  <c r="P742" i="5"/>
  <c r="P738" i="5"/>
  <c r="P733" i="5"/>
  <c r="P730" i="5"/>
  <c r="P725" i="5"/>
  <c r="P721" i="5"/>
  <c r="P717" i="5"/>
  <c r="P713" i="5"/>
  <c r="P709" i="5"/>
  <c r="P705" i="5"/>
  <c r="P701" i="5"/>
  <c r="P696" i="5"/>
  <c r="P693" i="5"/>
  <c r="P688" i="5"/>
  <c r="P684" i="5"/>
  <c r="P681" i="5"/>
  <c r="P676" i="5"/>
  <c r="P672" i="5"/>
  <c r="P668" i="5"/>
  <c r="P664" i="5"/>
  <c r="P659" i="5"/>
  <c r="P655" i="5"/>
  <c r="P651" i="5"/>
  <c r="P647" i="5"/>
  <c r="P642" i="5"/>
  <c r="P637" i="5"/>
  <c r="P633" i="5"/>
  <c r="P629" i="5"/>
  <c r="P624" i="5"/>
  <c r="P619" i="5"/>
  <c r="P614" i="5"/>
  <c r="P610" i="5"/>
  <c r="P607" i="5"/>
  <c r="P602" i="5"/>
  <c r="P597" i="5"/>
  <c r="P592" i="5"/>
  <c r="P588" i="5"/>
  <c r="P583" i="5"/>
  <c r="P580" i="5"/>
  <c r="P575" i="5"/>
  <c r="P571" i="5"/>
  <c r="P567" i="5"/>
  <c r="P563" i="5"/>
  <c r="P559" i="5"/>
  <c r="P555" i="5"/>
  <c r="P551" i="5"/>
  <c r="P548" i="5"/>
  <c r="P543" i="5"/>
  <c r="P538" i="5"/>
  <c r="P536" i="5"/>
  <c r="P531" i="5"/>
  <c r="P526" i="5"/>
  <c r="P524" i="5"/>
  <c r="P520" i="5"/>
  <c r="P516" i="5"/>
  <c r="P515" i="5"/>
  <c r="P512" i="5"/>
  <c r="P508" i="5"/>
  <c r="P504" i="5"/>
  <c r="P502" i="5"/>
  <c r="P499" i="5"/>
  <c r="P495" i="5"/>
  <c r="P458" i="5"/>
  <c r="P453" i="5"/>
  <c r="P449" i="5"/>
  <c r="P444" i="5"/>
  <c r="P440" i="5"/>
  <c r="P436" i="5"/>
  <c r="P432" i="5"/>
  <c r="P428" i="5"/>
  <c r="P423" i="5"/>
  <c r="P420" i="5"/>
  <c r="P416" i="5"/>
  <c r="P411" i="5"/>
  <c r="Q411" i="5" s="1" a="1"/>
  <c r="P408" i="5"/>
  <c r="P404" i="5"/>
  <c r="P399" i="5"/>
  <c r="P395" i="5"/>
  <c r="P392" i="5"/>
  <c r="P388" i="5"/>
  <c r="P384" i="5"/>
  <c r="P380" i="5"/>
  <c r="P371" i="5"/>
  <c r="P367" i="5"/>
  <c r="P363" i="5"/>
  <c r="P360" i="5"/>
  <c r="P355" i="5"/>
  <c r="P350" i="5"/>
  <c r="P347" i="5"/>
  <c r="P342" i="5"/>
  <c r="P338" i="5"/>
  <c r="P334" i="5"/>
  <c r="P330" i="5"/>
  <c r="P325" i="5"/>
  <c r="P321" i="5"/>
  <c r="P318" i="5"/>
  <c r="P313" i="5"/>
  <c r="P309" i="5"/>
  <c r="P305" i="5"/>
  <c r="P303" i="5"/>
  <c r="P298" i="5"/>
  <c r="P293" i="5"/>
  <c r="P289" i="5"/>
  <c r="P285" i="5"/>
  <c r="P281" i="5"/>
  <c r="P277" i="5"/>
  <c r="P273" i="5"/>
  <c r="P270" i="5"/>
  <c r="P265" i="5"/>
  <c r="P261" i="5"/>
  <c r="P257" i="5"/>
  <c r="P253" i="5"/>
  <c r="P250" i="5"/>
  <c r="P245" i="5"/>
  <c r="P240" i="5"/>
  <c r="P238" i="5"/>
  <c r="P234" i="5"/>
  <c r="P229" i="5"/>
  <c r="P225" i="5"/>
  <c r="P222" i="5"/>
  <c r="P218" i="5"/>
  <c r="P213" i="5"/>
  <c r="P209" i="5"/>
  <c r="P206" i="5"/>
  <c r="P201" i="5"/>
  <c r="P197" i="5"/>
  <c r="P194" i="5"/>
  <c r="P190" i="5"/>
  <c r="P185" i="5"/>
  <c r="P182" i="5"/>
  <c r="P177" i="5"/>
  <c r="P174" i="5"/>
  <c r="P170" i="5"/>
  <c r="P165" i="5"/>
  <c r="P161" i="5"/>
  <c r="P158" i="5"/>
  <c r="P155" i="5"/>
  <c r="P150" i="5"/>
  <c r="P145" i="5"/>
  <c r="P143" i="5"/>
  <c r="P138" i="5"/>
  <c r="P133" i="5"/>
  <c r="P130" i="5"/>
  <c r="P125" i="5"/>
  <c r="P121" i="5"/>
  <c r="P117" i="5"/>
  <c r="P113" i="5"/>
  <c r="P108" i="5"/>
  <c r="P105" i="5"/>
  <c r="P101" i="5"/>
  <c r="P96" i="5"/>
  <c r="P92" i="5"/>
  <c r="P89" i="5"/>
  <c r="P84" i="5"/>
  <c r="P80" i="5"/>
  <c r="P76" i="5"/>
  <c r="P73" i="5"/>
  <c r="P68" i="5"/>
  <c r="P63" i="5"/>
  <c r="P61" i="5"/>
  <c r="P56" i="5"/>
  <c r="P53" i="5"/>
  <c r="P49" i="5"/>
  <c r="P45" i="5"/>
  <c r="P43" i="5"/>
  <c r="P39" i="5"/>
  <c r="P35" i="5"/>
  <c r="P33" i="5"/>
  <c r="P28" i="5"/>
  <c r="P25" i="5"/>
  <c r="P21" i="5"/>
  <c r="P16" i="5"/>
  <c r="P12" i="5"/>
  <c r="P9" i="5"/>
  <c r="P4" i="5"/>
  <c r="S161" i="3"/>
  <c r="BG151" i="1" s="1"/>
  <c r="R159" i="3"/>
  <c r="BF149" i="1" s="1"/>
  <c r="R157" i="3"/>
  <c r="BF147" i="1" s="1"/>
  <c r="S156" i="3"/>
  <c r="BG146" i="1" s="1"/>
  <c r="S154" i="3"/>
  <c r="BG144" i="1" s="1"/>
  <c r="S153" i="3"/>
  <c r="BG143" i="1" s="1"/>
  <c r="S151" i="3"/>
  <c r="BG141" i="1" s="1"/>
  <c r="S150" i="3"/>
  <c r="BG140" i="1" s="1"/>
  <c r="S148" i="3"/>
  <c r="BG138" i="1" s="1"/>
  <c r="S147" i="3"/>
  <c r="BG137" i="1" s="1"/>
  <c r="R145" i="3"/>
  <c r="BF135" i="1" s="1"/>
  <c r="S142" i="3"/>
  <c r="BG132" i="1" s="1"/>
  <c r="S141" i="3"/>
  <c r="BG131" i="1" s="1"/>
  <c r="R140" i="3"/>
  <c r="BF130" i="1" s="1"/>
  <c r="S138" i="3"/>
  <c r="BG128" i="1" s="1"/>
  <c r="S136" i="3"/>
  <c r="BG126" i="1" s="1"/>
  <c r="S134" i="3"/>
  <c r="BG124" i="1" s="1"/>
  <c r="S133" i="3"/>
  <c r="BG123" i="1" s="1"/>
  <c r="R131" i="3"/>
  <c r="BF121" i="1" s="1"/>
  <c r="S129" i="3"/>
  <c r="BG119" i="1" s="1"/>
  <c r="S127" i="3"/>
  <c r="BG117" i="1" s="1"/>
  <c r="S125" i="3"/>
  <c r="BG115" i="1" s="1"/>
  <c r="S123" i="3"/>
  <c r="BG113" i="1" s="1"/>
  <c r="R122" i="3"/>
  <c r="BF112" i="1" s="1"/>
  <c r="R120" i="3"/>
  <c r="BF110" i="1" s="1"/>
  <c r="S98" i="3"/>
  <c r="BG88" i="1" s="1"/>
  <c r="R96" i="3"/>
  <c r="BF86" i="1" s="1"/>
  <c r="S94" i="3"/>
  <c r="BG84" i="1" s="1"/>
  <c r="S92" i="3"/>
  <c r="BG82" i="1" s="1"/>
  <c r="R91" i="3"/>
  <c r="BF81" i="1" s="1"/>
  <c r="R89" i="3"/>
  <c r="BF79" i="1" s="1"/>
  <c r="S164" i="3"/>
  <c r="BG154" i="1" s="1"/>
  <c r="S162" i="3"/>
  <c r="BG152" i="1" s="1"/>
  <c r="R160" i="3"/>
  <c r="BF150" i="1" s="1"/>
  <c r="R158" i="3"/>
  <c r="BF148" i="1" s="1"/>
  <c r="R155" i="3"/>
  <c r="BF145" i="1" s="1"/>
  <c r="R153" i="3"/>
  <c r="BF143" i="1" s="1"/>
  <c r="R150" i="3"/>
  <c r="BF140" i="1" s="1"/>
  <c r="R146" i="3"/>
  <c r="BF136" i="1" s="1"/>
  <c r="S143" i="3"/>
  <c r="BG133" i="1" s="1"/>
  <c r="S140" i="3"/>
  <c r="BG130" i="1" s="1"/>
  <c r="S137" i="3"/>
  <c r="BG127" i="1" s="1"/>
  <c r="R132" i="3"/>
  <c r="BF122" i="1" s="1"/>
  <c r="R128" i="3"/>
  <c r="BF118" i="1" s="1"/>
  <c r="S124" i="3"/>
  <c r="BG114" i="1" s="1"/>
  <c r="R121" i="3"/>
  <c r="BF111" i="1" s="1"/>
  <c r="R118" i="3"/>
  <c r="BF108" i="1" s="1"/>
  <c r="R116" i="3"/>
  <c r="BF106" i="1" s="1"/>
  <c r="R113" i="3"/>
  <c r="BF103" i="1" s="1"/>
  <c r="S110" i="3"/>
  <c r="BG100" i="1" s="1"/>
  <c r="R108" i="3"/>
  <c r="BF98" i="1" s="1"/>
  <c r="R104" i="3"/>
  <c r="BF94" i="1" s="1"/>
  <c r="S101" i="3"/>
  <c r="BG91" i="1" s="1"/>
  <c r="R99" i="3"/>
  <c r="BF89" i="1" s="1"/>
  <c r="R95" i="3"/>
  <c r="BF85" i="1" s="1"/>
  <c r="R90" i="3"/>
  <c r="BF80" i="1" s="1"/>
  <c r="P875" i="5"/>
  <c r="P874" i="5"/>
  <c r="P873" i="5"/>
  <c r="P872" i="5"/>
  <c r="P871" i="5"/>
  <c r="P870" i="5"/>
  <c r="P869" i="5"/>
  <c r="P868" i="5"/>
  <c r="P867" i="5"/>
  <c r="P866" i="5"/>
  <c r="P865" i="5"/>
  <c r="P864" i="5"/>
  <c r="P863" i="5"/>
  <c r="P862" i="5"/>
  <c r="P861" i="5"/>
  <c r="P860" i="5"/>
  <c r="P859" i="5"/>
  <c r="P858" i="5"/>
  <c r="P857" i="5"/>
  <c r="P856" i="5"/>
  <c r="P855" i="5"/>
  <c r="P854" i="5"/>
  <c r="P853" i="5"/>
  <c r="P852" i="5"/>
  <c r="P851" i="5"/>
  <c r="P850" i="5"/>
  <c r="P849" i="5"/>
  <c r="P848" i="5"/>
  <c r="P847" i="5"/>
  <c r="P846" i="5"/>
  <c r="P845" i="5"/>
  <c r="P844" i="5"/>
  <c r="P843" i="5"/>
  <c r="P842" i="5"/>
  <c r="P841" i="5"/>
  <c r="P840" i="5"/>
  <c r="P839" i="5"/>
  <c r="P838" i="5"/>
  <c r="P837" i="5"/>
  <c r="P836" i="5"/>
  <c r="P835" i="5"/>
  <c r="P834" i="5"/>
  <c r="P833" i="5"/>
  <c r="P832" i="5"/>
  <c r="P831" i="5"/>
  <c r="P830" i="5"/>
  <c r="P829" i="5"/>
  <c r="P828" i="5"/>
  <c r="P827" i="5"/>
  <c r="P826" i="5"/>
  <c r="P825" i="5"/>
  <c r="P824" i="5"/>
  <c r="P823" i="5"/>
  <c r="P822" i="5"/>
  <c r="P821" i="5"/>
  <c r="P820" i="5"/>
  <c r="P819" i="5"/>
  <c r="P818" i="5"/>
  <c r="P817" i="5"/>
  <c r="P816" i="5"/>
  <c r="P815" i="5"/>
  <c r="P814" i="5"/>
  <c r="P813" i="5"/>
  <c r="P812" i="5"/>
  <c r="P811" i="5"/>
  <c r="P810" i="5"/>
  <c r="P809" i="5"/>
  <c r="P808" i="5"/>
  <c r="P807" i="5"/>
  <c r="P806" i="5"/>
  <c r="P805" i="5"/>
  <c r="P804" i="5"/>
  <c r="P803" i="5"/>
  <c r="P802" i="5"/>
  <c r="P801" i="5"/>
  <c r="P800" i="5"/>
  <c r="P799" i="5"/>
  <c r="P798" i="5"/>
  <c r="P797" i="5"/>
  <c r="P796" i="5"/>
  <c r="P795" i="5"/>
  <c r="P794" i="5"/>
  <c r="P793" i="5"/>
  <c r="P792" i="5"/>
  <c r="P791" i="5"/>
  <c r="P790" i="5"/>
  <c r="P789" i="5"/>
  <c r="P788" i="5"/>
  <c r="P787" i="5"/>
  <c r="P786" i="5"/>
  <c r="P785" i="5"/>
  <c r="P784" i="5"/>
  <c r="P783" i="5"/>
  <c r="P782" i="5"/>
  <c r="P781" i="5"/>
  <c r="P780" i="5"/>
  <c r="P779" i="5"/>
  <c r="P778" i="5"/>
  <c r="P777" i="5"/>
  <c r="P776" i="5"/>
  <c r="P775" i="5"/>
  <c r="P774" i="5"/>
  <c r="P773" i="5"/>
  <c r="P772" i="5"/>
  <c r="P771" i="5"/>
  <c r="P770" i="5"/>
  <c r="P769" i="5"/>
  <c r="P768" i="5"/>
  <c r="P767" i="5"/>
  <c r="P766" i="5"/>
  <c r="P765" i="5"/>
  <c r="P764" i="5"/>
  <c r="P763" i="5"/>
  <c r="P762" i="5"/>
  <c r="P761" i="5"/>
  <c r="P756" i="5"/>
  <c r="P751" i="5"/>
  <c r="P744" i="5"/>
  <c r="P739" i="5"/>
  <c r="P735" i="5"/>
  <c r="P728" i="5"/>
  <c r="P723" i="5"/>
  <c r="P718" i="5"/>
  <c r="P711" i="5"/>
  <c r="P706" i="5"/>
  <c r="P700" i="5"/>
  <c r="P694" i="5"/>
  <c r="P689" i="5"/>
  <c r="P683" i="5"/>
  <c r="P677" i="5"/>
  <c r="P671" i="5"/>
  <c r="P666" i="5"/>
  <c r="P662" i="5"/>
  <c r="P657" i="5"/>
  <c r="P652" i="5"/>
  <c r="P645" i="5"/>
  <c r="P640" i="5"/>
  <c r="P635" i="5"/>
  <c r="P630" i="5"/>
  <c r="P625" i="5"/>
  <c r="P620" i="5"/>
  <c r="P616" i="5"/>
  <c r="P611" i="5"/>
  <c r="P605" i="5"/>
  <c r="P599" i="5"/>
  <c r="P594" i="5"/>
  <c r="P589" i="5"/>
  <c r="P585" i="5"/>
  <c r="P579" i="5"/>
  <c r="P574" i="5"/>
  <c r="P568" i="5"/>
  <c r="P562" i="5"/>
  <c r="P557" i="5"/>
  <c r="P552" i="5"/>
  <c r="P546" i="5"/>
  <c r="P541" i="5"/>
  <c r="P535" i="5"/>
  <c r="P529" i="5"/>
  <c r="P511" i="5"/>
  <c r="P507" i="5"/>
  <c r="P503" i="5"/>
  <c r="P498" i="5"/>
  <c r="P494" i="5"/>
  <c r="P491" i="5"/>
  <c r="P488" i="5"/>
  <c r="P484" i="5"/>
  <c r="P480" i="5"/>
  <c r="P476" i="5"/>
  <c r="P473" i="5"/>
  <c r="P469" i="5"/>
  <c r="P465" i="5"/>
  <c r="P456" i="5"/>
  <c r="P451" i="5"/>
  <c r="P446" i="5"/>
  <c r="P441" i="5"/>
  <c r="P435" i="5"/>
  <c r="P430" i="5"/>
  <c r="P425" i="5"/>
  <c r="P419" i="5"/>
  <c r="P415" i="5"/>
  <c r="P409" i="5"/>
  <c r="P403" i="5"/>
  <c r="P398" i="5"/>
  <c r="P393" i="5"/>
  <c r="P387" i="5"/>
  <c r="P382" i="5"/>
  <c r="P378" i="5"/>
  <c r="P373" i="5"/>
  <c r="P369" i="5"/>
  <c r="P364" i="5"/>
  <c r="P359" i="5"/>
  <c r="P354" i="5"/>
  <c r="P348" i="5"/>
  <c r="P343" i="5"/>
  <c r="P337" i="5"/>
  <c r="P332" i="5"/>
  <c r="P328" i="5"/>
  <c r="P322" i="5"/>
  <c r="P316" i="5"/>
  <c r="P311" i="5"/>
  <c r="P307" i="5"/>
  <c r="P301" i="5"/>
  <c r="P296" i="5"/>
  <c r="P291" i="5"/>
  <c r="P286" i="5"/>
  <c r="P279" i="5"/>
  <c r="P274" i="5"/>
  <c r="P268" i="5"/>
  <c r="P263" i="5"/>
  <c r="P258" i="5"/>
  <c r="P252" i="5"/>
  <c r="P247" i="5"/>
  <c r="P242" i="5"/>
  <c r="P236" i="5"/>
  <c r="P231" i="5"/>
  <c r="P226" i="5"/>
  <c r="P220" i="5"/>
  <c r="P216" i="5"/>
  <c r="P210" i="5"/>
  <c r="P205" i="5"/>
  <c r="P200" i="5"/>
  <c r="P195" i="5"/>
  <c r="P189" i="5"/>
  <c r="P183" i="5"/>
  <c r="P178" i="5"/>
  <c r="P172" i="5"/>
  <c r="P168" i="5"/>
  <c r="P162" i="5"/>
  <c r="P156" i="5"/>
  <c r="P151" i="5"/>
  <c r="P147" i="5"/>
  <c r="P142" i="5"/>
  <c r="P136" i="5"/>
  <c r="P131" i="5"/>
  <c r="P126" i="5"/>
  <c r="P119" i="5"/>
  <c r="P114" i="5"/>
  <c r="P109" i="5"/>
  <c r="P103" i="5"/>
  <c r="P98" i="5"/>
  <c r="P93" i="5"/>
  <c r="P87" i="5"/>
  <c r="P82" i="5"/>
  <c r="P77" i="5"/>
  <c r="P71" i="5"/>
  <c r="P65" i="5"/>
  <c r="P60" i="5"/>
  <c r="P55" i="5"/>
  <c r="P48" i="5"/>
  <c r="P30" i="5"/>
  <c r="P23" i="5"/>
  <c r="P18" i="5"/>
  <c r="P13" i="5"/>
  <c r="P7" i="5"/>
  <c r="P3" i="5"/>
  <c r="S166" i="3"/>
  <c r="BG156" i="1" s="1"/>
  <c r="R166" i="3"/>
  <c r="BF156" i="1" s="1"/>
  <c r="R165" i="3"/>
  <c r="BF155" i="1" s="1"/>
  <c r="R164" i="3"/>
  <c r="BF154" i="1" s="1"/>
  <c r="R163" i="3"/>
  <c r="BF153" i="1" s="1"/>
  <c r="R161" i="3"/>
  <c r="BF151" i="1" s="1"/>
  <c r="S159" i="3"/>
  <c r="BG149" i="1" s="1"/>
  <c r="S157" i="3"/>
  <c r="BG147" i="1" s="1"/>
  <c r="S155" i="3"/>
  <c r="BG145" i="1" s="1"/>
  <c r="R154" i="3"/>
  <c r="BF144" i="1" s="1"/>
  <c r="R151" i="3"/>
  <c r="BF141" i="1" s="1"/>
  <c r="R147" i="3"/>
  <c r="BF137" i="1" s="1"/>
  <c r="R144" i="3"/>
  <c r="BF134" i="1" s="1"/>
  <c r="R141" i="3"/>
  <c r="BF131" i="1" s="1"/>
  <c r="R137" i="3"/>
  <c r="BF127" i="1" s="1"/>
  <c r="R134" i="3"/>
  <c r="BF124" i="1" s="1"/>
  <c r="R130" i="3"/>
  <c r="BF120" i="1" s="1"/>
  <c r="S126" i="3"/>
  <c r="BG116" i="1" s="1"/>
  <c r="S115" i="3"/>
  <c r="BG105" i="1" s="1"/>
  <c r="R112" i="3"/>
  <c r="BF102" i="1" s="1"/>
  <c r="R109" i="3"/>
  <c r="BF99" i="1" s="1"/>
  <c r="S106" i="3"/>
  <c r="BG96" i="1" s="1"/>
  <c r="S104" i="3"/>
  <c r="BG94" i="1" s="1"/>
  <c r="R102" i="3"/>
  <c r="BF92" i="1" s="1"/>
  <c r="R100" i="3"/>
  <c r="BF90" i="1" s="1"/>
  <c r="S96" i="3"/>
  <c r="BG86" i="1" s="1"/>
  <c r="S93" i="3"/>
  <c r="BG83" i="1" s="1"/>
  <c r="S90" i="3"/>
  <c r="BG80" i="1" s="1"/>
  <c r="S191" i="3"/>
  <c r="BG181" i="1" s="1"/>
  <c r="R191" i="3"/>
  <c r="BF181" i="1" s="1"/>
  <c r="S190" i="3"/>
  <c r="BG180" i="1" s="1"/>
  <c r="R190" i="3"/>
  <c r="BF180" i="1" s="1"/>
  <c r="S189" i="3"/>
  <c r="BG179" i="1" s="1"/>
  <c r="R189" i="3"/>
  <c r="BF179" i="1" s="1"/>
  <c r="S188" i="3"/>
  <c r="BG178" i="1" s="1"/>
  <c r="R188" i="3"/>
  <c r="BF178" i="1" s="1"/>
  <c r="S187" i="3"/>
  <c r="BG177" i="1" s="1"/>
  <c r="R187" i="3"/>
  <c r="BF177" i="1" s="1"/>
  <c r="S186" i="3"/>
  <c r="BG176" i="1" s="1"/>
  <c r="R186" i="3"/>
  <c r="BF176" i="1" s="1"/>
  <c r="S185" i="3"/>
  <c r="BG175" i="1" s="1"/>
  <c r="R185" i="3"/>
  <c r="BF175" i="1" s="1"/>
  <c r="S184" i="3"/>
  <c r="BG174" i="1" s="1"/>
  <c r="R184" i="3"/>
  <c r="BF174" i="1" s="1"/>
  <c r="S183" i="3"/>
  <c r="BG173" i="1" s="1"/>
  <c r="R183" i="3"/>
  <c r="BF173" i="1" s="1"/>
  <c r="S182" i="3"/>
  <c r="BG172" i="1" s="1"/>
  <c r="R182" i="3"/>
  <c r="BF172" i="1" s="1"/>
  <c r="S181" i="3"/>
  <c r="BG171" i="1" s="1"/>
  <c r="R181" i="3"/>
  <c r="BF171" i="1" s="1"/>
  <c r="S180" i="3"/>
  <c r="BG170" i="1" s="1"/>
  <c r="R180" i="3"/>
  <c r="BF170" i="1" s="1"/>
  <c r="S179" i="3"/>
  <c r="BG169" i="1" s="1"/>
  <c r="R179" i="3"/>
  <c r="BF169" i="1" s="1"/>
  <c r="S178" i="3"/>
  <c r="BG168" i="1" s="1"/>
  <c r="R178" i="3"/>
  <c r="BF168" i="1" s="1"/>
  <c r="S177" i="3"/>
  <c r="BG167" i="1" s="1"/>
  <c r="R177" i="3"/>
  <c r="BF167" i="1" s="1"/>
  <c r="S176" i="3"/>
  <c r="BG166" i="1" s="1"/>
  <c r="R176" i="3"/>
  <c r="BF166" i="1" s="1"/>
  <c r="S175" i="3"/>
  <c r="BG165" i="1" s="1"/>
  <c r="R175" i="3"/>
  <c r="BF165" i="1" s="1"/>
  <c r="S174" i="3"/>
  <c r="BG164" i="1" s="1"/>
  <c r="R174" i="3"/>
  <c r="BF164" i="1" s="1"/>
  <c r="S173" i="3"/>
  <c r="BG163" i="1" s="1"/>
  <c r="R173" i="3"/>
  <c r="BF163" i="1" s="1"/>
  <c r="S172" i="3"/>
  <c r="BG162" i="1" s="1"/>
  <c r="R172" i="3"/>
  <c r="BF162" i="1" s="1"/>
  <c r="S171" i="3"/>
  <c r="BG161" i="1" s="1"/>
  <c r="R171" i="3"/>
  <c r="BF161" i="1" s="1"/>
  <c r="S170" i="3"/>
  <c r="BG160" i="1" s="1"/>
  <c r="R170" i="3"/>
  <c r="BF160" i="1" s="1"/>
  <c r="S169" i="3"/>
  <c r="BG159" i="1" s="1"/>
  <c r="R169" i="3"/>
  <c r="BF159" i="1" s="1"/>
  <c r="S168" i="3"/>
  <c r="BG158" i="1" s="1"/>
  <c r="R168" i="3"/>
  <c r="BF158" i="1" s="1"/>
  <c r="S167" i="3"/>
  <c r="BG157" i="1" s="1"/>
  <c r="R167" i="3"/>
  <c r="BF157" i="1" s="1"/>
  <c r="S165" i="3"/>
  <c r="BG155" i="1" s="1"/>
  <c r="S163" i="3"/>
  <c r="BG153" i="1" s="1"/>
  <c r="R162" i="3"/>
  <c r="BF152" i="1" s="1"/>
  <c r="S160" i="3"/>
  <c r="BG150" i="1" s="1"/>
  <c r="S158" i="3"/>
  <c r="BG148" i="1" s="1"/>
  <c r="R156" i="3"/>
  <c r="BF146" i="1" s="1"/>
  <c r="S152" i="3"/>
  <c r="BG142" i="1" s="1"/>
  <c r="S149" i="3"/>
  <c r="BG139" i="1" s="1"/>
  <c r="S146" i="3"/>
  <c r="BG136" i="1" s="1"/>
  <c r="R143" i="3"/>
  <c r="BF133" i="1" s="1"/>
  <c r="S139" i="3"/>
  <c r="BG129" i="1" s="1"/>
  <c r="S135" i="3"/>
  <c r="BG125" i="1" s="1"/>
  <c r="S132" i="3"/>
  <c r="BG122" i="1" s="1"/>
  <c r="R129" i="3"/>
  <c r="BF119" i="1" s="1"/>
  <c r="R125" i="3"/>
  <c r="BF115" i="1" s="1"/>
  <c r="S120" i="3"/>
  <c r="BG110" i="1" s="1"/>
  <c r="S117" i="3"/>
  <c r="BG107" i="1" s="1"/>
  <c r="R115" i="3"/>
  <c r="BF105" i="1" s="1"/>
  <c r="S112" i="3"/>
  <c r="BG102" i="1" s="1"/>
  <c r="R110" i="3"/>
  <c r="BF100" i="1" s="1"/>
  <c r="R107" i="3"/>
  <c r="BF97" i="1" s="1"/>
  <c r="S105" i="3"/>
  <c r="BG95" i="1" s="1"/>
  <c r="S102" i="3"/>
  <c r="BG92" i="1" s="1"/>
  <c r="S100" i="3"/>
  <c r="BG90" i="1" s="1"/>
  <c r="R97" i="3"/>
  <c r="BF87" i="1" s="1"/>
  <c r="R92" i="3"/>
  <c r="BF82" i="1" s="1"/>
  <c r="R88" i="3"/>
  <c r="BF78" i="1" s="1"/>
  <c r="R87" i="3"/>
  <c r="BF77" i="1" s="1"/>
  <c r="S86" i="3"/>
  <c r="BG76" i="1" s="1"/>
  <c r="R86" i="3"/>
  <c r="BF76" i="1" s="1"/>
  <c r="S85" i="3"/>
  <c r="BG75" i="1" s="1"/>
  <c r="R85" i="3"/>
  <c r="BF75" i="1" s="1"/>
  <c r="S84" i="3"/>
  <c r="BG74" i="1" s="1"/>
  <c r="R84" i="3"/>
  <c r="BF74" i="1" s="1"/>
  <c r="S83" i="3"/>
  <c r="BG73" i="1" s="1"/>
  <c r="R83" i="3"/>
  <c r="BF73" i="1" s="1"/>
  <c r="S82" i="3"/>
  <c r="BG72" i="1" s="1"/>
  <c r="R82" i="3"/>
  <c r="BF72" i="1" s="1"/>
  <c r="S81" i="3"/>
  <c r="BG71" i="1" s="1"/>
  <c r="R81" i="3"/>
  <c r="BF71" i="1" s="1"/>
  <c r="S80" i="3"/>
  <c r="BG70" i="1" s="1"/>
  <c r="R80" i="3"/>
  <c r="BF70" i="1" s="1"/>
  <c r="S79" i="3"/>
  <c r="BG69" i="1" s="1"/>
  <c r="R79" i="3"/>
  <c r="BF69" i="1" s="1"/>
  <c r="S78" i="3"/>
  <c r="BG68" i="1" s="1"/>
  <c r="R78" i="3"/>
  <c r="BF68" i="1" s="1"/>
  <c r="S77" i="3"/>
  <c r="BG67" i="1" s="1"/>
  <c r="R77" i="3"/>
  <c r="BF67" i="1" s="1"/>
  <c r="S76" i="3"/>
  <c r="BG66" i="1" s="1"/>
  <c r="R76" i="3"/>
  <c r="BF66" i="1" s="1"/>
  <c r="S75" i="3"/>
  <c r="BG65" i="1" s="1"/>
  <c r="R75" i="3"/>
  <c r="BF65" i="1" s="1"/>
  <c r="S74" i="3"/>
  <c r="BG64" i="1" s="1"/>
  <c r="R74" i="3"/>
  <c r="BF64" i="1" s="1"/>
  <c r="S73" i="3"/>
  <c r="BG63" i="1" s="1"/>
  <c r="R73" i="3"/>
  <c r="BF63" i="1" s="1"/>
  <c r="S72" i="3"/>
  <c r="BG62" i="1" s="1"/>
  <c r="R72" i="3"/>
  <c r="BF62" i="1" s="1"/>
  <c r="S71" i="3"/>
  <c r="BG61" i="1" s="1"/>
  <c r="R71" i="3"/>
  <c r="BF61" i="1" s="1"/>
  <c r="S70" i="3"/>
  <c r="BG60" i="1" s="1"/>
  <c r="R70" i="3"/>
  <c r="BF60" i="1" s="1"/>
  <c r="S69" i="3"/>
  <c r="BG59" i="1" s="1"/>
  <c r="R69" i="3"/>
  <c r="BF59" i="1" s="1"/>
  <c r="S68" i="3"/>
  <c r="BG58" i="1" s="1"/>
  <c r="R68" i="3"/>
  <c r="BF58" i="1" s="1"/>
  <c r="S67" i="3"/>
  <c r="BG57" i="1" s="1"/>
  <c r="R67" i="3"/>
  <c r="BF57" i="1" s="1"/>
  <c r="S66" i="3"/>
  <c r="BG56" i="1" s="1"/>
  <c r="R66" i="3"/>
  <c r="BF56" i="1" s="1"/>
  <c r="S65" i="3"/>
  <c r="BG55" i="1" s="1"/>
  <c r="R65" i="3"/>
  <c r="BF55" i="1" s="1"/>
  <c r="S64" i="3"/>
  <c r="BG54" i="1" s="1"/>
  <c r="R64" i="3"/>
  <c r="BF54" i="1" s="1"/>
  <c r="S63" i="3"/>
  <c r="BG53" i="1" s="1"/>
  <c r="R63" i="3"/>
  <c r="BF53" i="1" s="1"/>
  <c r="S62" i="3"/>
  <c r="BG52" i="1" s="1"/>
  <c r="R62" i="3"/>
  <c r="BF52" i="1" s="1"/>
  <c r="S61" i="3"/>
  <c r="BG51" i="1" s="1"/>
  <c r="R61" i="3"/>
  <c r="BF51" i="1" s="1"/>
  <c r="S60" i="3"/>
  <c r="BG50" i="1" s="1"/>
  <c r="R60" i="3"/>
  <c r="BF50" i="1" s="1"/>
  <c r="S59" i="3"/>
  <c r="BG49" i="1" s="1"/>
  <c r="R59" i="3"/>
  <c r="BF49" i="1" s="1"/>
  <c r="S58" i="3"/>
  <c r="BG48" i="1" s="1"/>
  <c r="R58" i="3"/>
  <c r="BF48" i="1" s="1"/>
  <c r="S57" i="3"/>
  <c r="BG47" i="1" s="1"/>
  <c r="R57" i="3"/>
  <c r="BF47" i="1" s="1"/>
  <c r="S56" i="3"/>
  <c r="BG46" i="1" s="1"/>
  <c r="R56" i="3"/>
  <c r="BF46" i="1" s="1"/>
  <c r="S55" i="3"/>
  <c r="BG45" i="1" s="1"/>
  <c r="R55" i="3"/>
  <c r="BF45" i="1" s="1"/>
  <c r="S54" i="3"/>
  <c r="BG44" i="1" s="1"/>
  <c r="R54" i="3"/>
  <c r="BF44" i="1" s="1"/>
  <c r="S53" i="3"/>
  <c r="BG43" i="1" s="1"/>
  <c r="R53" i="3"/>
  <c r="BF43" i="1" s="1"/>
  <c r="S52" i="3"/>
  <c r="BG42" i="1" s="1"/>
  <c r="R52" i="3"/>
  <c r="BF42" i="1" s="1"/>
  <c r="S51" i="3"/>
  <c r="BG41" i="1" s="1"/>
  <c r="R51" i="3"/>
  <c r="BF41" i="1" s="1"/>
  <c r="S50" i="3"/>
  <c r="BG40" i="1" s="1"/>
  <c r="R50" i="3"/>
  <c r="BF40" i="1" s="1"/>
  <c r="S49" i="3"/>
  <c r="BG39" i="1" s="1"/>
  <c r="R49" i="3"/>
  <c r="BF39" i="1" s="1"/>
  <c r="S48" i="3"/>
  <c r="BG38" i="1" s="1"/>
  <c r="R48" i="3"/>
  <c r="BF38" i="1" s="1"/>
  <c r="S47" i="3"/>
  <c r="BG37" i="1" s="1"/>
  <c r="R47" i="3"/>
  <c r="BF37" i="1" s="1"/>
  <c r="S46" i="3"/>
  <c r="BG36" i="1" s="1"/>
  <c r="R46" i="3"/>
  <c r="BF36" i="1" s="1"/>
  <c r="S45" i="3"/>
  <c r="BG35" i="1" s="1"/>
  <c r="R45" i="3"/>
  <c r="BF35" i="1" s="1"/>
  <c r="S44" i="3"/>
  <c r="BG34" i="1" s="1"/>
  <c r="R44" i="3"/>
  <c r="BF34" i="1" s="1"/>
  <c r="S43" i="3"/>
  <c r="BG33" i="1" s="1"/>
  <c r="R43" i="3"/>
  <c r="BF33" i="1" s="1"/>
  <c r="S42" i="3"/>
  <c r="BG32" i="1" s="1"/>
  <c r="R42" i="3"/>
  <c r="BF32" i="1" s="1"/>
  <c r="S41" i="3"/>
  <c r="BG31" i="1" s="1"/>
  <c r="R41" i="3"/>
  <c r="BF31" i="1" s="1"/>
  <c r="S40" i="3"/>
  <c r="BG30" i="1" s="1"/>
  <c r="R40" i="3"/>
  <c r="BF30" i="1" s="1"/>
  <c r="S39" i="3"/>
  <c r="BG29" i="1" s="1"/>
  <c r="R39" i="3"/>
  <c r="BF29" i="1" s="1"/>
  <c r="S38" i="3"/>
  <c r="BG28" i="1" s="1"/>
  <c r="R38" i="3"/>
  <c r="BF28" i="1" s="1"/>
  <c r="S37" i="3"/>
  <c r="BG27" i="1" s="1"/>
  <c r="R37" i="3"/>
  <c r="BF27" i="1" s="1"/>
  <c r="S36" i="3"/>
  <c r="BG26" i="1" s="1"/>
  <c r="R36" i="3"/>
  <c r="BF26" i="1" s="1"/>
  <c r="S35" i="3"/>
  <c r="BG25" i="1" s="1"/>
  <c r="R35" i="3"/>
  <c r="BF25" i="1" s="1"/>
  <c r="S34" i="3"/>
  <c r="BG24" i="1" s="1"/>
  <c r="R34" i="3"/>
  <c r="BF24" i="1" s="1"/>
  <c r="S33" i="3"/>
  <c r="BG23" i="1" s="1"/>
  <c r="R33" i="3"/>
  <c r="BF23" i="1" s="1"/>
  <c r="S32" i="3"/>
  <c r="BG22" i="1" s="1"/>
  <c r="R32" i="3"/>
  <c r="BF22" i="1" s="1"/>
  <c r="S31" i="3"/>
  <c r="BG21" i="1" s="1"/>
  <c r="R31" i="3"/>
  <c r="BF21" i="1" s="1"/>
  <c r="S30" i="3"/>
  <c r="BG20" i="1" s="1"/>
  <c r="R30" i="3"/>
  <c r="BF20" i="1" s="1"/>
  <c r="S29" i="3"/>
  <c r="BG19" i="1" s="1"/>
  <c r="R29" i="3"/>
  <c r="BF19" i="1" s="1"/>
  <c r="S28" i="3"/>
  <c r="BG18" i="1" s="1"/>
  <c r="R28" i="3"/>
  <c r="BF18" i="1" s="1"/>
  <c r="S27" i="3"/>
  <c r="BG17" i="1" s="1"/>
  <c r="R27" i="3"/>
  <c r="BF17" i="1" s="1"/>
  <c r="S26" i="3"/>
  <c r="BG16" i="1" s="1"/>
  <c r="R26" i="3"/>
  <c r="BF16" i="1" s="1"/>
  <c r="S25" i="3"/>
  <c r="BG15" i="1" s="1"/>
  <c r="R25" i="3"/>
  <c r="BF15" i="1" s="1"/>
  <c r="S24" i="3"/>
  <c r="BG14" i="1" s="1"/>
  <c r="R24" i="3"/>
  <c r="BF14" i="1" s="1"/>
  <c r="S23" i="3"/>
  <c r="BG13" i="1" s="1"/>
  <c r="R23" i="3"/>
  <c r="BF13" i="1" s="1"/>
  <c r="S21" i="3"/>
  <c r="BG11" i="1" s="1"/>
  <c r="R21" i="3"/>
  <c r="BF11" i="1" s="1"/>
  <c r="S20" i="3"/>
  <c r="BG10" i="1" s="1"/>
  <c r="S446" i="3"/>
  <c r="BG436" i="1" s="1"/>
  <c r="R254" i="3"/>
  <c r="BF244" i="1" s="1"/>
  <c r="R251" i="3"/>
  <c r="BF241" i="1" s="1"/>
  <c r="R256" i="3"/>
  <c r="BF246" i="1" s="1"/>
  <c r="R20" i="3"/>
  <c r="BF10" i="1" s="1"/>
  <c r="R253" i="3"/>
  <c r="BF243" i="1" s="1"/>
  <c r="R250" i="3"/>
  <c r="BF240" i="1" s="1"/>
  <c r="R248" i="3"/>
  <c r="BF238" i="1" s="1"/>
  <c r="R245" i="3"/>
  <c r="BF235" i="1" s="1"/>
  <c r="R252" i="3"/>
  <c r="BF242" i="1" s="1"/>
  <c r="R249" i="3"/>
  <c r="BF239" i="1" s="1"/>
  <c r="R247" i="3"/>
  <c r="BF237" i="1" s="1"/>
  <c r="R255" i="3"/>
  <c r="BF245" i="1" s="1"/>
  <c r="R277" i="3"/>
  <c r="BF267" i="1" s="1"/>
  <c r="R276" i="3"/>
  <c r="BF266" i="1" s="1"/>
  <c r="R275" i="3"/>
  <c r="BF265" i="1" s="1"/>
  <c r="R274" i="3"/>
  <c r="BF264" i="1" s="1"/>
  <c r="R273" i="3"/>
  <c r="BF263" i="1" s="1"/>
  <c r="R272" i="3"/>
  <c r="BF262" i="1" s="1"/>
  <c r="R271" i="3"/>
  <c r="BF261" i="1" s="1"/>
  <c r="R270" i="3"/>
  <c r="BF260" i="1" s="1"/>
  <c r="R269" i="3"/>
  <c r="BF259" i="1" s="1"/>
  <c r="R268" i="3"/>
  <c r="BF258" i="1" s="1"/>
  <c r="R267" i="3"/>
  <c r="BF257" i="1" s="1"/>
  <c r="R266" i="3"/>
  <c r="BF256" i="1" s="1"/>
  <c r="R265" i="3"/>
  <c r="BF255" i="1" s="1"/>
  <c r="R264" i="3"/>
  <c r="BF254" i="1" s="1"/>
  <c r="R263" i="3"/>
  <c r="BF253" i="1" s="1"/>
  <c r="R262" i="3"/>
  <c r="BF252" i="1" s="1"/>
  <c r="R261" i="3"/>
  <c r="BF251" i="1" s="1"/>
  <c r="R259" i="3"/>
  <c r="BF249" i="1" s="1"/>
  <c r="R258" i="3"/>
  <c r="BF248" i="1" s="1"/>
  <c r="R257" i="3"/>
  <c r="BF247" i="1" s="1"/>
  <c r="R246" i="3"/>
  <c r="BF236" i="1" s="1"/>
  <c r="R244" i="3"/>
  <c r="BF234" i="1" s="1"/>
  <c r="R243" i="3"/>
  <c r="BF233" i="1" s="1"/>
  <c r="R242" i="3"/>
  <c r="BF232" i="1" s="1"/>
  <c r="R241" i="3"/>
  <c r="BF231" i="1" s="1"/>
  <c r="R421" i="3"/>
  <c r="BF411" i="1" s="1"/>
  <c r="R420" i="3"/>
  <c r="BF410" i="1" s="1"/>
  <c r="R419" i="3"/>
  <c r="BF409" i="1" s="1"/>
  <c r="R418" i="3"/>
  <c r="BF408" i="1" s="1"/>
  <c r="R417" i="3"/>
  <c r="BF407" i="1" s="1"/>
  <c r="R416" i="3"/>
  <c r="BF406" i="1" s="1"/>
  <c r="R415" i="3"/>
  <c r="BF405" i="1" s="1"/>
  <c r="R414" i="3"/>
  <c r="BF404" i="1" s="1"/>
  <c r="R413" i="3"/>
  <c r="BF403" i="1" s="1"/>
  <c r="R412" i="3"/>
  <c r="BF402" i="1" s="1"/>
  <c r="R411" i="3"/>
  <c r="BF401" i="1" s="1"/>
  <c r="R240" i="3"/>
  <c r="BF230" i="1" s="1"/>
  <c r="R239" i="3"/>
  <c r="BF229" i="1" s="1"/>
  <c r="R238" i="3"/>
  <c r="BF228" i="1" s="1"/>
  <c r="R237" i="3"/>
  <c r="BF227" i="1" s="1"/>
  <c r="R236" i="3"/>
  <c r="BF226" i="1" s="1"/>
  <c r="R235" i="3"/>
  <c r="BF225" i="1" s="1"/>
  <c r="R389" i="3"/>
  <c r="BF379" i="1" s="1"/>
  <c r="R388" i="3"/>
  <c r="BF378" i="1" s="1"/>
  <c r="R387" i="3"/>
  <c r="BF377" i="1" s="1"/>
  <c r="R386" i="3"/>
  <c r="BF376" i="1" s="1"/>
  <c r="R385" i="3"/>
  <c r="BF375" i="1" s="1"/>
  <c r="R384" i="3"/>
  <c r="BF374" i="1" s="1"/>
  <c r="R383" i="3"/>
  <c r="BF373" i="1" s="1"/>
  <c r="R382" i="3"/>
  <c r="BF372" i="1" s="1"/>
  <c r="R381" i="3"/>
  <c r="BF371" i="1" s="1"/>
  <c r="R380" i="3"/>
  <c r="BF370" i="1" s="1"/>
  <c r="R379" i="3"/>
  <c r="BF369" i="1" s="1"/>
  <c r="R378" i="3"/>
  <c r="BF368" i="1" s="1"/>
  <c r="R377" i="3"/>
  <c r="BF367" i="1" s="1"/>
  <c r="R376" i="3"/>
  <c r="BF366" i="1" s="1"/>
  <c r="R375" i="3"/>
  <c r="BF365" i="1" s="1"/>
  <c r="R374" i="3"/>
  <c r="BF364" i="1" s="1"/>
  <c r="R373" i="3"/>
  <c r="BF363" i="1" s="1"/>
  <c r="R372" i="3"/>
  <c r="BF362" i="1" s="1"/>
  <c r="R371" i="3"/>
  <c r="BF361" i="1" s="1"/>
  <c r="R370" i="3"/>
  <c r="BF360" i="1" s="1"/>
  <c r="R369" i="3"/>
  <c r="BF359" i="1" s="1"/>
  <c r="R368" i="3"/>
  <c r="BF358" i="1" s="1"/>
  <c r="R367" i="3"/>
  <c r="BF357" i="1" s="1"/>
  <c r="R366" i="3"/>
  <c r="BF356" i="1" s="1"/>
  <c r="R365" i="3"/>
  <c r="BF355" i="1" s="1"/>
  <c r="R364" i="3"/>
  <c r="BF354" i="1" s="1"/>
  <c r="R363" i="3"/>
  <c r="BF353" i="1" s="1"/>
  <c r="R362" i="3"/>
  <c r="BF352" i="1" s="1"/>
  <c r="R361" i="3"/>
  <c r="BF351" i="1" s="1"/>
  <c r="R360" i="3"/>
  <c r="BF350" i="1" s="1"/>
  <c r="R359" i="3"/>
  <c r="BF349" i="1" s="1"/>
  <c r="R358" i="3"/>
  <c r="BF348" i="1" s="1"/>
  <c r="R357" i="3"/>
  <c r="BF347" i="1" s="1"/>
  <c r="R356" i="3"/>
  <c r="BF346" i="1" s="1"/>
  <c r="R355" i="3"/>
  <c r="BF345" i="1" s="1"/>
  <c r="R354" i="3"/>
  <c r="BF344" i="1" s="1"/>
  <c r="S353" i="3"/>
  <c r="BG343" i="1" s="1"/>
  <c r="R353" i="3"/>
  <c r="BF343" i="1" s="1"/>
  <c r="S352" i="3"/>
  <c r="BG342" i="1" s="1"/>
  <c r="R352" i="3"/>
  <c r="BF342" i="1" s="1"/>
  <c r="S351" i="3"/>
  <c r="BG341" i="1" s="1"/>
  <c r="R351" i="3"/>
  <c r="BF341" i="1" s="1"/>
  <c r="S350" i="3"/>
  <c r="BG340" i="1" s="1"/>
  <c r="R350" i="3"/>
  <c r="BF340" i="1" s="1"/>
  <c r="S349" i="3"/>
  <c r="BG339" i="1" s="1"/>
  <c r="R349" i="3"/>
  <c r="BF339" i="1" s="1"/>
  <c r="S348" i="3"/>
  <c r="BG338" i="1" s="1"/>
  <c r="R348" i="3"/>
  <c r="BF338" i="1" s="1"/>
  <c r="S347" i="3"/>
  <c r="BG337" i="1" s="1"/>
  <c r="R347" i="3"/>
  <c r="BF337" i="1" s="1"/>
  <c r="S346" i="3"/>
  <c r="BG336" i="1" s="1"/>
  <c r="R346" i="3"/>
  <c r="BF336" i="1" s="1"/>
  <c r="S345" i="3"/>
  <c r="BG335" i="1" s="1"/>
  <c r="R345" i="3"/>
  <c r="BF335" i="1" s="1"/>
  <c r="S344" i="3"/>
  <c r="BG334" i="1" s="1"/>
  <c r="R344" i="3"/>
  <c r="BF334" i="1" s="1"/>
  <c r="S343" i="3"/>
  <c r="BG333" i="1" s="1"/>
  <c r="R343" i="3"/>
  <c r="BF333" i="1" s="1"/>
  <c r="S342" i="3"/>
  <c r="BG332" i="1" s="1"/>
  <c r="R342" i="3"/>
  <c r="BF332" i="1" s="1"/>
  <c r="S341" i="3"/>
  <c r="BG331" i="1" s="1"/>
  <c r="R341" i="3"/>
  <c r="BF331" i="1" s="1"/>
  <c r="S340" i="3"/>
  <c r="BG330" i="1" s="1"/>
  <c r="R340" i="3"/>
  <c r="BF330" i="1" s="1"/>
  <c r="S339" i="3"/>
  <c r="BG329" i="1" s="1"/>
  <c r="R339" i="3"/>
  <c r="BF329" i="1" s="1"/>
  <c r="S338" i="3"/>
  <c r="BG328" i="1" s="1"/>
  <c r="R338" i="3"/>
  <c r="BF328" i="1" s="1"/>
  <c r="S337" i="3"/>
  <c r="BG327" i="1" s="1"/>
  <c r="R337" i="3"/>
  <c r="BF327" i="1" s="1"/>
  <c r="S336" i="3"/>
  <c r="BG326" i="1" s="1"/>
  <c r="R336" i="3"/>
  <c r="BF326" i="1" s="1"/>
  <c r="S335" i="3"/>
  <c r="BG325" i="1" s="1"/>
  <c r="R335" i="3"/>
  <c r="BF325" i="1" s="1"/>
  <c r="S334" i="3"/>
  <c r="BG324" i="1" s="1"/>
  <c r="R333" i="3"/>
  <c r="BF323" i="1" s="1"/>
  <c r="S332" i="3"/>
  <c r="BG322" i="1" s="1"/>
  <c r="R332" i="3"/>
  <c r="BF322" i="1" s="1"/>
  <c r="S331" i="3"/>
  <c r="BG321" i="1" s="1"/>
  <c r="R331" i="3"/>
  <c r="BF321" i="1" s="1"/>
  <c r="S330" i="3"/>
  <c r="BG320" i="1" s="1"/>
  <c r="R330" i="3"/>
  <c r="BF320" i="1" s="1"/>
  <c r="S329" i="3"/>
  <c r="BG319" i="1" s="1"/>
  <c r="R329" i="3"/>
  <c r="BF319" i="1" s="1"/>
  <c r="S328" i="3"/>
  <c r="BG318" i="1" s="1"/>
  <c r="R328" i="3"/>
  <c r="BF318" i="1" s="1"/>
  <c r="S327" i="3"/>
  <c r="BG317" i="1" s="1"/>
  <c r="R327" i="3"/>
  <c r="BF317" i="1" s="1"/>
  <c r="S326" i="3"/>
  <c r="BG316" i="1" s="1"/>
  <c r="R326" i="3"/>
  <c r="BF316" i="1" s="1"/>
  <c r="S325" i="3"/>
  <c r="BG315" i="1" s="1"/>
  <c r="R325" i="3"/>
  <c r="BF315" i="1" s="1"/>
  <c r="S324" i="3"/>
  <c r="BG314" i="1" s="1"/>
  <c r="R324" i="3"/>
  <c r="BF314" i="1" s="1"/>
  <c r="S323" i="3"/>
  <c r="BG313" i="1" s="1"/>
  <c r="R323" i="3"/>
  <c r="BF313" i="1" s="1"/>
  <c r="S322" i="3"/>
  <c r="BG312" i="1" s="1"/>
  <c r="R322" i="3"/>
  <c r="BF312" i="1" s="1"/>
  <c r="S321" i="3"/>
  <c r="BG311" i="1" s="1"/>
  <c r="R321" i="3"/>
  <c r="BF311" i="1" s="1"/>
  <c r="S320" i="3"/>
  <c r="BG310" i="1" s="1"/>
  <c r="S267" i="3"/>
  <c r="BG257" i="1" s="1"/>
  <c r="S266" i="3"/>
  <c r="BG256" i="1" s="1"/>
  <c r="S260" i="3"/>
  <c r="BG250" i="1" s="1"/>
  <c r="S250" i="3"/>
  <c r="BG240" i="1" s="1"/>
  <c r="S245" i="3"/>
  <c r="BG235" i="1" s="1"/>
  <c r="S240" i="3"/>
  <c r="BG230" i="1" s="1"/>
  <c r="S236" i="3"/>
  <c r="BG226" i="1" s="1"/>
  <c r="R320" i="3"/>
  <c r="BF310" i="1" s="1"/>
  <c r="S319" i="3"/>
  <c r="BG309" i="1" s="1"/>
  <c r="R319" i="3"/>
  <c r="BF309" i="1" s="1"/>
  <c r="S318" i="3"/>
  <c r="BG308" i="1" s="1"/>
  <c r="R318" i="3"/>
  <c r="BF308" i="1" s="1"/>
  <c r="S317" i="3"/>
  <c r="BG307" i="1" s="1"/>
  <c r="R317" i="3"/>
  <c r="BF307" i="1" s="1"/>
  <c r="S316" i="3"/>
  <c r="BG306" i="1" s="1"/>
  <c r="R316" i="3"/>
  <c r="BF306" i="1" s="1"/>
  <c r="S315" i="3"/>
  <c r="BG305" i="1" s="1"/>
  <c r="R315" i="3"/>
  <c r="BF305" i="1" s="1"/>
  <c r="S314" i="3"/>
  <c r="BG304" i="1" s="1"/>
  <c r="R314" i="3"/>
  <c r="BF304" i="1" s="1"/>
  <c r="S313" i="3"/>
  <c r="BG303" i="1" s="1"/>
  <c r="R313" i="3"/>
  <c r="BF303" i="1" s="1"/>
  <c r="S312" i="3"/>
  <c r="BG302" i="1" s="1"/>
  <c r="R312" i="3"/>
  <c r="BF302" i="1" s="1"/>
  <c r="S311" i="3"/>
  <c r="BG301" i="1" s="1"/>
  <c r="R311" i="3"/>
  <c r="BF301" i="1" s="1"/>
  <c r="S310" i="3"/>
  <c r="BG300" i="1" s="1"/>
  <c r="R310" i="3"/>
  <c r="BF300" i="1" s="1"/>
  <c r="S309" i="3"/>
  <c r="BG299" i="1" s="1"/>
  <c r="R309" i="3"/>
  <c r="BF299" i="1" s="1"/>
  <c r="S308" i="3"/>
  <c r="BG298" i="1" s="1"/>
  <c r="R308" i="3"/>
  <c r="BF298" i="1" s="1"/>
  <c r="S307" i="3"/>
  <c r="BG297" i="1" s="1"/>
  <c r="R307" i="3"/>
  <c r="BF297" i="1" s="1"/>
  <c r="S306" i="3"/>
  <c r="BG296" i="1" s="1"/>
  <c r="R306" i="3"/>
  <c r="BF296" i="1" s="1"/>
  <c r="S305" i="3"/>
  <c r="BG295" i="1" s="1"/>
  <c r="R305" i="3"/>
  <c r="BF295" i="1" s="1"/>
  <c r="S304" i="3"/>
  <c r="BG294" i="1" s="1"/>
  <c r="R304" i="3"/>
  <c r="BF294" i="1" s="1"/>
  <c r="S262" i="3"/>
  <c r="BG252" i="1" s="1"/>
  <c r="S261" i="3"/>
  <c r="BG251" i="1" s="1"/>
  <c r="S246" i="3"/>
  <c r="BG236" i="1" s="1"/>
  <c r="S242" i="3"/>
  <c r="BG232" i="1" s="1"/>
  <c r="S237" i="3"/>
  <c r="BG227" i="1" s="1"/>
  <c r="R302" i="3"/>
  <c r="BF292" i="1" s="1"/>
  <c r="R301" i="3"/>
  <c r="BF291" i="1" s="1"/>
  <c r="R300" i="3"/>
  <c r="BF290" i="1" s="1"/>
  <c r="S299" i="3"/>
  <c r="BG289" i="1" s="1"/>
  <c r="S298" i="3"/>
  <c r="BG288" i="1" s="1"/>
  <c r="S297" i="3"/>
  <c r="BG287" i="1" s="1"/>
  <c r="R296" i="3"/>
  <c r="BF286" i="1" s="1"/>
  <c r="R295" i="3"/>
  <c r="BF285" i="1" s="1"/>
  <c r="R294" i="3"/>
  <c r="BF284" i="1" s="1"/>
  <c r="R293" i="3"/>
  <c r="BF283" i="1" s="1"/>
  <c r="R292" i="3"/>
  <c r="BF282" i="1" s="1"/>
  <c r="R291" i="3"/>
  <c r="BF281" i="1" s="1"/>
  <c r="S289" i="3"/>
  <c r="BG279" i="1" s="1"/>
  <c r="R288" i="3"/>
  <c r="BF278" i="1" s="1"/>
  <c r="R287" i="3"/>
  <c r="BF277" i="1" s="1"/>
  <c r="R286" i="3"/>
  <c r="BF276" i="1" s="1"/>
  <c r="R285" i="3"/>
  <c r="BF275" i="1" s="1"/>
  <c r="S283" i="3"/>
  <c r="BG273" i="1" s="1"/>
  <c r="R282" i="3"/>
  <c r="BF272" i="1" s="1"/>
  <c r="R281" i="3"/>
  <c r="BF271" i="1" s="1"/>
  <c r="R280" i="3"/>
  <c r="BF270" i="1" s="1"/>
  <c r="R279" i="3"/>
  <c r="BF269" i="1" s="1"/>
  <c r="R278" i="3"/>
  <c r="BF268" i="1" s="1"/>
  <c r="S277" i="3"/>
  <c r="BG267" i="1" s="1"/>
  <c r="S273" i="3"/>
  <c r="BG263" i="1" s="1"/>
  <c r="S271" i="3"/>
  <c r="BG261" i="1" s="1"/>
  <c r="S269" i="3"/>
  <c r="BG259" i="1" s="1"/>
  <c r="S265" i="3"/>
  <c r="BG255" i="1" s="1"/>
  <c r="S263" i="3"/>
  <c r="BG253" i="1" s="1"/>
  <c r="S248" i="3"/>
  <c r="BG238" i="1" s="1"/>
  <c r="S241" i="3"/>
  <c r="BG231" i="1" s="1"/>
  <c r="S235" i="3"/>
  <c r="BG225" i="1" s="1"/>
  <c r="R303" i="3"/>
  <c r="BF293" i="1" s="1"/>
  <c r="R299" i="3"/>
  <c r="BF289" i="1" s="1"/>
  <c r="R298" i="3"/>
  <c r="BF288" i="1" s="1"/>
  <c r="R297" i="3"/>
  <c r="BF287" i="1" s="1"/>
  <c r="S296" i="3"/>
  <c r="BG286" i="1" s="1"/>
  <c r="S295" i="3"/>
  <c r="BG285" i="1" s="1"/>
  <c r="S294" i="3"/>
  <c r="BG284" i="1" s="1"/>
  <c r="S293" i="3"/>
  <c r="BG283" i="1" s="1"/>
  <c r="S292" i="3"/>
  <c r="BG282" i="1" s="1"/>
  <c r="S291" i="3"/>
  <c r="BG281" i="1" s="1"/>
  <c r="S290" i="3"/>
  <c r="BG280" i="1" s="1"/>
  <c r="R290" i="3"/>
  <c r="BF280" i="1" s="1"/>
  <c r="R289" i="3"/>
  <c r="BF279" i="1" s="1"/>
  <c r="S288" i="3"/>
  <c r="BG278" i="1" s="1"/>
  <c r="S287" i="3"/>
  <c r="BG277" i="1" s="1"/>
  <c r="S286" i="3"/>
  <c r="BG276" i="1" s="1"/>
  <c r="S285" i="3"/>
  <c r="BG275" i="1" s="1"/>
  <c r="S284" i="3"/>
  <c r="BG274" i="1" s="1"/>
  <c r="R284" i="3"/>
  <c r="BF274" i="1" s="1"/>
  <c r="R283" i="3"/>
  <c r="BF273" i="1" s="1"/>
  <c r="S282" i="3"/>
  <c r="BG272" i="1" s="1"/>
  <c r="S281" i="3"/>
  <c r="BG271" i="1" s="1"/>
  <c r="S280" i="3"/>
  <c r="BG270" i="1" s="1"/>
  <c r="S279" i="3"/>
  <c r="BG269" i="1" s="1"/>
  <c r="S278" i="3"/>
  <c r="BG268" i="1" s="1"/>
  <c r="S276" i="3"/>
  <c r="BG266" i="1" s="1"/>
  <c r="S275" i="3"/>
  <c r="BG265" i="1" s="1"/>
  <c r="S274" i="3"/>
  <c r="BG264" i="1" s="1"/>
  <c r="S272" i="3"/>
  <c r="BG262" i="1" s="1"/>
  <c r="S270" i="3"/>
  <c r="BG260" i="1" s="1"/>
  <c r="S268" i="3"/>
  <c r="BG258" i="1" s="1"/>
  <c r="S264" i="3"/>
  <c r="BG254" i="1" s="1"/>
  <c r="S247" i="3"/>
  <c r="BG237" i="1" s="1"/>
  <c r="S243" i="3"/>
  <c r="BG233" i="1" s="1"/>
  <c r="S238" i="3"/>
  <c r="BG228" i="1" s="1"/>
  <c r="R260" i="3"/>
  <c r="BF250" i="1" s="1"/>
  <c r="S259" i="3"/>
  <c r="BG249" i="1" s="1"/>
  <c r="S258" i="3"/>
  <c r="BG248" i="1" s="1"/>
  <c r="S257" i="3"/>
  <c r="BG247" i="1" s="1"/>
  <c r="S256" i="3"/>
  <c r="BG246" i="1" s="1"/>
  <c r="S255" i="3"/>
  <c r="BG245" i="1" s="1"/>
  <c r="S254" i="3"/>
  <c r="BG244" i="1" s="1"/>
  <c r="S253" i="3"/>
  <c r="BG243" i="1" s="1"/>
  <c r="S252" i="3"/>
  <c r="BG242" i="1" s="1"/>
  <c r="S251" i="3"/>
  <c r="BG241" i="1" s="1"/>
  <c r="S249" i="3"/>
  <c r="BG239" i="1" s="1"/>
  <c r="S244" i="3"/>
  <c r="BG234" i="1" s="1"/>
  <c r="S239" i="3"/>
  <c r="BG229" i="1" s="1"/>
  <c r="S518" i="3"/>
  <c r="R518" i="3"/>
  <c r="BF508" i="1" s="1"/>
  <c r="S517" i="3"/>
  <c r="BG507" i="1" s="1"/>
  <c r="R517" i="3"/>
  <c r="BF507" i="1" s="1"/>
  <c r="S516" i="3"/>
  <c r="BG506" i="1" s="1"/>
  <c r="R516" i="3"/>
  <c r="BF506" i="1" s="1"/>
  <c r="S515" i="3"/>
  <c r="BG505" i="1" s="1"/>
  <c r="R515" i="3"/>
  <c r="BF505" i="1" s="1"/>
  <c r="S514" i="3"/>
  <c r="BG504" i="1" s="1"/>
  <c r="R514" i="3"/>
  <c r="BF504" i="1" s="1"/>
  <c r="S513" i="3"/>
  <c r="BG503" i="1" s="1"/>
  <c r="R513" i="3"/>
  <c r="BF503" i="1" s="1"/>
  <c r="S512" i="3"/>
  <c r="BG502" i="1" s="1"/>
  <c r="R512" i="3"/>
  <c r="BF502" i="1" s="1"/>
  <c r="S511" i="3"/>
  <c r="BG501" i="1" s="1"/>
  <c r="R511" i="3"/>
  <c r="BF501" i="1" s="1"/>
  <c r="S510" i="3"/>
  <c r="BG500" i="1" s="1"/>
  <c r="R510" i="3"/>
  <c r="BF500" i="1" s="1"/>
  <c r="S509" i="3"/>
  <c r="BG499" i="1" s="1"/>
  <c r="R509" i="3"/>
  <c r="BF499" i="1" s="1"/>
  <c r="S508" i="3"/>
  <c r="BG498" i="1" s="1"/>
  <c r="R508" i="3"/>
  <c r="BF498" i="1" s="1"/>
  <c r="S507" i="3"/>
  <c r="BG497" i="1" s="1"/>
  <c r="R507" i="3"/>
  <c r="BF497" i="1" s="1"/>
  <c r="S506" i="3"/>
  <c r="BG496" i="1" s="1"/>
  <c r="R506" i="3"/>
  <c r="BF496" i="1" s="1"/>
  <c r="S505" i="3"/>
  <c r="BG495" i="1" s="1"/>
  <c r="R505" i="3"/>
  <c r="BF495" i="1" s="1"/>
  <c r="S504" i="3"/>
  <c r="BG494" i="1" s="1"/>
  <c r="R504" i="3"/>
  <c r="BF494" i="1" s="1"/>
  <c r="S503" i="3"/>
  <c r="BG493" i="1" s="1"/>
  <c r="R503" i="3"/>
  <c r="BF493" i="1" s="1"/>
  <c r="S502" i="3"/>
  <c r="BG492" i="1" s="1"/>
  <c r="R502" i="3"/>
  <c r="BF492" i="1" s="1"/>
  <c r="S501" i="3"/>
  <c r="BG491" i="1" s="1"/>
  <c r="R501" i="3"/>
  <c r="BF491" i="1" s="1"/>
  <c r="S500" i="3"/>
  <c r="BG490" i="1" s="1"/>
  <c r="R500" i="3"/>
  <c r="BF490" i="1" s="1"/>
  <c r="S499" i="3"/>
  <c r="BG489" i="1" s="1"/>
  <c r="R499" i="3"/>
  <c r="BF489" i="1" s="1"/>
  <c r="S498" i="3"/>
  <c r="BG488" i="1" s="1"/>
  <c r="R498" i="3"/>
  <c r="BF488" i="1" s="1"/>
  <c r="S497" i="3"/>
  <c r="BG487" i="1" s="1"/>
  <c r="R497" i="3"/>
  <c r="BF487" i="1" s="1"/>
  <c r="S496" i="3"/>
  <c r="BG486" i="1" s="1"/>
  <c r="R496" i="3"/>
  <c r="BF486" i="1" s="1"/>
  <c r="S495" i="3"/>
  <c r="BG485" i="1" s="1"/>
  <c r="R495" i="3"/>
  <c r="BF485" i="1" s="1"/>
  <c r="S494" i="3"/>
  <c r="BG484" i="1" s="1"/>
  <c r="R494" i="3"/>
  <c r="BF484" i="1" s="1"/>
  <c r="S493" i="3"/>
  <c r="BG483" i="1" s="1"/>
  <c r="R493" i="3"/>
  <c r="BF483" i="1" s="1"/>
  <c r="S492" i="3"/>
  <c r="BG482" i="1" s="1"/>
  <c r="R492" i="3"/>
  <c r="BF482" i="1" s="1"/>
  <c r="S491" i="3"/>
  <c r="BG481" i="1" s="1"/>
  <c r="R491" i="3"/>
  <c r="BF481" i="1" s="1"/>
  <c r="S490" i="3"/>
  <c r="BG480" i="1" s="1"/>
  <c r="R490" i="3"/>
  <c r="BF480" i="1" s="1"/>
  <c r="S489" i="3"/>
  <c r="BG479" i="1" s="1"/>
  <c r="R489" i="3"/>
  <c r="BF479" i="1" s="1"/>
  <c r="S487" i="3"/>
  <c r="BG477" i="1" s="1"/>
  <c r="R487" i="3"/>
  <c r="BF477" i="1" s="1"/>
  <c r="S486" i="3"/>
  <c r="BG476" i="1" s="1"/>
  <c r="R486" i="3"/>
  <c r="BF476" i="1" s="1"/>
  <c r="S485" i="3"/>
  <c r="BG475" i="1" s="1"/>
  <c r="R485" i="3"/>
  <c r="BF475" i="1" s="1"/>
  <c r="S484" i="3"/>
  <c r="BG474" i="1" s="1"/>
  <c r="R484" i="3"/>
  <c r="BF474" i="1" s="1"/>
  <c r="S483" i="3"/>
  <c r="BG473" i="1" s="1"/>
  <c r="R483" i="3"/>
  <c r="BF473" i="1" s="1"/>
  <c r="S482" i="3"/>
  <c r="BG472" i="1" s="1"/>
  <c r="R482" i="3"/>
  <c r="BF472" i="1" s="1"/>
  <c r="S481" i="3"/>
  <c r="BG471" i="1" s="1"/>
  <c r="R481" i="3"/>
  <c r="BF471" i="1" s="1"/>
  <c r="S480" i="3"/>
  <c r="BG470" i="1" s="1"/>
  <c r="R480" i="3"/>
  <c r="BF470" i="1" s="1"/>
  <c r="S479" i="3"/>
  <c r="BG469" i="1" s="1"/>
  <c r="R479" i="3"/>
  <c r="BF469" i="1" s="1"/>
  <c r="S478" i="3"/>
  <c r="BG468" i="1" s="1"/>
  <c r="R478" i="3"/>
  <c r="BF468" i="1" s="1"/>
  <c r="S477" i="3"/>
  <c r="BG467" i="1" s="1"/>
  <c r="R477" i="3"/>
  <c r="BF467" i="1" s="1"/>
  <c r="S476" i="3"/>
  <c r="BG466" i="1" s="1"/>
  <c r="R476" i="3"/>
  <c r="BF466" i="1" s="1"/>
  <c r="S475" i="3"/>
  <c r="BG465" i="1" s="1"/>
  <c r="R475" i="3"/>
  <c r="BF465" i="1" s="1"/>
  <c r="S474" i="3"/>
  <c r="BG464" i="1" s="1"/>
  <c r="R474" i="3"/>
  <c r="BF464" i="1" s="1"/>
  <c r="S473" i="3"/>
  <c r="BG463" i="1" s="1"/>
  <c r="R473" i="3"/>
  <c r="BF463" i="1" s="1"/>
  <c r="S472" i="3"/>
  <c r="BG462" i="1" s="1"/>
  <c r="R472" i="3"/>
  <c r="BF462" i="1" s="1"/>
  <c r="S471" i="3"/>
  <c r="BG461" i="1" s="1"/>
  <c r="R471" i="3"/>
  <c r="BF461" i="1" s="1"/>
  <c r="S470" i="3"/>
  <c r="BG460" i="1" s="1"/>
  <c r="R470" i="3"/>
  <c r="BF460" i="1" s="1"/>
  <c r="S469" i="3"/>
  <c r="BG459" i="1" s="1"/>
  <c r="R469" i="3"/>
  <c r="BF459" i="1" s="1"/>
  <c r="S468" i="3"/>
  <c r="BG458" i="1" s="1"/>
  <c r="R468" i="3"/>
  <c r="BF458" i="1" s="1"/>
  <c r="S467" i="3"/>
  <c r="BG457" i="1" s="1"/>
  <c r="R467" i="3"/>
  <c r="BF457" i="1" s="1"/>
  <c r="S466" i="3"/>
  <c r="BG456" i="1" s="1"/>
  <c r="R466" i="3"/>
  <c r="BF456" i="1" s="1"/>
  <c r="S465" i="3"/>
  <c r="BG455" i="1" s="1"/>
  <c r="R465" i="3"/>
  <c r="BF455" i="1" s="1"/>
  <c r="S464" i="3"/>
  <c r="BG454" i="1" s="1"/>
  <c r="R464" i="3"/>
  <c r="BF454" i="1" s="1"/>
  <c r="S463" i="3"/>
  <c r="BG453" i="1" s="1"/>
  <c r="R463" i="3"/>
  <c r="BF453" i="1" s="1"/>
  <c r="S462" i="3"/>
  <c r="BG452" i="1" s="1"/>
  <c r="R462" i="3"/>
  <c r="BF452" i="1" s="1"/>
  <c r="S461" i="3"/>
  <c r="BG451" i="1" s="1"/>
  <c r="R461" i="3"/>
  <c r="BF451" i="1" s="1"/>
  <c r="S460" i="3"/>
  <c r="BG450" i="1" s="1"/>
  <c r="R460" i="3"/>
  <c r="BF450" i="1" s="1"/>
  <c r="S459" i="3"/>
  <c r="BG449" i="1" s="1"/>
  <c r="R459" i="3"/>
  <c r="BF449" i="1" s="1"/>
  <c r="S458" i="3"/>
  <c r="BG448" i="1" s="1"/>
  <c r="R458" i="3"/>
  <c r="BF448" i="1" s="1"/>
  <c r="S457" i="3"/>
  <c r="BG447" i="1" s="1"/>
  <c r="R457" i="3"/>
  <c r="BF447" i="1" s="1"/>
  <c r="S456" i="3"/>
  <c r="BG446" i="1" s="1"/>
  <c r="R456" i="3"/>
  <c r="BF446" i="1" s="1"/>
  <c r="S455" i="3"/>
  <c r="BG445" i="1" s="1"/>
  <c r="R455" i="3"/>
  <c r="BF445" i="1" s="1"/>
  <c r="S454" i="3"/>
  <c r="BG444" i="1" s="1"/>
  <c r="R454" i="3"/>
  <c r="BF444" i="1" s="1"/>
  <c r="S453" i="3"/>
  <c r="BG443" i="1" s="1"/>
  <c r="R453" i="3"/>
  <c r="BF443" i="1" s="1"/>
  <c r="S452" i="3"/>
  <c r="BG442" i="1" s="1"/>
  <c r="R452" i="3"/>
  <c r="BF442" i="1" s="1"/>
  <c r="S451" i="3"/>
  <c r="BG441" i="1" s="1"/>
  <c r="R451" i="3"/>
  <c r="BF441" i="1" s="1"/>
  <c r="S450" i="3"/>
  <c r="BG440" i="1" s="1"/>
  <c r="R450" i="3"/>
  <c r="BF440" i="1" s="1"/>
  <c r="S449" i="3"/>
  <c r="BG439" i="1" s="1"/>
  <c r="R449" i="3"/>
  <c r="BF439" i="1" s="1"/>
  <c r="S448" i="3"/>
  <c r="BG438" i="1" s="1"/>
  <c r="R448" i="3"/>
  <c r="BF438" i="1" s="1"/>
  <c r="R446" i="3"/>
  <c r="BF436" i="1" s="1"/>
  <c r="S445" i="3"/>
  <c r="BG435" i="1" s="1"/>
  <c r="R445" i="3"/>
  <c r="BF435" i="1" s="1"/>
  <c r="S444" i="3"/>
  <c r="BG434" i="1" s="1"/>
  <c r="R444" i="3"/>
  <c r="BF434" i="1" s="1"/>
  <c r="S443" i="3"/>
  <c r="BG433" i="1" s="1"/>
  <c r="R443" i="3"/>
  <c r="BF433" i="1" s="1"/>
  <c r="S442" i="3"/>
  <c r="BG432" i="1" s="1"/>
  <c r="R442" i="3"/>
  <c r="BF432" i="1" s="1"/>
  <c r="S441" i="3"/>
  <c r="BG431" i="1" s="1"/>
  <c r="R441" i="3"/>
  <c r="BF431" i="1" s="1"/>
  <c r="S440" i="3"/>
  <c r="BG430" i="1" s="1"/>
  <c r="R440" i="3"/>
  <c r="BF430" i="1" s="1"/>
  <c r="S439" i="3"/>
  <c r="BG429" i="1" s="1"/>
  <c r="R439" i="3"/>
  <c r="BF429" i="1" s="1"/>
  <c r="S438" i="3"/>
  <c r="BG428" i="1" s="1"/>
  <c r="R438" i="3"/>
  <c r="BF428" i="1" s="1"/>
  <c r="S437" i="3"/>
  <c r="BG427" i="1" s="1"/>
  <c r="R437" i="3"/>
  <c r="BF427" i="1" s="1"/>
  <c r="S436" i="3"/>
  <c r="BG426" i="1" s="1"/>
  <c r="R436" i="3"/>
  <c r="BF426" i="1" s="1"/>
  <c r="S435" i="3"/>
  <c r="BG425" i="1" s="1"/>
  <c r="R435" i="3"/>
  <c r="BF425" i="1" s="1"/>
  <c r="S434" i="3"/>
  <c r="BG424" i="1" s="1"/>
  <c r="R434" i="3"/>
  <c r="BF424" i="1" s="1"/>
  <c r="S433" i="3"/>
  <c r="BG423" i="1" s="1"/>
  <c r="R433" i="3"/>
  <c r="BF423" i="1" s="1"/>
  <c r="S432" i="3"/>
  <c r="BG422" i="1" s="1"/>
  <c r="R432" i="3"/>
  <c r="BF422" i="1" s="1"/>
  <c r="S431" i="3"/>
  <c r="BG421" i="1" s="1"/>
  <c r="R431" i="3"/>
  <c r="BF421" i="1" s="1"/>
  <c r="S428" i="3"/>
  <c r="BG418" i="1" s="1"/>
  <c r="R428" i="3"/>
  <c r="BF418" i="1" s="1"/>
  <c r="S427" i="3"/>
  <c r="BG417" i="1" s="1"/>
  <c r="R427" i="3"/>
  <c r="BF417" i="1" s="1"/>
  <c r="S426" i="3"/>
  <c r="BG416" i="1" s="1"/>
  <c r="R426" i="3"/>
  <c r="BF416" i="1" s="1"/>
  <c r="S425" i="3"/>
  <c r="BG415" i="1" s="1"/>
  <c r="R425" i="3"/>
  <c r="BF415" i="1" s="1"/>
  <c r="S424" i="3"/>
  <c r="BG414" i="1" s="1"/>
  <c r="R424" i="3"/>
  <c r="BF414" i="1" s="1"/>
  <c r="S423" i="3"/>
  <c r="BG413" i="1" s="1"/>
  <c r="R423" i="3"/>
  <c r="BF413" i="1" s="1"/>
  <c r="R422" i="3"/>
  <c r="BF412" i="1" s="1"/>
  <c r="S419" i="3"/>
  <c r="BG409" i="1" s="1"/>
  <c r="S418" i="3"/>
  <c r="BG408" i="1" s="1"/>
  <c r="S417" i="3"/>
  <c r="BG407" i="1" s="1"/>
  <c r="S415" i="3"/>
  <c r="BG405" i="1" s="1"/>
  <c r="S414" i="3"/>
  <c r="BG404" i="1" s="1"/>
  <c r="S412" i="3"/>
  <c r="BG402" i="1" s="1"/>
  <c r="S411" i="3"/>
  <c r="BG401" i="1" s="1"/>
  <c r="S382" i="3"/>
  <c r="BG372" i="1" s="1"/>
  <c r="S380" i="3"/>
  <c r="BG370" i="1" s="1"/>
  <c r="S372" i="3"/>
  <c r="BG362" i="1" s="1"/>
  <c r="S371" i="3"/>
  <c r="BG361" i="1" s="1"/>
  <c r="S369" i="3"/>
  <c r="BG359" i="1" s="1"/>
  <c r="S367" i="3"/>
  <c r="BG357" i="1" s="1"/>
  <c r="S365" i="3"/>
  <c r="BG355" i="1" s="1"/>
  <c r="S363" i="3"/>
  <c r="BG353" i="1" s="1"/>
  <c r="S361" i="3"/>
  <c r="BG351" i="1" s="1"/>
  <c r="S359" i="3"/>
  <c r="BG349" i="1" s="1"/>
  <c r="S357" i="3"/>
  <c r="BG347" i="1" s="1"/>
  <c r="S355" i="3"/>
  <c r="BG345" i="1" s="1"/>
  <c r="S488" i="3"/>
  <c r="BG478" i="1" s="1"/>
  <c r="R488" i="3"/>
  <c r="BF478" i="1" s="1"/>
  <c r="S430" i="3"/>
  <c r="BG420" i="1" s="1"/>
  <c r="R430" i="3"/>
  <c r="BF420" i="1" s="1"/>
  <c r="S429" i="3"/>
  <c r="BG419" i="1" s="1"/>
  <c r="R429" i="3"/>
  <c r="BF419" i="1" s="1"/>
  <c r="S422" i="3"/>
  <c r="BG412" i="1" s="1"/>
  <c r="S421" i="3"/>
  <c r="BG411" i="1" s="1"/>
  <c r="S420" i="3"/>
  <c r="BG410" i="1" s="1"/>
  <c r="S416" i="3"/>
  <c r="BG406" i="1" s="1"/>
  <c r="S413" i="3"/>
  <c r="BG403" i="1" s="1"/>
  <c r="S383" i="3"/>
  <c r="BG373" i="1" s="1"/>
  <c r="S379" i="3"/>
  <c r="BG369" i="1" s="1"/>
  <c r="S376" i="3"/>
  <c r="BG366" i="1" s="1"/>
  <c r="S375" i="3"/>
  <c r="BG365" i="1" s="1"/>
  <c r="S368" i="3"/>
  <c r="BG358" i="1" s="1"/>
  <c r="S364" i="3"/>
  <c r="BG354" i="1" s="1"/>
  <c r="S360" i="3"/>
  <c r="BG350" i="1" s="1"/>
  <c r="S356" i="3"/>
  <c r="BG346" i="1" s="1"/>
  <c r="S410" i="3"/>
  <c r="BG400" i="1" s="1"/>
  <c r="R410" i="3"/>
  <c r="BF400" i="1" s="1"/>
  <c r="S409" i="3"/>
  <c r="BG399" i="1" s="1"/>
  <c r="R409" i="3"/>
  <c r="BF399" i="1" s="1"/>
  <c r="S408" i="3"/>
  <c r="BG398" i="1" s="1"/>
  <c r="R408" i="3"/>
  <c r="BF398" i="1" s="1"/>
  <c r="S407" i="3"/>
  <c r="BG397" i="1" s="1"/>
  <c r="R407" i="3"/>
  <c r="BF397" i="1" s="1"/>
  <c r="S406" i="3"/>
  <c r="BG396" i="1" s="1"/>
  <c r="R406" i="3"/>
  <c r="BF396" i="1" s="1"/>
  <c r="S405" i="3"/>
  <c r="BG395" i="1" s="1"/>
  <c r="R405" i="3"/>
  <c r="BF395" i="1" s="1"/>
  <c r="S404" i="3"/>
  <c r="BG394" i="1" s="1"/>
  <c r="R404" i="3"/>
  <c r="BF394" i="1" s="1"/>
  <c r="S403" i="3"/>
  <c r="BG393" i="1" s="1"/>
  <c r="R403" i="3"/>
  <c r="BF393" i="1" s="1"/>
  <c r="S402" i="3"/>
  <c r="BG392" i="1" s="1"/>
  <c r="R402" i="3"/>
  <c r="BF392" i="1" s="1"/>
  <c r="S401" i="3"/>
  <c r="BG391" i="1" s="1"/>
  <c r="R401" i="3"/>
  <c r="BF391" i="1" s="1"/>
  <c r="S400" i="3"/>
  <c r="BG390" i="1" s="1"/>
  <c r="R400" i="3"/>
  <c r="BF390" i="1" s="1"/>
  <c r="S399" i="3"/>
  <c r="BG389" i="1" s="1"/>
  <c r="R399" i="3"/>
  <c r="BF389" i="1" s="1"/>
  <c r="S398" i="3"/>
  <c r="BG388" i="1" s="1"/>
  <c r="R398" i="3"/>
  <c r="BF388" i="1" s="1"/>
  <c r="S397" i="3"/>
  <c r="BG387" i="1" s="1"/>
  <c r="R397" i="3"/>
  <c r="BF387" i="1" s="1"/>
  <c r="S396" i="3"/>
  <c r="BG386" i="1" s="1"/>
  <c r="R396" i="3"/>
  <c r="BF386" i="1" s="1"/>
  <c r="S395" i="3"/>
  <c r="BG385" i="1" s="1"/>
  <c r="R395" i="3"/>
  <c r="BF385" i="1" s="1"/>
  <c r="S394" i="3"/>
  <c r="BG384" i="1" s="1"/>
  <c r="R394" i="3"/>
  <c r="BF384" i="1" s="1"/>
  <c r="S393" i="3"/>
  <c r="BG383" i="1" s="1"/>
  <c r="R393" i="3"/>
  <c r="BF383" i="1" s="1"/>
  <c r="S392" i="3"/>
  <c r="BG382" i="1" s="1"/>
  <c r="R392" i="3"/>
  <c r="BF382" i="1" s="1"/>
  <c r="S391" i="3"/>
  <c r="BG381" i="1" s="1"/>
  <c r="R391" i="3"/>
  <c r="BF381" i="1" s="1"/>
  <c r="S390" i="3"/>
  <c r="BG380" i="1" s="1"/>
  <c r="R390" i="3"/>
  <c r="BF380" i="1" s="1"/>
  <c r="S389" i="3"/>
  <c r="BG379" i="1" s="1"/>
  <c r="S388" i="3"/>
  <c r="BG378" i="1" s="1"/>
  <c r="S387" i="3"/>
  <c r="BG377" i="1" s="1"/>
  <c r="S386" i="3"/>
  <c r="BG376" i="1" s="1"/>
  <c r="S385" i="3"/>
  <c r="BG375" i="1" s="1"/>
  <c r="S384" i="3"/>
  <c r="BG374" i="1" s="1"/>
  <c r="S381" i="3"/>
  <c r="BG371" i="1" s="1"/>
  <c r="S378" i="3"/>
  <c r="BG368" i="1" s="1"/>
  <c r="S377" i="3"/>
  <c r="BG367" i="1" s="1"/>
  <c r="S374" i="3"/>
  <c r="BG364" i="1" s="1"/>
  <c r="S373" i="3"/>
  <c r="BG363" i="1" s="1"/>
  <c r="S370" i="3"/>
  <c r="BG360" i="1" s="1"/>
  <c r="S366" i="3"/>
  <c r="BG356" i="1" s="1"/>
  <c r="S362" i="3"/>
  <c r="BG352" i="1" s="1"/>
  <c r="S358" i="3"/>
  <c r="BG348" i="1" s="1"/>
  <c r="R334" i="3"/>
  <c r="BF324" i="1" s="1"/>
  <c r="S333" i="3"/>
  <c r="BG323" i="1" s="1"/>
  <c r="S303" i="3"/>
  <c r="BG293" i="1" s="1"/>
  <c r="S302" i="3"/>
  <c r="BG292" i="1" s="1"/>
  <c r="S301" i="3"/>
  <c r="BG291" i="1" s="1"/>
  <c r="S300" i="3"/>
  <c r="BG290" i="1" s="1"/>
  <c r="S234" i="3"/>
  <c r="BG224" i="1" s="1"/>
  <c r="R234" i="3"/>
  <c r="BF224" i="1" s="1"/>
  <c r="S233" i="3"/>
  <c r="BG223" i="1" s="1"/>
  <c r="R233" i="3"/>
  <c r="BF223" i="1" s="1"/>
  <c r="S232" i="3"/>
  <c r="BG222" i="1" s="1"/>
  <c r="R232" i="3"/>
  <c r="BF222" i="1" s="1"/>
  <c r="S231" i="3"/>
  <c r="BG221" i="1" s="1"/>
  <c r="R231" i="3"/>
  <c r="BF221" i="1" s="1"/>
  <c r="S230" i="3"/>
  <c r="BG220" i="1" s="1"/>
  <c r="R230" i="3"/>
  <c r="BF220" i="1" s="1"/>
  <c r="S229" i="3"/>
  <c r="BG219" i="1" s="1"/>
  <c r="R229" i="3"/>
  <c r="BF219" i="1" s="1"/>
  <c r="S228" i="3"/>
  <c r="BG218" i="1" s="1"/>
  <c r="R228" i="3"/>
  <c r="BF218" i="1" s="1"/>
  <c r="S227" i="3"/>
  <c r="BG217" i="1" s="1"/>
  <c r="R227" i="3"/>
  <c r="BF217" i="1" s="1"/>
  <c r="S226" i="3"/>
  <c r="BG216" i="1" s="1"/>
  <c r="R226" i="3"/>
  <c r="BF216" i="1" s="1"/>
  <c r="S225" i="3"/>
  <c r="BG215" i="1" s="1"/>
  <c r="R225" i="3"/>
  <c r="BF215" i="1" s="1"/>
  <c r="S224" i="3"/>
  <c r="BG214" i="1" s="1"/>
  <c r="R224" i="3"/>
  <c r="BF214" i="1" s="1"/>
  <c r="S223" i="3"/>
  <c r="BG213" i="1" s="1"/>
  <c r="R223" i="3"/>
  <c r="BF213" i="1" s="1"/>
  <c r="S222" i="3"/>
  <c r="BG212" i="1" s="1"/>
  <c r="R222" i="3"/>
  <c r="BF212" i="1" s="1"/>
  <c r="S221" i="3"/>
  <c r="BG211" i="1" s="1"/>
  <c r="R221" i="3"/>
  <c r="BF211" i="1" s="1"/>
  <c r="S220" i="3"/>
  <c r="BG210" i="1" s="1"/>
  <c r="R220" i="3"/>
  <c r="BF210" i="1" s="1"/>
  <c r="S219" i="3"/>
  <c r="BG209" i="1" s="1"/>
  <c r="R219" i="3"/>
  <c r="BF209" i="1" s="1"/>
  <c r="S218" i="3"/>
  <c r="BG208" i="1" s="1"/>
  <c r="R218" i="3"/>
  <c r="BF208" i="1" s="1"/>
  <c r="S217" i="3"/>
  <c r="BG207" i="1" s="1"/>
  <c r="R217" i="3"/>
  <c r="BF207" i="1" s="1"/>
  <c r="S216" i="3"/>
  <c r="BG206" i="1" s="1"/>
  <c r="R216" i="3"/>
  <c r="BF206" i="1" s="1"/>
  <c r="S215" i="3"/>
  <c r="BG205" i="1" s="1"/>
  <c r="R215" i="3"/>
  <c r="BF205" i="1" s="1"/>
  <c r="S214" i="3"/>
  <c r="BG204" i="1" s="1"/>
  <c r="R214" i="3"/>
  <c r="BF204" i="1" s="1"/>
  <c r="S213" i="3"/>
  <c r="BG203" i="1" s="1"/>
  <c r="R213" i="3"/>
  <c r="BF203" i="1" s="1"/>
  <c r="S212" i="3"/>
  <c r="BG202" i="1" s="1"/>
  <c r="R212" i="3"/>
  <c r="BF202" i="1" s="1"/>
  <c r="S211" i="3"/>
  <c r="BG201" i="1" s="1"/>
  <c r="R211" i="3"/>
  <c r="BF201" i="1" s="1"/>
  <c r="S210" i="3"/>
  <c r="BG200" i="1" s="1"/>
  <c r="R210" i="3"/>
  <c r="BF200" i="1" s="1"/>
  <c r="S209" i="3"/>
  <c r="BG199" i="1" s="1"/>
  <c r="R209" i="3"/>
  <c r="BF199" i="1" s="1"/>
  <c r="S208" i="3"/>
  <c r="BG198" i="1" s="1"/>
  <c r="R208" i="3"/>
  <c r="BF198" i="1" s="1"/>
  <c r="S207" i="3"/>
  <c r="BG197" i="1" s="1"/>
  <c r="R207" i="3"/>
  <c r="BF197" i="1" s="1"/>
  <c r="S206" i="3"/>
  <c r="BG196" i="1" s="1"/>
  <c r="R206" i="3"/>
  <c r="BF196" i="1" s="1"/>
  <c r="S205" i="3"/>
  <c r="BG195" i="1" s="1"/>
  <c r="R205" i="3"/>
  <c r="BF195" i="1" s="1"/>
  <c r="S204" i="3"/>
  <c r="BG194" i="1" s="1"/>
  <c r="R204" i="3"/>
  <c r="BF194" i="1" s="1"/>
  <c r="S203" i="3"/>
  <c r="BG193" i="1" s="1"/>
  <c r="R203" i="3"/>
  <c r="BF193" i="1" s="1"/>
  <c r="S202" i="3"/>
  <c r="BG192" i="1" s="1"/>
  <c r="R202" i="3"/>
  <c r="BF192" i="1" s="1"/>
  <c r="S201" i="3"/>
  <c r="BG191" i="1" s="1"/>
  <c r="R201" i="3"/>
  <c r="BF191" i="1" s="1"/>
  <c r="S200" i="3"/>
  <c r="BG190" i="1" s="1"/>
  <c r="R200" i="3"/>
  <c r="BF190" i="1" s="1"/>
  <c r="S199" i="3"/>
  <c r="BG189" i="1" s="1"/>
  <c r="R199" i="3"/>
  <c r="BF189" i="1" s="1"/>
  <c r="S198" i="3"/>
  <c r="BG188" i="1" s="1"/>
  <c r="R198" i="3"/>
  <c r="BF188" i="1" s="1"/>
  <c r="S197" i="3"/>
  <c r="BG187" i="1" s="1"/>
  <c r="R197" i="3"/>
  <c r="BF187" i="1" s="1"/>
  <c r="S196" i="3"/>
  <c r="BG186" i="1" s="1"/>
  <c r="R196" i="3"/>
  <c r="BF186" i="1" s="1"/>
  <c r="S195" i="3"/>
  <c r="BG185" i="1" s="1"/>
  <c r="R195" i="3"/>
  <c r="BF185" i="1" s="1"/>
  <c r="S194" i="3"/>
  <c r="BG184" i="1" s="1"/>
  <c r="R194" i="3"/>
  <c r="BF184" i="1" s="1"/>
  <c r="S193" i="3"/>
  <c r="BG183" i="1" s="1"/>
  <c r="R193" i="3"/>
  <c r="BF183" i="1" s="1"/>
  <c r="S192" i="3"/>
  <c r="BG182" i="1" s="1"/>
  <c r="R192" i="3"/>
  <c r="BF182" i="1" s="1"/>
  <c r="S354" i="3"/>
  <c r="BG344" i="1" s="1"/>
  <c r="S447" i="3"/>
  <c r="BG437" i="1" s="1"/>
  <c r="R447" i="3"/>
  <c r="BF437" i="1" s="1"/>
  <c r="S19" i="3"/>
  <c r="BG9" i="1" s="1"/>
  <c r="R19" i="3"/>
  <c r="BF9" i="1" s="1"/>
  <c r="U3" i="1"/>
  <c r="U2" i="1"/>
  <c r="K19" i="3"/>
  <c r="AY9" i="1" s="1"/>
  <c r="BE508" i="1"/>
  <c r="BD508" i="1"/>
  <c r="BC508" i="1"/>
  <c r="C14" i="6" l="1"/>
  <c r="C42" i="6"/>
  <c r="C582" i="6"/>
  <c r="C583" i="6"/>
  <c r="C584" i="6"/>
  <c r="C585" i="6"/>
  <c r="C586" i="6"/>
  <c r="C587" i="6"/>
  <c r="C588" i="6"/>
  <c r="C589" i="6"/>
  <c r="C590" i="6"/>
  <c r="C591" i="6"/>
  <c r="C592" i="6"/>
  <c r="C593" i="6"/>
  <c r="C594" i="6"/>
  <c r="C595" i="6"/>
  <c r="C596" i="6"/>
  <c r="C597" i="6"/>
  <c r="C598" i="6"/>
  <c r="C599" i="6"/>
  <c r="C600" i="6"/>
  <c r="C605" i="6"/>
  <c r="C606" i="6"/>
  <c r="C607"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3" i="6"/>
  <c r="C644" i="6"/>
  <c r="C645" i="6"/>
  <c r="C646" i="6"/>
  <c r="C647" i="6"/>
  <c r="C648" i="6"/>
  <c r="C650" i="6"/>
  <c r="C651" i="6"/>
  <c r="C652" i="6"/>
  <c r="C653" i="6"/>
  <c r="C655" i="6"/>
  <c r="C656" i="6"/>
  <c r="C657" i="6"/>
  <c r="C658" i="6"/>
  <c r="C659" i="6"/>
  <c r="C665" i="6"/>
  <c r="C666" i="6"/>
  <c r="C667" i="6"/>
  <c r="C668" i="6"/>
  <c r="C669" i="6"/>
  <c r="C670" i="6"/>
  <c r="C671" i="6"/>
  <c r="C672" i="6"/>
  <c r="C673" i="6"/>
  <c r="C674" i="6"/>
  <c r="C675" i="6"/>
  <c r="C676" i="6"/>
  <c r="C677" i="6"/>
  <c r="C678" i="6"/>
  <c r="C679" i="6"/>
  <c r="C680" i="6"/>
  <c r="C681" i="6"/>
  <c r="C682" i="6"/>
  <c r="C684" i="6"/>
  <c r="C685" i="6"/>
  <c r="C686" i="6"/>
  <c r="C688" i="6"/>
  <c r="C689" i="6"/>
  <c r="C690" i="6"/>
  <c r="C691" i="6"/>
  <c r="C692" i="6"/>
  <c r="C693" i="6"/>
  <c r="C694" i="6"/>
  <c r="C695" i="6"/>
  <c r="C696" i="6"/>
  <c r="C697" i="6"/>
  <c r="C698" i="6"/>
  <c r="C699" i="6"/>
  <c r="C700" i="6"/>
  <c r="C4" i="6"/>
  <c r="C5" i="6"/>
  <c r="C6" i="6"/>
  <c r="C7" i="6"/>
  <c r="C8" i="6"/>
  <c r="C9" i="6"/>
  <c r="C11" i="6"/>
  <c r="C12" i="6"/>
  <c r="C13" i="6"/>
  <c r="C41" i="6"/>
  <c r="C15" i="6"/>
  <c r="C17" i="6"/>
  <c r="C18" i="6"/>
  <c r="C19" i="6"/>
  <c r="C20" i="6"/>
  <c r="C22" i="6"/>
  <c r="C24" i="6"/>
  <c r="C26" i="6"/>
  <c r="C28" i="6"/>
  <c r="C30" i="6"/>
  <c r="C32" i="6"/>
  <c r="C34" i="6"/>
  <c r="C36" i="6"/>
  <c r="C38" i="6"/>
  <c r="C101" i="6"/>
  <c r="C103" i="6"/>
  <c r="C105" i="6"/>
  <c r="C111" i="6"/>
  <c r="C114" i="6"/>
  <c r="C116" i="6"/>
  <c r="C117" i="6"/>
  <c r="C120" i="6"/>
  <c r="C122" i="6"/>
  <c r="C124" i="6"/>
  <c r="C126" i="6"/>
  <c r="C127" i="6"/>
  <c r="C129" i="6"/>
  <c r="C131" i="6"/>
  <c r="C133" i="6"/>
  <c r="C134" i="6"/>
  <c r="C137" i="6"/>
  <c r="C139" i="6"/>
  <c r="C142" i="6"/>
  <c r="C146" i="6"/>
  <c r="C149" i="6"/>
  <c r="C153" i="6"/>
  <c r="C155" i="6"/>
  <c r="C157" i="6"/>
  <c r="C158" i="6"/>
  <c r="C160" i="6"/>
  <c r="C161" i="6"/>
  <c r="C163" i="6"/>
  <c r="C165" i="6"/>
  <c r="C167" i="6"/>
  <c r="C171" i="6"/>
  <c r="C173" i="6"/>
  <c r="C175" i="6"/>
  <c r="C229" i="6"/>
  <c r="C232" i="6"/>
  <c r="C235" i="6"/>
  <c r="C238" i="6"/>
  <c r="C649" i="6"/>
  <c r="C661" i="6"/>
  <c r="C683" i="6"/>
  <c r="C39" i="6"/>
  <c r="C231" i="6"/>
  <c r="C240" i="6"/>
  <c r="C654" i="6"/>
  <c r="C663" i="6"/>
  <c r="C40" i="6"/>
  <c r="C16" i="6"/>
  <c r="C21" i="6"/>
  <c r="C23" i="6"/>
  <c r="C25" i="6"/>
  <c r="C27" i="6"/>
  <c r="C29" i="6"/>
  <c r="C31" i="6"/>
  <c r="C33" i="6"/>
  <c r="C35" i="6"/>
  <c r="C37" i="6"/>
  <c r="C99" i="6"/>
  <c r="C102" i="6"/>
  <c r="C104" i="6"/>
  <c r="C110" i="6"/>
  <c r="C113" i="6"/>
  <c r="C115" i="6"/>
  <c r="C118" i="6"/>
  <c r="C119" i="6"/>
  <c r="C121" i="6"/>
  <c r="C123" i="6"/>
  <c r="C125" i="6"/>
  <c r="C128" i="6"/>
  <c r="C130" i="6"/>
  <c r="C132" i="6"/>
  <c r="C135" i="6"/>
  <c r="C136" i="6"/>
  <c r="C138" i="6"/>
  <c r="C140" i="6"/>
  <c r="C144" i="6"/>
  <c r="C145" i="6"/>
  <c r="C147" i="6"/>
  <c r="C148" i="6"/>
  <c r="C152" i="6"/>
  <c r="C154" i="6"/>
  <c r="C156" i="6"/>
  <c r="C159" i="6"/>
  <c r="C162" i="6"/>
  <c r="C164" i="6"/>
  <c r="C166" i="6"/>
  <c r="C168" i="6"/>
  <c r="C170" i="6"/>
  <c r="C172" i="6"/>
  <c r="C174" i="6"/>
  <c r="C230" i="6"/>
  <c r="C233" i="6"/>
  <c r="C237" i="6"/>
  <c r="C241" i="6"/>
  <c r="C660" i="6"/>
  <c r="C662" i="6"/>
  <c r="C664" i="6"/>
  <c r="C687" i="6"/>
  <c r="C43" i="6"/>
  <c r="C44" i="6"/>
  <c r="Q492" i="5" a="1"/>
  <c r="R492" i="5" s="1"/>
  <c r="Q489" i="5" a="1"/>
  <c r="R489" i="5" s="1"/>
  <c r="Q483" i="5" a="1"/>
  <c r="R483" i="5" s="1"/>
  <c r="Q471" i="5" a="1"/>
  <c r="R471" i="5" s="1"/>
  <c r="Q462" i="5" a="1"/>
  <c r="R462" i="5" s="1"/>
  <c r="Q401" i="5" a="1"/>
  <c r="R401" i="5" s="1"/>
  <c r="Q389" i="5" a="1"/>
  <c r="R389" i="5" s="1"/>
  <c r="Q496" i="5" a="1"/>
  <c r="R496" i="5" s="1"/>
  <c r="Q487" i="5" a="1"/>
  <c r="R487" i="5" s="1"/>
  <c r="Q479" i="5" a="1"/>
  <c r="R479" i="5" s="1"/>
  <c r="Q466" i="5" a="1"/>
  <c r="R466" i="5" s="1"/>
  <c r="Q457" i="5" a="1"/>
  <c r="R457" i="5" s="1"/>
  <c r="Q445" i="5" a="1"/>
  <c r="R445" i="5" s="1"/>
  <c r="Q439" i="5" a="1"/>
  <c r="R439" i="5" s="1"/>
  <c r="Q433" i="5" a="1"/>
  <c r="R433" i="5" s="1"/>
  <c r="Q427" i="5" a="1"/>
  <c r="R427" i="5" s="1"/>
  <c r="Q421" i="5" a="1"/>
  <c r="R421" i="5" s="1"/>
  <c r="Q414" i="5" a="1"/>
  <c r="R414" i="5" s="1"/>
  <c r="Q1411" i="5" a="1"/>
  <c r="R1411" i="5" s="1"/>
  <c r="Q1305" i="5" a="1"/>
  <c r="R1305" i="5" s="1"/>
  <c r="Q1288" i="5" a="1"/>
  <c r="R1288" i="5" s="1"/>
  <c r="Q1278" i="5" a="1"/>
  <c r="R1278" i="5" s="1"/>
  <c r="Q1268" i="5" a="1"/>
  <c r="R1268" i="5" s="1"/>
  <c r="Q1261" i="5" a="1"/>
  <c r="R1261" i="5" s="1"/>
  <c r="Q1252" i="5" a="1"/>
  <c r="R1252" i="5" s="1"/>
  <c r="Q1247" i="5" a="1"/>
  <c r="R1247" i="5" s="1"/>
  <c r="Q1241" i="5" a="1"/>
  <c r="R1241" i="5" s="1"/>
  <c r="Q1230" i="5" a="1"/>
  <c r="R1230" i="5" s="1"/>
  <c r="Q1204" i="5" a="1"/>
  <c r="R1204" i="5" s="1"/>
  <c r="Q1185" i="5" a="1"/>
  <c r="R1185" i="5" s="1"/>
  <c r="Q1175" i="5" a="1"/>
  <c r="R1175" i="5" s="1"/>
  <c r="Q1168" i="5" a="1"/>
  <c r="R1168" i="5" s="1"/>
  <c r="Q1152" i="5" a="1"/>
  <c r="R1152" i="5" s="1"/>
  <c r="Q1144" i="5" a="1"/>
  <c r="R1144" i="5" s="1"/>
  <c r="Q1138" i="5" a="1"/>
  <c r="R1138" i="5" s="1"/>
  <c r="Q1134" i="5" a="1"/>
  <c r="R1134" i="5" s="1"/>
  <c r="I105" i="6"/>
  <c r="I38" i="6"/>
  <c r="I24" i="6"/>
  <c r="I35" i="6"/>
  <c r="I103" i="6"/>
  <c r="I158" i="6"/>
  <c r="I11" i="6"/>
  <c r="I26" i="6"/>
  <c r="I104" i="6"/>
  <c r="I119" i="6"/>
  <c r="I157" i="6"/>
  <c r="I241" i="6"/>
  <c r="I240" i="6"/>
  <c r="I238" i="6"/>
  <c r="I237" i="6"/>
  <c r="I235" i="6"/>
  <c r="I233" i="6"/>
  <c r="I232" i="6"/>
  <c r="I231" i="6"/>
  <c r="I230" i="6"/>
  <c r="I229" i="6"/>
  <c r="Q719" i="5" a="1"/>
  <c r="R719" i="5" s="1"/>
  <c r="Q690" i="5" a="1"/>
  <c r="R690" i="5" s="1"/>
  <c r="Q682" i="5" a="1"/>
  <c r="R682" i="5" s="1"/>
  <c r="Q670" i="5" a="1"/>
  <c r="R670" i="5" s="1"/>
  <c r="Q664" i="5" a="1"/>
  <c r="R664" i="5" s="1"/>
  <c r="Q659" i="5" a="1"/>
  <c r="R659" i="5" s="1"/>
  <c r="Q657" i="5" a="1"/>
  <c r="R657" i="5" s="1"/>
  <c r="Q654" i="5" a="1"/>
  <c r="R654" i="5" s="1"/>
  <c r="Q653" i="5" a="1"/>
  <c r="R653" i="5" s="1"/>
  <c r="Q647" i="5" a="1"/>
  <c r="R647" i="5" s="1"/>
  <c r="Q644" i="5" a="1"/>
  <c r="R644" i="5" s="1"/>
  <c r="Q643" i="5" a="1"/>
  <c r="R643" i="5" s="1"/>
  <c r="Q928" i="5" a="1"/>
  <c r="R928" i="5" s="1"/>
  <c r="Q926" i="5" a="1"/>
  <c r="R926" i="5" s="1"/>
  <c r="Q924" i="5" a="1"/>
  <c r="R924" i="5" s="1"/>
  <c r="Q922" i="5" a="1"/>
  <c r="R922" i="5" s="1"/>
  <c r="Q920" i="5" a="1"/>
  <c r="R920" i="5" s="1"/>
  <c r="Q917" i="5" a="1"/>
  <c r="R917" i="5" s="1"/>
  <c r="Q915" i="5" a="1"/>
  <c r="R915" i="5" s="1"/>
  <c r="Q914" i="5" a="1"/>
  <c r="R914" i="5" s="1"/>
  <c r="Q911" i="5" a="1"/>
  <c r="R911" i="5" s="1"/>
  <c r="Q909" i="5" a="1"/>
  <c r="R909" i="5" s="1"/>
  <c r="Q905" i="5" a="1"/>
  <c r="R905" i="5" s="1"/>
  <c r="Q903" i="5" a="1"/>
  <c r="R903" i="5" s="1"/>
  <c r="Q901" i="5" a="1"/>
  <c r="R901" i="5" s="1"/>
  <c r="Q900" i="5" a="1"/>
  <c r="R900" i="5" s="1"/>
  <c r="Q898" i="5" a="1"/>
  <c r="R898" i="5" s="1"/>
  <c r="Q895" i="5" a="1"/>
  <c r="R895" i="5" s="1"/>
  <c r="Q893" i="5" a="1"/>
  <c r="R893" i="5" s="1"/>
  <c r="Q891" i="5" a="1"/>
  <c r="R891" i="5" s="1"/>
  <c r="Q886" i="5" a="1"/>
  <c r="R886" i="5" s="1"/>
  <c r="Q881" i="5" a="1"/>
  <c r="R881" i="5" s="1"/>
  <c r="Q878" i="5" a="1"/>
  <c r="R878" i="5" s="1"/>
  <c r="Q874" i="5" a="1"/>
  <c r="R874" i="5" s="1"/>
  <c r="Q868" i="5" a="1"/>
  <c r="R868" i="5" s="1"/>
  <c r="Q865" i="5" a="1"/>
  <c r="R865" i="5" s="1"/>
  <c r="Q863" i="5" a="1"/>
  <c r="R863" i="5" s="1"/>
  <c r="Q860" i="5" a="1"/>
  <c r="R860" i="5" s="1"/>
  <c r="Q858" i="5" a="1"/>
  <c r="R858" i="5" s="1"/>
  <c r="Q854" i="5" a="1"/>
  <c r="R854" i="5" s="1"/>
  <c r="Q852" i="5" a="1"/>
  <c r="R852" i="5" s="1"/>
  <c r="Q851" i="5" a="1"/>
  <c r="R851" i="5" s="1"/>
  <c r="Q849" i="5" a="1"/>
  <c r="R849" i="5" s="1"/>
  <c r="Q846" i="5" a="1"/>
  <c r="R846" i="5" s="1"/>
  <c r="Q844" i="5" a="1"/>
  <c r="R844" i="5" s="1"/>
  <c r="Q843" i="5" a="1"/>
  <c r="R843" i="5" s="1"/>
  <c r="Q841" i="5" a="1"/>
  <c r="R841" i="5" s="1"/>
  <c r="Q1528" i="5" a="1"/>
  <c r="R1528" i="5" s="1"/>
  <c r="Q1483" i="5" a="1"/>
  <c r="R1483" i="5" s="1"/>
  <c r="Q1480" i="5" a="1"/>
  <c r="R1480" i="5" s="1"/>
  <c r="Q1458" i="5" a="1"/>
  <c r="R1458" i="5" s="1"/>
  <c r="Q1422" i="5" a="1"/>
  <c r="R1422" i="5" s="1"/>
  <c r="Q1416" i="5" a="1"/>
  <c r="R1416" i="5" s="1"/>
  <c r="Q1425" i="5" a="1"/>
  <c r="R1425" i="5" s="1"/>
  <c r="Q1393" i="5" a="1"/>
  <c r="R1393" i="5" s="1"/>
  <c r="Q1392" i="5" a="1"/>
  <c r="R1392" i="5" s="1"/>
  <c r="Q1354" i="5" a="1"/>
  <c r="R1354" i="5" s="1"/>
  <c r="Q1322" i="5" a="1"/>
  <c r="R1322" i="5" s="1"/>
  <c r="Q1433" i="5" a="1"/>
  <c r="R1433" i="5" s="1"/>
  <c r="Q1413" i="5" a="1"/>
  <c r="R1413" i="5" s="1"/>
  <c r="Q1412" i="5" a="1"/>
  <c r="R1412" i="5" s="1"/>
  <c r="Q1410" i="5" a="1"/>
  <c r="R1410" i="5" s="1"/>
  <c r="Q839" i="5" a="1"/>
  <c r="R839" i="5" s="1"/>
  <c r="Q837" i="5" a="1"/>
  <c r="R837" i="5" s="1"/>
  <c r="Q833" i="5" a="1"/>
  <c r="R833" i="5" s="1"/>
  <c r="Q830" i="5" a="1"/>
  <c r="R830" i="5" s="1"/>
  <c r="Q828" i="5" a="1"/>
  <c r="R828" i="5" s="1"/>
  <c r="Q824" i="5" a="1"/>
  <c r="R824" i="5" s="1"/>
  <c r="Q820" i="5" a="1"/>
  <c r="R820" i="5" s="1"/>
  <c r="Q816" i="5" a="1"/>
  <c r="R816" i="5" s="1"/>
  <c r="Q800" i="5" a="1"/>
  <c r="R800" i="5" s="1"/>
  <c r="Q796" i="5" a="1"/>
  <c r="R796" i="5" s="1"/>
  <c r="Q784" i="5" a="1"/>
  <c r="R784" i="5" s="1"/>
  <c r="Q783" i="5" a="1"/>
  <c r="R783" i="5" s="1"/>
  <c r="Q779" i="5" a="1"/>
  <c r="R779" i="5" s="1"/>
  <c r="Q776" i="5" a="1"/>
  <c r="R776" i="5" s="1"/>
  <c r="Q772" i="5" a="1"/>
  <c r="R772" i="5" s="1"/>
  <c r="Q768" i="5" a="1"/>
  <c r="R768" i="5" s="1"/>
  <c r="Q767" i="5" a="1"/>
  <c r="R767" i="5" s="1"/>
  <c r="Q639" i="5" a="1"/>
  <c r="R639" i="5" s="1"/>
  <c r="Q636" i="5" a="1"/>
  <c r="R636" i="5" s="1"/>
  <c r="Q619" i="5" a="1"/>
  <c r="R619" i="5" s="1"/>
  <c r="Q611" i="5" a="1"/>
  <c r="R611" i="5" s="1"/>
  <c r="Q589" i="5" a="1"/>
  <c r="R589" i="5" s="1"/>
  <c r="Q586" i="5" a="1"/>
  <c r="R586" i="5" s="1"/>
  <c r="Q572" i="5" a="1"/>
  <c r="R572" i="5" s="1"/>
  <c r="Q554" i="5" a="1"/>
  <c r="R554" i="5" s="1"/>
  <c r="Q548" i="5" a="1"/>
  <c r="R548" i="5" s="1"/>
  <c r="Q533" i="5" a="1"/>
  <c r="R533" i="5" s="1"/>
  <c r="Q530" i="5" a="1"/>
  <c r="R530" i="5" s="1"/>
  <c r="Q527" i="5" a="1"/>
  <c r="R527" i="5" s="1"/>
  <c r="Q524" i="5" a="1"/>
  <c r="R524" i="5" s="1"/>
  <c r="Q521" i="5" a="1"/>
  <c r="R521" i="5" s="1"/>
  <c r="Q509" i="5" a="1"/>
  <c r="R509" i="5" s="1"/>
  <c r="Q503" i="5" a="1"/>
  <c r="R503" i="5" s="1"/>
  <c r="Q500" i="5" a="1"/>
  <c r="R500" i="5" s="1"/>
  <c r="Q497" i="5" a="1"/>
  <c r="R497" i="5" s="1"/>
  <c r="Q453" i="5" a="1"/>
  <c r="R453" i="5" s="1"/>
  <c r="Q449" i="5" a="1"/>
  <c r="R449" i="5" s="1"/>
  <c r="Q447" i="5" a="1"/>
  <c r="R447" i="5" s="1"/>
  <c r="Q438" i="5" a="1"/>
  <c r="R438" i="5" s="1"/>
  <c r="Q437" i="5" a="1"/>
  <c r="R437" i="5" s="1"/>
  <c r="Q431" i="5" a="1"/>
  <c r="R431" i="5" s="1"/>
  <c r="Q425" i="5" a="1"/>
  <c r="R425" i="5" s="1"/>
  <c r="Q419" i="5" a="1"/>
  <c r="R419" i="5" s="1"/>
  <c r="Q409" i="5" a="1"/>
  <c r="R409" i="5" s="1"/>
  <c r="Q399" i="5" a="1"/>
  <c r="R399" i="5" s="1"/>
  <c r="Q395" i="5" a="1"/>
  <c r="R395" i="5" s="1"/>
  <c r="Q391" i="5" a="1"/>
  <c r="R391" i="5" s="1"/>
  <c r="Q385" i="5" a="1"/>
  <c r="R385" i="5" s="1"/>
  <c r="Q1495" i="5" a="1"/>
  <c r="R1495" i="5" s="1"/>
  <c r="Q1493" i="5" a="1"/>
  <c r="R1493" i="5" s="1"/>
  <c r="Q1492" i="5" a="1"/>
  <c r="R1492" i="5" s="1"/>
  <c r="Q1491" i="5" a="1"/>
  <c r="R1491" i="5" s="1"/>
  <c r="Q1490" i="5" a="1"/>
  <c r="R1490" i="5" s="1"/>
  <c r="Q1488" i="5" a="1"/>
  <c r="R1488" i="5" s="1"/>
  <c r="Q1578" i="5" a="1"/>
  <c r="R1578" i="5" s="1"/>
  <c r="Q1567" i="5" a="1"/>
  <c r="R1567" i="5" s="1"/>
  <c r="Q1564" i="5" a="1"/>
  <c r="R1564" i="5" s="1"/>
  <c r="Q1580" i="5" a="1"/>
  <c r="R1580" i="5" s="1"/>
  <c r="Q1559" i="5" a="1"/>
  <c r="R1559" i="5" s="1"/>
  <c r="Q1558" i="5" a="1"/>
  <c r="R1558" i="5" s="1"/>
  <c r="Q1554" i="5" a="1"/>
  <c r="R1554" i="5" s="1"/>
  <c r="Q1550" i="5" a="1"/>
  <c r="R1550" i="5" s="1"/>
  <c r="Q1547" i="5" a="1"/>
  <c r="R1547" i="5" s="1"/>
  <c r="Q1546" i="5" a="1"/>
  <c r="R1546" i="5" s="1"/>
  <c r="Q1543" i="5" a="1"/>
  <c r="R1543" i="5" s="1"/>
  <c r="Q1540" i="5" a="1"/>
  <c r="R1540" i="5" s="1"/>
  <c r="Q1538" i="5" a="1"/>
  <c r="R1538" i="5" s="1"/>
  <c r="Q1537" i="5" a="1"/>
  <c r="R1537" i="5" s="1"/>
  <c r="Q1534" i="5" a="1"/>
  <c r="R1534" i="5" s="1"/>
  <c r="Q1529" i="5" a="1"/>
  <c r="R1529" i="5" s="1"/>
  <c r="Q1516" i="5" a="1"/>
  <c r="R1516" i="5" s="1"/>
  <c r="Q1508" i="5" a="1"/>
  <c r="R1508" i="5" s="1"/>
  <c r="Q1507" i="5" a="1"/>
  <c r="R1507" i="5" s="1"/>
  <c r="Q1485" i="5" a="1"/>
  <c r="R1485" i="5" s="1"/>
  <c r="Q1475" i="5" a="1"/>
  <c r="R1475" i="5" s="1"/>
  <c r="Q1577" i="5" a="1"/>
  <c r="R1577" i="5" s="1"/>
  <c r="Q1531" i="5" a="1"/>
  <c r="R1531" i="5" s="1"/>
  <c r="Q1514" i="5" a="1"/>
  <c r="R1514" i="5" s="1"/>
  <c r="Q1512" i="5" a="1"/>
  <c r="R1512" i="5" s="1"/>
  <c r="Q1484" i="5" a="1"/>
  <c r="R1484" i="5" s="1"/>
  <c r="Q1468" i="5" a="1"/>
  <c r="R1468" i="5" s="1"/>
  <c r="Q1450" i="5" a="1"/>
  <c r="R1450" i="5" s="1"/>
  <c r="Q1449" i="5" a="1"/>
  <c r="R1449" i="5" s="1"/>
  <c r="Q1448" i="5" a="1"/>
  <c r="R1448" i="5" s="1"/>
  <c r="Q1447" i="5" a="1"/>
  <c r="R1447" i="5" s="1"/>
  <c r="Q1479" i="5" a="1"/>
  <c r="R1479" i="5" s="1"/>
  <c r="Q1464" i="5" a="1"/>
  <c r="R1464" i="5" s="1"/>
  <c r="Q1460" i="5" a="1"/>
  <c r="R1460" i="5" s="1"/>
  <c r="Q1456" i="5" a="1"/>
  <c r="R1456" i="5" s="1"/>
  <c r="Q1455" i="5" a="1"/>
  <c r="R1455" i="5" s="1"/>
  <c r="Q1439" i="5" a="1"/>
  <c r="R1439" i="5" s="1"/>
  <c r="Q1438" i="5" a="1"/>
  <c r="R1438" i="5" s="1"/>
  <c r="Q1430" i="5" a="1"/>
  <c r="R1430" i="5" s="1"/>
  <c r="Q1429" i="5" a="1"/>
  <c r="R1429" i="5" s="1"/>
  <c r="Q1418" i="5" a="1"/>
  <c r="R1418" i="5" s="1"/>
  <c r="Q1405" i="5" a="1"/>
  <c r="R1405" i="5" s="1"/>
  <c r="Q1389" i="5" a="1"/>
  <c r="R1389" i="5" s="1"/>
  <c r="Q1388" i="5" a="1"/>
  <c r="R1388" i="5" s="1"/>
  <c r="Q1387" i="5" a="1"/>
  <c r="R1387" i="5" s="1"/>
  <c r="Q1384" i="5" a="1"/>
  <c r="R1384" i="5" s="1"/>
  <c r="Q1383" i="5" a="1"/>
  <c r="R1383" i="5" s="1"/>
  <c r="Q1381" i="5" a="1"/>
  <c r="R1381" i="5" s="1"/>
  <c r="Q1373" i="5" a="1"/>
  <c r="R1373" i="5" s="1"/>
  <c r="Q1369" i="5" a="1"/>
  <c r="R1369" i="5" s="1"/>
  <c r="Q1368" i="5" a="1"/>
  <c r="R1368" i="5" s="1"/>
  <c r="Q1363" i="5" a="1"/>
  <c r="R1363" i="5" s="1"/>
  <c r="Q1360" i="5" a="1"/>
  <c r="R1360" i="5" s="1"/>
  <c r="Q1357" i="5" a="1"/>
  <c r="R1357" i="5" s="1"/>
  <c r="Q1352" i="5" a="1"/>
  <c r="R1352" i="5" s="1"/>
  <c r="Q1351" i="5" a="1"/>
  <c r="R1351" i="5" s="1"/>
  <c r="Q1347" i="5" a="1"/>
  <c r="R1347" i="5" s="1"/>
  <c r="R1335" i="5"/>
  <c r="Q1312" i="5" a="1"/>
  <c r="R1312" i="5" s="1"/>
  <c r="Q1297" i="5" a="1"/>
  <c r="Q1294" i="5" a="1"/>
  <c r="R1294" i="5" s="1"/>
  <c r="Q1285" i="5" a="1"/>
  <c r="R1285" i="5" s="1"/>
  <c r="Q1273" i="5" a="1"/>
  <c r="R1273" i="5" s="1"/>
  <c r="Q1265" i="5" a="1"/>
  <c r="R1265" i="5" s="1"/>
  <c r="Q1260" i="5" a="1"/>
  <c r="R1260" i="5" s="1"/>
  <c r="Q1255" i="5" a="1"/>
  <c r="R1255" i="5" s="1"/>
  <c r="Q1249" i="5" a="1"/>
  <c r="R1249" i="5" s="1"/>
  <c r="Q1242" i="5" a="1"/>
  <c r="R1242" i="5" s="1"/>
  <c r="Q1237" i="5" a="1"/>
  <c r="R1237" i="5" s="1"/>
  <c r="Q1225" i="5" a="1"/>
  <c r="R1225" i="5" s="1"/>
  <c r="Q1222" i="5" a="1"/>
  <c r="R1222" i="5" s="1"/>
  <c r="Q1207" i="5" a="1"/>
  <c r="R1207" i="5" s="1"/>
  <c r="Q1198" i="5" a="1"/>
  <c r="R1198" i="5" s="1"/>
  <c r="Q1193" i="5" a="1"/>
  <c r="R1193" i="5" s="1"/>
  <c r="Q1188" i="5" a="1"/>
  <c r="R1188" i="5" s="1"/>
  <c r="Q1178" i="5" a="1"/>
  <c r="Q1169" i="5" a="1"/>
  <c r="R1169" i="5" s="1"/>
  <c r="Q1160" i="5" a="1"/>
  <c r="R1160" i="5" s="1"/>
  <c r="Q1150" i="5" a="1"/>
  <c r="R1150" i="5" s="1"/>
  <c r="Q1141" i="5" a="1"/>
  <c r="R1141" i="5" s="1"/>
  <c r="Q1137" i="5" a="1"/>
  <c r="R1137" i="5" s="1"/>
  <c r="R1133" i="5"/>
  <c r="I102" i="6"/>
  <c r="I15" i="6"/>
  <c r="I27" i="6"/>
  <c r="I114" i="6"/>
  <c r="I9" i="6"/>
  <c r="I19" i="6"/>
  <c r="I25" i="6"/>
  <c r="I101" i="6"/>
  <c r="I121" i="6"/>
  <c r="C2" i="6"/>
  <c r="Q691" i="5" a="1"/>
  <c r="R691" i="5" s="1"/>
  <c r="Q689" i="5" a="1"/>
  <c r="R689" i="5" s="1"/>
  <c r="Q686" i="5" a="1"/>
  <c r="R686" i="5" s="1"/>
  <c r="Q679" i="5" a="1"/>
  <c r="R679" i="5" s="1"/>
  <c r="Q673" i="5" a="1"/>
  <c r="R673" i="5" s="1"/>
  <c r="Q669" i="5" a="1"/>
  <c r="R669" i="5" s="1"/>
  <c r="Q662" i="5" a="1"/>
  <c r="R662" i="5" s="1"/>
  <c r="Q658" i="5" a="1"/>
  <c r="R658" i="5" s="1"/>
  <c r="Q656" i="5" a="1"/>
  <c r="R656" i="5" s="1"/>
  <c r="Q655" i="5" a="1"/>
  <c r="R655" i="5" s="1"/>
  <c r="Q652" i="5" a="1"/>
  <c r="R652" i="5" s="1"/>
  <c r="Q651" i="5" a="1"/>
  <c r="R651" i="5" s="1"/>
  <c r="Q649" i="5" a="1"/>
  <c r="R649" i="5" s="1"/>
  <c r="Q648" i="5" a="1"/>
  <c r="R648" i="5" s="1"/>
  <c r="Q646" i="5" a="1"/>
  <c r="R646" i="5" s="1"/>
  <c r="Q642" i="5" a="1"/>
  <c r="R642" i="5" s="1"/>
  <c r="Q930" i="5" a="1"/>
  <c r="R930" i="5" s="1"/>
  <c r="Q927" i="5" a="1"/>
  <c r="R927" i="5" s="1"/>
  <c r="Q923" i="5" a="1"/>
  <c r="R923" i="5" s="1"/>
  <c r="Q921" i="5" a="1"/>
  <c r="R921" i="5" s="1"/>
  <c r="Q918" i="5" a="1"/>
  <c r="R918" i="5" s="1"/>
  <c r="Q913" i="5" a="1"/>
  <c r="R913" i="5" s="1"/>
  <c r="Q910" i="5" a="1"/>
  <c r="R910" i="5" s="1"/>
  <c r="Q908" i="5" a="1"/>
  <c r="R908" i="5" s="1"/>
  <c r="Q906" i="5" a="1"/>
  <c r="R906" i="5" s="1"/>
  <c r="Q902" i="5" a="1"/>
  <c r="R902" i="5" s="1"/>
  <c r="Q897" i="5" a="1"/>
  <c r="R897" i="5" s="1"/>
  <c r="Q894" i="5" a="1"/>
  <c r="R894" i="5" s="1"/>
  <c r="Q892" i="5" a="1"/>
  <c r="R892" i="5" s="1"/>
  <c r="Q887" i="5" a="1"/>
  <c r="R887" i="5" s="1"/>
  <c r="Q883" i="5" a="1"/>
  <c r="R883" i="5" s="1"/>
  <c r="Q882" i="5" a="1"/>
  <c r="R882" i="5" s="1"/>
  <c r="Q879" i="5" a="1"/>
  <c r="R879" i="5" s="1"/>
  <c r="Q876" i="5" a="1"/>
  <c r="R876" i="5" s="1"/>
  <c r="Q875" i="5" a="1"/>
  <c r="R875" i="5" s="1"/>
  <c r="Q873" i="5" a="1"/>
  <c r="R873" i="5" s="1"/>
  <c r="Q871" i="5" a="1"/>
  <c r="R871" i="5" s="1"/>
  <c r="Q870" i="5" a="1"/>
  <c r="R870" i="5" s="1"/>
  <c r="Q869" i="5" a="1"/>
  <c r="R869" i="5" s="1"/>
  <c r="Q866" i="5" a="1"/>
  <c r="R866" i="5" s="1"/>
  <c r="Q862" i="5" a="1"/>
  <c r="R862" i="5" s="1"/>
  <c r="Q857" i="5" a="1"/>
  <c r="R857" i="5" s="1"/>
  <c r="Q855" i="5" a="1"/>
  <c r="R855" i="5" s="1"/>
  <c r="Q850" i="5" a="1"/>
  <c r="R850" i="5" s="1"/>
  <c r="Q848" i="5" a="1"/>
  <c r="R848" i="5" s="1"/>
  <c r="Q845" i="5" a="1"/>
  <c r="R845" i="5" s="1"/>
  <c r="Q840" i="5" a="1"/>
  <c r="R840" i="5" s="1"/>
  <c r="Q1482" i="5" a="1"/>
  <c r="R1482" i="5" s="1"/>
  <c r="Q1478" i="5" a="1"/>
  <c r="R1478" i="5" s="1"/>
  <c r="Q1457" i="5" a="1"/>
  <c r="R1457" i="5" s="1"/>
  <c r="Q1423" i="5" a="1"/>
  <c r="R1423" i="5" s="1"/>
  <c r="Q1417" i="5" a="1"/>
  <c r="R1417" i="5" s="1"/>
  <c r="Q1441" i="5" a="1"/>
  <c r="R1441" i="5" s="1"/>
  <c r="Q1391" i="5" a="1"/>
  <c r="R1391" i="5" s="1"/>
  <c r="Q1353" i="5" a="1"/>
  <c r="R1353" i="5" s="1"/>
  <c r="Q1428" i="5" a="1"/>
  <c r="R1428" i="5" s="1"/>
  <c r="Q834" i="5" a="1"/>
  <c r="R834" i="5" s="1"/>
  <c r="Q829" i="5" a="1"/>
  <c r="R829" i="5" s="1"/>
  <c r="Q825" i="5" a="1"/>
  <c r="R825" i="5" s="1"/>
  <c r="Q821" i="5" a="1"/>
  <c r="R821" i="5" s="1"/>
  <c r="Q817" i="5" a="1"/>
  <c r="R817" i="5" s="1"/>
  <c r="Q813" i="5" a="1"/>
  <c r="R813" i="5" s="1"/>
  <c r="Q812" i="5" a="1"/>
  <c r="R812" i="5" s="1"/>
  <c r="Q809" i="5" a="1"/>
  <c r="R809" i="5" s="1"/>
  <c r="Q808" i="5" a="1"/>
  <c r="R808" i="5" s="1"/>
  <c r="Q807" i="5" a="1"/>
  <c r="R807" i="5" s="1"/>
  <c r="Q804" i="5" a="1"/>
  <c r="R804" i="5" s="1"/>
  <c r="Q798" i="5" a="1"/>
  <c r="R798" i="5" s="1"/>
  <c r="Q793" i="5" a="1"/>
  <c r="R793" i="5" s="1"/>
  <c r="Q791" i="5" a="1"/>
  <c r="R791" i="5" s="1"/>
  <c r="Q790" i="5" a="1"/>
  <c r="R790" i="5" s="1"/>
  <c r="Q788" i="5" a="1"/>
  <c r="R788" i="5" s="1"/>
  <c r="Q787" i="5" a="1"/>
  <c r="R787" i="5" s="1"/>
  <c r="Q786" i="5" a="1"/>
  <c r="R786" i="5" s="1"/>
  <c r="Q778" i="5" a="1"/>
  <c r="R778" i="5" s="1"/>
  <c r="Q773" i="5" a="1"/>
  <c r="R773" i="5" s="1"/>
  <c r="Q763" i="5" a="1"/>
  <c r="R763" i="5" s="1"/>
  <c r="Q630" i="5" a="1"/>
  <c r="R630" i="5" s="1"/>
  <c r="Q617" i="5" a="1"/>
  <c r="R617" i="5" s="1"/>
  <c r="Q606" i="5" a="1"/>
  <c r="R606" i="5" s="1"/>
  <c r="Q601" i="5" a="1"/>
  <c r="R601" i="5" s="1"/>
  <c r="Q599" i="5" a="1"/>
  <c r="R599" i="5" s="1"/>
  <c r="Q596" i="5" a="1"/>
  <c r="R596" i="5" s="1"/>
  <c r="Q592" i="5" a="1"/>
  <c r="R592" i="5" s="1"/>
  <c r="Q575" i="5" a="1"/>
  <c r="R575" i="5" s="1"/>
  <c r="Q563" i="5" a="1"/>
  <c r="R563" i="5" s="1"/>
  <c r="Q551" i="5" a="1"/>
  <c r="R551" i="5" s="1"/>
  <c r="Q536" i="5" a="1"/>
  <c r="R536" i="5" s="1"/>
  <c r="Q512" i="5" a="1"/>
  <c r="R512" i="5" s="1"/>
  <c r="Q465" i="5" a="1"/>
  <c r="R465" i="5" s="1"/>
  <c r="Q407" i="5" a="1"/>
  <c r="R407" i="5" s="1"/>
  <c r="Q393" i="5" a="1"/>
  <c r="R393" i="5" s="1"/>
  <c r="Q387" i="5" a="1"/>
  <c r="R387" i="5" s="1"/>
  <c r="Q1454" i="5" a="1"/>
  <c r="R1454" i="5" s="1"/>
  <c r="Q1306" i="5" a="1"/>
  <c r="R1306" i="5" s="1"/>
  <c r="Q1291" i="5" a="1"/>
  <c r="R1291" i="5" s="1"/>
  <c r="Q1281" i="5" a="1"/>
  <c r="R1281" i="5" s="1"/>
  <c r="Q1271" i="5" a="1"/>
  <c r="R1271" i="5" s="1"/>
  <c r="Q1264" i="5" a="1"/>
  <c r="R1264" i="5" s="1"/>
  <c r="Q1250" i="5" a="1"/>
  <c r="R1250" i="5" s="1"/>
  <c r="Q1246" i="5" a="1"/>
  <c r="R1246" i="5" s="1"/>
  <c r="Q1238" i="5" a="1"/>
  <c r="R1238" i="5" s="1"/>
  <c r="Q1228" i="5" a="1"/>
  <c r="R1228" i="5" s="1"/>
  <c r="Q1214" i="5" a="1"/>
  <c r="R1214" i="5" s="1"/>
  <c r="Q1191" i="5" a="1"/>
  <c r="R1191" i="5" s="1"/>
  <c r="Q1180" i="5" a="1"/>
  <c r="R1180" i="5" s="1"/>
  <c r="Q1174" i="5" a="1"/>
  <c r="R1174" i="5" s="1"/>
  <c r="Q1166" i="5" a="1"/>
  <c r="R1166" i="5" s="1"/>
  <c r="Q1146" i="5" a="1"/>
  <c r="R1146" i="5" s="1"/>
  <c r="Q1140" i="5" a="1"/>
  <c r="R1140" i="5" s="1"/>
  <c r="Q1135" i="5" a="1"/>
  <c r="R1135" i="5" s="1"/>
  <c r="Q752" i="5" a="1"/>
  <c r="R752" i="5" s="1"/>
  <c r="I159" i="6"/>
  <c r="I21" i="6"/>
  <c r="I22" i="6"/>
  <c r="I18" i="6"/>
  <c r="I23" i="6"/>
  <c r="I20" i="6"/>
  <c r="I123" i="6"/>
  <c r="Q707" i="5" a="1"/>
  <c r="R707" i="5" s="1"/>
  <c r="Q676" i="5" a="1"/>
  <c r="R676" i="5" s="1"/>
  <c r="Q666" i="5" a="1"/>
  <c r="R666" i="5" s="1"/>
  <c r="Q660" i="5" a="1"/>
  <c r="R660" i="5" s="1"/>
  <c r="Q889" i="5" a="1"/>
  <c r="R889" i="5" s="1"/>
  <c r="Q885" i="5" a="1"/>
  <c r="R885" i="5" s="1"/>
  <c r="Q880" i="5" a="1"/>
  <c r="R880" i="5" s="1"/>
  <c r="Q1474" i="5" a="1"/>
  <c r="R1474" i="5" s="1"/>
  <c r="Q1434" i="5" a="1"/>
  <c r="R1434" i="5" s="1"/>
  <c r="Q1421" i="5" a="1"/>
  <c r="R1421" i="5" s="1"/>
  <c r="Q1451" i="5" a="1"/>
  <c r="R1451" i="5" s="1"/>
  <c r="Q1394" i="5" a="1"/>
  <c r="R1394" i="5" s="1"/>
  <c r="Q1358" i="5" a="1"/>
  <c r="R1358" i="5" s="1"/>
  <c r="Q1334" i="5" a="1"/>
  <c r="R1334" i="5" s="1"/>
  <c r="Q1317" i="5" a="1"/>
  <c r="R1317" i="5" s="1"/>
  <c r="Q1408" i="5" a="1"/>
  <c r="R1408" i="5" s="1"/>
  <c r="Q836" i="5" a="1"/>
  <c r="R836" i="5" s="1"/>
  <c r="Q831" i="5" a="1"/>
  <c r="R831" i="5" s="1"/>
  <c r="Q826" i="5" a="1"/>
  <c r="R826" i="5" s="1"/>
  <c r="Q823" i="5" a="1"/>
  <c r="R823" i="5" s="1"/>
  <c r="Q819" i="5" a="1"/>
  <c r="R819" i="5" s="1"/>
  <c r="Q815" i="5" a="1"/>
  <c r="R815" i="5" s="1"/>
  <c r="Q811" i="5" a="1"/>
  <c r="R811" i="5" s="1"/>
  <c r="Q806" i="5" a="1"/>
  <c r="R806" i="5" s="1"/>
  <c r="Q803" i="5" a="1"/>
  <c r="R803" i="5" s="1"/>
  <c r="Q801" i="5" a="1"/>
  <c r="R801" i="5" s="1"/>
  <c r="Q797" i="5" a="1"/>
  <c r="R797" i="5" s="1"/>
  <c r="Q794" i="5" a="1"/>
  <c r="R794" i="5" s="1"/>
  <c r="Q782" i="5" a="1"/>
  <c r="R782" i="5" s="1"/>
  <c r="Q780" i="5" a="1"/>
  <c r="R780" i="5" s="1"/>
  <c r="Q775" i="5" a="1"/>
  <c r="R775" i="5" s="1"/>
  <c r="Q771" i="5" a="1"/>
  <c r="R771" i="5" s="1"/>
  <c r="Q769" i="5" a="1"/>
  <c r="R769" i="5" s="1"/>
  <c r="Q766" i="5" a="1"/>
  <c r="R766" i="5" s="1"/>
  <c r="Q764" i="5" a="1"/>
  <c r="R764" i="5" s="1"/>
  <c r="Q761" i="5" a="1"/>
  <c r="R761" i="5" s="1"/>
  <c r="Q634" i="5" a="1"/>
  <c r="R634" i="5" s="1"/>
  <c r="Q626" i="5" a="1"/>
  <c r="R626" i="5" s="1"/>
  <c r="Q615" i="5" a="1"/>
  <c r="R615" i="5" s="1"/>
  <c r="Q609" i="5" a="1"/>
  <c r="R609" i="5" s="1"/>
  <c r="Q605" i="5" a="1"/>
  <c r="R605" i="5" s="1"/>
  <c r="Q595" i="5" a="1"/>
  <c r="R595" i="5" s="1"/>
  <c r="Q583" i="5" a="1"/>
  <c r="R583" i="5" s="1"/>
  <c r="Q569" i="5" a="1"/>
  <c r="R569" i="5" s="1"/>
  <c r="Q560" i="5" a="1"/>
  <c r="R560" i="5" s="1"/>
  <c r="Q545" i="5" a="1"/>
  <c r="R545" i="5" s="1"/>
  <c r="Q539" i="5" a="1"/>
  <c r="R539" i="5" s="1"/>
  <c r="Q515" i="5" a="1"/>
  <c r="R515" i="5" s="1"/>
  <c r="Q486" i="5" a="1"/>
  <c r="R486" i="5" s="1"/>
  <c r="Q480" i="5" a="1"/>
  <c r="R480" i="5" s="1"/>
  <c r="Q477" i="5" a="1"/>
  <c r="R477" i="5" s="1"/>
  <c r="Q474" i="5" a="1"/>
  <c r="R474" i="5" s="1"/>
  <c r="Q468" i="5" a="1"/>
  <c r="R468" i="5" s="1"/>
  <c r="Q459" i="5" a="1"/>
  <c r="R459" i="5" s="1"/>
  <c r="Q456" i="5" a="1"/>
  <c r="R456" i="5" s="1"/>
  <c r="Q450" i="5" a="1"/>
  <c r="R450" i="5" s="1"/>
  <c r="Q441" i="5" a="1"/>
  <c r="R441" i="5" s="1"/>
  <c r="Q434" i="5" a="1"/>
  <c r="R434" i="5" s="1"/>
  <c r="Q422" i="5" a="1"/>
  <c r="R422" i="5" s="1"/>
  <c r="Q413" i="5" a="1"/>
  <c r="R413" i="5" s="1"/>
  <c r="Q403" i="5" a="1"/>
  <c r="R403" i="5" s="1"/>
  <c r="Q397" i="5" a="1"/>
  <c r="R397" i="5" s="1"/>
  <c r="Q661" i="5" a="1"/>
  <c r="R661" i="5" s="1"/>
  <c r="Q650" i="5" a="1"/>
  <c r="R650" i="5" s="1"/>
  <c r="Q645" i="5" a="1"/>
  <c r="R645" i="5" s="1"/>
  <c r="Q929" i="5" a="1"/>
  <c r="R929" i="5" s="1"/>
  <c r="Q925" i="5" a="1"/>
  <c r="R925" i="5" s="1"/>
  <c r="Q919" i="5" a="1"/>
  <c r="R919" i="5" s="1"/>
  <c r="Q916" i="5" a="1"/>
  <c r="R916" i="5" s="1"/>
  <c r="Q912" i="5" a="1"/>
  <c r="R912" i="5" s="1"/>
  <c r="Q907" i="5" a="1"/>
  <c r="R907" i="5" s="1"/>
  <c r="Q904" i="5" a="1"/>
  <c r="R904" i="5" s="1"/>
  <c r="Q899" i="5" a="1"/>
  <c r="R899" i="5" s="1"/>
  <c r="Q896" i="5" a="1"/>
  <c r="R896" i="5" s="1"/>
  <c r="Q890" i="5" a="1"/>
  <c r="R890" i="5" s="1"/>
  <c r="Q888" i="5" a="1"/>
  <c r="R888" i="5" s="1"/>
  <c r="Q884" i="5" a="1"/>
  <c r="R884" i="5" s="1"/>
  <c r="Q877" i="5" a="1"/>
  <c r="R877" i="5" s="1"/>
  <c r="Q872" i="5" a="1"/>
  <c r="R872" i="5" s="1"/>
  <c r="Q867" i="5" a="1"/>
  <c r="R867" i="5" s="1"/>
  <c r="Q864" i="5" a="1"/>
  <c r="R864" i="5" s="1"/>
  <c r="Q861" i="5" a="1"/>
  <c r="R861" i="5" s="1"/>
  <c r="Q859" i="5" a="1"/>
  <c r="R859" i="5" s="1"/>
  <c r="Q856" i="5" a="1"/>
  <c r="R856" i="5" s="1"/>
  <c r="Q853" i="5" a="1"/>
  <c r="R853" i="5" s="1"/>
  <c r="Q847" i="5" a="1"/>
  <c r="R847" i="5" s="1"/>
  <c r="Q842" i="5" a="1"/>
  <c r="R842" i="5" s="1"/>
  <c r="Q1518" i="5" a="1"/>
  <c r="R1518" i="5" s="1"/>
  <c r="Q1476" i="5" a="1"/>
  <c r="R1476" i="5" s="1"/>
  <c r="Q1472" i="5" a="1"/>
  <c r="R1472" i="5" s="1"/>
  <c r="Q1435" i="5" a="1"/>
  <c r="R1435" i="5" s="1"/>
  <c r="Q1420" i="5" a="1"/>
  <c r="R1420" i="5" s="1"/>
  <c r="Q1403" i="5" a="1"/>
  <c r="R1403" i="5" s="1"/>
  <c r="Q1424" i="5" a="1"/>
  <c r="R1424" i="5" s="1"/>
  <c r="Q1366" i="5" a="1"/>
  <c r="R1366" i="5" s="1"/>
  <c r="Q1333" i="5" a="1"/>
  <c r="R1333" i="5" s="1"/>
  <c r="Q1316" i="5" a="1"/>
  <c r="R1316" i="5" s="1"/>
  <c r="Q1409" i="5" a="1"/>
  <c r="R1409" i="5" s="1"/>
  <c r="Q838" i="5" a="1"/>
  <c r="R838" i="5" s="1"/>
  <c r="Q835" i="5" a="1"/>
  <c r="R835" i="5" s="1"/>
  <c r="Q832" i="5" a="1"/>
  <c r="R832" i="5" s="1"/>
  <c r="Q827" i="5" a="1"/>
  <c r="R827" i="5" s="1"/>
  <c r="Q822" i="5" a="1"/>
  <c r="R822" i="5" s="1"/>
  <c r="Q818" i="5" a="1"/>
  <c r="R818" i="5" s="1"/>
  <c r="Q814" i="5" a="1"/>
  <c r="R814" i="5" s="1"/>
  <c r="Q810" i="5" a="1"/>
  <c r="R810" i="5" s="1"/>
  <c r="Q805" i="5" a="1"/>
  <c r="R805" i="5" s="1"/>
  <c r="Q802" i="5" a="1"/>
  <c r="R802" i="5" s="1"/>
  <c r="Q799" i="5" a="1"/>
  <c r="R799" i="5" s="1"/>
  <c r="Q795" i="5" a="1"/>
  <c r="R795" i="5" s="1"/>
  <c r="Q792" i="5" a="1"/>
  <c r="R792" i="5" s="1"/>
  <c r="Q789" i="5" a="1"/>
  <c r="R789" i="5" s="1"/>
  <c r="Q785" i="5" a="1"/>
  <c r="R785" i="5" s="1"/>
  <c r="Q781" i="5" a="1"/>
  <c r="R781" i="5" s="1"/>
  <c r="Q777" i="5" a="1"/>
  <c r="R777" i="5" s="1"/>
  <c r="Q774" i="5" a="1"/>
  <c r="R774" i="5" s="1"/>
  <c r="Q770" i="5" a="1"/>
  <c r="R770" i="5" s="1"/>
  <c r="Q765" i="5" a="1"/>
  <c r="R765" i="5" s="1"/>
  <c r="Q762" i="5" a="1"/>
  <c r="R762" i="5" s="1"/>
  <c r="R760" i="5"/>
  <c r="Q632" i="5" a="1"/>
  <c r="R632" i="5" s="1"/>
  <c r="Q628" i="5" a="1"/>
  <c r="R628" i="5" s="1"/>
  <c r="Q622" i="5" a="1"/>
  <c r="R622" i="5" s="1"/>
  <c r="Q613" i="5" a="1"/>
  <c r="R613" i="5" s="1"/>
  <c r="Q603" i="5" a="1"/>
  <c r="R603" i="5" s="1"/>
  <c r="Q598" i="5" a="1"/>
  <c r="R598" i="5" s="1"/>
  <c r="Q593" i="5" a="1"/>
  <c r="R593" i="5" s="1"/>
  <c r="Q584" i="5" a="1"/>
  <c r="R584" i="5" s="1"/>
  <c r="Q578" i="5" a="1"/>
  <c r="R578" i="5" s="1"/>
  <c r="Q566" i="5" a="1"/>
  <c r="R566" i="5" s="1"/>
  <c r="Q557" i="5" a="1"/>
  <c r="R557" i="5" s="1"/>
  <c r="Q542" i="5" a="1"/>
  <c r="R542" i="5" s="1"/>
  <c r="Q518" i="5" a="1"/>
  <c r="R518" i="5" s="1"/>
  <c r="Q444" i="5" a="1"/>
  <c r="R444" i="5" s="1"/>
  <c r="Q428" i="5" a="1"/>
  <c r="R428" i="5" s="1"/>
  <c r="Q416" i="5" a="1"/>
  <c r="R416" i="5" s="1"/>
  <c r="Q405" i="5" a="1"/>
  <c r="R405" i="5" s="1"/>
  <c r="Q384" i="5" a="1"/>
  <c r="R384" i="5" s="1"/>
  <c r="Q383" i="5" a="1"/>
  <c r="R383" i="5" s="1"/>
  <c r="Q381" i="5" a="1"/>
  <c r="R381" i="5" s="1"/>
  <c r="Q379" i="5" a="1"/>
  <c r="R379" i="5" s="1"/>
  <c r="Q377" i="5" a="1"/>
  <c r="R377" i="5" s="1"/>
  <c r="Q375" i="5" a="1"/>
  <c r="R375" i="5" s="1"/>
  <c r="Q373" i="5" a="1"/>
  <c r="R373" i="5" s="1"/>
  <c r="Q370" i="5" a="1"/>
  <c r="R370" i="5" s="1"/>
  <c r="Q368" i="5" a="1"/>
  <c r="R368" i="5" s="1"/>
  <c r="Q366" i="5" a="1"/>
  <c r="R366" i="5" s="1"/>
  <c r="Q364" i="5" a="1"/>
  <c r="R364" i="5" s="1"/>
  <c r="Q363" i="5" a="1"/>
  <c r="R363" i="5" s="1"/>
  <c r="Q362" i="5" a="1"/>
  <c r="R362" i="5" s="1"/>
  <c r="Q361" i="5" a="1"/>
  <c r="R361" i="5" s="1"/>
  <c r="Q360" i="5" a="1"/>
  <c r="R360" i="5" s="1"/>
  <c r="Q359" i="5" a="1"/>
  <c r="R359" i="5" s="1"/>
  <c r="Q358" i="5" a="1"/>
  <c r="R358" i="5" s="1"/>
  <c r="Q357" i="5" a="1"/>
  <c r="R357" i="5" s="1"/>
  <c r="Q356" i="5" a="1"/>
  <c r="R356" i="5" s="1"/>
  <c r="Q355" i="5" a="1"/>
  <c r="R355" i="5" s="1"/>
  <c r="Q354" i="5" a="1"/>
  <c r="R354" i="5" s="1"/>
  <c r="Q353" i="5" a="1"/>
  <c r="R353" i="5" s="1"/>
  <c r="Q352" i="5" a="1"/>
  <c r="R352" i="5" s="1"/>
  <c r="Q351" i="5" a="1"/>
  <c r="R351" i="5" s="1"/>
  <c r="Q350" i="5" a="1"/>
  <c r="R350" i="5" s="1"/>
  <c r="Q349" i="5" a="1"/>
  <c r="R349" i="5" s="1"/>
  <c r="Q348" i="5" a="1"/>
  <c r="R348" i="5" s="1"/>
  <c r="Q347" i="5" a="1"/>
  <c r="R347" i="5" s="1"/>
  <c r="Q346" i="5" a="1"/>
  <c r="R346" i="5" s="1"/>
  <c r="Q345" i="5" a="1"/>
  <c r="R345" i="5" s="1"/>
  <c r="Q344" i="5" a="1"/>
  <c r="R344" i="5" s="1"/>
  <c r="Q343" i="5" a="1"/>
  <c r="R343" i="5" s="1"/>
  <c r="Q342" i="5" a="1"/>
  <c r="R342" i="5" s="1"/>
  <c r="Q341" i="5" a="1"/>
  <c r="R341" i="5" s="1"/>
  <c r="Q340" i="5" a="1"/>
  <c r="R340" i="5" s="1"/>
  <c r="Q339" i="5" a="1"/>
  <c r="R339" i="5" s="1"/>
  <c r="Q338" i="5" a="1"/>
  <c r="R338" i="5" s="1"/>
  <c r="Q337" i="5" a="1"/>
  <c r="R337" i="5" s="1"/>
  <c r="Q336" i="5" a="1"/>
  <c r="R336" i="5" s="1"/>
  <c r="Q335" i="5" a="1"/>
  <c r="R335" i="5" s="1"/>
  <c r="Q334" i="5" a="1"/>
  <c r="R334" i="5" s="1"/>
  <c r="Q333" i="5" a="1"/>
  <c r="R333" i="5" s="1"/>
  <c r="Q332" i="5" a="1"/>
  <c r="R332" i="5" s="1"/>
  <c r="Q331" i="5" a="1"/>
  <c r="R331" i="5" s="1"/>
  <c r="Q330" i="5" a="1"/>
  <c r="R330" i="5" s="1"/>
  <c r="Q329" i="5" a="1"/>
  <c r="R329" i="5" s="1"/>
  <c r="Q328" i="5" a="1"/>
  <c r="R328" i="5" s="1"/>
  <c r="Q327" i="5" a="1"/>
  <c r="R327" i="5" s="1"/>
  <c r="Q326" i="5" a="1"/>
  <c r="R326" i="5" s="1"/>
  <c r="Q325" i="5" a="1"/>
  <c r="R325" i="5" s="1"/>
  <c r="Q324" i="5" a="1"/>
  <c r="R324" i="5" s="1"/>
  <c r="Q323" i="5" a="1"/>
  <c r="R323" i="5" s="1"/>
  <c r="Q322" i="5" a="1"/>
  <c r="R322" i="5" s="1"/>
  <c r="Q321" i="5" a="1"/>
  <c r="R321" i="5" s="1"/>
  <c r="Q320" i="5" a="1"/>
  <c r="R320" i="5" s="1"/>
  <c r="Q319" i="5" a="1"/>
  <c r="R319" i="5" s="1"/>
  <c r="Q318" i="5" a="1"/>
  <c r="R318" i="5" s="1"/>
  <c r="Q317" i="5" a="1"/>
  <c r="R317" i="5" s="1"/>
  <c r="Q316" i="5" a="1"/>
  <c r="R316" i="5" s="1"/>
  <c r="Q315" i="5" a="1"/>
  <c r="R315" i="5" s="1"/>
  <c r="Q314" i="5" a="1"/>
  <c r="R314" i="5" s="1"/>
  <c r="Q313" i="5" a="1"/>
  <c r="R313" i="5" s="1"/>
  <c r="Q312" i="5" a="1"/>
  <c r="R312" i="5" s="1"/>
  <c r="Q311" i="5" a="1"/>
  <c r="R311" i="5" s="1"/>
  <c r="Q310" i="5" a="1"/>
  <c r="R310" i="5" s="1"/>
  <c r="Q309" i="5" a="1"/>
  <c r="R309" i="5" s="1"/>
  <c r="Q308" i="5" a="1"/>
  <c r="R308" i="5" s="1"/>
  <c r="Q307" i="5" a="1"/>
  <c r="R307" i="5" s="1"/>
  <c r="Q306" i="5" a="1"/>
  <c r="R306" i="5" s="1"/>
  <c r="Q305" i="5" a="1"/>
  <c r="R305" i="5" s="1"/>
  <c r="Q304" i="5" a="1"/>
  <c r="R304" i="5" s="1"/>
  <c r="Q303" i="5" a="1"/>
  <c r="R303" i="5" s="1"/>
  <c r="Q302" i="5" a="1"/>
  <c r="R302" i="5" s="1"/>
  <c r="Q301" i="5" a="1"/>
  <c r="R301" i="5" s="1"/>
  <c r="Q300" i="5" a="1"/>
  <c r="R300" i="5" s="1"/>
  <c r="Q299" i="5" a="1"/>
  <c r="R299" i="5" s="1"/>
  <c r="Q298" i="5" a="1"/>
  <c r="R298" i="5" s="1"/>
  <c r="Q297" i="5" a="1"/>
  <c r="R297" i="5" s="1"/>
  <c r="Q296" i="5" a="1"/>
  <c r="R296" i="5" s="1"/>
  <c r="Q295" i="5" a="1"/>
  <c r="R295" i="5" s="1"/>
  <c r="Q294" i="5" a="1"/>
  <c r="R294" i="5" s="1"/>
  <c r="Q293" i="5" a="1"/>
  <c r="R293" i="5" s="1"/>
  <c r="Q292" i="5" a="1"/>
  <c r="R292" i="5" s="1"/>
  <c r="Q291" i="5" a="1"/>
  <c r="R291" i="5" s="1"/>
  <c r="Q290" i="5" a="1"/>
  <c r="R290" i="5" s="1"/>
  <c r="Q289" i="5" a="1"/>
  <c r="R289" i="5" s="1"/>
  <c r="Q288" i="5" a="1"/>
  <c r="R288" i="5" s="1"/>
  <c r="Q287" i="5" a="1"/>
  <c r="R287" i="5" s="1"/>
  <c r="Q286" i="5" a="1"/>
  <c r="R286" i="5" s="1"/>
  <c r="Q285" i="5" a="1"/>
  <c r="R285" i="5" s="1"/>
  <c r="Q284" i="5" a="1"/>
  <c r="R284" i="5" s="1"/>
  <c r="Q283" i="5" a="1"/>
  <c r="R283" i="5" s="1"/>
  <c r="Q282" i="5" a="1"/>
  <c r="R282" i="5" s="1"/>
  <c r="Q281" i="5" a="1"/>
  <c r="R281" i="5" s="1"/>
  <c r="Q280" i="5" a="1"/>
  <c r="R280" i="5" s="1"/>
  <c r="Q59" i="5" a="1"/>
  <c r="R59" i="5" s="1"/>
  <c r="Q55" i="5" a="1"/>
  <c r="R55" i="5" s="1"/>
  <c r="Q54" i="5" a="1"/>
  <c r="R54" i="5" s="1"/>
  <c r="Q53" i="5" a="1"/>
  <c r="R53" i="5" s="1"/>
  <c r="Q50" i="5" a="1"/>
  <c r="R50" i="5" s="1"/>
  <c r="Q49" i="5" a="1"/>
  <c r="R49" i="5" s="1"/>
  <c r="Q48" i="5" a="1"/>
  <c r="R48" i="5" s="1"/>
  <c r="Q45" i="5" a="1"/>
  <c r="R45" i="5" s="1"/>
  <c r="Q41" i="5" a="1"/>
  <c r="R41" i="5" s="1"/>
  <c r="Q40" i="5" a="1"/>
  <c r="R40" i="5" s="1"/>
  <c r="Q36" i="5" a="1"/>
  <c r="R36" i="5" s="1"/>
  <c r="Q33" i="5" a="1"/>
  <c r="R33" i="5" s="1"/>
  <c r="Q30" i="5" a="1"/>
  <c r="R30" i="5" s="1"/>
  <c r="Q27" i="5" a="1"/>
  <c r="R27" i="5" s="1"/>
  <c r="Q24" i="5" a="1"/>
  <c r="R24" i="5" s="1"/>
  <c r="Q21" i="5" a="1"/>
  <c r="R21" i="5" s="1"/>
  <c r="Q18" i="5" a="1"/>
  <c r="R18" i="5" s="1"/>
  <c r="Q14" i="5" a="1"/>
  <c r="R14" i="5" s="1"/>
  <c r="Q11" i="5" a="1"/>
  <c r="R11" i="5" s="1"/>
  <c r="Q6" i="5" a="1"/>
  <c r="R6" i="5" s="1"/>
  <c r="Q4" i="5" a="1"/>
  <c r="R4" i="5" s="1"/>
  <c r="Q279" i="5" a="1"/>
  <c r="R279" i="5" s="1"/>
  <c r="Q278" i="5" a="1"/>
  <c r="R278" i="5" s="1"/>
  <c r="Q277" i="5" a="1"/>
  <c r="R277" i="5" s="1"/>
  <c r="Q276" i="5" a="1"/>
  <c r="R276" i="5" s="1"/>
  <c r="Q275" i="5" a="1"/>
  <c r="R275" i="5" s="1"/>
  <c r="Q274" i="5" a="1"/>
  <c r="R274" i="5" s="1"/>
  <c r="Q273" i="5" a="1"/>
  <c r="R273" i="5" s="1"/>
  <c r="Q272" i="5" a="1"/>
  <c r="R272" i="5" s="1"/>
  <c r="Q271" i="5" a="1"/>
  <c r="R271" i="5" s="1"/>
  <c r="Q270" i="5" a="1"/>
  <c r="R270" i="5" s="1"/>
  <c r="Q269" i="5" a="1"/>
  <c r="R269" i="5" s="1"/>
  <c r="Q268" i="5" a="1"/>
  <c r="R268" i="5" s="1"/>
  <c r="Q267" i="5" a="1"/>
  <c r="R267" i="5" s="1"/>
  <c r="Q266" i="5" a="1"/>
  <c r="R266" i="5" s="1"/>
  <c r="Q265" i="5" a="1"/>
  <c r="R265" i="5" s="1"/>
  <c r="Q264" i="5" a="1"/>
  <c r="R264" i="5" s="1"/>
  <c r="Q263" i="5" a="1"/>
  <c r="R263" i="5" s="1"/>
  <c r="Q262" i="5" a="1"/>
  <c r="R262" i="5" s="1"/>
  <c r="Q261" i="5" a="1"/>
  <c r="R261" i="5" s="1"/>
  <c r="Q260" i="5" a="1"/>
  <c r="R260" i="5" s="1"/>
  <c r="Q259" i="5" a="1"/>
  <c r="R259" i="5" s="1"/>
  <c r="Q258" i="5" a="1"/>
  <c r="R258" i="5" s="1"/>
  <c r="Q257" i="5" a="1"/>
  <c r="R257" i="5" s="1"/>
  <c r="Q256" i="5" a="1"/>
  <c r="R256" i="5" s="1"/>
  <c r="Q255" i="5" a="1"/>
  <c r="R255" i="5" s="1"/>
  <c r="Q254" i="5" a="1"/>
  <c r="R254" i="5" s="1"/>
  <c r="Q253" i="5" a="1"/>
  <c r="R253" i="5" s="1"/>
  <c r="Q252" i="5" a="1"/>
  <c r="R252" i="5" s="1"/>
  <c r="Q251" i="5" a="1"/>
  <c r="R251" i="5" s="1"/>
  <c r="Q250" i="5" a="1"/>
  <c r="R250" i="5" s="1"/>
  <c r="Q249" i="5" a="1"/>
  <c r="R249" i="5" s="1"/>
  <c r="Q248" i="5" a="1"/>
  <c r="R248" i="5" s="1"/>
  <c r="Q247" i="5" a="1"/>
  <c r="R247" i="5" s="1"/>
  <c r="Q246" i="5" a="1"/>
  <c r="R246" i="5" s="1"/>
  <c r="Q245" i="5" a="1"/>
  <c r="R245" i="5" s="1"/>
  <c r="Q244" i="5" a="1"/>
  <c r="R244" i="5" s="1"/>
  <c r="Q243" i="5" a="1"/>
  <c r="R243" i="5" s="1"/>
  <c r="Q242" i="5" a="1"/>
  <c r="R242" i="5" s="1"/>
  <c r="Q241" i="5" a="1"/>
  <c r="R241" i="5" s="1"/>
  <c r="Q240" i="5" a="1"/>
  <c r="R240" i="5" s="1"/>
  <c r="Q239" i="5" a="1"/>
  <c r="R239" i="5" s="1"/>
  <c r="Q238" i="5" a="1"/>
  <c r="R238" i="5" s="1"/>
  <c r="Q237" i="5" a="1"/>
  <c r="R237" i="5" s="1"/>
  <c r="Q236" i="5" a="1"/>
  <c r="R236" i="5" s="1"/>
  <c r="Q235" i="5" a="1"/>
  <c r="R235" i="5" s="1"/>
  <c r="Q234" i="5" a="1"/>
  <c r="R234" i="5" s="1"/>
  <c r="Q233" i="5" a="1"/>
  <c r="R233" i="5" s="1"/>
  <c r="Q232" i="5" a="1"/>
  <c r="R232" i="5" s="1"/>
  <c r="Q231" i="5" a="1"/>
  <c r="R231" i="5" s="1"/>
  <c r="Q230" i="5" a="1"/>
  <c r="R230" i="5" s="1"/>
  <c r="Q229" i="5" a="1"/>
  <c r="R229" i="5" s="1"/>
  <c r="Q228" i="5" a="1"/>
  <c r="R228" i="5" s="1"/>
  <c r="Q227" i="5" a="1"/>
  <c r="R227" i="5" s="1"/>
  <c r="Q226" i="5" a="1"/>
  <c r="R226" i="5" s="1"/>
  <c r="Q225" i="5" a="1"/>
  <c r="R225" i="5" s="1"/>
  <c r="Q224" i="5" a="1"/>
  <c r="R224" i="5" s="1"/>
  <c r="Q223" i="5" a="1"/>
  <c r="R223" i="5" s="1"/>
  <c r="Q222" i="5" a="1"/>
  <c r="R222" i="5" s="1"/>
  <c r="Q221" i="5" a="1"/>
  <c r="R221" i="5" s="1"/>
  <c r="Q220" i="5" a="1"/>
  <c r="R220" i="5" s="1"/>
  <c r="Q219" i="5" a="1"/>
  <c r="R219" i="5" s="1"/>
  <c r="Q218" i="5" a="1"/>
  <c r="R218" i="5" s="1"/>
  <c r="Q217" i="5" a="1"/>
  <c r="R217" i="5" s="1"/>
  <c r="Q216" i="5" a="1"/>
  <c r="R216" i="5" s="1"/>
  <c r="Q215" i="5" a="1"/>
  <c r="R215" i="5" s="1"/>
  <c r="Q214" i="5" a="1"/>
  <c r="R214" i="5" s="1"/>
  <c r="Q213" i="5" a="1"/>
  <c r="R213" i="5" s="1"/>
  <c r="Q212" i="5" a="1"/>
  <c r="R212" i="5" s="1"/>
  <c r="Q211" i="5" a="1"/>
  <c r="R211" i="5" s="1"/>
  <c r="Q210" i="5" a="1"/>
  <c r="R210" i="5" s="1"/>
  <c r="Q209" i="5" a="1"/>
  <c r="R209" i="5" s="1"/>
  <c r="Q208" i="5" a="1"/>
  <c r="R208" i="5" s="1"/>
  <c r="Q207" i="5" a="1"/>
  <c r="R207" i="5" s="1"/>
  <c r="Q206" i="5" a="1"/>
  <c r="R206" i="5" s="1"/>
  <c r="Q205" i="5" a="1"/>
  <c r="R205" i="5" s="1"/>
  <c r="Q204" i="5" a="1"/>
  <c r="R204" i="5" s="1"/>
  <c r="Q203" i="5" a="1"/>
  <c r="R203" i="5" s="1"/>
  <c r="Q202" i="5" a="1"/>
  <c r="R202" i="5" s="1"/>
  <c r="Q201" i="5" a="1"/>
  <c r="R201" i="5" s="1"/>
  <c r="Q200" i="5" a="1"/>
  <c r="R200" i="5" s="1"/>
  <c r="Q199" i="5" a="1"/>
  <c r="R199" i="5" s="1"/>
  <c r="Q198" i="5" a="1"/>
  <c r="R198" i="5" s="1"/>
  <c r="Q197" i="5" a="1"/>
  <c r="R197" i="5" s="1"/>
  <c r="Q196" i="5" a="1"/>
  <c r="R196" i="5" s="1"/>
  <c r="Q195" i="5" a="1"/>
  <c r="R195" i="5" s="1"/>
  <c r="Q194" i="5" a="1"/>
  <c r="R194" i="5" s="1"/>
  <c r="Q193" i="5" a="1"/>
  <c r="R193" i="5" s="1"/>
  <c r="Q192" i="5" a="1"/>
  <c r="R192" i="5" s="1"/>
  <c r="Q191" i="5" a="1"/>
  <c r="R191" i="5" s="1"/>
  <c r="Q190" i="5" a="1"/>
  <c r="R190" i="5" s="1"/>
  <c r="Q189" i="5" a="1"/>
  <c r="R189" i="5" s="1"/>
  <c r="Q188" i="5" a="1"/>
  <c r="R188" i="5" s="1"/>
  <c r="Q187" i="5" a="1"/>
  <c r="R187" i="5" s="1"/>
  <c r="Q186" i="5" a="1"/>
  <c r="R186" i="5" s="1"/>
  <c r="Q185" i="5" a="1"/>
  <c r="R185" i="5" s="1"/>
  <c r="Q184" i="5" a="1"/>
  <c r="R184" i="5" s="1"/>
  <c r="Q183" i="5" a="1"/>
  <c r="R183" i="5" s="1"/>
  <c r="Q182" i="5" a="1"/>
  <c r="R182" i="5" s="1"/>
  <c r="Q181" i="5" a="1"/>
  <c r="R181" i="5" s="1"/>
  <c r="Q180" i="5" a="1"/>
  <c r="R180" i="5" s="1"/>
  <c r="Q179" i="5" a="1"/>
  <c r="R179" i="5" s="1"/>
  <c r="Q178" i="5" a="1"/>
  <c r="R178" i="5" s="1"/>
  <c r="Q177" i="5" a="1"/>
  <c r="R177" i="5" s="1"/>
  <c r="Q176" i="5" a="1"/>
  <c r="R176" i="5" s="1"/>
  <c r="Q175" i="5" a="1"/>
  <c r="R175" i="5" s="1"/>
  <c r="Q174" i="5" a="1"/>
  <c r="R174" i="5" s="1"/>
  <c r="Q173" i="5" a="1"/>
  <c r="R173" i="5" s="1"/>
  <c r="Q172" i="5" a="1"/>
  <c r="R172" i="5" s="1"/>
  <c r="Q171" i="5" a="1"/>
  <c r="R171" i="5" s="1"/>
  <c r="Q170" i="5" a="1"/>
  <c r="R170" i="5" s="1"/>
  <c r="Q169" i="5" a="1"/>
  <c r="R169" i="5" s="1"/>
  <c r="Q168" i="5" a="1"/>
  <c r="R168" i="5" s="1"/>
  <c r="Q167" i="5" a="1"/>
  <c r="R167" i="5" s="1"/>
  <c r="Q166" i="5" a="1"/>
  <c r="R166" i="5" s="1"/>
  <c r="Q165" i="5" a="1"/>
  <c r="R165" i="5" s="1"/>
  <c r="Q164" i="5" a="1"/>
  <c r="R164" i="5" s="1"/>
  <c r="Q163" i="5" a="1"/>
  <c r="R163" i="5" s="1"/>
  <c r="Q162" i="5" a="1"/>
  <c r="R162" i="5" s="1"/>
  <c r="Q161" i="5" a="1"/>
  <c r="R161" i="5" s="1"/>
  <c r="Q160" i="5" a="1"/>
  <c r="R160" i="5" s="1"/>
  <c r="Q159" i="5" a="1"/>
  <c r="R159" i="5" s="1"/>
  <c r="Q158" i="5" a="1"/>
  <c r="R158" i="5" s="1"/>
  <c r="Q157" i="5" a="1"/>
  <c r="R157" i="5" s="1"/>
  <c r="Q156" i="5" a="1"/>
  <c r="R156" i="5" s="1"/>
  <c r="Q155" i="5" a="1"/>
  <c r="R155" i="5" s="1"/>
  <c r="Q154" i="5" a="1"/>
  <c r="R154" i="5" s="1"/>
  <c r="Q153" i="5" a="1"/>
  <c r="R153" i="5" s="1"/>
  <c r="Q152" i="5" a="1"/>
  <c r="R152" i="5" s="1"/>
  <c r="Q151" i="5" a="1"/>
  <c r="R151" i="5" s="1"/>
  <c r="Q150" i="5" a="1"/>
  <c r="R150" i="5" s="1"/>
  <c r="Q149" i="5" a="1"/>
  <c r="R149" i="5" s="1"/>
  <c r="Q148" i="5" a="1"/>
  <c r="R148" i="5" s="1"/>
  <c r="Q147" i="5" a="1"/>
  <c r="R147" i="5" s="1"/>
  <c r="Q146" i="5" a="1"/>
  <c r="R146" i="5" s="1"/>
  <c r="Q145" i="5" a="1"/>
  <c r="R145" i="5" s="1"/>
  <c r="Q144" i="5" a="1"/>
  <c r="R144" i="5" s="1"/>
  <c r="Q143" i="5" a="1"/>
  <c r="R143" i="5" s="1"/>
  <c r="Q142" i="5" a="1"/>
  <c r="R142" i="5" s="1"/>
  <c r="Q141" i="5" a="1"/>
  <c r="R141" i="5" s="1"/>
  <c r="Q140" i="5" a="1"/>
  <c r="R140" i="5" s="1"/>
  <c r="Q139" i="5" a="1"/>
  <c r="R139" i="5" s="1"/>
  <c r="Q138" i="5" a="1"/>
  <c r="R138" i="5" s="1"/>
  <c r="Q137" i="5" a="1"/>
  <c r="R137" i="5" s="1"/>
  <c r="Q136" i="5" a="1"/>
  <c r="R136" i="5" s="1"/>
  <c r="Q135" i="5" a="1"/>
  <c r="R135" i="5" s="1"/>
  <c r="Q134" i="5" a="1"/>
  <c r="R134" i="5" s="1"/>
  <c r="Q133" i="5" a="1"/>
  <c r="R133" i="5" s="1"/>
  <c r="Q132" i="5" a="1"/>
  <c r="R132" i="5" s="1"/>
  <c r="Q131" i="5" a="1"/>
  <c r="R131" i="5" s="1"/>
  <c r="Q130" i="5" a="1"/>
  <c r="R130" i="5" s="1"/>
  <c r="Q129" i="5" a="1"/>
  <c r="R129" i="5" s="1"/>
  <c r="Q128" i="5" a="1"/>
  <c r="R128" i="5" s="1"/>
  <c r="Q127" i="5" a="1"/>
  <c r="R127" i="5" s="1"/>
  <c r="Q126" i="5" a="1"/>
  <c r="R126" i="5" s="1"/>
  <c r="Q125" i="5" a="1"/>
  <c r="R125" i="5" s="1"/>
  <c r="Q124" i="5" a="1"/>
  <c r="R124" i="5" s="1"/>
  <c r="Q123" i="5" a="1"/>
  <c r="R123" i="5" s="1"/>
  <c r="Q122" i="5" a="1"/>
  <c r="R122" i="5" s="1"/>
  <c r="Q121" i="5" a="1"/>
  <c r="R121" i="5" s="1"/>
  <c r="Q120" i="5" a="1"/>
  <c r="R120" i="5" s="1"/>
  <c r="Q119" i="5" a="1"/>
  <c r="R119" i="5" s="1"/>
  <c r="Q118" i="5" a="1"/>
  <c r="R118" i="5" s="1"/>
  <c r="Q117" i="5" a="1"/>
  <c r="R117" i="5" s="1"/>
  <c r="Q116" i="5" a="1"/>
  <c r="R116" i="5" s="1"/>
  <c r="Q115" i="5" a="1"/>
  <c r="R115" i="5" s="1"/>
  <c r="Q114" i="5" a="1"/>
  <c r="R114" i="5" s="1"/>
  <c r="Q113" i="5" a="1"/>
  <c r="R113" i="5" s="1"/>
  <c r="Q112" i="5" a="1"/>
  <c r="R112" i="5" s="1"/>
  <c r="Q111" i="5" a="1"/>
  <c r="R111" i="5" s="1"/>
  <c r="Q110" i="5" a="1"/>
  <c r="R110" i="5" s="1"/>
  <c r="Q109" i="5" a="1"/>
  <c r="R109" i="5" s="1"/>
  <c r="Q108" i="5" a="1"/>
  <c r="R108" i="5" s="1"/>
  <c r="Q107" i="5" a="1"/>
  <c r="R107" i="5" s="1"/>
  <c r="Q106" i="5" a="1"/>
  <c r="R106" i="5" s="1"/>
  <c r="Q105" i="5" a="1"/>
  <c r="R105" i="5" s="1"/>
  <c r="Q104" i="5" a="1"/>
  <c r="R104" i="5" s="1"/>
  <c r="Q103" i="5" a="1"/>
  <c r="R103" i="5" s="1"/>
  <c r="Q102" i="5" a="1"/>
  <c r="R102" i="5" s="1"/>
  <c r="Q101" i="5" a="1"/>
  <c r="R101" i="5" s="1"/>
  <c r="Q100" i="5" a="1"/>
  <c r="R100" i="5" s="1"/>
  <c r="Q99" i="5" a="1"/>
  <c r="R99" i="5" s="1"/>
  <c r="Q98" i="5" a="1"/>
  <c r="R98" i="5" s="1"/>
  <c r="Q97" i="5" a="1"/>
  <c r="R97" i="5" s="1"/>
  <c r="Q96" i="5" a="1"/>
  <c r="R96" i="5" s="1"/>
  <c r="Q95" i="5" a="1"/>
  <c r="R95" i="5" s="1"/>
  <c r="Q94" i="5" a="1"/>
  <c r="R94" i="5" s="1"/>
  <c r="Q93" i="5" a="1"/>
  <c r="R93" i="5" s="1"/>
  <c r="Q92" i="5" a="1"/>
  <c r="R92" i="5" s="1"/>
  <c r="Q91" i="5" a="1"/>
  <c r="R91" i="5" s="1"/>
  <c r="Q90" i="5" a="1"/>
  <c r="R90" i="5" s="1"/>
  <c r="Q89" i="5" a="1"/>
  <c r="R89" i="5" s="1"/>
  <c r="Q88" i="5" a="1"/>
  <c r="R88" i="5" s="1"/>
  <c r="Q87" i="5" a="1"/>
  <c r="R87" i="5" s="1"/>
  <c r="Q86" i="5" a="1"/>
  <c r="R86" i="5" s="1"/>
  <c r="Q85" i="5" a="1"/>
  <c r="R85" i="5" s="1"/>
  <c r="Q84" i="5" a="1"/>
  <c r="R84" i="5" s="1"/>
  <c r="Q83" i="5" a="1"/>
  <c r="R83" i="5" s="1"/>
  <c r="Q82" i="5" a="1"/>
  <c r="R82" i="5" s="1"/>
  <c r="Q81" i="5" a="1"/>
  <c r="R81" i="5" s="1"/>
  <c r="Q80" i="5" a="1"/>
  <c r="R80" i="5" s="1"/>
  <c r="Q79" i="5" a="1"/>
  <c r="R79" i="5" s="1"/>
  <c r="Q78" i="5" a="1"/>
  <c r="R78" i="5" s="1"/>
  <c r="Q77" i="5" a="1"/>
  <c r="R77" i="5" s="1"/>
  <c r="Q76" i="5" a="1"/>
  <c r="R76" i="5" s="1"/>
  <c r="Q75" i="5" a="1"/>
  <c r="R75" i="5" s="1"/>
  <c r="Q74" i="5" a="1"/>
  <c r="R74" i="5" s="1"/>
  <c r="Q73" i="5" a="1"/>
  <c r="R73" i="5" s="1"/>
  <c r="Q72" i="5" a="1"/>
  <c r="R72" i="5" s="1"/>
  <c r="Q71" i="5" a="1"/>
  <c r="R71" i="5" s="1"/>
  <c r="Q70" i="5" a="1"/>
  <c r="R70" i="5" s="1"/>
  <c r="Q69" i="5" a="1"/>
  <c r="R69" i="5" s="1"/>
  <c r="Q68" i="5" a="1"/>
  <c r="R68" i="5" s="1"/>
  <c r="Q67" i="5" a="1"/>
  <c r="R67" i="5" s="1"/>
  <c r="Q66" i="5" a="1"/>
  <c r="R66" i="5" s="1"/>
  <c r="Q65" i="5" a="1"/>
  <c r="R65" i="5" s="1"/>
  <c r="Q64" i="5" a="1"/>
  <c r="R64" i="5" s="1"/>
  <c r="Q63" i="5" a="1"/>
  <c r="R63" i="5" s="1"/>
  <c r="Q62" i="5" a="1"/>
  <c r="R62" i="5" s="1"/>
  <c r="Q61" i="5" a="1"/>
  <c r="R61" i="5" s="1"/>
  <c r="Q60" i="5" a="1"/>
  <c r="R60" i="5" s="1"/>
  <c r="Q52" i="5" a="1"/>
  <c r="R52" i="5" s="1"/>
  <c r="Q47" i="5" a="1"/>
  <c r="R47" i="5" s="1"/>
  <c r="Q44" i="5" a="1"/>
  <c r="R44" i="5" s="1"/>
  <c r="Q39" i="5" a="1"/>
  <c r="R39" i="5" s="1"/>
  <c r="Q38" i="5" a="1"/>
  <c r="R38" i="5" s="1"/>
  <c r="Q37" i="5" a="1"/>
  <c r="R37" i="5" s="1"/>
  <c r="Q31" i="5" a="1"/>
  <c r="R31" i="5" s="1"/>
  <c r="Q26" i="5" a="1"/>
  <c r="R26" i="5" s="1"/>
  <c r="Q22" i="5" a="1"/>
  <c r="R22" i="5" s="1"/>
  <c r="Q17" i="5" a="1"/>
  <c r="R17" i="5" s="1"/>
  <c r="Q15" i="5" a="1"/>
  <c r="R15" i="5" s="1"/>
  <c r="Q12" i="5" a="1"/>
  <c r="R12" i="5" s="1"/>
  <c r="Q9" i="5" a="1"/>
  <c r="R9" i="5" s="1"/>
  <c r="Q8" i="5" a="1"/>
  <c r="R8" i="5" s="1"/>
  <c r="Q5" i="5" a="1"/>
  <c r="R5" i="5" s="1"/>
  <c r="Q2" i="5" a="1"/>
  <c r="Q1566" i="5" a="1"/>
  <c r="R1566" i="5" s="1"/>
  <c r="Q1565" i="5" a="1"/>
  <c r="R1565" i="5" s="1"/>
  <c r="Q1557" i="5" a="1"/>
  <c r="R1557" i="5" s="1"/>
  <c r="Q1542" i="5" a="1"/>
  <c r="R1542" i="5" s="1"/>
  <c r="Q1533" i="5" a="1"/>
  <c r="R1533" i="5" s="1"/>
  <c r="Q1532" i="5" a="1"/>
  <c r="R1532" i="5" s="1"/>
  <c r="Q1525" i="5" a="1"/>
  <c r="R1525" i="5" s="1"/>
  <c r="Q1510" i="5" a="1"/>
  <c r="R1510" i="5" s="1"/>
  <c r="Q1509" i="5" a="1"/>
  <c r="R1509" i="5" s="1"/>
  <c r="Q1506" i="5" a="1"/>
  <c r="R1506" i="5" s="1"/>
  <c r="Q1505" i="5" a="1"/>
  <c r="R1505" i="5" s="1"/>
  <c r="Q1504" i="5" a="1"/>
  <c r="R1504" i="5" s="1"/>
  <c r="Q1503" i="5" a="1"/>
  <c r="R1503" i="5" s="1"/>
  <c r="Q1497" i="5" a="1"/>
  <c r="R1497" i="5" s="1"/>
  <c r="Q1496" i="5" a="1"/>
  <c r="R1496" i="5" s="1"/>
  <c r="Q1481" i="5" a="1"/>
  <c r="R1481" i="5" s="1"/>
  <c r="Q1473" i="5" a="1"/>
  <c r="R1473" i="5" s="1"/>
  <c r="Q1465" i="5" a="1"/>
  <c r="R1465" i="5" s="1"/>
  <c r="Q1463" i="5" a="1"/>
  <c r="R1463" i="5" s="1"/>
  <c r="Q1442" i="5" a="1"/>
  <c r="R1442" i="5" s="1"/>
  <c r="Q1426" i="5" a="1"/>
  <c r="R1426" i="5" s="1"/>
  <c r="Q1401" i="5" a="1"/>
  <c r="R1401" i="5" s="1"/>
  <c r="Q1400" i="5" a="1"/>
  <c r="R1400" i="5" s="1"/>
  <c r="Q1385" i="5" a="1"/>
  <c r="R1385" i="5" s="1"/>
  <c r="Q1377" i="5" a="1"/>
  <c r="R1377" i="5" s="1"/>
  <c r="Q1110" i="5" a="1"/>
  <c r="R1110" i="5" s="1"/>
  <c r="Q1103" i="5" a="1"/>
  <c r="R1103" i="5" s="1"/>
  <c r="Q1090" i="5" a="1"/>
  <c r="R1090" i="5" s="1"/>
  <c r="Q1085" i="5" a="1"/>
  <c r="R1085" i="5" s="1"/>
  <c r="Q1084" i="5" a="1"/>
  <c r="R1084" i="5" s="1"/>
  <c r="Q1083" i="5" a="1"/>
  <c r="R1083" i="5" s="1"/>
  <c r="Q1062" i="5" a="1"/>
  <c r="R1062" i="5" s="1"/>
  <c r="Q1052" i="5" a="1"/>
  <c r="R1052" i="5" s="1"/>
  <c r="Q1043" i="5" a="1"/>
  <c r="R1043" i="5" s="1"/>
  <c r="Q1039" i="5" a="1"/>
  <c r="R1039" i="5" s="1"/>
  <c r="Q1038" i="5" a="1"/>
  <c r="R1038" i="5" s="1"/>
  <c r="Q1037" i="5" a="1"/>
  <c r="R1037" i="5" s="1"/>
  <c r="Q1024" i="5" a="1"/>
  <c r="R1024" i="5" s="1"/>
  <c r="Q1023" i="5" a="1"/>
  <c r="R1023" i="5" s="1"/>
  <c r="Q1022" i="5" a="1"/>
  <c r="R1022" i="5" s="1"/>
  <c r="Q1018" i="5" a="1"/>
  <c r="R1018" i="5" s="1"/>
  <c r="Q1017" i="5" a="1"/>
  <c r="R1017" i="5" s="1"/>
  <c r="Q1013" i="5" a="1"/>
  <c r="R1013" i="5" s="1"/>
  <c r="Q1009" i="5" a="1"/>
  <c r="R1009" i="5" s="1"/>
  <c r="Q1004" i="5" a="1"/>
  <c r="R1004" i="5" s="1"/>
  <c r="Q1003" i="5" a="1"/>
  <c r="R1003" i="5" s="1"/>
  <c r="Q1000" i="5" a="1"/>
  <c r="R1000" i="5" s="1"/>
  <c r="Q999" i="5" a="1"/>
  <c r="R999" i="5" s="1"/>
  <c r="Q998" i="5" a="1"/>
  <c r="R998" i="5" s="1"/>
  <c r="Q997" i="5" a="1"/>
  <c r="R997" i="5" s="1"/>
  <c r="Q993" i="5" a="1"/>
  <c r="R993" i="5" s="1"/>
  <c r="Q990" i="5" a="1"/>
  <c r="R990" i="5" s="1"/>
  <c r="Q981" i="5" a="1"/>
  <c r="R981" i="5" s="1"/>
  <c r="Q977" i="5" a="1"/>
  <c r="R977" i="5" s="1"/>
  <c r="Q972" i="5" a="1"/>
  <c r="R972" i="5" s="1"/>
  <c r="Q970" i="5" a="1"/>
  <c r="R970" i="5" s="1"/>
  <c r="Q966" i="5" a="1"/>
  <c r="R966" i="5" s="1"/>
  <c r="Q962" i="5" a="1"/>
  <c r="R962" i="5" s="1"/>
  <c r="Q961" i="5" a="1"/>
  <c r="R961" i="5" s="1"/>
  <c r="Q957" i="5" a="1"/>
  <c r="R957" i="5" s="1"/>
  <c r="Q940" i="5" a="1"/>
  <c r="R940" i="5" s="1"/>
  <c r="Q935" i="5" a="1"/>
  <c r="R935" i="5" s="1"/>
  <c r="Q934" i="5" a="1"/>
  <c r="R934" i="5" s="1"/>
  <c r="Q745" i="5" a="1"/>
  <c r="R745" i="5" s="1"/>
  <c r="Q744" i="5" a="1"/>
  <c r="R744" i="5" s="1"/>
  <c r="Q740" i="5" a="1"/>
  <c r="R740" i="5" s="1"/>
  <c r="Q739" i="5" a="1"/>
  <c r="R739" i="5" s="1"/>
  <c r="Q738" i="5" a="1"/>
  <c r="R738" i="5" s="1"/>
  <c r="Q735" i="5" a="1"/>
  <c r="R735" i="5" s="1"/>
  <c r="Q720" i="5" a="1"/>
  <c r="R720" i="5" s="1"/>
  <c r="Q718" i="5" a="1"/>
  <c r="R718" i="5" s="1"/>
  <c r="Q715" i="5" a="1"/>
  <c r="R715" i="5" s="1"/>
  <c r="Q714" i="5" a="1"/>
  <c r="R714" i="5" s="1"/>
  <c r="Q710" i="5" a="1"/>
  <c r="R710" i="5" s="1"/>
  <c r="Q704" i="5" a="1"/>
  <c r="R704" i="5" s="1"/>
  <c r="Q696" i="5" a="1"/>
  <c r="R696" i="5" s="1"/>
  <c r="Q685" i="5" a="1"/>
  <c r="R685" i="5" s="1"/>
  <c r="Q681" i="5" a="1"/>
  <c r="R681" i="5" s="1"/>
  <c r="Q678" i="5" a="1"/>
  <c r="R678" i="5" s="1"/>
  <c r="Q675" i="5" a="1"/>
  <c r="R675" i="5" s="1"/>
  <c r="Q672" i="5" a="1"/>
  <c r="R672" i="5" s="1"/>
  <c r="Q671" i="5" a="1"/>
  <c r="R671" i="5" s="1"/>
  <c r="Q668" i="5" a="1"/>
  <c r="R668" i="5" s="1"/>
  <c r="Q1555" i="5" a="1"/>
  <c r="R1555" i="5" s="1"/>
  <c r="Q1552" i="5" a="1"/>
  <c r="R1552" i="5" s="1"/>
  <c r="Q1545" i="5" a="1"/>
  <c r="R1545" i="5" s="1"/>
  <c r="Q1502" i="5" a="1"/>
  <c r="R1502" i="5" s="1"/>
  <c r="Q1494" i="5" a="1"/>
  <c r="R1494" i="5" s="1"/>
  <c r="Q1487" i="5" a="1"/>
  <c r="R1487" i="5" s="1"/>
  <c r="Q1471" i="5" a="1"/>
  <c r="R1471" i="5" s="1"/>
  <c r="Q1467" i="5" a="1"/>
  <c r="R1467" i="5" s="1"/>
  <c r="Q1466" i="5" a="1"/>
  <c r="R1466" i="5" s="1"/>
  <c r="Q1462" i="5" a="1"/>
  <c r="R1462" i="5" s="1"/>
  <c r="Q1461" i="5" a="1"/>
  <c r="R1461" i="5" s="1"/>
  <c r="Q1453" i="5" a="1"/>
  <c r="R1453" i="5" s="1"/>
  <c r="Q1445" i="5" a="1"/>
  <c r="R1445" i="5" s="1"/>
  <c r="Q1440" i="5" a="1"/>
  <c r="R1440" i="5" s="1"/>
  <c r="Q1436" i="5" a="1"/>
  <c r="R1436" i="5" s="1"/>
  <c r="Q1431" i="5" a="1"/>
  <c r="R1431" i="5" s="1"/>
  <c r="Q1427" i="5" a="1"/>
  <c r="R1427" i="5" s="1"/>
  <c r="Q1419" i="5" a="1"/>
  <c r="R1419" i="5" s="1"/>
  <c r="Q1415" i="5" a="1"/>
  <c r="R1415" i="5" s="1"/>
  <c r="Q1407" i="5" a="1"/>
  <c r="R1407" i="5" s="1"/>
  <c r="Q1406" i="5" a="1"/>
  <c r="R1406" i="5" s="1"/>
  <c r="Q1399" i="5" a="1"/>
  <c r="R1399" i="5" s="1"/>
  <c r="Q1379" i="5" a="1"/>
  <c r="R1379" i="5" s="1"/>
  <c r="Q1378" i="5" a="1"/>
  <c r="R1378" i="5" s="1"/>
  <c r="Q1365" i="5" a="1"/>
  <c r="R1365" i="5" s="1"/>
  <c r="Q1364" i="5" a="1"/>
  <c r="R1364" i="5" s="1"/>
  <c r="Q1361" i="5" a="1"/>
  <c r="R1361" i="5" s="1"/>
  <c r="Q1359" i="5" a="1"/>
  <c r="R1359" i="5" s="1"/>
  <c r="Q1348" i="5" a="1"/>
  <c r="R1348" i="5" s="1"/>
  <c r="Q1337" i="5" a="1"/>
  <c r="R1337" i="5" s="1"/>
  <c r="R1336" i="5"/>
  <c r="Q1111" i="5" a="1"/>
  <c r="R1111" i="5" s="1"/>
  <c r="Q1105" i="5" a="1"/>
  <c r="R1105" i="5" s="1"/>
  <c r="Q1104" i="5" a="1"/>
  <c r="R1104" i="5" s="1"/>
  <c r="Q1100" i="5" a="1"/>
  <c r="R1100" i="5" s="1"/>
  <c r="Q1097" i="5" a="1"/>
  <c r="R1097" i="5" s="1"/>
  <c r="Q1096" i="5" a="1"/>
  <c r="R1096" i="5" s="1"/>
  <c r="Q1091" i="5" a="1"/>
  <c r="R1091" i="5" s="1"/>
  <c r="Q1087" i="5" a="1"/>
  <c r="R1087" i="5" s="1"/>
  <c r="Q1072" i="5" a="1"/>
  <c r="R1072" i="5" s="1"/>
  <c r="Q1065" i="5" a="1"/>
  <c r="R1065" i="5" s="1"/>
  <c r="Q1057" i="5" a="1"/>
  <c r="R1057" i="5" s="1"/>
  <c r="Q1045" i="5" a="1"/>
  <c r="R1045" i="5" s="1"/>
  <c r="Q1033" i="5" a="1"/>
  <c r="R1033" i="5" s="1"/>
  <c r="Q1032" i="5" a="1"/>
  <c r="R1032" i="5" s="1"/>
  <c r="Q1031" i="5" a="1"/>
  <c r="R1031" i="5" s="1"/>
  <c r="Q1028" i="5" a="1"/>
  <c r="R1028" i="5" s="1"/>
  <c r="Q1021" i="5" a="1"/>
  <c r="R1021" i="5" s="1"/>
  <c r="Q1014" i="5" a="1"/>
  <c r="R1014" i="5" s="1"/>
  <c r="Q1008" i="5" a="1"/>
  <c r="R1008" i="5" s="1"/>
  <c r="Q1007" i="5" a="1"/>
  <c r="R1007" i="5" s="1"/>
  <c r="Q1006" i="5" a="1"/>
  <c r="R1006" i="5" s="1"/>
  <c r="Q995" i="5" a="1"/>
  <c r="R995" i="5" s="1"/>
  <c r="Q994" i="5" a="1"/>
  <c r="R994" i="5" s="1"/>
  <c r="Q992" i="5" a="1"/>
  <c r="R992" i="5" s="1"/>
  <c r="Q989" i="5" a="1"/>
  <c r="R989" i="5" s="1"/>
  <c r="Q988" i="5" a="1"/>
  <c r="R988" i="5" s="1"/>
  <c r="Q980" i="5" a="1"/>
  <c r="R980" i="5" s="1"/>
  <c r="Q976" i="5" a="1"/>
  <c r="R976" i="5" s="1"/>
  <c r="Q968" i="5" a="1"/>
  <c r="R968" i="5" s="1"/>
  <c r="Q965" i="5" a="1"/>
  <c r="R965" i="5" s="1"/>
  <c r="Q964" i="5" a="1"/>
  <c r="R964" i="5" s="1"/>
  <c r="Q955" i="5" a="1"/>
  <c r="R955" i="5" s="1"/>
  <c r="Q952" i="5" a="1"/>
  <c r="R952" i="5" s="1"/>
  <c r="Q946" i="5" a="1"/>
  <c r="R946" i="5" s="1"/>
  <c r="Q942" i="5" a="1"/>
  <c r="R942" i="5" s="1"/>
  <c r="Q933" i="5" a="1"/>
  <c r="R933" i="5" s="1"/>
  <c r="Q932" i="5" a="1"/>
  <c r="R932" i="5" s="1"/>
  <c r="Q759" i="5" a="1"/>
  <c r="R759" i="5" s="1"/>
  <c r="Q758" i="5" a="1"/>
  <c r="R758" i="5" s="1"/>
  <c r="Q712" i="5" a="1"/>
  <c r="R712" i="5" s="1"/>
  <c r="Q709" i="5" a="1"/>
  <c r="R709" i="5" s="1"/>
  <c r="Q624" i="5" a="1"/>
  <c r="R624" i="5" s="1"/>
  <c r="Q623" i="5" a="1"/>
  <c r="R623" i="5" s="1"/>
  <c r="Q621" i="5" a="1"/>
  <c r="R621" i="5" s="1"/>
  <c r="Q600" i="5" a="1"/>
  <c r="R600" i="5" s="1"/>
  <c r="Q590" i="5" a="1"/>
  <c r="R590" i="5" s="1"/>
  <c r="Q587" i="5" a="1"/>
  <c r="R587" i="5" s="1"/>
  <c r="Q581" i="5" a="1"/>
  <c r="R581" i="5" s="1"/>
  <c r="Q580" i="5" a="1"/>
  <c r="R580" i="5" s="1"/>
  <c r="Q579" i="5" a="1"/>
  <c r="R579" i="5" s="1"/>
  <c r="Q574" i="5" a="1"/>
  <c r="R574" i="5" s="1"/>
  <c r="Q571" i="5" a="1"/>
  <c r="R571" i="5" s="1"/>
  <c r="Q568" i="5" a="1"/>
  <c r="R568" i="5" s="1"/>
  <c r="Q562" i="5" a="1"/>
  <c r="R562" i="5" s="1"/>
  <c r="Q559" i="5" a="1"/>
  <c r="R559" i="5" s="1"/>
  <c r="Q556" i="5" a="1"/>
  <c r="R556" i="5" s="1"/>
  <c r="Q553" i="5" a="1"/>
  <c r="R553" i="5" s="1"/>
  <c r="Q550" i="5" a="1"/>
  <c r="R550" i="5" s="1"/>
  <c r="Q547" i="5" a="1"/>
  <c r="R547" i="5" s="1"/>
  <c r="Q543" i="5" a="1"/>
  <c r="R543" i="5" s="1"/>
  <c r="Q541" i="5" a="1"/>
  <c r="R541" i="5" s="1"/>
  <c r="Q538" i="5" a="1"/>
  <c r="R538" i="5" s="1"/>
  <c r="Q535" i="5" a="1"/>
  <c r="R535" i="5" s="1"/>
  <c r="Q532" i="5" a="1"/>
  <c r="R532" i="5" s="1"/>
  <c r="Q529" i="5" a="1"/>
  <c r="R529" i="5" s="1"/>
  <c r="Q526" i="5" a="1"/>
  <c r="R526" i="5" s="1"/>
  <c r="Q523" i="5" a="1"/>
  <c r="R523" i="5" s="1"/>
  <c r="Q520" i="5" a="1"/>
  <c r="R520" i="5" s="1"/>
  <c r="Q517" i="5" a="1"/>
  <c r="R517" i="5" s="1"/>
  <c r="Q514" i="5" a="1"/>
  <c r="R514" i="5" s="1"/>
  <c r="Q511" i="5" a="1"/>
  <c r="R511" i="5" s="1"/>
  <c r="Q508" i="5" a="1"/>
  <c r="R508" i="5" s="1"/>
  <c r="Q505" i="5" a="1"/>
  <c r="R505" i="5" s="1"/>
  <c r="Q502" i="5" a="1"/>
  <c r="R502" i="5" s="1"/>
  <c r="Q499" i="5" a="1"/>
  <c r="R499" i="5" s="1"/>
  <c r="Q493" i="5" a="1"/>
  <c r="R493" i="5" s="1"/>
  <c r="Q485" i="5" a="1"/>
  <c r="R485" i="5" s="1"/>
  <c r="Q484" i="5" a="1"/>
  <c r="R484" i="5" s="1"/>
  <c r="Q476" i="5" a="1"/>
  <c r="R476" i="5" s="1"/>
  <c r="Q473" i="5" a="1"/>
  <c r="R473" i="5" s="1"/>
  <c r="Q470" i="5" a="1"/>
  <c r="R470" i="5" s="1"/>
  <c r="Q467" i="5" a="1"/>
  <c r="R467" i="5" s="1"/>
  <c r="Q464" i="5" a="1"/>
  <c r="R464" i="5" s="1"/>
  <c r="Q461" i="5" a="1"/>
  <c r="R461" i="5" s="1"/>
  <c r="Q458" i="5" a="1"/>
  <c r="R458" i="5" s="1"/>
  <c r="Q455" i="5" a="1"/>
  <c r="R455" i="5" s="1"/>
  <c r="Q452" i="5" a="1"/>
  <c r="R452" i="5" s="1"/>
  <c r="Q446" i="5" a="1"/>
  <c r="R446" i="5" s="1"/>
  <c r="Q443" i="5" a="1"/>
  <c r="R443" i="5" s="1"/>
  <c r="Q440" i="5" a="1"/>
  <c r="R440" i="5" s="1"/>
  <c r="Q435" i="5" a="1"/>
  <c r="R435" i="5" s="1"/>
  <c r="Q432" i="5" a="1"/>
  <c r="R432" i="5" s="1"/>
  <c r="Q429" i="5" a="1"/>
  <c r="R429" i="5" s="1"/>
  <c r="Q426" i="5" a="1"/>
  <c r="R426" i="5" s="1"/>
  <c r="Q423" i="5" a="1"/>
  <c r="R423" i="5" s="1"/>
  <c r="Q420" i="5" a="1"/>
  <c r="R420" i="5" s="1"/>
  <c r="Q415" i="5" a="1"/>
  <c r="R415" i="5" s="1"/>
  <c r="Q412" i="5" a="1"/>
  <c r="R412" i="5" s="1"/>
  <c r="Q410" i="5" a="1"/>
  <c r="R410" i="5" s="1"/>
  <c r="Q408" i="5" a="1"/>
  <c r="R408" i="5" s="1"/>
  <c r="Q406" i="5" a="1"/>
  <c r="R406" i="5" s="1"/>
  <c r="Q404" i="5" a="1"/>
  <c r="R404" i="5" s="1"/>
  <c r="Q402" i="5" a="1"/>
  <c r="R402" i="5" s="1"/>
  <c r="Q400" i="5" a="1"/>
  <c r="R400" i="5" s="1"/>
  <c r="Q398" i="5" a="1"/>
  <c r="R398" i="5" s="1"/>
  <c r="Q396" i="5" a="1"/>
  <c r="R396" i="5" s="1"/>
  <c r="Q394" i="5" a="1"/>
  <c r="R394" i="5" s="1"/>
  <c r="Q392" i="5" a="1"/>
  <c r="R392" i="5" s="1"/>
  <c r="Q390" i="5" a="1"/>
  <c r="R390" i="5" s="1"/>
  <c r="Q388" i="5" a="1"/>
  <c r="R388" i="5" s="1"/>
  <c r="Q386" i="5" a="1"/>
  <c r="R386" i="5" s="1"/>
  <c r="Q382" i="5" a="1"/>
  <c r="R382" i="5" s="1"/>
  <c r="Q380" i="5" a="1"/>
  <c r="R380" i="5" s="1"/>
  <c r="Q378" i="5" a="1"/>
  <c r="R378" i="5" s="1"/>
  <c r="Q376" i="5" a="1"/>
  <c r="R376" i="5" s="1"/>
  <c r="Q374" i="5" a="1"/>
  <c r="R374" i="5" s="1"/>
  <c r="Q372" i="5" a="1"/>
  <c r="R372" i="5" s="1"/>
  <c r="Q371" i="5" a="1"/>
  <c r="R371" i="5" s="1"/>
  <c r="Q369" i="5" a="1"/>
  <c r="R369" i="5" s="1"/>
  <c r="Q367" i="5" a="1"/>
  <c r="R367" i="5" s="1"/>
  <c r="R365" i="5"/>
  <c r="Q1382" i="5" a="1"/>
  <c r="R1382" i="5" s="1"/>
  <c r="Q1380" i="5" a="1"/>
  <c r="R1380" i="5" s="1"/>
  <c r="Q1362" i="5" a="1"/>
  <c r="R1362" i="5" s="1"/>
  <c r="Q1346" i="5" a="1"/>
  <c r="R1346" i="5" s="1"/>
  <c r="Q1343" i="5" a="1"/>
  <c r="R1343" i="5" s="1"/>
  <c r="Q1342" i="5" a="1"/>
  <c r="R1342" i="5" s="1"/>
  <c r="Q1341" i="5" a="1"/>
  <c r="R1341" i="5" s="1"/>
  <c r="Q1340" i="5" a="1"/>
  <c r="R1340" i="5" s="1"/>
  <c r="Q1329" i="5" a="1"/>
  <c r="R1329" i="5" s="1"/>
  <c r="Q1325" i="5" a="1"/>
  <c r="R1325" i="5" s="1"/>
  <c r="Q1324" i="5" a="1"/>
  <c r="R1324" i="5" s="1"/>
  <c r="Q1319" i="5" a="1"/>
  <c r="R1319" i="5" s="1"/>
  <c r="Q1310" i="5" a="1"/>
  <c r="R1310" i="5" s="1"/>
  <c r="Q1308" i="5" a="1"/>
  <c r="R1308" i="5" s="1"/>
  <c r="Q1307" i="5" a="1"/>
  <c r="R1307" i="5" s="1"/>
  <c r="Q1299" i="5" a="1"/>
  <c r="Q1298" i="5" a="1"/>
  <c r="R1298" i="5" s="1"/>
  <c r="Q1292" i="5" a="1"/>
  <c r="R1292" i="5" s="1"/>
  <c r="Q1279" i="5" a="1"/>
  <c r="R1279" i="5" s="1"/>
  <c r="Q1263" i="5" a="1"/>
  <c r="R1263" i="5" s="1"/>
  <c r="Q1257" i="5" a="1"/>
  <c r="R1257" i="5" s="1"/>
  <c r="Q1251" i="5" a="1"/>
  <c r="R1251" i="5" s="1"/>
  <c r="Q1245" i="5" a="1"/>
  <c r="R1245" i="5" s="1"/>
  <c r="Q1239" i="5" a="1"/>
  <c r="R1239" i="5" s="1"/>
  <c r="Q1234" i="5" a="1"/>
  <c r="R1234" i="5" s="1"/>
  <c r="Q1233" i="5" a="1"/>
  <c r="R1233" i="5" s="1"/>
  <c r="Q1231" i="5" a="1"/>
  <c r="R1231" i="5" s="1"/>
  <c r="Q1226" i="5" a="1"/>
  <c r="R1226" i="5" s="1"/>
  <c r="Q1220" i="5" a="1"/>
  <c r="R1220" i="5" s="1"/>
  <c r="Q1219" i="5" a="1"/>
  <c r="R1219" i="5" s="1"/>
  <c r="Q1218" i="5" a="1"/>
  <c r="R1218" i="5" s="1"/>
  <c r="Q1211" i="5" a="1"/>
  <c r="R1211" i="5" s="1"/>
  <c r="Q1205" i="5" a="1"/>
  <c r="R1205" i="5" s="1"/>
  <c r="Q1200" i="5" a="1"/>
  <c r="R1200" i="5" s="1"/>
  <c r="Q1199" i="5" a="1"/>
  <c r="R1199" i="5" s="1"/>
  <c r="Q1194" i="5" a="1"/>
  <c r="R1194" i="5" s="1"/>
  <c r="Q1187" i="5" a="1"/>
  <c r="R1187" i="5" s="1"/>
  <c r="Q1182" i="5" a="1"/>
  <c r="R1182" i="5" s="1"/>
  <c r="Q1181" i="5" a="1"/>
  <c r="R1181" i="5" s="1"/>
  <c r="Q1158" i="5" a="1"/>
  <c r="R1158" i="5" s="1"/>
  <c r="Q1157" i="5" a="1"/>
  <c r="R1157" i="5" s="1"/>
  <c r="Q1151" i="5" a="1"/>
  <c r="R1151" i="5" s="1"/>
  <c r="Q1149" i="5" a="1"/>
  <c r="R1149" i="5" s="1"/>
  <c r="Q1130" i="5" a="1"/>
  <c r="R1130" i="5" s="1"/>
  <c r="Q1129" i="5" a="1"/>
  <c r="R1129" i="5" s="1"/>
  <c r="Q1125" i="5" a="1"/>
  <c r="R1125" i="5" s="1"/>
  <c r="Q1118" i="5" a="1"/>
  <c r="R1118" i="5" s="1"/>
  <c r="Q1114" i="5" a="1"/>
  <c r="R1114" i="5" s="1"/>
  <c r="Q1089" i="5" a="1"/>
  <c r="R1089" i="5" s="1"/>
  <c r="Q1074" i="5" a="1"/>
  <c r="R1074" i="5" s="1"/>
  <c r="Q1068" i="5" a="1"/>
  <c r="R1068" i="5" s="1"/>
  <c r="Q1066" i="5" a="1"/>
  <c r="R1066" i="5" s="1"/>
  <c r="Q1063" i="5" a="1"/>
  <c r="R1063" i="5" s="1"/>
  <c r="Q1060" i="5" a="1"/>
  <c r="R1060" i="5" s="1"/>
  <c r="Q641" i="5" a="1"/>
  <c r="R641" i="5" s="1"/>
  <c r="Q640" i="5" a="1"/>
  <c r="R640" i="5" s="1"/>
  <c r="Q638" i="5" a="1"/>
  <c r="R638" i="5" s="1"/>
  <c r="Q637" i="5" a="1"/>
  <c r="R637" i="5" s="1"/>
  <c r="Q635" i="5" a="1"/>
  <c r="R635" i="5" s="1"/>
  <c r="Q633" i="5" a="1"/>
  <c r="R633" i="5" s="1"/>
  <c r="Q631" i="5" a="1"/>
  <c r="R631" i="5" s="1"/>
  <c r="Q629" i="5" a="1"/>
  <c r="R629" i="5" s="1"/>
  <c r="Q627" i="5" a="1"/>
  <c r="R627" i="5" s="1"/>
  <c r="Q625" i="5" a="1"/>
  <c r="R625" i="5" s="1"/>
  <c r="Q620" i="5" a="1"/>
  <c r="R620" i="5" s="1"/>
  <c r="Q618" i="5" a="1"/>
  <c r="R618" i="5" s="1"/>
  <c r="Q616" i="5" a="1"/>
  <c r="R616" i="5" s="1"/>
  <c r="Q614" i="5" a="1"/>
  <c r="R614" i="5" s="1"/>
  <c r="Q612" i="5" a="1"/>
  <c r="R612" i="5" s="1"/>
  <c r="Q610" i="5" a="1"/>
  <c r="R610" i="5" s="1"/>
  <c r="Q608" i="5" a="1"/>
  <c r="R608" i="5" s="1"/>
  <c r="Q607" i="5" a="1"/>
  <c r="R607" i="5" s="1"/>
  <c r="Q604" i="5" a="1"/>
  <c r="R604" i="5" s="1"/>
  <c r="Q602" i="5" a="1"/>
  <c r="R602" i="5" s="1"/>
  <c r="Q597" i="5" a="1"/>
  <c r="R597" i="5" s="1"/>
  <c r="Q594" i="5" a="1"/>
  <c r="R594" i="5" s="1"/>
  <c r="Q591" i="5" a="1"/>
  <c r="R591" i="5" s="1"/>
  <c r="Q588" i="5" a="1"/>
  <c r="R588" i="5" s="1"/>
  <c r="Q585" i="5" a="1"/>
  <c r="R585" i="5" s="1"/>
  <c r="Q582" i="5" a="1"/>
  <c r="R582" i="5" s="1"/>
  <c r="Q577" i="5" a="1"/>
  <c r="R577" i="5" s="1"/>
  <c r="Q576" i="5" a="1"/>
  <c r="R576" i="5" s="1"/>
  <c r="Q573" i="5" a="1"/>
  <c r="R573" i="5" s="1"/>
  <c r="Q570" i="5" a="1"/>
  <c r="R570" i="5" s="1"/>
  <c r="Q567" i="5" a="1"/>
  <c r="R567" i="5" s="1"/>
  <c r="Q565" i="5" a="1"/>
  <c r="R565" i="5" s="1"/>
  <c r="Q564" i="5" a="1"/>
  <c r="R564" i="5" s="1"/>
  <c r="Q561" i="5" a="1"/>
  <c r="R561" i="5" s="1"/>
  <c r="Q558" i="5" a="1"/>
  <c r="R558" i="5" s="1"/>
  <c r="Q555" i="5" a="1"/>
  <c r="R555" i="5" s="1"/>
  <c r="Q552" i="5" a="1"/>
  <c r="R552" i="5" s="1"/>
  <c r="Q549" i="5" a="1"/>
  <c r="R549" i="5" s="1"/>
  <c r="Q546" i="5" a="1"/>
  <c r="R546" i="5" s="1"/>
  <c r="Q544" i="5" a="1"/>
  <c r="R544" i="5" s="1"/>
  <c r="Q540" i="5" a="1"/>
  <c r="R540" i="5" s="1"/>
  <c r="Q537" i="5" a="1"/>
  <c r="R537" i="5" s="1"/>
  <c r="Q534" i="5" a="1"/>
  <c r="R534" i="5" s="1"/>
  <c r="Q531" i="5" a="1"/>
  <c r="R531" i="5" s="1"/>
  <c r="Q528" i="5" a="1"/>
  <c r="R528" i="5" s="1"/>
  <c r="Q525" i="5" a="1"/>
  <c r="R525" i="5" s="1"/>
  <c r="Q522" i="5" a="1"/>
  <c r="R522" i="5" s="1"/>
  <c r="Q519" i="5" a="1"/>
  <c r="R519" i="5" s="1"/>
  <c r="Q516" i="5" a="1"/>
  <c r="R516" i="5" s="1"/>
  <c r="Q513" i="5" a="1"/>
  <c r="R513" i="5" s="1"/>
  <c r="Q510" i="5" a="1"/>
  <c r="R510" i="5" s="1"/>
  <c r="Q507" i="5" a="1"/>
  <c r="R507" i="5" s="1"/>
  <c r="Q506" i="5" a="1"/>
  <c r="R506" i="5" s="1"/>
  <c r="Q504" i="5" a="1"/>
  <c r="R504" i="5" s="1"/>
  <c r="Q501" i="5" a="1"/>
  <c r="R501" i="5" s="1"/>
  <c r="Q498" i="5" a="1"/>
  <c r="R498" i="5" s="1"/>
  <c r="Q495" i="5" a="1"/>
  <c r="R495" i="5" s="1"/>
  <c r="Q494" i="5" a="1"/>
  <c r="R494" i="5" s="1"/>
  <c r="Q491" i="5" a="1"/>
  <c r="R491" i="5" s="1"/>
  <c r="Q490" i="5" a="1"/>
  <c r="R490" i="5" s="1"/>
  <c r="Q488" i="5" a="1"/>
  <c r="R488" i="5" s="1"/>
  <c r="Q482" i="5" a="1"/>
  <c r="R482" i="5" s="1"/>
  <c r="Q481" i="5" a="1"/>
  <c r="R481" i="5" s="1"/>
  <c r="Q478" i="5" a="1"/>
  <c r="R478" i="5" s="1"/>
  <c r="Q475" i="5" a="1"/>
  <c r="R475" i="5" s="1"/>
  <c r="Q472" i="5" a="1"/>
  <c r="R472" i="5" s="1"/>
  <c r="Q469" i="5" a="1"/>
  <c r="R469" i="5" s="1"/>
  <c r="Q463" i="5" a="1"/>
  <c r="R463" i="5" s="1"/>
  <c r="Q460" i="5" a="1"/>
  <c r="R460" i="5" s="1"/>
  <c r="Q454" i="5" a="1"/>
  <c r="R454" i="5" s="1"/>
  <c r="Q451" i="5" a="1"/>
  <c r="R451" i="5" s="1"/>
  <c r="Q448" i="5" a="1"/>
  <c r="R448" i="5" s="1"/>
  <c r="Q442" i="5" a="1"/>
  <c r="R442" i="5" s="1"/>
  <c r="Q436" i="5" a="1"/>
  <c r="R436" i="5" s="1"/>
  <c r="Q430" i="5" a="1"/>
  <c r="R430" i="5" s="1"/>
  <c r="Q424" i="5" a="1"/>
  <c r="R424" i="5" s="1"/>
  <c r="Q418" i="5" a="1"/>
  <c r="R418" i="5" s="1"/>
  <c r="Q417" i="5" a="1"/>
  <c r="R417" i="5" s="1"/>
  <c r="R411" i="5"/>
  <c r="Q1112" i="5" a="1"/>
  <c r="R1112" i="5" s="1"/>
  <c r="Q1107" i="5" a="1"/>
  <c r="R1107" i="5" s="1"/>
  <c r="Q1102" i="5" a="1"/>
  <c r="Q1098" i="5" a="1"/>
  <c r="R1098" i="5" s="1"/>
  <c r="Q1080" i="5" a="1"/>
  <c r="R1080" i="5" s="1"/>
  <c r="Q1077" i="5" a="1"/>
  <c r="R1077" i="5" s="1"/>
  <c r="Q1076" i="5" a="1"/>
  <c r="R1076" i="5" s="1"/>
  <c r="Q1075" i="5" a="1"/>
  <c r="R1075" i="5" s="1"/>
  <c r="Q1067" i="5" a="1"/>
  <c r="R1067" i="5" s="1"/>
  <c r="Q1056" i="5" a="1"/>
  <c r="R1056" i="5" s="1"/>
  <c r="Q1044" i="5" a="1"/>
  <c r="R1044" i="5" s="1"/>
  <c r="Q1035" i="5" a="1"/>
  <c r="R1035" i="5" s="1"/>
  <c r="Q1034" i="5" a="1"/>
  <c r="R1034" i="5" s="1"/>
  <c r="Q1030" i="5" a="1"/>
  <c r="R1030" i="5" s="1"/>
  <c r="Q1019" i="5" a="1"/>
  <c r="R1019" i="5" s="1"/>
  <c r="Q1015" i="5" a="1"/>
  <c r="R1015" i="5" s="1"/>
  <c r="Q996" i="5" a="1"/>
  <c r="R996" i="5" s="1"/>
  <c r="Q983" i="5" a="1"/>
  <c r="R983" i="5" s="1"/>
  <c r="Q967" i="5" a="1"/>
  <c r="R967" i="5" s="1"/>
  <c r="Q963" i="5" a="1"/>
  <c r="R963" i="5" s="1"/>
  <c r="Q941" i="5" a="1"/>
  <c r="R941" i="5" s="1"/>
  <c r="Q937" i="5" a="1"/>
  <c r="R937" i="5" s="1"/>
  <c r="Q931" i="5" a="1"/>
  <c r="R931" i="5" s="1"/>
  <c r="Q742" i="5" a="1"/>
  <c r="R742" i="5" s="1"/>
  <c r="Q737" i="5" a="1"/>
  <c r="R737" i="5" s="1"/>
  <c r="Q717" i="5" a="1"/>
  <c r="R717" i="5" s="1"/>
  <c r="Q716" i="5" a="1"/>
  <c r="R716" i="5" s="1"/>
  <c r="Q711" i="5" a="1"/>
  <c r="R711" i="5" s="1"/>
  <c r="Q58" i="5" a="1"/>
  <c r="R58" i="5" s="1"/>
  <c r="Q56" i="5" a="1"/>
  <c r="R56" i="5" s="1"/>
  <c r="Q51" i="5" a="1"/>
  <c r="R51" i="5" s="1"/>
  <c r="Q46" i="5" a="1"/>
  <c r="R46" i="5" s="1"/>
  <c r="Q43" i="5" a="1"/>
  <c r="R43" i="5" s="1"/>
  <c r="Q35" i="5" a="1"/>
  <c r="R35" i="5" s="1"/>
  <c r="Q34" i="5" a="1"/>
  <c r="R34" i="5" s="1"/>
  <c r="Q32" i="5" a="1"/>
  <c r="R32" i="5" s="1"/>
  <c r="Q29" i="5" a="1"/>
  <c r="R29" i="5" s="1"/>
  <c r="Q25" i="5" a="1"/>
  <c r="R25" i="5" s="1"/>
  <c r="Q23" i="5" a="1"/>
  <c r="R23" i="5" s="1"/>
  <c r="Q20" i="5" a="1"/>
  <c r="R20" i="5" s="1"/>
  <c r="Q19" i="5" a="1"/>
  <c r="R19" i="5" s="1"/>
  <c r="Q16" i="5" a="1"/>
  <c r="R16" i="5" s="1"/>
  <c r="Q10" i="5" a="1"/>
  <c r="R10" i="5" s="1"/>
  <c r="Q7" i="5" a="1"/>
  <c r="R7" i="5" s="1"/>
  <c r="Q1315" i="5" a="1"/>
  <c r="R1315" i="5" s="1"/>
  <c r="Q1303" i="5" a="1"/>
  <c r="R1303" i="5" s="1"/>
  <c r="Q1289" i="5" a="1"/>
  <c r="R1289" i="5" s="1"/>
  <c r="Q1282" i="5" a="1"/>
  <c r="R1282" i="5" s="1"/>
  <c r="Q1270" i="5" a="1"/>
  <c r="R1270" i="5" s="1"/>
  <c r="Q1269" i="5" a="1"/>
  <c r="R1269" i="5" s="1"/>
  <c r="Q1267" i="5" a="1"/>
  <c r="R1267" i="5" s="1"/>
  <c r="Q1259" i="5" a="1"/>
  <c r="R1259" i="5" s="1"/>
  <c r="R1258" i="5"/>
  <c r="Q1086" i="5" a="1"/>
  <c r="R1086" i="5" s="1"/>
  <c r="Q1082" i="5" a="1"/>
  <c r="R1082" i="5" s="1"/>
  <c r="Q1081" i="5" a="1"/>
  <c r="R1081" i="5" s="1"/>
  <c r="Q1070" i="5" a="1"/>
  <c r="R1070" i="5" s="1"/>
  <c r="Q1061" i="5" a="1"/>
  <c r="R1061" i="5" s="1"/>
  <c r="Q1051" i="5" a="1"/>
  <c r="R1051" i="5" s="1"/>
  <c r="Q1049" i="5" a="1"/>
  <c r="R1049" i="5" s="1"/>
  <c r="Q1036" i="5" a="1"/>
  <c r="R1036" i="5" s="1"/>
  <c r="Q1025" i="5" a="1"/>
  <c r="R1025" i="5" s="1"/>
  <c r="Q1012" i="5" a="1"/>
  <c r="R1012" i="5" s="1"/>
  <c r="Q986" i="5" a="1"/>
  <c r="R986" i="5" s="1"/>
  <c r="Q985" i="5" a="1"/>
  <c r="R985" i="5" s="1"/>
  <c r="Q984" i="5" a="1"/>
  <c r="R984" i="5" s="1"/>
  <c r="Q979" i="5" a="1"/>
  <c r="R979" i="5" s="1"/>
  <c r="Q975" i="5" a="1"/>
  <c r="R975" i="5" s="1"/>
  <c r="Q974" i="5" a="1"/>
  <c r="R974" i="5" s="1"/>
  <c r="Q973" i="5" a="1"/>
  <c r="R973" i="5" s="1"/>
  <c r="Q960" i="5" a="1"/>
  <c r="R960" i="5" s="1"/>
  <c r="Q956" i="5" a="1"/>
  <c r="R956" i="5" s="1"/>
  <c r="Q953" i="5" a="1"/>
  <c r="R953" i="5" s="1"/>
  <c r="Q951" i="5" a="1"/>
  <c r="R951" i="5" s="1"/>
  <c r="Q950" i="5" a="1"/>
  <c r="R950" i="5" s="1"/>
  <c r="Q949" i="5" a="1"/>
  <c r="R949" i="5" s="1"/>
  <c r="Q948" i="5" a="1"/>
  <c r="R948" i="5" s="1"/>
  <c r="Q945" i="5" a="1"/>
  <c r="R945" i="5" s="1"/>
  <c r="Q944" i="5" a="1"/>
  <c r="R944" i="5" s="1"/>
  <c r="Q939" i="5" a="1"/>
  <c r="R939" i="5" s="1"/>
  <c r="Q938" i="5" a="1"/>
  <c r="R938" i="5" s="1"/>
  <c r="Q756" i="5" a="1"/>
  <c r="R756" i="5" s="1"/>
  <c r="Q755" i="5" a="1"/>
  <c r="R755" i="5" s="1"/>
  <c r="Q754" i="5" a="1"/>
  <c r="R754" i="5" s="1"/>
  <c r="Q753" i="5" a="1"/>
  <c r="R753" i="5" s="1"/>
  <c r="Q743" i="5" a="1"/>
  <c r="R743" i="5" s="1"/>
  <c r="Q741" i="5" a="1"/>
  <c r="R741" i="5" s="1"/>
  <c r="Q736" i="5" a="1"/>
  <c r="R736" i="5" s="1"/>
  <c r="Q734" i="5" a="1"/>
  <c r="R734" i="5" s="1"/>
  <c r="Q731" i="5" a="1"/>
  <c r="R731" i="5" s="1"/>
  <c r="Q730" i="5" a="1"/>
  <c r="R730" i="5" s="1"/>
  <c r="Q729" i="5" a="1"/>
  <c r="R729" i="5" s="1"/>
  <c r="Q727" i="5" a="1"/>
  <c r="R727" i="5" s="1"/>
  <c r="Q726" i="5" a="1"/>
  <c r="R726" i="5" s="1"/>
  <c r="Q725" i="5" a="1"/>
  <c r="R725" i="5" s="1"/>
  <c r="Q724" i="5" a="1"/>
  <c r="R724" i="5" s="1"/>
  <c r="Q721" i="5" a="1"/>
  <c r="R721" i="5" s="1"/>
  <c r="Q692" i="5" a="1"/>
  <c r="R692" i="5" s="1"/>
  <c r="Q688" i="5" a="1"/>
  <c r="R688" i="5" s="1"/>
  <c r="Q684" i="5" a="1"/>
  <c r="R684" i="5" s="1"/>
  <c r="Q680" i="5" a="1"/>
  <c r="R680" i="5" s="1"/>
  <c r="Q1576" i="5" a="1"/>
  <c r="R1576" i="5" s="1"/>
  <c r="Q1575" i="5" a="1"/>
  <c r="R1575" i="5" s="1"/>
  <c r="Q1562" i="5" a="1"/>
  <c r="R1562" i="5" s="1"/>
  <c r="Q1561" i="5" a="1"/>
  <c r="R1561" i="5" s="1"/>
  <c r="Q1556" i="5" a="1"/>
  <c r="R1556" i="5" s="1"/>
  <c r="Q1553" i="5" a="1"/>
  <c r="R1553" i="5" s="1"/>
  <c r="Q1544" i="5" a="1"/>
  <c r="R1544" i="5" s="1"/>
  <c r="Q1535" i="5" a="1"/>
  <c r="R1535" i="5" s="1"/>
  <c r="Q1519" i="5" a="1"/>
  <c r="R1519" i="5" s="1"/>
  <c r="Q1517" i="5" a="1"/>
  <c r="R1517" i="5" s="1"/>
  <c r="Q1513" i="5" a="1"/>
  <c r="R1513" i="5" s="1"/>
  <c r="Q1501" i="5" a="1"/>
  <c r="R1501" i="5" s="1"/>
  <c r="Q1500" i="5" a="1"/>
  <c r="R1500" i="5" s="1"/>
  <c r="Q1489" i="5" a="1"/>
  <c r="R1489" i="5" s="1"/>
  <c r="Q1477" i="5" a="1"/>
  <c r="R1477" i="5" s="1"/>
  <c r="Q1470" i="5" a="1"/>
  <c r="R1470" i="5" s="1"/>
  <c r="Q1469" i="5" a="1"/>
  <c r="R1469" i="5" s="1"/>
  <c r="Q1459" i="5" a="1"/>
  <c r="R1459" i="5" s="1"/>
  <c r="Q1452" i="5" a="1"/>
  <c r="R1452" i="5" s="1"/>
  <c r="Q1446" i="5" a="1"/>
  <c r="R1446" i="5" s="1"/>
  <c r="Q1444" i="5" a="1"/>
  <c r="R1444" i="5" s="1"/>
  <c r="Q1443" i="5" a="1"/>
  <c r="R1443" i="5" s="1"/>
  <c r="Q1437" i="5" a="1"/>
  <c r="R1437" i="5" s="1"/>
  <c r="Q1432" i="5" a="1"/>
  <c r="R1432" i="5" s="1"/>
  <c r="Q1414" i="5" a="1"/>
  <c r="R1414" i="5" s="1"/>
  <c r="Q1404" i="5" a="1"/>
  <c r="R1404" i="5" s="1"/>
  <c r="Q1402" i="5" a="1"/>
  <c r="R1402" i="5" s="1"/>
  <c r="Q1398" i="5" a="1"/>
  <c r="R1398" i="5" s="1"/>
  <c r="Q1397" i="5" a="1"/>
  <c r="R1397" i="5" s="1"/>
  <c r="Q1396" i="5" a="1"/>
  <c r="R1396" i="5" s="1"/>
  <c r="Q1395" i="5" a="1"/>
  <c r="R1395" i="5" s="1"/>
  <c r="Q1390" i="5" a="1"/>
  <c r="R1390" i="5" s="1"/>
  <c r="Q1386" i="5" a="1"/>
  <c r="R1386" i="5" s="1"/>
  <c r="Q1376" i="5" a="1"/>
  <c r="R1376" i="5" s="1"/>
  <c r="Q1375" i="5" a="1"/>
  <c r="R1375" i="5" s="1"/>
  <c r="Q1356" i="5" a="1"/>
  <c r="R1356" i="5" s="1"/>
  <c r="Q1355" i="5" a="1"/>
  <c r="R1355" i="5" s="1"/>
  <c r="Q1345" i="5" a="1"/>
  <c r="R1345" i="5" s="1"/>
  <c r="Q1344" i="5" a="1"/>
  <c r="R1344" i="5" s="1"/>
  <c r="Q1339" i="5" a="1"/>
  <c r="R1339" i="5" s="1"/>
  <c r="R1338" i="5"/>
  <c r="Q1330" i="5" a="1"/>
  <c r="R1330" i="5" s="1"/>
  <c r="Q1328" i="5" a="1"/>
  <c r="R1328" i="5" s="1"/>
  <c r="Q1323" i="5" a="1"/>
  <c r="R1323" i="5" s="1"/>
  <c r="Q1320" i="5" a="1"/>
  <c r="R1320" i="5" s="1"/>
  <c r="Q1318" i="5" a="1"/>
  <c r="R1318" i="5" s="1"/>
  <c r="Q1314" i="5" a="1"/>
  <c r="R1314" i="5" s="1"/>
  <c r="Q1313" i="5" a="1"/>
  <c r="R1313" i="5" s="1"/>
  <c r="Q1311" i="5" a="1"/>
  <c r="R1311" i="5" s="1"/>
  <c r="Q1309" i="5" a="1"/>
  <c r="R1309" i="5" s="1"/>
  <c r="Q1300" i="5" a="1"/>
  <c r="R1300" i="5" s="1"/>
  <c r="Q1296" i="5" a="1"/>
  <c r="R1296" i="5" s="1"/>
  <c r="Q1293" i="5" a="1"/>
  <c r="R1293" i="5" s="1"/>
  <c r="Q1290" i="5" a="1"/>
  <c r="R1290" i="5" s="1"/>
  <c r="Q1287" i="5" a="1"/>
  <c r="R1287" i="5" s="1"/>
  <c r="Q1284" i="5" a="1"/>
  <c r="R1284" i="5" s="1"/>
  <c r="Q1283" i="5" a="1"/>
  <c r="R1283" i="5" s="1"/>
  <c r="Q1280" i="5" a="1"/>
  <c r="R1280" i="5" s="1"/>
  <c r="Q1277" i="5" a="1"/>
  <c r="R1277" i="5" s="1"/>
  <c r="Q1276" i="5" a="1"/>
  <c r="R1276" i="5" s="1"/>
  <c r="Q1275" i="5" a="1"/>
  <c r="R1275" i="5" s="1"/>
  <c r="Q1274" i="5" a="1"/>
  <c r="R1274" i="5" s="1"/>
  <c r="Q1272" i="5" a="1"/>
  <c r="R1272" i="5" s="1"/>
  <c r="Q1266" i="5" a="1"/>
  <c r="R1266" i="5" s="1"/>
  <c r="Q1262" i="5" a="1"/>
  <c r="R1262" i="5" s="1"/>
  <c r="Q1256" i="5" a="1"/>
  <c r="R1256" i="5" s="1"/>
  <c r="Q1253" i="5" a="1"/>
  <c r="R1253" i="5" s="1"/>
  <c r="Q1244" i="5" a="1"/>
  <c r="R1244" i="5" s="1"/>
  <c r="Q1243" i="5" a="1"/>
  <c r="R1243" i="5" s="1"/>
  <c r="Q1236" i="5" a="1"/>
  <c r="R1236" i="5" s="1"/>
  <c r="Q1235" i="5" a="1"/>
  <c r="R1235" i="5" s="1"/>
  <c r="Q1232" i="5" a="1"/>
  <c r="R1232" i="5" s="1"/>
  <c r="Q1229" i="5" a="1"/>
  <c r="R1229" i="5" s="1"/>
  <c r="Q1227" i="5" a="1"/>
  <c r="R1227" i="5" s="1"/>
  <c r="Q1224" i="5" a="1"/>
  <c r="R1224" i="5" s="1"/>
  <c r="Q1221" i="5" a="1"/>
  <c r="R1221" i="5" s="1"/>
  <c r="Q1216" i="5" a="1"/>
  <c r="R1216" i="5" s="1"/>
  <c r="Q1215" i="5" a="1"/>
  <c r="R1215" i="5" s="1"/>
  <c r="Q1213" i="5" a="1"/>
  <c r="R1213" i="5" s="1"/>
  <c r="Q1212" i="5" a="1"/>
  <c r="R1212" i="5" s="1"/>
  <c r="Q1206" i="5" a="1"/>
  <c r="R1206" i="5" s="1"/>
  <c r="Q1203" i="5" a="1"/>
  <c r="R1203" i="5" s="1"/>
  <c r="Q1201" i="5" a="1"/>
  <c r="R1201" i="5" s="1"/>
  <c r="Q1196" i="5" a="1"/>
  <c r="R1196" i="5" s="1"/>
  <c r="Q1195" i="5" a="1"/>
  <c r="R1195" i="5" s="1"/>
  <c r="Q1192" i="5" a="1"/>
  <c r="R1192" i="5" s="1"/>
  <c r="Q1189" i="5" a="1"/>
  <c r="R1189" i="5" s="1"/>
  <c r="Q1186" i="5" a="1"/>
  <c r="R1186" i="5" s="1"/>
  <c r="Q1184" i="5" a="1"/>
  <c r="R1184" i="5" s="1"/>
  <c r="Q1183" i="5" a="1"/>
  <c r="R1183" i="5" s="1"/>
  <c r="Q1179" i="5" a="1"/>
  <c r="R1179" i="5" s="1"/>
  <c r="Q1177" i="5" a="1"/>
  <c r="R1177" i="5" s="1"/>
  <c r="Q1176" i="5" a="1"/>
  <c r="R1176" i="5" s="1"/>
  <c r="Q1173" i="5" a="1"/>
  <c r="R1173" i="5" s="1"/>
  <c r="Q1167" i="5" a="1"/>
  <c r="R1167" i="5" s="1"/>
  <c r="Q1165" i="5" a="1"/>
  <c r="Q1164" i="5" a="1"/>
  <c r="R1164" i="5" s="1"/>
  <c r="Q1159" i="5" a="1"/>
  <c r="R1159" i="5" s="1"/>
  <c r="Q1156" i="5" a="1"/>
  <c r="R1156" i="5" s="1"/>
  <c r="Q1153" i="5" a="1"/>
  <c r="R1153" i="5" s="1"/>
  <c r="Q1148" i="5" a="1"/>
  <c r="R1148" i="5" s="1"/>
  <c r="Q1147" i="5" a="1"/>
  <c r="R1147" i="5" s="1"/>
  <c r="Q1145" i="5" a="1"/>
  <c r="R1145" i="5" s="1"/>
  <c r="Q1139" i="5" a="1"/>
  <c r="R1139" i="5" s="1"/>
  <c r="Q1136" i="5" a="1"/>
  <c r="R1136" i="5" s="1"/>
  <c r="Q1132" i="5" a="1"/>
  <c r="R1132" i="5" s="1"/>
  <c r="Q1131" i="5" a="1"/>
  <c r="R1131" i="5" s="1"/>
  <c r="Q1128" i="5" a="1"/>
  <c r="R1128" i="5" s="1"/>
  <c r="Q1127" i="5" a="1"/>
  <c r="R1127" i="5" s="1"/>
  <c r="Q1124" i="5" a="1"/>
  <c r="R1124" i="5" s="1"/>
  <c r="Q1123" i="5" a="1"/>
  <c r="R1123" i="5" s="1"/>
  <c r="Q1119" i="5" a="1"/>
  <c r="R1119" i="5" s="1"/>
  <c r="Q1117" i="5" a="1"/>
  <c r="R1117" i="5" s="1"/>
  <c r="Q1115" i="5" a="1"/>
  <c r="R1115" i="5" s="1"/>
  <c r="Q1113" i="5" a="1"/>
  <c r="R1113" i="5" s="1"/>
  <c r="Q1106" i="5" a="1"/>
  <c r="R1106" i="5" s="1"/>
  <c r="Q1101" i="5" a="1"/>
  <c r="R1101" i="5" s="1"/>
  <c r="Q1093" i="5" a="1"/>
  <c r="R1093" i="5" s="1"/>
  <c r="Q1088" i="5" a="1"/>
  <c r="R1088" i="5" s="1"/>
  <c r="Q1078" i="5" a="1"/>
  <c r="R1078" i="5" s="1"/>
  <c r="Q1073" i="5" a="1"/>
  <c r="R1073" i="5" s="1"/>
  <c r="Q1069" i="5" a="1"/>
  <c r="R1069" i="5" s="1"/>
  <c r="Q1064" i="5" a="1"/>
  <c r="R1064" i="5" s="1"/>
  <c r="Q1059" i="5" a="1"/>
  <c r="R1059" i="5" s="1"/>
  <c r="Q1058" i="5" a="1"/>
  <c r="R1058" i="5" s="1"/>
  <c r="Q1054" i="5" a="1"/>
  <c r="R1054" i="5" s="1"/>
  <c r="Q1048" i="5" a="1"/>
  <c r="R1048" i="5" s="1"/>
  <c r="Q1047" i="5" a="1"/>
  <c r="R1047" i="5" s="1"/>
  <c r="Q1046" i="5" a="1"/>
  <c r="R1046" i="5" s="1"/>
  <c r="Q1042" i="5" a="1"/>
  <c r="R1042" i="5" s="1"/>
  <c r="Q1020" i="5" a="1"/>
  <c r="R1020" i="5" s="1"/>
  <c r="Q1016" i="5" a="1"/>
  <c r="R1016" i="5" s="1"/>
  <c r="Q1011" i="5" a="1"/>
  <c r="R1011" i="5" s="1"/>
  <c r="Q1010" i="5" a="1"/>
  <c r="R1010" i="5" s="1"/>
  <c r="Q1002" i="5" a="1"/>
  <c r="R1002" i="5" s="1"/>
  <c r="Q1001" i="5" a="1"/>
  <c r="R1001" i="5" s="1"/>
  <c r="Q987" i="5" a="1"/>
  <c r="R987" i="5" s="1"/>
  <c r="Q982" i="5" a="1"/>
  <c r="R982" i="5" s="1"/>
  <c r="Q978" i="5" a="1"/>
  <c r="R978" i="5" s="1"/>
  <c r="Q969" i="5" a="1"/>
  <c r="R969" i="5" s="1"/>
  <c r="Q958" i="5" a="1"/>
  <c r="R958" i="5" s="1"/>
  <c r="Q954" i="5" a="1"/>
  <c r="R954" i="5" s="1"/>
  <c r="Q947" i="5" a="1"/>
  <c r="R947" i="5" s="1"/>
  <c r="Q943" i="5" a="1"/>
  <c r="R943" i="5" s="1"/>
  <c r="Q751" i="5" a="1"/>
  <c r="R751" i="5" s="1"/>
  <c r="Q750" i="5" a="1"/>
  <c r="R750" i="5" s="1"/>
  <c r="Q749" i="5" a="1"/>
  <c r="R749" i="5" s="1"/>
  <c r="Q748" i="5" a="1"/>
  <c r="R748" i="5" s="1"/>
  <c r="Q747" i="5" a="1"/>
  <c r="R747" i="5" s="1"/>
  <c r="Q746" i="5" a="1"/>
  <c r="R746" i="5" s="1"/>
  <c r="Q732" i="5" a="1"/>
  <c r="R732" i="5" s="1"/>
  <c r="Q728" i="5" a="1"/>
  <c r="R728" i="5" s="1"/>
  <c r="Q723" i="5" a="1"/>
  <c r="R723" i="5" s="1"/>
  <c r="Q722" i="5" a="1"/>
  <c r="R722" i="5" s="1"/>
  <c r="Q713" i="5" a="1"/>
  <c r="R713" i="5" s="1"/>
  <c r="R708" i="5"/>
  <c r="Q706" i="5" a="1"/>
  <c r="R706" i="5" s="1"/>
  <c r="Q705" i="5" a="1"/>
  <c r="R705" i="5" s="1"/>
  <c r="Q703" i="5" a="1"/>
  <c r="R703" i="5" s="1"/>
  <c r="Q702" i="5" a="1"/>
  <c r="R702" i="5" s="1"/>
  <c r="Q701" i="5" a="1"/>
  <c r="R701" i="5" s="1"/>
  <c r="Q700" i="5" a="1"/>
  <c r="R700" i="5" s="1"/>
  <c r="Q699" i="5" a="1"/>
  <c r="R699" i="5" s="1"/>
  <c r="Q698" i="5" a="1"/>
  <c r="R698" i="5" s="1"/>
  <c r="Q697" i="5" a="1"/>
  <c r="R697" i="5" s="1"/>
  <c r="Q695" i="5" a="1"/>
  <c r="R695" i="5" s="1"/>
  <c r="Q694" i="5" a="1"/>
  <c r="R694" i="5" s="1"/>
  <c r="Q693" i="5" a="1"/>
  <c r="R693" i="5" s="1"/>
  <c r="Q687" i="5" a="1"/>
  <c r="R687" i="5" s="1"/>
  <c r="Q683" i="5" a="1"/>
  <c r="R683" i="5" s="1"/>
  <c r="Q677" i="5" a="1"/>
  <c r="R677" i="5" s="1"/>
  <c r="Q674" i="5" a="1"/>
  <c r="R674" i="5" s="1"/>
  <c r="Q667" i="5" a="1"/>
  <c r="R667" i="5" s="1"/>
  <c r="Q665" i="5" a="1"/>
  <c r="R665" i="5" s="1"/>
  <c r="Q663" i="5" a="1"/>
  <c r="R663" i="5" s="1"/>
  <c r="Q1374" i="5" a="1"/>
  <c r="R1374" i="5" s="1"/>
  <c r="Q1372" i="5" a="1"/>
  <c r="R1372" i="5" s="1"/>
  <c r="Q1371" i="5" a="1"/>
  <c r="R1371" i="5" s="1"/>
  <c r="Q1370" i="5" a="1"/>
  <c r="R1370" i="5" s="1"/>
  <c r="Q1367" i="5" a="1"/>
  <c r="R1367" i="5" s="1"/>
  <c r="Q1350" i="5" a="1"/>
  <c r="R1350" i="5" s="1"/>
  <c r="Q1349" i="5" a="1"/>
  <c r="R1349" i="5" s="1"/>
  <c r="Q1332" i="5" a="1"/>
  <c r="R1332" i="5" s="1"/>
  <c r="Q1331" i="5" a="1"/>
  <c r="R1331" i="5" s="1"/>
  <c r="Q1327" i="5" a="1"/>
  <c r="R1327" i="5" s="1"/>
  <c r="Q1326" i="5" a="1"/>
  <c r="R1326" i="5" s="1"/>
  <c r="Q1321" i="5" a="1"/>
  <c r="R1321" i="5" s="1"/>
  <c r="Q1304" i="5" a="1"/>
  <c r="R1304" i="5" s="1"/>
  <c r="Q1302" i="5" a="1"/>
  <c r="R1302" i="5" s="1"/>
  <c r="Q1301" i="5" a="1"/>
  <c r="Q1295" i="5" a="1"/>
  <c r="R1295" i="5" s="1"/>
  <c r="Q1286" i="5" a="1"/>
  <c r="R1286" i="5" s="1"/>
  <c r="Q1254" i="5" a="1"/>
  <c r="R1254" i="5" s="1"/>
  <c r="Q1248" i="5" a="1"/>
  <c r="R1248" i="5" s="1"/>
  <c r="Q1240" i="5" a="1"/>
  <c r="R1240" i="5" s="1"/>
  <c r="Q1223" i="5" a="1"/>
  <c r="R1223" i="5" s="1"/>
  <c r="Q1217" i="5" a="1"/>
  <c r="R1217" i="5" s="1"/>
  <c r="Q1210" i="5" a="1"/>
  <c r="R1210" i="5" s="1"/>
  <c r="Q1209" i="5" a="1"/>
  <c r="R1209" i="5" s="1"/>
  <c r="Q1208" i="5" a="1"/>
  <c r="R1208" i="5" s="1"/>
  <c r="Q1202" i="5" a="1"/>
  <c r="R1202" i="5" s="1"/>
  <c r="Q1197" i="5" a="1"/>
  <c r="R1197" i="5" s="1"/>
  <c r="Q1190" i="5" a="1"/>
  <c r="R1190" i="5" s="1"/>
  <c r="Q1172" i="5" a="1"/>
  <c r="R1172" i="5" s="1"/>
  <c r="Q1171" i="5" a="1"/>
  <c r="R1171" i="5" s="1"/>
  <c r="Q1170" i="5" a="1"/>
  <c r="R1170" i="5" s="1"/>
  <c r="Q1163" i="5" a="1"/>
  <c r="R1163" i="5" s="1"/>
  <c r="Q1162" i="5" a="1"/>
  <c r="R1162" i="5" s="1"/>
  <c r="Q1161" i="5" a="1"/>
  <c r="R1161" i="5" s="1"/>
  <c r="Q1155" i="5" a="1"/>
  <c r="R1155" i="5" s="1"/>
  <c r="Q1154" i="5" a="1"/>
  <c r="R1154" i="5" s="1"/>
  <c r="Q1143" i="5" a="1"/>
  <c r="R1143" i="5" s="1"/>
  <c r="Q1142" i="5" a="1"/>
  <c r="R1142" i="5" s="1"/>
  <c r="Q1126" i="5" a="1"/>
  <c r="R1126" i="5" s="1"/>
  <c r="Q1122" i="5" a="1"/>
  <c r="R1122" i="5" s="1"/>
  <c r="Q1121" i="5" a="1"/>
  <c r="R1121" i="5" s="1"/>
  <c r="Q1120" i="5" a="1"/>
  <c r="R1120" i="5" s="1"/>
  <c r="Q1116" i="5" a="1"/>
  <c r="R1116" i="5" s="1"/>
  <c r="Q1109" i="5" a="1"/>
  <c r="R1109" i="5" s="1"/>
  <c r="Q1108" i="5" a="1"/>
  <c r="R1108" i="5" s="1"/>
  <c r="Q1099" i="5" a="1"/>
  <c r="R1099" i="5" s="1"/>
  <c r="Q1095" i="5" a="1"/>
  <c r="R1095" i="5" s="1"/>
  <c r="Q1094" i="5" a="1"/>
  <c r="R1094" i="5" s="1"/>
  <c r="Q1092" i="5" a="1"/>
  <c r="R1092" i="5" s="1"/>
  <c r="Q1055" i="5" a="1"/>
  <c r="R1055" i="5" s="1"/>
  <c r="Q1053" i="5" a="1"/>
  <c r="R1053" i="5" s="1"/>
  <c r="Q1041" i="5" a="1"/>
  <c r="R1041" i="5" s="1"/>
  <c r="Q1040" i="5" a="1"/>
  <c r="R1040" i="5" s="1"/>
  <c r="Q1029" i="5" a="1"/>
  <c r="R1029" i="5" s="1"/>
  <c r="Q1027" i="5" a="1"/>
  <c r="R1027" i="5" s="1"/>
  <c r="Q1005" i="5" a="1"/>
  <c r="R1005" i="5" s="1"/>
  <c r="Q1079" i="5" a="1"/>
  <c r="R1079" i="5" s="1"/>
  <c r="Q1071" i="5" a="1"/>
  <c r="R1071" i="5" s="1"/>
  <c r="Q1050" i="5" a="1"/>
  <c r="R1050" i="5" s="1"/>
  <c r="Q1026" i="5" a="1"/>
  <c r="R1026" i="5" s="1"/>
  <c r="Q991" i="5" a="1"/>
  <c r="R991" i="5" s="1"/>
  <c r="Q971" i="5" a="1"/>
  <c r="R971" i="5" s="1"/>
  <c r="Q959" i="5" a="1"/>
  <c r="R959" i="5" s="1"/>
  <c r="Q936" i="5" a="1"/>
  <c r="R936" i="5" s="1"/>
  <c r="Q757" i="5" a="1"/>
  <c r="R757" i="5" s="1"/>
  <c r="Q733" i="5" a="1"/>
  <c r="R733" i="5" s="1"/>
  <c r="Q57" i="5" a="1"/>
  <c r="R57" i="5" s="1"/>
  <c r="Q42" i="5" a="1"/>
  <c r="R42" i="5" s="1"/>
  <c r="Q28" i="5" a="1"/>
  <c r="R28" i="5" s="1"/>
  <c r="Q13" i="5" a="1"/>
  <c r="R13" i="5" s="1"/>
  <c r="Q3" i="5" a="1"/>
  <c r="R3" i="5" s="1"/>
  <c r="BG508" i="1"/>
  <c r="U4" i="1"/>
  <c r="U1" i="1"/>
  <c r="C45" i="6" l="1"/>
  <c r="C3" i="6"/>
  <c r="C10" i="6" s="1"/>
  <c r="R2" i="5"/>
  <c r="M2" i="5" s="1"/>
  <c r="R1301" i="5"/>
  <c r="R1299" i="5"/>
  <c r="R1165" i="5"/>
  <c r="R1102" i="5"/>
  <c r="I10" i="6"/>
  <c r="R1297" i="5"/>
  <c r="R1178" i="5"/>
  <c r="C46" i="6" l="1"/>
  <c r="I12" i="6"/>
  <c r="C47" i="6" l="1"/>
  <c r="I14" i="6"/>
  <c r="I13" i="6"/>
  <c r="C48" i="6" l="1"/>
  <c r="G2" i="6"/>
  <c r="I16" i="6"/>
  <c r="C49" i="6" l="1"/>
  <c r="C50" i="6" s="1"/>
  <c r="C51" i="6" s="1"/>
  <c r="C52" i="6" s="1"/>
  <c r="C53" i="6" s="1"/>
  <c r="C54" i="6" s="1"/>
  <c r="C55" i="6" s="1"/>
  <c r="C56" i="6" s="1"/>
  <c r="C57" i="6" s="1"/>
  <c r="C58" i="6" s="1"/>
  <c r="C59" i="6" s="1"/>
  <c r="C60" i="6" s="1"/>
  <c r="C61" i="6" s="1"/>
  <c r="C62" i="6" s="1"/>
  <c r="C63" i="6" s="1"/>
  <c r="C64" i="6" s="1"/>
  <c r="C65" i="6" s="1"/>
  <c r="C66" i="6" s="1"/>
  <c r="C67" i="6" s="1"/>
  <c r="C68" i="6" s="1"/>
  <c r="C69" i="6" s="1"/>
  <c r="C70" i="6" s="1"/>
  <c r="C71" i="6" s="1"/>
  <c r="C72" i="6" s="1"/>
  <c r="C73" i="6" s="1"/>
  <c r="C74" i="6" s="1"/>
  <c r="C75" i="6" s="1"/>
  <c r="C76" i="6" s="1"/>
  <c r="C77" i="6" s="1"/>
  <c r="C78" i="6" s="1"/>
  <c r="C79" i="6" s="1"/>
  <c r="C80" i="6" s="1"/>
  <c r="C81" i="6" s="1"/>
  <c r="C82" i="6" s="1"/>
  <c r="C83" i="6" s="1"/>
  <c r="C84" i="6" s="1"/>
  <c r="C85" i="6" s="1"/>
  <c r="C86" i="6" s="1"/>
  <c r="C87" i="6" s="1"/>
  <c r="I17" i="6"/>
  <c r="I33" i="6"/>
  <c r="C88" i="6" l="1"/>
  <c r="O2" i="5"/>
  <c r="I28" i="6"/>
  <c r="I34" i="6"/>
  <c r="C89" i="6" l="1"/>
  <c r="C95" i="6"/>
  <c r="C96" i="6" s="1"/>
  <c r="C97" i="6" s="1"/>
  <c r="C98" i="6" s="1"/>
  <c r="I29" i="6"/>
  <c r="G3" i="6"/>
  <c r="I37" i="6"/>
  <c r="C90" i="6" l="1"/>
  <c r="C91" i="6" s="1"/>
  <c r="C92" i="6" s="1"/>
  <c r="C141" i="6"/>
  <c r="C143" i="6" s="1"/>
  <c r="C150" i="6" s="1"/>
  <c r="C151" i="6" s="1"/>
  <c r="C169" i="6" s="1"/>
  <c r="C176" i="6" s="1"/>
  <c r="C177" i="6" s="1"/>
  <c r="C178" i="6" s="1"/>
  <c r="C179" i="6" s="1"/>
  <c r="I30" i="6"/>
  <c r="C93" i="6" l="1"/>
  <c r="C239" i="6"/>
  <c r="C242" i="6" s="1"/>
  <c r="C243" i="6" s="1"/>
  <c r="I31" i="6"/>
  <c r="C94" i="6" l="1"/>
  <c r="C100" i="6"/>
  <c r="C106" i="6" s="1"/>
  <c r="I32" i="6"/>
  <c r="C107" i="6" l="1"/>
  <c r="I36" i="6"/>
  <c r="C108" i="6" l="1"/>
  <c r="I39" i="6"/>
  <c r="C109" i="6" l="1"/>
  <c r="G4" i="6"/>
  <c r="I40" i="6"/>
  <c r="C112" i="6" l="1"/>
  <c r="C180" i="6" s="1"/>
  <c r="G5" i="6"/>
  <c r="I41" i="6"/>
  <c r="C181" i="6" l="1"/>
  <c r="G7" i="6"/>
  <c r="G6" i="6"/>
  <c r="G8" i="6"/>
  <c r="I42" i="6"/>
  <c r="C182" i="6" l="1"/>
  <c r="C183" i="6" s="1"/>
  <c r="C184" i="6" s="1"/>
  <c r="C185" i="6" s="1"/>
  <c r="C186" i="6" s="1"/>
  <c r="I43" i="6"/>
  <c r="G9" i="6"/>
  <c r="I44" i="6"/>
  <c r="C187" i="6" l="1"/>
  <c r="C188" i="6" s="1"/>
  <c r="C189" i="6" s="1"/>
  <c r="G10" i="6"/>
  <c r="G11" i="6"/>
  <c r="I45" i="6"/>
  <c r="C190" i="6" l="1"/>
  <c r="C191" i="6"/>
  <c r="I46" i="6"/>
  <c r="G12" i="6"/>
  <c r="I113" i="6"/>
  <c r="C192" i="6" l="1"/>
  <c r="C193" i="6" s="1"/>
  <c r="I47" i="6"/>
  <c r="I118" i="6"/>
  <c r="C194" i="6" l="1"/>
  <c r="I48" i="6"/>
  <c r="I122" i="6"/>
  <c r="I162" i="6"/>
  <c r="I163" i="6" s="1"/>
  <c r="I164" i="6" s="1"/>
  <c r="I165" i="6" s="1"/>
  <c r="I166" i="6" s="1"/>
  <c r="I167" i="6" s="1"/>
  <c r="I168" i="6" s="1"/>
  <c r="C236" i="6" l="1"/>
  <c r="C195" i="6"/>
  <c r="C196" i="6" s="1"/>
  <c r="C197" i="6" s="1"/>
  <c r="C198" i="6" s="1"/>
  <c r="C199" i="6" s="1"/>
  <c r="C200" i="6" s="1"/>
  <c r="C201" i="6" s="1"/>
  <c r="C202" i="6" s="1"/>
  <c r="C203" i="6" s="1"/>
  <c r="C204" i="6" s="1"/>
  <c r="C205" i="6" s="1"/>
  <c r="C206" i="6" s="1"/>
  <c r="C207" i="6" s="1"/>
  <c r="C208" i="6" s="1"/>
  <c r="C209" i="6" s="1"/>
  <c r="C210" i="6" s="1"/>
  <c r="C211" i="6" s="1"/>
  <c r="C212" i="6" s="1"/>
  <c r="C213" i="6" s="1"/>
  <c r="C214" i="6" s="1"/>
  <c r="C215" i="6" s="1"/>
  <c r="C216" i="6" s="1"/>
  <c r="C217" i="6" s="1"/>
  <c r="C218" i="6" s="1"/>
  <c r="C219" i="6" s="1"/>
  <c r="C220" i="6" s="1"/>
  <c r="C221" i="6" s="1"/>
  <c r="C222" i="6" s="1"/>
  <c r="C223" i="6" s="1"/>
  <c r="C224" i="6" s="1"/>
  <c r="C225" i="6" s="1"/>
  <c r="C226" i="6" s="1"/>
  <c r="C227" i="6" s="1"/>
  <c r="C228" i="6" s="1"/>
  <c r="C234" i="6" s="1"/>
  <c r="O5" i="5"/>
  <c r="I49" i="6"/>
  <c r="I50" i="6" s="1"/>
  <c r="C244" i="6" l="1"/>
  <c r="I51" i="6"/>
  <c r="C245" i="6" l="1"/>
  <c r="I52" i="6"/>
  <c r="C246" i="6" l="1"/>
  <c r="I53" i="6"/>
  <c r="I115" i="6"/>
  <c r="I116" i="6" s="1"/>
  <c r="C247" i="6" l="1"/>
  <c r="I54" i="6"/>
  <c r="I124" i="6"/>
  <c r="I125" i="6" s="1"/>
  <c r="I126" i="6" s="1"/>
  <c r="I127" i="6" s="1"/>
  <c r="I128" i="6" s="1"/>
  <c r="I129" i="6" s="1"/>
  <c r="I130" i="6" s="1"/>
  <c r="I131" i="6" s="1"/>
  <c r="I132" i="6" s="1"/>
  <c r="I133" i="6" s="1"/>
  <c r="I134" i="6" s="1"/>
  <c r="I135" i="6" s="1"/>
  <c r="I136" i="6" s="1"/>
  <c r="C248" i="6" l="1"/>
  <c r="O11" i="5"/>
  <c r="I55" i="6"/>
  <c r="I56" i="6" s="1"/>
  <c r="G20" i="6"/>
  <c r="C249" i="6" l="1"/>
  <c r="O13" i="5"/>
  <c r="I57" i="6"/>
  <c r="O14" i="5" s="1"/>
  <c r="C250" i="6" l="1"/>
  <c r="I58" i="6"/>
  <c r="C251" i="6" l="1"/>
  <c r="O15" i="5"/>
  <c r="I59" i="6"/>
  <c r="I110" i="6"/>
  <c r="C259" i="6" l="1"/>
  <c r="C252" i="6"/>
  <c r="C253" i="6" s="1"/>
  <c r="C254" i="6" s="1"/>
  <c r="C255" i="6" s="1"/>
  <c r="C256" i="6"/>
  <c r="C257" i="6" s="1"/>
  <c r="C258" i="6" s="1"/>
  <c r="I60" i="6"/>
  <c r="O16" i="5"/>
  <c r="I111" i="6"/>
  <c r="C260" i="6" l="1"/>
  <c r="C261" i="6"/>
  <c r="C262" i="6" s="1"/>
  <c r="C263" i="6" s="1"/>
  <c r="C264" i="6" s="1"/>
  <c r="I61" i="6"/>
  <c r="O17" i="5"/>
  <c r="C265" i="6" l="1"/>
  <c r="C266" i="6" s="1"/>
  <c r="C267" i="6" s="1"/>
  <c r="C268" i="6" s="1"/>
  <c r="C269" i="6" s="1"/>
  <c r="C270" i="6" s="1"/>
  <c r="C271" i="6" s="1"/>
  <c r="C272" i="6" s="1"/>
  <c r="C273" i="6" s="1"/>
  <c r="C274" i="6" s="1"/>
  <c r="C275" i="6" s="1"/>
  <c r="C276" i="6" s="1"/>
  <c r="C277" i="6" s="1"/>
  <c r="C278" i="6" s="1"/>
  <c r="C279" i="6" s="1"/>
  <c r="C280" i="6" s="1"/>
  <c r="C281" i="6" s="1"/>
  <c r="C282" i="6" s="1"/>
  <c r="C283" i="6" s="1"/>
  <c r="C284" i="6" s="1"/>
  <c r="C285" i="6" s="1"/>
  <c r="C286" i="6" s="1"/>
  <c r="C287" i="6" s="1"/>
  <c r="C288" i="6" s="1"/>
  <c r="C289" i="6" s="1"/>
  <c r="C290" i="6" s="1"/>
  <c r="C291" i="6" s="1"/>
  <c r="C292" i="6" s="1"/>
  <c r="C293" i="6" s="1"/>
  <c r="C294" i="6" s="1"/>
  <c r="C295" i="6" s="1"/>
  <c r="C296" i="6" s="1"/>
  <c r="C297" i="6" s="1"/>
  <c r="C298" i="6" s="1"/>
  <c r="C299" i="6" s="1"/>
  <c r="C300" i="6" s="1"/>
  <c r="C301" i="6" s="1"/>
  <c r="C302" i="6" s="1"/>
  <c r="C303" i="6" s="1"/>
  <c r="C304" i="6" s="1"/>
  <c r="C305" i="6" s="1"/>
  <c r="C306" i="6" s="1"/>
  <c r="C307" i="6" s="1"/>
  <c r="C308" i="6" s="1"/>
  <c r="C309" i="6" s="1"/>
  <c r="C310" i="6" s="1"/>
  <c r="C311" i="6" s="1"/>
  <c r="C312" i="6" s="1"/>
  <c r="C313" i="6" s="1"/>
  <c r="C314" i="6" s="1"/>
  <c r="C315" i="6" s="1"/>
  <c r="C316" i="6" s="1"/>
  <c r="C317" i="6" s="1"/>
  <c r="C318" i="6" s="1"/>
  <c r="C319" i="6" s="1"/>
  <c r="C320" i="6" s="1"/>
  <c r="C321" i="6" s="1"/>
  <c r="C322" i="6" s="1"/>
  <c r="C323" i="6" s="1"/>
  <c r="C324" i="6" s="1"/>
  <c r="C325" i="6" s="1"/>
  <c r="C326" i="6" s="1"/>
  <c r="C327" i="6" s="1"/>
  <c r="C328" i="6" s="1"/>
  <c r="C329" i="6" s="1"/>
  <c r="C330" i="6" s="1"/>
  <c r="C331" i="6" s="1"/>
  <c r="C332" i="6" s="1"/>
  <c r="C333" i="6" s="1"/>
  <c r="C334" i="6" s="1"/>
  <c r="C335" i="6" s="1"/>
  <c r="C336" i="6" s="1"/>
  <c r="C337" i="6" s="1"/>
  <c r="C338" i="6" s="1"/>
  <c r="C339" i="6" s="1"/>
  <c r="C340" i="6" s="1"/>
  <c r="C341" i="6" s="1"/>
  <c r="C342" i="6" s="1"/>
  <c r="C343" i="6" s="1"/>
  <c r="C344" i="6" s="1"/>
  <c r="C345" i="6" s="1"/>
  <c r="C346" i="6" s="1"/>
  <c r="C347" i="6" s="1"/>
  <c r="C348" i="6" s="1"/>
  <c r="C349" i="6" s="1"/>
  <c r="C350" i="6" s="1"/>
  <c r="C351" i="6" s="1"/>
  <c r="C352" i="6" s="1"/>
  <c r="C353" i="6" s="1"/>
  <c r="C354" i="6" s="1"/>
  <c r="C355" i="6" s="1"/>
  <c r="C356" i="6" s="1"/>
  <c r="C357" i="6" s="1"/>
  <c r="C358" i="6" s="1"/>
  <c r="C359" i="6" s="1"/>
  <c r="C360" i="6" s="1"/>
  <c r="C361" i="6" s="1"/>
  <c r="C362" i="6" s="1"/>
  <c r="C363" i="6" s="1"/>
  <c r="C364" i="6" s="1"/>
  <c r="C365" i="6" s="1"/>
  <c r="C366" i="6" s="1"/>
  <c r="C367" i="6" s="1"/>
  <c r="C368" i="6" s="1"/>
  <c r="C369" i="6" s="1"/>
  <c r="C370" i="6" s="1"/>
  <c r="C371" i="6" s="1"/>
  <c r="C372" i="6" s="1"/>
  <c r="C373" i="6" s="1"/>
  <c r="C374" i="6" s="1"/>
  <c r="C375" i="6" s="1"/>
  <c r="C376" i="6" s="1"/>
  <c r="C377" i="6" s="1"/>
  <c r="C378" i="6" s="1"/>
  <c r="C379" i="6" s="1"/>
  <c r="C380" i="6" s="1"/>
  <c r="C381" i="6" s="1"/>
  <c r="C382" i="6" s="1"/>
  <c r="C383" i="6" s="1"/>
  <c r="C384" i="6" s="1"/>
  <c r="C385" i="6" s="1"/>
  <c r="C386" i="6" s="1"/>
  <c r="C387" i="6" s="1"/>
  <c r="C388" i="6" s="1"/>
  <c r="C389" i="6" s="1"/>
  <c r="C390" i="6" s="1"/>
  <c r="C391" i="6" s="1"/>
  <c r="C392" i="6" s="1"/>
  <c r="C393" i="6" s="1"/>
  <c r="C394" i="6" s="1"/>
  <c r="C395" i="6" s="1"/>
  <c r="C396" i="6" s="1"/>
  <c r="C397" i="6" s="1"/>
  <c r="C398" i="6" s="1"/>
  <c r="C399" i="6" s="1"/>
  <c r="C400" i="6" s="1"/>
  <c r="C401" i="6" s="1"/>
  <c r="C402" i="6" s="1"/>
  <c r="C403" i="6" s="1"/>
  <c r="C404" i="6" s="1"/>
  <c r="C405" i="6" s="1"/>
  <c r="C406" i="6" s="1"/>
  <c r="C407" i="6" s="1"/>
  <c r="C408" i="6" s="1"/>
  <c r="C409" i="6" s="1"/>
  <c r="C410" i="6" s="1"/>
  <c r="C411" i="6" s="1"/>
  <c r="C412" i="6" s="1"/>
  <c r="C413" i="6" s="1"/>
  <c r="C414" i="6" s="1"/>
  <c r="C415" i="6" s="1"/>
  <c r="C416" i="6" s="1"/>
  <c r="C417" i="6" s="1"/>
  <c r="C418" i="6" s="1"/>
  <c r="C419" i="6" s="1"/>
  <c r="C420" i="6" s="1"/>
  <c r="C421" i="6" s="1"/>
  <c r="C422" i="6" s="1"/>
  <c r="C423" i="6" s="1"/>
  <c r="C424" i="6" s="1"/>
  <c r="C425" i="6" s="1"/>
  <c r="C426" i="6" s="1"/>
  <c r="C427" i="6" s="1"/>
  <c r="C428" i="6" s="1"/>
  <c r="C429" i="6" s="1"/>
  <c r="C430" i="6" s="1"/>
  <c r="C431" i="6" s="1"/>
  <c r="C432" i="6" s="1"/>
  <c r="C433" i="6" s="1"/>
  <c r="C434" i="6" s="1"/>
  <c r="C435" i="6" s="1"/>
  <c r="C436" i="6" s="1"/>
  <c r="C437" i="6" s="1"/>
  <c r="C438" i="6" s="1"/>
  <c r="C439" i="6" s="1"/>
  <c r="C440" i="6" s="1"/>
  <c r="C441" i="6" s="1"/>
  <c r="C442" i="6" s="1"/>
  <c r="C443" i="6" s="1"/>
  <c r="C444" i="6" s="1"/>
  <c r="C445" i="6" s="1"/>
  <c r="C446" i="6" s="1"/>
  <c r="C447" i="6" s="1"/>
  <c r="C448" i="6" s="1"/>
  <c r="C449" i="6" s="1"/>
  <c r="C450" i="6" s="1"/>
  <c r="C451" i="6" s="1"/>
  <c r="C452" i="6" s="1"/>
  <c r="C453" i="6" s="1"/>
  <c r="C454" i="6" s="1"/>
  <c r="C455" i="6" s="1"/>
  <c r="C456" i="6" s="1"/>
  <c r="C457" i="6" s="1"/>
  <c r="C458" i="6" s="1"/>
  <c r="C459" i="6" s="1"/>
  <c r="C460" i="6" s="1"/>
  <c r="C461" i="6" s="1"/>
  <c r="C462" i="6" s="1"/>
  <c r="C463" i="6" s="1"/>
  <c r="C464" i="6" s="1"/>
  <c r="C465" i="6" s="1"/>
  <c r="C466" i="6" s="1"/>
  <c r="C467" i="6" s="1"/>
  <c r="C468" i="6" s="1"/>
  <c r="C469" i="6" s="1"/>
  <c r="C470" i="6" s="1"/>
  <c r="C471" i="6" s="1"/>
  <c r="C472" i="6" s="1"/>
  <c r="C473" i="6" s="1"/>
  <c r="C474" i="6" s="1"/>
  <c r="C475" i="6" s="1"/>
  <c r="C476" i="6" s="1"/>
  <c r="C477" i="6" s="1"/>
  <c r="C478" i="6" s="1"/>
  <c r="C479" i="6" s="1"/>
  <c r="C480" i="6" s="1"/>
  <c r="C481" i="6" s="1"/>
  <c r="C482" i="6" s="1"/>
  <c r="C483" i="6" s="1"/>
  <c r="C484" i="6" s="1"/>
  <c r="C485" i="6" s="1"/>
  <c r="C486" i="6" s="1"/>
  <c r="C487" i="6" s="1"/>
  <c r="C488" i="6" s="1"/>
  <c r="C489" i="6" s="1"/>
  <c r="C490" i="6" s="1"/>
  <c r="C491" i="6" s="1"/>
  <c r="C492" i="6" s="1"/>
  <c r="C493" i="6" s="1"/>
  <c r="C494" i="6" s="1"/>
  <c r="C495" i="6" s="1"/>
  <c r="C496" i="6" s="1"/>
  <c r="C497" i="6" s="1"/>
  <c r="C498" i="6" s="1"/>
  <c r="C499" i="6" s="1"/>
  <c r="C500" i="6" s="1"/>
  <c r="C501" i="6" s="1"/>
  <c r="C502" i="6" s="1"/>
  <c r="C503" i="6" s="1"/>
  <c r="C504" i="6" s="1"/>
  <c r="C505" i="6" s="1"/>
  <c r="C506" i="6" s="1"/>
  <c r="C507" i="6" s="1"/>
  <c r="C508" i="6" s="1"/>
  <c r="C509" i="6" s="1"/>
  <c r="C510" i="6" s="1"/>
  <c r="C511" i="6" s="1"/>
  <c r="C512" i="6" s="1"/>
  <c r="C513" i="6" s="1"/>
  <c r="C514" i="6" s="1"/>
  <c r="C515" i="6" s="1"/>
  <c r="C516" i="6" s="1"/>
  <c r="C517" i="6" s="1"/>
  <c r="C518" i="6" s="1"/>
  <c r="C519" i="6" s="1"/>
  <c r="C520" i="6" s="1"/>
  <c r="C521" i="6" s="1"/>
  <c r="C522" i="6" s="1"/>
  <c r="C523" i="6" s="1"/>
  <c r="C524" i="6" s="1"/>
  <c r="C525" i="6" s="1"/>
  <c r="C526" i="6" s="1"/>
  <c r="C527" i="6" s="1"/>
  <c r="C528" i="6" s="1"/>
  <c r="C529" i="6" s="1"/>
  <c r="C530" i="6" s="1"/>
  <c r="C531" i="6" s="1"/>
  <c r="C532" i="6" s="1"/>
  <c r="C533" i="6" s="1"/>
  <c r="C534" i="6" s="1"/>
  <c r="C535" i="6" s="1"/>
  <c r="C536" i="6" s="1"/>
  <c r="C537" i="6" s="1"/>
  <c r="C538" i="6" s="1"/>
  <c r="C539" i="6" s="1"/>
  <c r="C540" i="6" s="1"/>
  <c r="C541" i="6" s="1"/>
  <c r="C542" i="6" s="1"/>
  <c r="C543" i="6" s="1"/>
  <c r="C544" i="6" s="1"/>
  <c r="C545" i="6" s="1"/>
  <c r="C546" i="6" s="1"/>
  <c r="C547" i="6" s="1"/>
  <c r="C548" i="6" s="1"/>
  <c r="C549" i="6" s="1"/>
  <c r="C550" i="6" s="1"/>
  <c r="C551" i="6" s="1"/>
  <c r="C552" i="6" s="1"/>
  <c r="C553" i="6" s="1"/>
  <c r="C554" i="6" s="1"/>
  <c r="C555" i="6" s="1"/>
  <c r="C556" i="6" s="1"/>
  <c r="C557" i="6" s="1"/>
  <c r="C558" i="6" s="1"/>
  <c r="C559" i="6" s="1"/>
  <c r="C560" i="6" s="1"/>
  <c r="C561" i="6" s="1"/>
  <c r="C562" i="6" s="1"/>
  <c r="C563" i="6" s="1"/>
  <c r="C564" i="6" s="1"/>
  <c r="C565" i="6" s="1"/>
  <c r="C566" i="6" s="1"/>
  <c r="C567" i="6" s="1"/>
  <c r="C568" i="6" s="1"/>
  <c r="C569" i="6" s="1"/>
  <c r="C570" i="6" s="1"/>
  <c r="C571" i="6" s="1"/>
  <c r="C572" i="6" s="1"/>
  <c r="C573" i="6" s="1"/>
  <c r="C574" i="6" s="1"/>
  <c r="C575" i="6" s="1"/>
  <c r="C576" i="6" s="1"/>
  <c r="C577" i="6" s="1"/>
  <c r="C578" i="6" s="1"/>
  <c r="C579" i="6" s="1"/>
  <c r="C580" i="6" s="1"/>
  <c r="C581" i="6" s="1"/>
  <c r="C601" i="6" s="1"/>
  <c r="C602" i="6" s="1"/>
  <c r="C603" i="6" s="1"/>
  <c r="C604" i="6" s="1"/>
  <c r="C608" i="6" s="1"/>
  <c r="C609" i="6" s="1"/>
  <c r="C610" i="6" s="1"/>
  <c r="C611" i="6" s="1"/>
  <c r="C640" i="6" s="1"/>
  <c r="C641" i="6" s="1"/>
  <c r="C642" i="6" s="1"/>
  <c r="O18" i="5"/>
  <c r="I62" i="6"/>
  <c r="I117" i="6"/>
  <c r="I63" i="6" l="1"/>
  <c r="I64" i="6" s="1"/>
  <c r="I120" i="6"/>
  <c r="I137" i="6" s="1"/>
  <c r="I138" i="6" s="1"/>
  <c r="I139" i="6" s="1"/>
  <c r="I140" i="6" s="1"/>
  <c r="I65" i="6" l="1"/>
  <c r="O12" i="5"/>
  <c r="O19" i="5"/>
  <c r="O20" i="5"/>
  <c r="O22" i="5"/>
  <c r="O21" i="5"/>
  <c r="I66" i="6" l="1"/>
  <c r="O23" i="5" s="1"/>
  <c r="I67" i="6"/>
  <c r="O24" i="5" l="1"/>
  <c r="I68" i="6"/>
  <c r="G17" i="6"/>
  <c r="G18" i="6"/>
  <c r="G15" i="6"/>
  <c r="G14" i="6"/>
  <c r="G13" i="6"/>
  <c r="G16" i="6"/>
  <c r="G19" i="6"/>
  <c r="I69" i="6" l="1"/>
  <c r="O26" i="5" s="1"/>
  <c r="O25" i="5"/>
  <c r="I70" i="6"/>
  <c r="G29" i="6"/>
  <c r="G23" i="6"/>
  <c r="G26" i="6"/>
  <c r="G32" i="6"/>
  <c r="G27" i="6"/>
  <c r="G24" i="6"/>
  <c r="G30" i="6"/>
  <c r="G28" i="6"/>
  <c r="G35" i="6"/>
  <c r="G36" i="6"/>
  <c r="G34" i="6"/>
  <c r="G25" i="6"/>
  <c r="G31" i="6"/>
  <c r="G33" i="6"/>
  <c r="O27" i="5" l="1"/>
  <c r="I71" i="6"/>
  <c r="G52" i="6"/>
  <c r="G66" i="6"/>
  <c r="G42" i="6"/>
  <c r="G64" i="6"/>
  <c r="G44" i="6"/>
  <c r="G56" i="6"/>
  <c r="G61" i="6"/>
  <c r="G58" i="6"/>
  <c r="G60" i="6"/>
  <c r="G55" i="6"/>
  <c r="G46" i="6"/>
  <c r="G41" i="6"/>
  <c r="G62" i="6"/>
  <c r="G48" i="6"/>
  <c r="G39" i="6"/>
  <c r="G45" i="6"/>
  <c r="G63" i="6"/>
  <c r="G51" i="6"/>
  <c r="G65" i="6"/>
  <c r="G43" i="6"/>
  <c r="G54" i="6"/>
  <c r="G59" i="6"/>
  <c r="G67" i="6"/>
  <c r="G49" i="6"/>
  <c r="G38" i="6"/>
  <c r="G40" i="6"/>
  <c r="G37" i="6"/>
  <c r="G50" i="6"/>
  <c r="G53" i="6"/>
  <c r="G57" i="6"/>
  <c r="G68" i="6"/>
  <c r="G47" i="6"/>
  <c r="G22" i="6"/>
  <c r="G21" i="6"/>
  <c r="I72" i="6" l="1"/>
  <c r="O28" i="5"/>
  <c r="O29" i="5"/>
  <c r="I73" i="6"/>
  <c r="I74" i="6" l="1"/>
  <c r="O30" i="5"/>
  <c r="O31" i="5"/>
  <c r="G69" i="6"/>
  <c r="G70" i="6"/>
  <c r="I75" i="6" l="1"/>
  <c r="I76" i="6"/>
  <c r="O32" i="5"/>
  <c r="O33" i="5"/>
  <c r="I77" i="6"/>
  <c r="I95" i="6"/>
  <c r="I78" i="6" l="1"/>
  <c r="I79" i="6" s="1"/>
  <c r="O34" i="5"/>
  <c r="I96" i="6"/>
  <c r="G72" i="6"/>
  <c r="G71" i="6"/>
  <c r="I170" i="6"/>
  <c r="I171" i="6" s="1"/>
  <c r="I172" i="6" s="1"/>
  <c r="I173" i="6" s="1"/>
  <c r="I174" i="6" s="1"/>
  <c r="I175" i="6" s="1"/>
  <c r="O35" i="5" l="1"/>
  <c r="I80" i="6"/>
  <c r="O36" i="5"/>
  <c r="I97" i="6"/>
  <c r="I169" i="6"/>
  <c r="I81" i="6" l="1"/>
  <c r="O37" i="5"/>
  <c r="I82" i="6"/>
  <c r="O39" i="5"/>
  <c r="I176" i="6"/>
  <c r="I98" i="6"/>
  <c r="G73" i="6"/>
  <c r="I83" i="6" l="1"/>
  <c r="O40" i="5" s="1"/>
  <c r="I99" i="6"/>
  <c r="I177" i="6"/>
  <c r="G74" i="6"/>
  <c r="I84" i="6" l="1"/>
  <c r="I141" i="6"/>
  <c r="I142" i="6" s="1"/>
  <c r="I143" i="6" s="1"/>
  <c r="I144" i="6" s="1"/>
  <c r="I145" i="6" s="1"/>
  <c r="I146" i="6" s="1"/>
  <c r="I147" i="6" s="1"/>
  <c r="I148" i="6" s="1"/>
  <c r="I149" i="6" s="1"/>
  <c r="I150" i="6" s="1"/>
  <c r="I151" i="6" s="1"/>
  <c r="I152" i="6" s="1"/>
  <c r="I153" i="6" s="1"/>
  <c r="I154" i="6" s="1"/>
  <c r="I155" i="6" s="1"/>
  <c r="I156" i="6" s="1"/>
  <c r="I160" i="6" s="1"/>
  <c r="I161" i="6" s="1"/>
  <c r="I178" i="6"/>
  <c r="G75" i="6"/>
  <c r="O41" i="5" l="1"/>
  <c r="I85" i="6"/>
  <c r="I86" i="6"/>
  <c r="I179" i="6"/>
  <c r="G199" i="6"/>
  <c r="G350" i="6"/>
  <c r="G424" i="6"/>
  <c r="G163" i="6"/>
  <c r="G307" i="6"/>
  <c r="G317" i="6"/>
  <c r="G337" i="6"/>
  <c r="G329" i="6"/>
  <c r="G143" i="6"/>
  <c r="G95" i="6"/>
  <c r="G373" i="6"/>
  <c r="G459" i="6"/>
  <c r="G362" i="6"/>
  <c r="G321" i="6"/>
  <c r="G323" i="6"/>
  <c r="G397" i="6"/>
  <c r="G249" i="6"/>
  <c r="G413" i="6"/>
  <c r="G140" i="6"/>
  <c r="G425" i="6"/>
  <c r="G289" i="6"/>
  <c r="G346" i="6"/>
  <c r="G88" i="6"/>
  <c r="G436" i="6"/>
  <c r="G349" i="6"/>
  <c r="G465" i="6"/>
  <c r="G79" i="6"/>
  <c r="G101" i="6"/>
  <c r="G445" i="6"/>
  <c r="G126" i="6"/>
  <c r="G194" i="6"/>
  <c r="G315" i="6"/>
  <c r="G412" i="6"/>
  <c r="G372" i="6"/>
  <c r="G262" i="6"/>
  <c r="G226" i="6"/>
  <c r="G457" i="6"/>
  <c r="G421" i="6"/>
  <c r="G432" i="6"/>
  <c r="G417" i="6"/>
  <c r="G190" i="6"/>
  <c r="G93" i="6"/>
  <c r="G365" i="6"/>
  <c r="G205" i="6"/>
  <c r="G404" i="6"/>
  <c r="G426" i="6"/>
  <c r="G352" i="6"/>
  <c r="G482" i="6"/>
  <c r="G117" i="6"/>
  <c r="G267" i="6"/>
  <c r="G414" i="6"/>
  <c r="G466" i="6"/>
  <c r="G197" i="6"/>
  <c r="G314" i="6"/>
  <c r="G164" i="6"/>
  <c r="G488" i="6"/>
  <c r="G152" i="6"/>
  <c r="G338" i="6"/>
  <c r="G430" i="6"/>
  <c r="G402" i="6"/>
  <c r="G149" i="6"/>
  <c r="G158" i="6"/>
  <c r="G490" i="6"/>
  <c r="G477" i="6"/>
  <c r="G241" i="6"/>
  <c r="G84" i="6"/>
  <c r="G388" i="6"/>
  <c r="G336" i="6"/>
  <c r="G97" i="6"/>
  <c r="G281" i="6"/>
  <c r="G203" i="6"/>
  <c r="G242" i="6"/>
  <c r="G318" i="6"/>
  <c r="G283" i="6"/>
  <c r="G406" i="6"/>
  <c r="G448" i="6"/>
  <c r="G437" i="6"/>
  <c r="G181" i="6"/>
  <c r="G298" i="6"/>
  <c r="G435" i="6"/>
  <c r="G360" i="6"/>
  <c r="G473" i="6"/>
  <c r="G416" i="6"/>
  <c r="G256" i="6"/>
  <c r="G165" i="6"/>
  <c r="G454" i="6"/>
  <c r="G153" i="6"/>
  <c r="G433" i="6"/>
  <c r="G224" i="6"/>
  <c r="G316" i="6"/>
  <c r="G287" i="6"/>
  <c r="G135" i="6"/>
  <c r="G244" i="6"/>
  <c r="G427" i="6"/>
  <c r="G297" i="6"/>
  <c r="G209" i="6"/>
  <c r="G220" i="6"/>
  <c r="G489" i="6"/>
  <c r="G452" i="6"/>
  <c r="G132" i="6"/>
  <c r="G328" i="6"/>
  <c r="G253" i="6"/>
  <c r="G185" i="6"/>
  <c r="G472" i="6"/>
  <c r="G258" i="6"/>
  <c r="G127" i="6"/>
  <c r="G366" i="6"/>
  <c r="G239" i="6"/>
  <c r="G443" i="6"/>
  <c r="G295" i="6"/>
  <c r="G322" i="6"/>
  <c r="G173" i="6"/>
  <c r="G151" i="6"/>
  <c r="G325" i="6"/>
  <c r="G330" i="6"/>
  <c r="G86" i="6"/>
  <c r="G243" i="6"/>
  <c r="G110" i="6"/>
  <c r="G131" i="6"/>
  <c r="G405" i="6"/>
  <c r="G434" i="6"/>
  <c r="G480" i="6"/>
  <c r="G286" i="6"/>
  <c r="G229" i="6"/>
  <c r="G198" i="6"/>
  <c r="G221" i="6"/>
  <c r="G196" i="6"/>
  <c r="G136" i="6"/>
  <c r="G410" i="6"/>
  <c r="G319" i="6"/>
  <c r="G162" i="6"/>
  <c r="G206" i="6"/>
  <c r="G247" i="6"/>
  <c r="G123" i="6"/>
  <c r="G83" i="6"/>
  <c r="G183" i="6"/>
  <c r="G214" i="6"/>
  <c r="G401" i="6"/>
  <c r="G147" i="6"/>
  <c r="G422" i="6"/>
  <c r="G161" i="6"/>
  <c r="G234" i="6"/>
  <c r="G150" i="6"/>
  <c r="G218" i="6"/>
  <c r="G382" i="6"/>
  <c r="G128" i="6"/>
  <c r="G495" i="6"/>
  <c r="G155" i="6"/>
  <c r="G82" i="6"/>
  <c r="G230" i="6"/>
  <c r="G450" i="6"/>
  <c r="G280" i="6"/>
  <c r="G391" i="6"/>
  <c r="G409" i="6"/>
  <c r="G171" i="6"/>
  <c r="G202" i="6"/>
  <c r="G288" i="6"/>
  <c r="G327" i="6"/>
  <c r="G109" i="6"/>
  <c r="G403" i="6"/>
  <c r="G303" i="6"/>
  <c r="G251" i="6"/>
  <c r="G266" i="6"/>
  <c r="G227" i="6"/>
  <c r="G390" i="6"/>
  <c r="G269" i="6"/>
  <c r="G353" i="6"/>
  <c r="G237" i="6"/>
  <c r="G486" i="6"/>
  <c r="G87" i="6"/>
  <c r="G449" i="6"/>
  <c r="G386" i="6"/>
  <c r="G407" i="6"/>
  <c r="G248" i="6"/>
  <c r="G273" i="6"/>
  <c r="G85" i="6"/>
  <c r="G347" i="6"/>
  <c r="G392" i="6"/>
  <c r="G268" i="6"/>
  <c r="G92" i="6"/>
  <c r="G332" i="6"/>
  <c r="G81" i="6"/>
  <c r="G124" i="6"/>
  <c r="G145" i="6"/>
  <c r="G160" i="6"/>
  <c r="G383" i="6"/>
  <c r="G470" i="6"/>
  <c r="G411" i="6"/>
  <c r="G186" i="6"/>
  <c r="G498" i="6"/>
  <c r="G223" i="6"/>
  <c r="G468" i="6"/>
  <c r="G296" i="6"/>
  <c r="G195" i="6"/>
  <c r="G271" i="6"/>
  <c r="G333" i="6"/>
  <c r="G496" i="6"/>
  <c r="G487" i="6"/>
  <c r="G89" i="6"/>
  <c r="G310" i="6"/>
  <c r="G379" i="6"/>
  <c r="G479" i="6"/>
  <c r="G137" i="6"/>
  <c r="G476" i="6"/>
  <c r="G370" i="6"/>
  <c r="G129" i="6"/>
  <c r="G312" i="6"/>
  <c r="G282" i="6"/>
  <c r="G438" i="6"/>
  <c r="G272" i="6"/>
  <c r="G491" i="6"/>
  <c r="G344" i="6"/>
  <c r="G277" i="6"/>
  <c r="G351" i="6"/>
  <c r="G308" i="6"/>
  <c r="G76" i="6"/>
  <c r="G114" i="6"/>
  <c r="G429" i="6"/>
  <c r="G210" i="6"/>
  <c r="G125" i="6"/>
  <c r="G261" i="6"/>
  <c r="G395" i="6"/>
  <c r="G254" i="6"/>
  <c r="G175" i="6"/>
  <c r="G342" i="6"/>
  <c r="G192" i="6"/>
  <c r="G462" i="6"/>
  <c r="G389" i="6"/>
  <c r="G292" i="6"/>
  <c r="G139" i="6"/>
  <c r="G91" i="6"/>
  <c r="G235" i="6"/>
  <c r="G418" i="6"/>
  <c r="G222" i="6"/>
  <c r="G377" i="6"/>
  <c r="G231" i="6"/>
  <c r="G439" i="6"/>
  <c r="G215" i="6"/>
  <c r="G374" i="6"/>
  <c r="G324" i="6"/>
  <c r="G340" i="6"/>
  <c r="G313" i="6"/>
  <c r="G134" i="6"/>
  <c r="G343" i="6"/>
  <c r="G453" i="6"/>
  <c r="G357" i="6"/>
  <c r="G441" i="6"/>
  <c r="G225" i="6"/>
  <c r="G113" i="6"/>
  <c r="G469" i="6"/>
  <c r="G138" i="6"/>
  <c r="G216" i="6"/>
  <c r="G157" i="6"/>
  <c r="G456" i="6"/>
  <c r="G290" i="6"/>
  <c r="G446" i="6"/>
  <c r="G279" i="6"/>
  <c r="G471" i="6"/>
  <c r="G115" i="6"/>
  <c r="G141" i="6"/>
  <c r="G275" i="6"/>
  <c r="G320" i="6"/>
  <c r="G263" i="6"/>
  <c r="G396" i="6"/>
  <c r="G180" i="6"/>
  <c r="G201" i="6"/>
  <c r="G334" i="6"/>
  <c r="G442" i="6"/>
  <c r="G102" i="6"/>
  <c r="G121" i="6"/>
  <c r="G240" i="6"/>
  <c r="G154" i="6"/>
  <c r="G447" i="6"/>
  <c r="G309" i="6"/>
  <c r="G169" i="6"/>
  <c r="G228" i="6"/>
  <c r="G494" i="6"/>
  <c r="G300" i="6"/>
  <c r="G299" i="6"/>
  <c r="G276" i="6"/>
  <c r="G461" i="6"/>
  <c r="G78" i="6"/>
  <c r="G359" i="6"/>
  <c r="G119" i="6"/>
  <c r="G213" i="6"/>
  <c r="G384" i="6"/>
  <c r="G193" i="6"/>
  <c r="G264" i="6"/>
  <c r="G341" i="6"/>
  <c r="G170" i="6"/>
  <c r="G293" i="6"/>
  <c r="G284" i="6"/>
  <c r="G108" i="6"/>
  <c r="G133" i="6"/>
  <c r="G208" i="6"/>
  <c r="G451" i="6"/>
  <c r="G483" i="6"/>
  <c r="G306" i="6"/>
  <c r="G381" i="6"/>
  <c r="G294" i="6"/>
  <c r="G354" i="6"/>
  <c r="G107" i="6"/>
  <c r="G285" i="6"/>
  <c r="G112" i="6"/>
  <c r="G246" i="6"/>
  <c r="G100" i="6"/>
  <c r="G184" i="6"/>
  <c r="G270" i="6"/>
  <c r="G118" i="6"/>
  <c r="G478" i="6"/>
  <c r="G245" i="6"/>
  <c r="G440" i="6"/>
  <c r="G168" i="6"/>
  <c r="G367" i="6"/>
  <c r="G460" i="6"/>
  <c r="G356" i="6"/>
  <c r="G423" i="6"/>
  <c r="G187" i="6"/>
  <c r="G368" i="6"/>
  <c r="G419" i="6"/>
  <c r="G393" i="6"/>
  <c r="G106" i="6"/>
  <c r="G217" i="6"/>
  <c r="G463" i="6"/>
  <c r="G464" i="6"/>
  <c r="G99" i="6"/>
  <c r="G335" i="6"/>
  <c r="G90" i="6"/>
  <c r="G408" i="6"/>
  <c r="G259" i="6"/>
  <c r="G142" i="6"/>
  <c r="G301" i="6"/>
  <c r="G305" i="6"/>
  <c r="G371" i="6"/>
  <c r="G475" i="6"/>
  <c r="G355" i="6"/>
  <c r="G467" i="6"/>
  <c r="G94" i="6"/>
  <c r="G159" i="6"/>
  <c r="G77" i="6"/>
  <c r="G96" i="6"/>
  <c r="G497" i="6"/>
  <c r="G278" i="6"/>
  <c r="G257" i="6"/>
  <c r="G182" i="6"/>
  <c r="G238" i="6"/>
  <c r="G345" i="6"/>
  <c r="G212" i="6"/>
  <c r="G116" i="6"/>
  <c r="G304" i="6"/>
  <c r="G120" i="6"/>
  <c r="G400" i="6"/>
  <c r="G156" i="6"/>
  <c r="G274" i="6"/>
  <c r="G499" i="6"/>
  <c r="G455" i="6"/>
  <c r="G361" i="6"/>
  <c r="G364" i="6"/>
  <c r="G167" i="6"/>
  <c r="G260" i="6"/>
  <c r="G339" i="6"/>
  <c r="G250" i="6"/>
  <c r="G420" i="6"/>
  <c r="G148" i="6"/>
  <c r="G172" i="6"/>
  <c r="G200" i="6"/>
  <c r="G80" i="6"/>
  <c r="G378" i="6"/>
  <c r="G375" i="6"/>
  <c r="G399" i="6"/>
  <c r="G431" i="6"/>
  <c r="G493" i="6"/>
  <c r="G103" i="6"/>
  <c r="G111" i="6"/>
  <c r="G474" i="6"/>
  <c r="G358" i="6"/>
  <c r="G211" i="6"/>
  <c r="G122" i="6"/>
  <c r="G98" i="6"/>
  <c r="G191" i="6"/>
  <c r="G348" i="6"/>
  <c r="G458" i="6"/>
  <c r="G176" i="6"/>
  <c r="G207" i="6"/>
  <c r="G105" i="6"/>
  <c r="G394" i="6"/>
  <c r="G484" i="6"/>
  <c r="G369" i="6"/>
  <c r="G130" i="6"/>
  <c r="G291" i="6"/>
  <c r="G485" i="6"/>
  <c r="G177" i="6"/>
  <c r="G233" i="6"/>
  <c r="G174" i="6"/>
  <c r="G236" i="6"/>
  <c r="G376" i="6"/>
  <c r="G219" i="6"/>
  <c r="G387" i="6"/>
  <c r="G204" i="6"/>
  <c r="G189" i="6"/>
  <c r="G146" i="6"/>
  <c r="G363" i="6"/>
  <c r="G302" i="6"/>
  <c r="G415" i="6"/>
  <c r="G481" i="6"/>
  <c r="G265" i="6"/>
  <c r="G311" i="6"/>
  <c r="G326" i="6"/>
  <c r="G380" i="6"/>
  <c r="G144" i="6"/>
  <c r="G331" i="6"/>
  <c r="G492" i="6"/>
  <c r="G166" i="6"/>
  <c r="G188" i="6"/>
  <c r="G104" i="6"/>
  <c r="G252" i="6"/>
  <c r="G255" i="6"/>
  <c r="G444" i="6"/>
  <c r="G398" i="6"/>
  <c r="G179" i="6"/>
  <c r="G385" i="6"/>
  <c r="G232" i="6"/>
  <c r="G428" i="6"/>
  <c r="G178" i="6"/>
  <c r="O42" i="5" l="1"/>
  <c r="I87" i="6"/>
  <c r="I88" i="6" s="1"/>
  <c r="I181" i="6"/>
  <c r="I89" i="6" l="1"/>
  <c r="I183" i="6"/>
  <c r="I90" i="6" l="1"/>
  <c r="I184" i="6"/>
  <c r="I185" i="6" s="1"/>
  <c r="I186" i="6" s="1"/>
  <c r="I187" i="6" s="1"/>
  <c r="I188" i="6" s="1"/>
  <c r="I191" i="6"/>
  <c r="I189" i="6"/>
  <c r="O47" i="5" l="1"/>
  <c r="I91" i="6"/>
  <c r="I190" i="6"/>
  <c r="I192" i="6"/>
  <c r="I92" i="6" l="1"/>
  <c r="I93" i="6" s="1"/>
  <c r="I211" i="6"/>
  <c r="I212" i="6" s="1"/>
  <c r="I213" i="6" s="1"/>
  <c r="I214" i="6" s="1"/>
  <c r="I215" i="6" s="1"/>
  <c r="I216" i="6" s="1"/>
  <c r="I217" i="6" s="1"/>
  <c r="I218" i="6" s="1"/>
  <c r="I219" i="6" s="1"/>
  <c r="I220" i="6" s="1"/>
  <c r="I221" i="6" s="1"/>
  <c r="I222" i="6" s="1"/>
  <c r="I223" i="6" s="1"/>
  <c r="I224" i="6" s="1"/>
  <c r="I225" i="6" s="1"/>
  <c r="I226" i="6" s="1"/>
  <c r="I227" i="6" s="1"/>
  <c r="I228" i="6" s="1"/>
  <c r="I234" i="6" s="1"/>
  <c r="I193" i="6"/>
  <c r="I194" i="6" s="1"/>
  <c r="I195" i="6" s="1"/>
  <c r="I94" i="6" l="1"/>
  <c r="I239" i="6"/>
  <c r="I242" i="6" s="1"/>
  <c r="I243" i="6" s="1"/>
  <c r="I100" i="6" l="1"/>
  <c r="O52" i="5" l="1"/>
  <c r="I106" i="6"/>
  <c r="I107" i="6"/>
  <c r="I108" i="6"/>
  <c r="O54" i="5"/>
  <c r="I197" i="6"/>
  <c r="I109" i="6" l="1"/>
  <c r="I112" i="6" s="1"/>
  <c r="I198" i="6"/>
  <c r="O57" i="5" l="1"/>
  <c r="I180" i="6"/>
  <c r="I199" i="6"/>
  <c r="O58" i="5" l="1"/>
  <c r="I182" i="6"/>
  <c r="I196" i="6" s="1"/>
  <c r="I200" i="6"/>
  <c r="I201" i="6" l="1"/>
  <c r="I202" i="6" s="1"/>
  <c r="O4" i="5"/>
  <c r="O3" i="5"/>
  <c r="O7" i="5"/>
  <c r="O6" i="5"/>
  <c r="O8" i="5"/>
  <c r="O9" i="5"/>
  <c r="O10" i="5"/>
  <c r="O44" i="5"/>
  <c r="O43" i="5"/>
  <c r="O45" i="5"/>
  <c r="O46" i="5"/>
  <c r="O48" i="5"/>
  <c r="O53" i="5"/>
  <c r="O60" i="5"/>
  <c r="I203" i="6" l="1"/>
  <c r="I204" i="6" l="1"/>
  <c r="I205" i="6" l="1"/>
  <c r="I206" i="6" l="1"/>
  <c r="I207" i="6" s="1"/>
  <c r="I208" i="6" l="1"/>
  <c r="I209" i="6" s="1"/>
  <c r="I210" i="6" s="1"/>
  <c r="I236" i="6"/>
  <c r="I244" i="6" s="1"/>
  <c r="I245" i="6" s="1"/>
  <c r="O55" i="5"/>
  <c r="O56" i="5"/>
  <c r="O59" i="5"/>
  <c r="O49" i="5"/>
  <c r="O50" i="5"/>
  <c r="O51" i="5"/>
  <c r="O38" i="5"/>
  <c r="I246" i="6" l="1"/>
  <c r="I247" i="6" s="1"/>
  <c r="I248" i="6" l="1"/>
  <c r="I249" i="6" l="1"/>
  <c r="I250" i="6" s="1"/>
  <c r="I251" i="6" l="1"/>
  <c r="I252" i="6" s="1"/>
  <c r="I253" i="6" s="1"/>
  <c r="I254" i="6" s="1"/>
  <c r="I255" i="6" s="1"/>
  <c r="I256" i="6" s="1"/>
  <c r="I257" i="6" l="1"/>
  <c r="I258" i="6" s="1"/>
  <c r="I259" i="6" s="1"/>
  <c r="I260" i="6"/>
  <c r="I261" i="6" l="1"/>
  <c r="I262" i="6" l="1"/>
  <c r="I263" i="6" s="1"/>
  <c r="I264" i="6" l="1"/>
  <c r="I265" i="6" l="1"/>
  <c r="I266" i="6" s="1"/>
  <c r="I267" i="6" s="1"/>
  <c r="I268" i="6" s="1"/>
  <c r="I269" i="6" s="1"/>
  <c r="I270" i="6" s="1"/>
  <c r="I271" i="6" s="1"/>
  <c r="I272" i="6" s="1"/>
  <c r="I273" i="6" s="1"/>
  <c r="I274" i="6" s="1"/>
  <c r="I275" i="6" s="1"/>
  <c r="I276" i="6" s="1"/>
  <c r="I277" i="6" s="1"/>
  <c r="I278" i="6" s="1"/>
  <c r="I279" i="6" s="1"/>
  <c r="I280" i="6" s="1"/>
  <c r="I281" i="6" s="1"/>
  <c r="I282" i="6" s="1"/>
  <c r="I283" i="6" s="1"/>
  <c r="I284" i="6" s="1"/>
  <c r="I285" i="6" s="1"/>
  <c r="I286" i="6" s="1"/>
  <c r="I287" i="6" s="1"/>
  <c r="I288" i="6" s="1"/>
  <c r="I289" i="6" s="1"/>
  <c r="I290" i="6" s="1"/>
  <c r="I291" i="6" s="1"/>
  <c r="I292" i="6" s="1"/>
  <c r="I293" i="6" s="1"/>
  <c r="I294" i="6" s="1"/>
  <c r="I295" i="6" s="1"/>
  <c r="I296" i="6" s="1"/>
  <c r="I297" i="6" s="1"/>
  <c r="I298" i="6" s="1"/>
  <c r="I299" i="6" s="1"/>
  <c r="I300" i="6" s="1"/>
  <c r="I301" i="6" s="1"/>
  <c r="I302" i="6" s="1"/>
  <c r="I303" i="6" s="1"/>
  <c r="I304" i="6" s="1"/>
  <c r="I305" i="6" s="1"/>
  <c r="I306" i="6" s="1"/>
  <c r="I307" i="6" s="1"/>
  <c r="I308" i="6" s="1"/>
  <c r="I309" i="6" s="1"/>
  <c r="I310" i="6" s="1"/>
  <c r="I311" i="6" s="1"/>
  <c r="I312" i="6" s="1"/>
  <c r="I313" i="6" s="1"/>
  <c r="I314" i="6" s="1"/>
  <c r="I315" i="6" s="1"/>
  <c r="I316" i="6" s="1"/>
  <c r="I317" i="6" s="1"/>
  <c r="I318" i="6" s="1"/>
  <c r="I319" i="6" s="1"/>
  <c r="I320" i="6" s="1"/>
  <c r="I321" i="6" s="1"/>
  <c r="I322" i="6" s="1"/>
  <c r="I323" i="6" s="1"/>
  <c r="I324" i="6" s="1"/>
  <c r="I325" i="6" s="1"/>
  <c r="I326" i="6" s="1"/>
  <c r="I327" i="6" s="1"/>
  <c r="I328" i="6" s="1"/>
  <c r="I329" i="6" s="1"/>
  <c r="I330" i="6" s="1"/>
  <c r="I331" i="6" s="1"/>
  <c r="I332" i="6" s="1"/>
  <c r="I333" i="6" s="1"/>
  <c r="I334" i="6" s="1"/>
  <c r="I335" i="6" s="1"/>
  <c r="I336" i="6" s="1"/>
  <c r="I337" i="6" s="1"/>
  <c r="I338" i="6" s="1"/>
  <c r="I339" i="6" s="1"/>
  <c r="I340" i="6" s="1"/>
  <c r="I341" i="6" s="1"/>
  <c r="I342" i="6" s="1"/>
  <c r="I343" i="6" s="1"/>
  <c r="I344" i="6" s="1"/>
  <c r="I345" i="6" s="1"/>
  <c r="I346" i="6" s="1"/>
  <c r="I347" i="6" s="1"/>
  <c r="I348" i="6" s="1"/>
  <c r="I349" i="6" s="1"/>
  <c r="I350" i="6" s="1"/>
  <c r="I351" i="6" s="1"/>
  <c r="I352" i="6" s="1"/>
  <c r="I353" i="6" s="1"/>
  <c r="I354" i="6" s="1"/>
  <c r="I355" i="6" s="1"/>
  <c r="I356" i="6" s="1"/>
  <c r="I357" i="6" s="1"/>
  <c r="I358" i="6" s="1"/>
  <c r="I359" i="6" s="1"/>
  <c r="I360" i="6" s="1"/>
  <c r="I361" i="6" s="1"/>
  <c r="I362" i="6" s="1"/>
  <c r="I363" i="6" s="1"/>
  <c r="I364" i="6" s="1"/>
  <c r="I365" i="6" s="1"/>
  <c r="I366" i="6" s="1"/>
  <c r="I367" i="6" s="1"/>
  <c r="I368" i="6" s="1"/>
  <c r="I369" i="6" s="1"/>
  <c r="I370" i="6" s="1"/>
  <c r="I371" i="6" s="1"/>
  <c r="I372" i="6" s="1"/>
  <c r="I373" i="6" s="1"/>
  <c r="I374" i="6" s="1"/>
  <c r="I375" i="6" s="1"/>
  <c r="I376" i="6" s="1"/>
  <c r="I377" i="6" s="1"/>
  <c r="I378" i="6" s="1"/>
  <c r="I379" i="6" s="1"/>
  <c r="I380" i="6" s="1"/>
  <c r="I381" i="6" s="1"/>
  <c r="I382" i="6" s="1"/>
  <c r="I383" i="6" s="1"/>
  <c r="I384" i="6" s="1"/>
  <c r="I385" i="6" s="1"/>
  <c r="I386" i="6" s="1"/>
  <c r="I387" i="6" s="1"/>
  <c r="I388" i="6" s="1"/>
  <c r="I389" i="6" s="1"/>
  <c r="I390" i="6" s="1"/>
  <c r="I391" i="6" s="1"/>
  <c r="I392" i="6" s="1"/>
  <c r="I393" i="6" s="1"/>
  <c r="I394" i="6" s="1"/>
  <c r="I395" i="6" s="1"/>
  <c r="I396" i="6" s="1"/>
  <c r="I397" i="6" s="1"/>
  <c r="I398" i="6" s="1"/>
  <c r="I399" i="6" s="1"/>
  <c r="I400" i="6" s="1"/>
  <c r="I401" i="6" s="1"/>
  <c r="I402" i="6" s="1"/>
  <c r="I403" i="6" s="1"/>
  <c r="I404" i="6" s="1"/>
  <c r="I405" i="6" s="1"/>
  <c r="I406" i="6" s="1"/>
  <c r="I407" i="6" s="1"/>
  <c r="I408" i="6" s="1"/>
  <c r="I409" i="6" s="1"/>
  <c r="I410" i="6" s="1"/>
  <c r="I411" i="6" s="1"/>
  <c r="I412" i="6" s="1"/>
  <c r="I413" i="6" s="1"/>
  <c r="I414" i="6" s="1"/>
  <c r="I415" i="6" s="1"/>
  <c r="I416" i="6" s="1"/>
  <c r="I417" i="6" s="1"/>
  <c r="I418" i="6" s="1"/>
  <c r="I419" i="6" s="1"/>
  <c r="I420" i="6" s="1"/>
  <c r="I421" i="6" s="1"/>
  <c r="I422" i="6" s="1"/>
  <c r="I423" i="6" s="1"/>
  <c r="I424" i="6" s="1"/>
  <c r="I425" i="6" s="1"/>
  <c r="I426" i="6" s="1"/>
  <c r="I427" i="6" s="1"/>
  <c r="I428" i="6" s="1"/>
  <c r="I429" i="6" s="1"/>
  <c r="I430" i="6" s="1"/>
  <c r="I431" i="6" s="1"/>
  <c r="I432" i="6" s="1"/>
  <c r="I433" i="6" s="1"/>
  <c r="I434" i="6" s="1"/>
  <c r="I435" i="6" s="1"/>
  <c r="I436" i="6" s="1"/>
  <c r="I437" i="6" s="1"/>
  <c r="I438" i="6" s="1"/>
  <c r="I439" i="6" s="1"/>
  <c r="I440" i="6" s="1"/>
  <c r="I441" i="6" s="1"/>
  <c r="I442" i="6" s="1"/>
  <c r="I443" i="6" s="1"/>
  <c r="I444" i="6" s="1"/>
  <c r="I445" i="6" s="1"/>
  <c r="I446" i="6" s="1"/>
  <c r="I447" i="6" s="1"/>
  <c r="I448" i="6" s="1"/>
  <c r="I449" i="6" s="1"/>
  <c r="I450" i="6" s="1"/>
  <c r="I451" i="6" s="1"/>
  <c r="I452" i="6" s="1"/>
  <c r="I453" i="6" s="1"/>
  <c r="I454" i="6" s="1"/>
  <c r="I455" i="6" s="1"/>
  <c r="I456" i="6" s="1"/>
  <c r="I457" i="6" s="1"/>
  <c r="I458" i="6" s="1"/>
  <c r="I459" i="6" s="1"/>
  <c r="I460" i="6" s="1"/>
  <c r="I461" i="6" s="1"/>
  <c r="I462" i="6" s="1"/>
  <c r="I463" i="6" s="1"/>
  <c r="I464" i="6" s="1"/>
  <c r="I465" i="6" s="1"/>
  <c r="I466" i="6" s="1"/>
  <c r="I467" i="6" s="1"/>
  <c r="I468" i="6" s="1"/>
  <c r="I469" i="6" s="1"/>
  <c r="I470" i="6" s="1"/>
  <c r="I471" i="6" s="1"/>
  <c r="I472" i="6" s="1"/>
  <c r="I473" i="6" s="1"/>
  <c r="I474" i="6" s="1"/>
  <c r="I475" i="6" s="1"/>
  <c r="I476" i="6" s="1"/>
  <c r="I477" i="6" s="1"/>
  <c r="I478" i="6" s="1"/>
  <c r="I479" i="6" s="1"/>
  <c r="I480" i="6" s="1"/>
  <c r="I481" i="6" s="1"/>
  <c r="I482" i="6" s="1"/>
  <c r="I483" i="6" s="1"/>
  <c r="I484" i="6" s="1"/>
  <c r="I485" i="6" s="1"/>
  <c r="I486" i="6" s="1"/>
  <c r="I487" i="6" s="1"/>
  <c r="I488" i="6" s="1"/>
  <c r="I489" i="6" s="1"/>
  <c r="I490" i="6" s="1"/>
  <c r="I491" i="6" s="1"/>
  <c r="I492" i="6" s="1"/>
  <c r="I493" i="6" s="1"/>
  <c r="I494" i="6" s="1"/>
  <c r="I495" i="6" s="1"/>
  <c r="I496" i="6" s="1"/>
  <c r="I497" i="6" s="1"/>
  <c r="I498" i="6" s="1"/>
  <c r="I499" i="6" s="1"/>
  <c r="I500" i="6" s="1"/>
  <c r="I501" i="6" s="1"/>
  <c r="I502" i="6" s="1"/>
  <c r="I503" i="6" s="1"/>
  <c r="I504" i="6" s="1"/>
  <c r="I505" i="6" s="1"/>
  <c r="I506" i="6" s="1"/>
  <c r="I507"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theme="1"/>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theme="1"/>
            <rFont val="Calibri"/>
            <family val="2"/>
            <charset val="1"/>
          </rPr>
          <t>cm²/pza. Auto genera FTK.
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967EF70F-8452-E74C-9F12-D9A49BB44DDA}">
      <text>
        <r>
          <rPr>
            <sz val="11"/>
            <color rgb="FF000000"/>
            <rFont val="Calibri"/>
            <family val="2"/>
            <charset val="1"/>
          </rPr>
          <t>Solo FlyBar/Barril. Agregar: SH &gt; Rack Types.</t>
        </r>
      </text>
    </comment>
    <comment ref="AK7" authorId="1" shapeId="0" xr:uid="{6A4507B3-40C9-6F48-AB27-52204D9D4D7E}">
      <text>
        <r>
          <rPr>
            <sz val="11"/>
            <color rgb="FF000000"/>
            <rFont val="Calibri"/>
            <family val="2"/>
            <charset val="1"/>
          </rPr>
          <t>Solo FlyBar/Barril. Agregar: SH &gt; Rack Types.</t>
        </r>
      </text>
    </comment>
    <comment ref="AM7" authorId="1" shapeId="0" xr:uid="{365D3B98-7B3E-ED43-85B2-16150C071BE4}">
      <text>
        <r>
          <rPr>
            <sz val="11"/>
            <color rgb="FF000000"/>
            <rFont val="Calibri"/>
            <family val="2"/>
            <charset val="1"/>
          </rPr>
          <t>Solo FlyBar/Barril. Agregar: SH &gt; Rack Types.</t>
        </r>
      </text>
    </comment>
    <comment ref="AO7" authorId="1" shapeId="0" xr:uid="{8CC52638-53D2-DA4E-8D53-7DC3611B2C75}">
      <text>
        <r>
          <rPr>
            <sz val="11"/>
            <color rgb="FF000000"/>
            <rFont val="Calibri"/>
            <family val="2"/>
            <charset val="1"/>
          </rPr>
          <t>Solo FlyBar/Barril. Agregar: SH &gt; Rack Types.</t>
        </r>
      </text>
    </comment>
    <comment ref="AQ7" authorId="1" shapeId="0" xr:uid="{B321A0DB-A5F4-584E-8072-506E84443B87}">
      <text>
        <r>
          <rPr>
            <sz val="11"/>
            <color rgb="FF000000"/>
            <rFont val="Calibri"/>
            <family val="2"/>
            <charset val="1"/>
          </rPr>
          <t>Solo FlyBar/Barril. Agregar: SH &gt; Rack Types.</t>
        </r>
      </text>
    </comment>
    <comment ref="AT7" authorId="1" shapeId="0" xr:uid="{00000000-0006-0000-0000-000022000000}">
      <text>
        <r>
          <rPr>
            <sz val="11"/>
            <color theme="1"/>
            <rFont val="Calibri"/>
            <family val="2"/>
            <charset val="1"/>
          </rPr>
          <t>Geom Genérica 831. DimTypeId:1284.</t>
        </r>
      </text>
    </comment>
    <comment ref="AU7" authorId="1" shapeId="0" xr:uid="{00000000-0006-0000-0000-000023000000}">
      <text>
        <r>
          <rPr>
            <sz val="11"/>
            <color theme="1"/>
            <rFont val="Calibri"/>
            <family val="2"/>
            <charset val="1"/>
          </rPr>
          <t>DimTypeId:1011.</t>
        </r>
      </text>
    </comment>
    <comment ref="AV7" authorId="1" shapeId="0" xr:uid="{00000000-0006-0000-0000-000024000000}">
      <text>
        <r>
          <rPr>
            <sz val="11"/>
            <color theme="1"/>
            <rFont val="Calibri"/>
            <family val="2"/>
            <charset val="1"/>
          </rPr>
          <t>DimTypeId:1012.</t>
        </r>
      </text>
    </comment>
    <comment ref="AW7" authorId="1" shapeId="0" xr:uid="{00000000-0006-0000-0000-000025000000}">
      <text>
        <r>
          <rPr>
            <sz val="11"/>
            <color theme="1"/>
            <rFont val="Calibri"/>
            <family val="2"/>
            <charset val="1"/>
          </rPr>
          <t>DimTypeId:1013.</t>
        </r>
      </text>
    </comment>
    <comment ref="AX7" authorId="1" shapeId="0" xr:uid="{00000000-0006-0000-0000-000026000000}">
      <text>
        <r>
          <rPr>
            <sz val="11"/>
            <color rgb="FF000000"/>
            <rFont val="Calibri"/>
            <family val="2"/>
            <charset val="1"/>
          </rPr>
          <t>DimTypeId:1014.</t>
        </r>
      </text>
    </comment>
    <comment ref="AY7" authorId="1" shapeId="0" xr:uid="{00000000-0006-0000-0000-00002A000000}">
      <text>
        <r>
          <rPr>
            <sz val="11"/>
            <color rgb="FF000000"/>
            <rFont val="Calibri"/>
            <family val="2"/>
            <charset val="1"/>
          </rPr>
          <t>ID:364506. Fórmula auto desde Cálculo MP.</t>
        </r>
      </text>
    </comment>
    <comment ref="AZ7" authorId="1" shapeId="0" xr:uid="{00000000-0006-0000-0000-00002B000000}">
      <text>
        <r>
          <rPr>
            <sz val="11"/>
            <color theme="1"/>
            <rFont val="Calibri"/>
            <family val="2"/>
            <charset val="1"/>
          </rPr>
          <t>ID:397490.</t>
        </r>
      </text>
    </comment>
    <comment ref="BA7" authorId="1" shapeId="0" xr:uid="{00000000-0006-0000-0000-00002C000000}">
      <text>
        <r>
          <rPr>
            <sz val="11"/>
            <color theme="1"/>
            <rFont val="Calibri"/>
            <family val="2"/>
            <charset val="1"/>
          </rPr>
          <t>ID:412305.</t>
        </r>
      </text>
    </comment>
    <comment ref="BB7" authorId="1" shapeId="0" xr:uid="{00000000-0006-0000-0000-00002D000000}">
      <text>
        <r>
          <rPr>
            <sz val="11"/>
            <color theme="1"/>
            <rFont val="Calibri"/>
            <family val="2"/>
            <charset val="1"/>
          </rPr>
          <t>ID:412805.</t>
        </r>
      </text>
    </comment>
    <comment ref="BC7" authorId="1" shapeId="0" xr:uid="{00000000-0006-0000-0000-00002E000000}">
      <text>
        <r>
          <rPr>
            <sz val="11"/>
            <color theme="1"/>
            <rFont val="Calibri"/>
            <family val="2"/>
            <charset val="1"/>
          </rPr>
          <t>ID:412479.</t>
        </r>
      </text>
    </comment>
    <comment ref="BD7" authorId="1" shapeId="0" xr:uid="{00000000-0006-0000-0000-00002F000000}">
      <text>
        <r>
          <rPr>
            <sz val="11"/>
            <color theme="1"/>
            <rFont val="Calibri"/>
            <family val="2"/>
            <charset val="1"/>
          </rPr>
          <t>ID:412723. 0.0012×cobre_kg.</t>
        </r>
      </text>
    </comment>
    <comment ref="BE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BF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G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<sst xmlns="http://schemas.openxmlformats.org/spreadsheetml/2006/main" count="21177" uniqueCount="2794">
  <si>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</si>
  <si>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</si>
  <si>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</si>
  <si>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</si>
  <si>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</si>
  <si>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</si>
  <si>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</si>
  <si>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</si>
  <si>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</si>
  <si>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</si>
  <si>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</si>
  <si>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</si>
  <si>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</si>
  <si>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</si>
  <si>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</si>
  <si>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</si>
  <si>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</si>
  <si>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</si>
  <si>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</si>
  <si>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</si>
  <si>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</si>
  <si>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</si>
  <si>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</si>
  <si>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</si>
  <si>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</si>
  <si>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</si>
  <si>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</si>
  <si>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</si>
  <si>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</si>
  <si>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</si>
  <si>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</si>
  <si>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</si>
  <si>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</si>
  <si>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</si>
  <si>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</si>
  <si>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</si>
  <si>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</si>
  <si>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</si>
  <si>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</si>
  <si>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</si>
  <si>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</si>
  <si>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</si>
  <si>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</si>
  <si>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</si>
  <si>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</si>
  <si>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</si>
  <si>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</si>
  <si>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</si>
  <si>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</si>
  <si>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</si>
  <si>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</si>
  <si>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</si>
  <si>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</si>
  <si>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</si>
  <si>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</si>
  <si>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</si>
  <si>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</si>
  <si>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</si>
  <si>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</si>
  <si>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</si>
  <si>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</si>
  <si>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</si>
  <si>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</si>
  <si>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</si>
  <si>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</si>
  <si>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</si>
  <si>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</si>
  <si>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</si>
  <si>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</si>
  <si>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</si>
  <si>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</si>
  <si>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</si>
  <si>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</si>
  <si>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</si>
  <si>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</si>
  <si>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</si>
  <si>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</si>
  <si>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</si>
  <si>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</si>
  <si>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</si>
  <si>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</si>
  <si>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</si>
  <si>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</si>
  <si>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</si>
  <si>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</si>
  <si>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</si>
  <si>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</si>
  <si>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</si>
  <si>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</si>
  <si>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</si>
  <si>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</si>
  <si>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</si>
  <si>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</si>
  <si>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</si>
  <si>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</si>
  <si>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</si>
  <si>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</si>
  <si>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</si>
  <si>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</si>
  <si>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</si>
  <si>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</si>
  <si>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</si>
  <si>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</si>
  <si>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</si>
  <si>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</si>
  <si>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</si>
  <si>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</si>
  <si>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</si>
  <si>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</si>
  <si>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</si>
  <si>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</si>
  <si>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</si>
  <si>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</si>
  <si>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</si>
  <si>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</si>
  <si>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</si>
  <si>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</si>
  <si>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</si>
  <si>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</si>
  <si>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</si>
  <si>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</si>
  <si>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</si>
  <si>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</si>
  <si>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</si>
  <si>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</si>
  <si>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</si>
  <si>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</si>
  <si>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</si>
  <si>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</si>
  <si>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</si>
  <si>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</si>
  <si>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</si>
  <si>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</si>
  <si>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</si>
  <si>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</si>
  <si>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</si>
  <si>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</si>
  <si>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</si>
  <si>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</si>
  <si>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</si>
  <si>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</si>
  <si>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</si>
  <si>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</si>
  <si>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</si>
  <si>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</si>
  <si>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</si>
  <si>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</si>
  <si>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</si>
  <si>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</si>
  <si>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</si>
  <si>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</si>
  <si>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</si>
  <si>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</si>
  <si>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</si>
  <si>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</si>
  <si>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</si>
  <si>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</si>
  <si>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</si>
  <si>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</si>
  <si>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</si>
  <si>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</si>
  <si>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</si>
  <si>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</si>
  <si>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</si>
  <si>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</si>
  <si>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</si>
  <si>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</si>
  <si>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</si>
  <si>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</si>
  <si>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</si>
  <si>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</si>
  <si>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</si>
  <si>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</si>
  <si>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</si>
  <si>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</si>
  <si>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</si>
  <si>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</si>
  <si>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</si>
  <si>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</si>
  <si>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</si>
  <si>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</si>
  <si>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</si>
  <si>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</si>
  <si>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</si>
  <si>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</si>
  <si>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</si>
  <si>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</si>
  <si>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</si>
  <si>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</si>
  <si>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</si>
  <si>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</si>
  <si>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</si>
  <si>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</si>
  <si>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</si>
  <si>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</si>
  <si>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</si>
  <si>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</si>
  <si>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</si>
  <si>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</si>
  <si>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</si>
  <si>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</si>
  <si>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</si>
  <si>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</si>
  <si>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</si>
  <si>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</si>
  <si>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</si>
  <si>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</si>
  <si>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</si>
  <si>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</si>
  <si>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</si>
  <si>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</si>
  <si>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</si>
  <si>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</si>
  <si>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</si>
  <si>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</si>
  <si>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</si>
  <si>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</si>
  <si>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</si>
  <si>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</si>
  <si>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</si>
  <si>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</si>
  <si>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</si>
  <si>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</si>
  <si>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</si>
  <si>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</si>
  <si>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</si>
  <si>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</si>
  <si>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</si>
  <si>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</si>
  <si>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</si>
  <si>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</si>
  <si>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</si>
  <si>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</si>
  <si>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</si>
  <si>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</si>
  <si>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</si>
  <si>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</si>
  <si>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</si>
  <si>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</si>
  <si>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</si>
  <si>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</si>
  <si>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</si>
  <si>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</si>
  <si>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</si>
  <si>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</si>
  <si>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</si>
  <si>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</si>
  <si>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</si>
  <si>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</si>
  <si>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</si>
  <si>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</si>
  <si>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</si>
  <si>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</si>
  <si>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</si>
  <si>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</si>
  <si>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</si>
  <si>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</si>
  <si>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</si>
  <si>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</si>
  <si>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</si>
  <si>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</si>
  <si>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</si>
  <si>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</si>
  <si>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</si>
  <si>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</si>
  <si>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</si>
  <si>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</si>
  <si>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</si>
  <si>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</si>
  <si>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</si>
  <si>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</si>
  <si>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</si>
  <si>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</si>
  <si>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</si>
  <si>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</si>
  <si>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</si>
  <si>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</si>
  <si>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</si>
  <si>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</si>
  <si>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</si>
  <si>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</si>
  <si>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</si>
  <si>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</si>
  <si>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</si>
  <si>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</si>
  <si>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</si>
  <si>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</si>
  <si>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</si>
  <si>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</si>
  <si>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</si>
  <si>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</si>
  <si>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</si>
  <si>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</si>
  <si>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</si>
  <si>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</si>
  <si>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</si>
  <si>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</si>
  <si>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</si>
  <si>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</si>
  <si>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</si>
  <si>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</si>
  <si>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</si>
  <si>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</si>
  <si>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</si>
  <si>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</si>
  <si>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</si>
  <si>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</si>
  <si>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</si>
  <si>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</si>
  <si>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</si>
  <si>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</si>
  <si>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</si>
  <si>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</si>
  <si>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</si>
  <si>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</si>
  <si>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</si>
  <si>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</si>
  <si>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</si>
  <si>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</si>
  <si>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</si>
  <si>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</si>
  <si>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</si>
  <si>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</si>
  <si>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</si>
  <si>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</si>
  <si>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</si>
  <si>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</si>
  <si>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</si>
  <si>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</si>
  <si>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</si>
  <si>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</si>
  <si>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</si>
  <si>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</si>
  <si>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</si>
  <si>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</si>
  <si>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</si>
  <si>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</si>
  <si>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</si>
  <si>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</si>
  <si>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</si>
  <si>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</si>
  <si>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</si>
  <si>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</si>
  <si>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</si>
  <si>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</si>
  <si>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</si>
  <si>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</si>
  <si>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</si>
  <si>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</si>
  <si>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</si>
  <si>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</si>
  <si>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</si>
  <si>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</si>
  <si>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</si>
  <si>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</si>
  <si>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</si>
  <si>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</si>
  <si>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</si>
  <si>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</si>
  <si>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</si>
  <si>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</si>
  <si>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</si>
  <si>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</si>
  <si>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</si>
  <si>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</si>
  <si>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</si>
  <si>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</si>
  <si>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</si>
  <si>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</si>
  <si>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</si>
  <si>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</si>
  <si>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</si>
  <si>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</si>
  <si>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</si>
  <si>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</si>
  <si>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</si>
  <si>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</si>
  <si>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</si>
  <si>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</si>
  <si>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</si>
  <si>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</si>
  <si>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</si>
  <si>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</si>
  <si>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</si>
  <si>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</si>
  <si>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</si>
  <si>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</si>
  <si>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</si>
  <si>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</si>
  <si>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</si>
  <si>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</si>
  <si>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</si>
  <si>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</si>
  <si>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</si>
  <si>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</si>
  <si>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</si>
  <si>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</si>
  <si>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</si>
  <si>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</si>
  <si>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</si>
  <si>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</si>
  <si>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</si>
  <si>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</si>
  <si>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</si>
  <si>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</si>
  <si>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</si>
  <si>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</si>
  <si>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</si>
  <si>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</si>
  <si>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</si>
  <si>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</si>
  <si>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</si>
  <si>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</si>
  <si>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</si>
  <si>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</si>
  <si>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</si>
  <si>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</si>
  <si>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</si>
  <si>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</si>
  <si>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</si>
  <si>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</si>
  <si>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</si>
  <si>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</si>
  <si>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</si>
  <si>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</si>
  <si>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</si>
  <si>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</si>
  <si>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</si>
  <si>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</si>
  <si>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</si>
  <si>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</si>
  <si>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</si>
  <si>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</si>
  <si>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</si>
  <si>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</si>
  <si>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</si>
  <si>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</si>
  <si>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</si>
  <si>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</si>
  <si>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</si>
  <si>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</si>
  <si>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</si>
  <si>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</si>
  <si>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</si>
  <si>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</si>
  <si>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</si>
  <si>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</si>
  <si>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</si>
  <si>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</si>
  <si>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</si>
  <si>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</si>
  <si>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</si>
  <si>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</si>
  <si>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</si>
  <si>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</si>
  <si>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</si>
  <si>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</si>
  <si>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</si>
  <si>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</si>
  <si>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</si>
  <si>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</si>
  <si>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</si>
  <si>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</si>
  <si>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</si>
  <si>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</si>
  <si>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</si>
  <si>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</si>
  <si>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</si>
  <si>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</si>
  <si>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</si>
  <si>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</si>
  <si>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</si>
  <si>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</si>
  <si>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</si>
  <si>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</si>
  <si>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</si>
  <si>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</si>
  <si>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</si>
  <si>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</si>
  <si>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</si>
  <si>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</si>
  <si>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</si>
  <si>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</si>
  <si>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</si>
  <si>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</si>
  <si>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</si>
  <si>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</si>
  <si>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</si>
  <si>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</si>
  <si>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</si>
  <si>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</si>
  <si>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</si>
  <si>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</si>
  <si>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</si>
  <si>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</si>
  <si>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</si>
  <si>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</si>
  <si>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</si>
  <si>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</si>
  <si>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</si>
  <si>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</si>
  <si>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</si>
  <si>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</si>
  <si>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</si>
  <si>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</si>
  <si>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</si>
  <si>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</si>
  <si>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</si>
  <si>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</si>
  <si>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</si>
  <si>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</si>
  <si>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</si>
  <si>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</si>
  <si>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</si>
  <si>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</si>
  <si>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</si>
  <si>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</si>
  <si>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</si>
  <si>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</si>
  <si>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</si>
  <si>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</si>
  <si>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</si>
  <si>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</si>
  <si>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</si>
  <si>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</si>
  <si>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</si>
  <si>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</si>
  <si>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</si>
  <si>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</si>
  <si>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</si>
  <si>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</si>
  <si>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</si>
  <si>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</si>
  <si>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</si>
  <si>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</si>
  <si>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</si>
  <si>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</si>
  <si>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</si>
  <si>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</si>
  <si>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</si>
  <si>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</si>
  <si>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</si>
  <si>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</si>
  <si>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</si>
  <si>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</si>
  <si>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</si>
  <si>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</si>
  <si>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</si>
  <si>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</si>
  <si>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</si>
  <si>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</si>
  <si>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</si>
  <si>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</si>
  <si>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</si>
  <si>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</si>
  <si>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</si>
  <si>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</si>
  <si>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</si>
  <si>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</si>
  <si>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</si>
  <si>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</si>
  <si>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</si>
  <si>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</si>
  <si>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</si>
  <si>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</si>
  <si>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</si>
  <si>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</si>
  <si>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</si>
  <si>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</si>
  <si>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</si>
  <si>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</si>
  <si>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</si>
  <si>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</si>
  <si>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</si>
  <si>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</si>
  <si>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</si>
  <si>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</si>
  <si>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</si>
  <si>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</si>
  <si>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</si>
  <si>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</si>
  <si>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</si>
  <si>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</si>
  <si>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</si>
  <si>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</si>
  <si>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</si>
  <si>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</si>
  <si>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</si>
  <si>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</si>
  <si>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</si>
  <si>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</si>
  <si>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</si>
  <si>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</si>
  <si>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</si>
  <si>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</si>
  <si>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</si>
  <si>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</si>
  <si>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</si>
  <si>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</si>
  <si>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</si>
  <si>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</si>
  <si>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</si>
  <si>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</si>
  <si>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</si>
  <si>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</si>
  <si>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</si>
  <si>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</si>
  <si>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</si>
  <si>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</si>
  <si>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</si>
  <si>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</si>
  <si>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</si>
  <si>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</si>
  <si>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</si>
  <si>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</si>
  <si>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</si>
  <si>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</si>
  <si>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</si>
  <si>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</si>
  <si>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</si>
  <si>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</si>
  <si>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</si>
  <si>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</si>
  <si>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</si>
  <si>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</si>
  <si>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</si>
  <si>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</si>
  <si>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</si>
  <si>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</si>
  <si>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</si>
  <si>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</si>
  <si>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</si>
  <si>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</si>
  <si>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</si>
  <si>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</si>
  <si>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</si>
  <si>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</si>
  <si>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</si>
  <si>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</si>
  <si>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</si>
  <si>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</si>
  <si>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</si>
  <si>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</si>
  <si>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</si>
  <si>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</si>
  <si>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</si>
  <si>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</si>
  <si>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</si>
  <si>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</si>
  <si>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</si>
  <si>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</si>
  <si>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</si>
  <si>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</si>
  <si>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</si>
  <si>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</si>
  <si>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</si>
  <si>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</si>
  <si>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</si>
  <si>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</si>
  <si>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</si>
  <si>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</si>
  <si>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</si>
  <si>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</si>
  <si>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</si>
  <si>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</si>
  <si>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</si>
  <si>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</si>
  <si>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</si>
  <si>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</si>
  <si>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</si>
  <si>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</si>
  <si>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</si>
  <si>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</si>
  <si>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</si>
  <si>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</si>
  <si>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</si>
  <si>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</si>
  <si>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</si>
  <si>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</si>
  <si>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</si>
  <si>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</si>
  <si>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</si>
  <si>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</si>
  <si>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</si>
  <si>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</si>
  <si>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</si>
  <si>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</si>
  <si>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</si>
  <si>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</si>
  <si>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</si>
  <si>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</si>
  <si>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</si>
  <si>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</si>
  <si>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</si>
  <si>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</si>
  <si>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</si>
  <si>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</si>
  <si>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</si>
  <si>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</si>
  <si>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</si>
  <si>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</si>
  <si>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</si>
  <si>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</si>
  <si>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</si>
  <si>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</si>
  <si>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</si>
  <si>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</si>
  <si>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</si>
  <si>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</si>
  <si>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</si>
  <si>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</si>
  <si>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</si>
  <si>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</si>
  <si>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</si>
  <si>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</si>
  <si>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</si>
  <si>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</si>
  <si>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</si>
  <si>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</si>
  <si>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</si>
  <si>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</si>
  <si>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</si>
  <si>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</si>
  <si>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</si>
  <si>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</si>
  <si>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</si>
  <si>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</si>
  <si>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</si>
  <si>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</si>
  <si>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</si>
  <si>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</si>
  <si>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</si>
  <si>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</si>
  <si>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</si>
  <si>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</si>
  <si>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</si>
  <si>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</si>
  <si>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</si>
  <si>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</si>
  <si>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</si>
  <si>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</si>
  <si>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</si>
  <si>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</si>
  <si>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</si>
  <si>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</si>
  <si>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</si>
  <si>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</si>
  <si>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</si>
  <si>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</si>
  <si>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</si>
  <si>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</si>
  <si>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</si>
  <si>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</si>
  <si>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</si>
  <si>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</si>
  <si>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</si>
  <si>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</si>
  <si>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</si>
  <si>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</si>
  <si>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</si>
  <si>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</si>
  <si>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</si>
  <si>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</si>
  <si>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</si>
  <si>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</si>
  <si>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</si>
  <si>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</si>
  <si>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</si>
  <si>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</si>
  <si>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</si>
  <si>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</si>
  <si>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</si>
  <si>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</si>
  <si>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</si>
  <si>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</si>
  <si>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</si>
  <si>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</si>
  <si>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</si>
  <si>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</si>
  <si>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</si>
  <si>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</si>
  <si>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</si>
  <si>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</si>
  <si>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</si>
  <si>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</si>
  <si>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</si>
  <si>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</si>
  <si>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</si>
  <si>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</si>
  <si>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</si>
  <si>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</si>
  <si>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</si>
  <si>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</si>
  <si>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</si>
  <si>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</si>
  <si>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</si>
  <si>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</si>
  <si>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</si>
  <si>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</si>
  <si>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</si>
  <si>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</si>
  <si>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</si>
  <si>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</si>
  <si>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</si>
  <si>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</si>
  <si>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</si>
  <si>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</si>
  <si>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</si>
  <si>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</si>
  <si>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</si>
  <si>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</si>
  <si>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</si>
  <si>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</si>
  <si>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</si>
  <si>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</si>
  <si>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</si>
  <si>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</si>
  <si>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</si>
  <si>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</si>
  <si>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</si>
  <si>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</si>
  <si>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</si>
  <si>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</si>
  <si>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</si>
  <si>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</si>
  <si>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</si>
  <si>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</si>
  <si>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</si>
  <si>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</si>
  <si>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</si>
  <si>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</si>
  <si>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</si>
  <si>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</si>
  <si>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</si>
  <si>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</si>
  <si>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</si>
  <si>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</si>
  <si>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</si>
  <si>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</si>
  <si>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</si>
  <si>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</si>
  <si>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</si>
  <si>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</si>
  <si>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</si>
  <si>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</si>
  <si>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</si>
  <si>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</si>
  <si>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</si>
  <si>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</si>
  <si>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</si>
  <si>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</si>
  <si>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</si>
  <si>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</si>
  <si>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</si>
  <si>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</si>
  <si>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</si>
  <si>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</si>
  <si>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</si>
  <si>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</si>
  <si>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</si>
  <si>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</si>
  <si>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</si>
  <si>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</si>
  <si>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</si>
  <si>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</si>
  <si>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</si>
  <si>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</si>
  <si>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</si>
  <si>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</si>
  <si>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</si>
  <si>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</si>
  <si>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</si>
  <si>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</si>
  <si>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</si>
  <si>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</si>
  <si>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</si>
  <si>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</si>
  <si>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</si>
  <si>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</si>
  <si>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</si>
  <si>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</si>
  <si>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</si>
  <si>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</si>
  <si>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</si>
  <si>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</si>
  <si>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</si>
  <si>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</si>
  <si>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</si>
  <si>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</si>
  <si>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</si>
  <si>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</si>
  <si>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</si>
  <si>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</si>
  <si>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</si>
  <si>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</si>
  <si>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</si>
  <si>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</si>
  <si>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</si>
  <si>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</si>
  <si>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</si>
  <si>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</si>
  <si>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</si>
  <si>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</si>
  <si>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</si>
  <si>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</si>
  <si>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</si>
  <si>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</si>
  <si>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</si>
  <si>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</si>
  <si>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</si>
  <si>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</si>
  <si>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</si>
  <si>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</si>
  <si>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</si>
  <si>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</si>
  <si>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</si>
  <si>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</si>
  <si>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</si>
  <si>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</si>
  <si>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</si>
  <si>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</si>
  <si>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</si>
  <si>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</si>
  <si>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</si>
  <si>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</si>
  <si>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</si>
  <si>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</si>
  <si>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</si>
  <si>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</si>
  <si>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</si>
  <si>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</si>
  <si>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</si>
  <si>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</si>
  <si>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</si>
  <si>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</si>
  <si>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</si>
  <si>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</si>
  <si>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</si>
  <si>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</si>
  <si>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</si>
  <si>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</si>
  <si>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</si>
  <si>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</si>
  <si>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</si>
  <si>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</si>
  <si>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</si>
  <si>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</si>
  <si>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</si>
  <si>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</si>
  <si>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</si>
  <si>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</si>
  <si>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</si>
  <si>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</si>
  <si>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</si>
  <si>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</si>
  <si>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</si>
  <si>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</si>
  <si>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</si>
  <si>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</si>
  <si>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</si>
  <si>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</si>
  <si>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</si>
  <si>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</si>
  <si>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</si>
  <si>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</si>
  <si>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</si>
  <si>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</si>
  <si>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</si>
  <si>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</si>
  <si>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</si>
  <si>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</si>
  <si>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</si>
  <si>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</si>
  <si>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</si>
  <si>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</si>
  <si>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</si>
  <si>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</si>
  <si>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</si>
  <si>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</si>
  <si>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</si>
  <si>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</si>
  <si>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</si>
  <si>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</si>
  <si>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</si>
  <si>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</si>
  <si>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</si>
  <si>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</si>
  <si>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</si>
  <si>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</si>
  <si>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</si>
  <si>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</si>
  <si>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</si>
  <si>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</si>
  <si>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</si>
  <si>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</si>
  <si>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</si>
  <si>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</si>
  <si>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</si>
  <si>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</si>
  <si>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</si>
  <si>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</si>
  <si>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</si>
  <si>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</si>
  <si>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</si>
  <si>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</si>
  <si>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</si>
  <si>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</si>
  <si>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</si>
  <si>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</si>
  <si>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</si>
  <si>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</si>
  <si>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</si>
  <si>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</si>
  <si>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</si>
  <si>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</si>
  <si>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</si>
  <si>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</si>
  <si>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</si>
  <si>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</si>
  <si>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</si>
  <si>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</si>
  <si>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</si>
  <si>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</si>
  <si>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</si>
  <si>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</si>
  <si>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</si>
  <si>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</si>
  <si>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</si>
  <si>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</si>
  <si>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</si>
  <si>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</si>
  <si>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</si>
  <si>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</si>
  <si>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</si>
  <si>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</si>
  <si>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</si>
  <si>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</si>
  <si>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</si>
  <si>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</si>
  <si>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</si>
  <si>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</si>
  <si>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</si>
  <si>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</si>
  <si>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</si>
  <si>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</si>
  <si>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</si>
  <si>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</si>
  <si>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</si>
  <si>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</si>
  <si>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</si>
  <si>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</si>
  <si>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</si>
  <si>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</si>
  <si>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</si>
  <si>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</si>
  <si>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</si>
  <si>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</si>
  <si>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</si>
  <si>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</si>
  <si>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</si>
  <si>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</si>
  <si>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</si>
  <si>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</si>
  <si>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</si>
  <si>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</si>
  <si>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</si>
  <si>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</si>
  <si>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</si>
  <si>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</si>
  <si>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</si>
  <si>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</si>
  <si>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</si>
  <si>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</si>
  <si>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</si>
  <si>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</si>
  <si>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</si>
  <si>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</si>
  <si>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</si>
  <si>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</si>
  <si>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</si>
  <si>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</si>
  <si>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</si>
  <si>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</si>
  <si>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</si>
  <si>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</si>
  <si>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</si>
  <si>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</si>
  <si>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</si>
  <si>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</si>
  <si>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</si>
  <si>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</si>
  <si>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</si>
  <si>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</si>
  <si>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</si>
  <si>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</si>
  <si>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</si>
  <si>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</si>
  <si>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</si>
  <si>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</si>
  <si>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</si>
  <si>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</si>
  <si>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</si>
  <si>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</si>
  <si>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</si>
  <si>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</si>
  <si>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</si>
  <si>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</si>
  <si>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</si>
  <si>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</si>
  <si>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</si>
  <si>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</si>
  <si>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</si>
  <si>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</si>
  <si>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</si>
  <si>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</si>
  <si>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</si>
  <si>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</si>
  <si>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</si>
  <si>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</si>
  <si>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</si>
  <si>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</si>
  <si>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</si>
  <si>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</si>
  <si>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</si>
  <si>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</si>
  <si>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</si>
  <si>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</si>
  <si>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</si>
  <si>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</si>
  <si>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</si>
  <si>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</si>
  <si>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</si>
  <si>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</si>
  <si>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</si>
  <si>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</si>
  <si>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</si>
  <si>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</si>
  <si>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</si>
  <si>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</si>
  <si>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</si>
  <si>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</si>
  <si>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</si>
  <si>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</si>
  <si>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</si>
  <si>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</si>
  <si>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</si>
  <si>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</si>
  <si>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</si>
  <si>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</si>
  <si>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</si>
  <si>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</si>
  <si>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</si>
  <si>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</si>
  <si>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</si>
  <si>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</si>
  <si>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</si>
  <si>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</si>
  <si>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</si>
  <si>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</si>
  <si>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</si>
  <si>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</si>
  <si>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</si>
  <si>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</si>
  <si>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</si>
  <si>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</si>
  <si>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</si>
  <si>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</si>
  <si>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</si>
  <si>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</si>
  <si>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</si>
  <si>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</si>
  <si>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</si>
  <si>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</si>
  <si>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</si>
  <si>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</si>
  <si>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</si>
  <si>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</si>
  <si>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</si>
  <si>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</si>
  <si>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</si>
  <si>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</si>
  <si>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</si>
  <si>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</si>
  <si>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</si>
  <si>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</si>
  <si>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</si>
  <si>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</si>
  <si>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</si>
  <si>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</si>
  <si>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</si>
  <si>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</si>
  <si>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</si>
  <si>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</si>
  <si>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</si>
  <si>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</si>
  <si>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</si>
  <si>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</si>
  <si>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</si>
  <si>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</si>
  <si>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</si>
  <si>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</si>
  <si>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</si>
  <si>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</si>
  <si>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</si>
  <si>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</si>
  <si>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</si>
  <si>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</si>
  <si>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</si>
  <si>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</si>
  <si>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</si>
  <si>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</si>
  <si>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</si>
  <si>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</si>
  <si>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</si>
  <si>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</si>
  <si>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</si>
  <si>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</si>
  <si>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</si>
  <si>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</si>
  <si>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</si>
  <si>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</si>
  <si>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</si>
  <si>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</si>
  <si>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</si>
  <si>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</si>
  <si>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</si>
  <si>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</si>
  <si>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</si>
  <si>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</si>
  <si>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</si>
  <si>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</si>
  <si>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</si>
  <si>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</si>
  <si>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</si>
  <si>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</si>
  <si>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</si>
  <si>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</si>
  <si>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</si>
  <si>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</si>
  <si>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</si>
  <si>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</si>
  <si>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</si>
  <si>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</si>
  <si>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</si>
  <si>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</si>
  <si>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</si>
  <si>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</si>
  <si>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</si>
  <si>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</si>
  <si>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</si>
  <si>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</si>
  <si>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</si>
  <si>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</si>
  <si>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</si>
  <si>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</si>
  <si>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</si>
  <si>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</si>
  <si>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</si>
  <si>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</si>
  <si>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</si>
  <si>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</si>
  <si>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</si>
  <si>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</si>
  <si>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</si>
  <si>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</si>
  <si>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</si>
  <si>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</si>
  <si>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</si>
  <si>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</si>
  <si>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</si>
  <si>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</si>
  <si>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</si>
  <si>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</si>
  <si>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</si>
  <si>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</si>
  <si>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</si>
  <si>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</si>
  <si>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</si>
  <si>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</si>
  <si>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</si>
  <si>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</si>
  <si>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</si>
  <si>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</si>
  <si>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</si>
  <si>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</si>
  <si>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</si>
  <si>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</si>
  <si>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</si>
  <si>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</si>
  <si>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</si>
  <si>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</si>
  <si>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</si>
  <si>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</si>
  <si>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</si>
  <si>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</si>
  <si>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</si>
  <si>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</si>
  <si>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</si>
  <si>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</si>
  <si>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</si>
  <si>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</si>
  <si>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</si>
  <si>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</si>
  <si>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7.62 - 15.24 µm</t>
  </si>
  <si>
    <t>1.28.041 (Níquel Electroless) | 5 - 10 µm</t>
  </si>
  <si>
    <t>40001-050-01 (Plata Flash) | 0.508 - 0.762 µm</t>
  </si>
  <si>
    <t>40001-053-02 (Estaño) | 5.08 - 10.16 µm</t>
  </si>
  <si>
    <t>40004-017-01 (Zinc) | 5 - 8 µm</t>
  </si>
  <si>
    <t>48053-005-01 (Lavado - Tratamiento Térmico - Bimetales)</t>
  </si>
  <si>
    <t>48057-002-02 (Níquel Bimetales) | 0.5 - 2.0 µm</t>
  </si>
  <si>
    <t>48057-003-01 (Zinc) | 6.0 - 10.0 µm</t>
  </si>
  <si>
    <t>48057-007-01 (Estaño Bimetales) | 1.9 - 5.0 µm</t>
  </si>
  <si>
    <t>ABD01030 (Plata Semibrillante) | 2 - 5 µm</t>
  </si>
  <si>
    <t>ACP5-618 (Plata) | 0.076 - 2.54 µm</t>
  </si>
  <si>
    <t>ACP5-618 (Plata) | 2.54 - 5.08 µm</t>
  </si>
  <si>
    <t>ACP5-618 (Plata) | 5.08 - 12.7 µm</t>
  </si>
  <si>
    <t>ASTM B689 (Níquel) | 200 - 225 µm</t>
  </si>
  <si>
    <t>ASTM B689 (Níquel) | 25 - 30 µm</t>
  </si>
  <si>
    <t>ASTM B689 (Níquel) | 50 - 60 µm</t>
  </si>
  <si>
    <t>ASTM B700 (Plata) | 10 - 20 µm</t>
  </si>
  <si>
    <t>ASTM B700 (Plata) | 2.5 - 5 µm</t>
  </si>
  <si>
    <t>ASTM B700 (Plata) | 20 - 30 µm</t>
  </si>
  <si>
    <t>ASTM B700 (Plata) | 40 - 50 µm</t>
  </si>
  <si>
    <t>ASTM B700 (Plata) | 5 - 10 µm</t>
  </si>
  <si>
    <t>E27780 (Epóxico MT) | 50 - 100 mils</t>
  </si>
  <si>
    <t>ES-000101 (Epóxico MT Rojo) | 20 - 60 mils</t>
  </si>
  <si>
    <t>ES-000101 (Epóxico MT Rojo) | 30 - 40 mils</t>
  </si>
  <si>
    <t>F4383 (Estaño) | 7.62 - 25.4 µm</t>
  </si>
  <si>
    <t>F70H2 (Plata Mate) | 0.508 - 1.016 µm</t>
  </si>
  <si>
    <t>F70H2 (Plata Mate) | 25.4 - 38.1 µm</t>
  </si>
  <si>
    <t>FFS-1A1 (Fosfato de Zinc) | 10 - 35 µm</t>
  </si>
  <si>
    <t>FFS-1C1 (Fosfato de Zinc c/Aceite) | 15 - 45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</si>
  <si>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</si>
  <si>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</si>
  <si>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</si>
  <si>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</si>
  <si>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</si>
  <si>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</si>
  <si>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</si>
  <si>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FTR00047 (Plata) | 5 - 8 µm</t>
  </si>
  <si>
    <t>GG QTLV 5115 (Níquel Sulfamato) | 5 - 15 µm</t>
  </si>
  <si>
    <t>MS-S1053 (Fosfato de Manganeso - Medición de Grano) | 5 - 11 µm</t>
  </si>
  <si>
    <t>P 1029 P003 E 131 (Níquel Electroless) (Moneda) | 45 - 70 µm</t>
  </si>
  <si>
    <t>PL 112-16-2 (Estaño) | 3.8 - 12.7 µm</t>
  </si>
  <si>
    <t>RC Ag (Plata) | 3.8 - 5.5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</si>
  <si>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</si>
  <si>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</si>
  <si>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</si>
  <si>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</si>
  <si>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</si>
  <si>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</si>
  <si>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</si>
  <si>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</si>
  <si>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Decapado</t>
  </si>
  <si>
    <t>RC Electropulido</t>
  </si>
  <si>
    <t>RC Empaque</t>
  </si>
  <si>
    <t>RC EpBT (Epóxico BT) | 10 - 15 mils</t>
  </si>
  <si>
    <t>RC EpBT (Epóxico BT) | 4 - 11 mils</t>
  </si>
  <si>
    <t>RC EpMT (Epóxico MT) | 94 - 140 mils</t>
  </si>
  <si>
    <t>RC Lavado</t>
  </si>
  <si>
    <t>RC Limpieza Mecánica</t>
  </si>
  <si>
    <t>RC Ni (Níquel) | 10 - 13 µm</t>
  </si>
  <si>
    <t>RC NiCrv (Níquel Cromvet) | 0.5 - 1 µm</t>
  </si>
  <si>
    <t>RC NiEl (Níquel Electroless) | 12.7 - 17.78 µm</t>
  </si>
  <si>
    <t>RC NiEl (Níquel Electroless) | 25 - 38 µm</t>
  </si>
  <si>
    <t>RC NiEl (Níquel Electroless) | 6 - 10 µm</t>
  </si>
  <si>
    <t>RC No Oxide</t>
  </si>
  <si>
    <t>RC Pasivado</t>
  </si>
  <si>
    <t>RC Rebabeo</t>
  </si>
  <si>
    <t>RC Zn (Zinc) | 12 - 16 µm</t>
  </si>
  <si>
    <t>RC Zn (Zinc) | 15 - 18 µm</t>
  </si>
  <si>
    <t>RC Zn (Zinc) | 20 - 24 µm</t>
  </si>
  <si>
    <t>RC Zn (Zinc) | 5 - 10 µm</t>
  </si>
  <si>
    <t>RC Zn-Ni (Zinc Níquel - Bonete) | 8 - 25 µm</t>
  </si>
  <si>
    <t>S30793-507 (Estaño) | 2.5 - 5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</si>
  <si>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</si>
  <si>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</si>
  <si>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</si>
  <si>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</si>
  <si>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</si>
  <si>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</si>
  <si>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</si>
  <si>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</si>
  <si>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</si>
  <si>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</si>
  <si>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</si>
  <si>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</si>
  <si>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</si>
  <si>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</si>
  <si>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</si>
  <si>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</si>
  <si>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</si>
  <si>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</si>
  <si>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</si>
  <si>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</si>
  <si>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</si>
  <si>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</si>
  <si>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</si>
  <si>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</si>
  <si>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</si>
  <si>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</si>
  <si>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</si>
  <si>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</si>
  <si>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</si>
  <si>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</si>
  <si>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</si>
  <si>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</si>
  <si>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</si>
  <si>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</si>
  <si>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</si>
  <si>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</si>
  <si>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</si>
  <si>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</si>
  <si>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</si>
  <si>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</si>
  <si>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</si>
  <si>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</si>
  <si>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</si>
  <si>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</si>
  <si>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</si>
  <si>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</si>
  <si>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</si>
  <si>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</si>
  <si>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</si>
  <si>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</si>
  <si>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</si>
  <si>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</si>
  <si>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</si>
  <si>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</si>
  <si>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</si>
  <si>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</si>
  <si>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</si>
  <si>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</si>
  <si>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</si>
  <si>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</si>
  <si>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</si>
  <si>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</si>
  <si>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</si>
  <si>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</si>
  <si>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</si>
  <si>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</si>
  <si>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</si>
  <si>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</si>
  <si>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</si>
  <si>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</si>
  <si>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</si>
  <si>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</si>
  <si>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</si>
  <si>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</si>
  <si>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</si>
  <si>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</si>
  <si>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</si>
  <si>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</si>
  <si>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</si>
  <si>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</si>
  <si>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</si>
  <si>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</si>
  <si>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</si>
  <si>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</si>
  <si>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</si>
  <si>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</si>
  <si>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</si>
  <si>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</si>
  <si>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</si>
  <si>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</si>
  <si>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</si>
  <si>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</si>
  <si>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</si>
  <si>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</si>
  <si>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</si>
  <si>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</si>
  <si>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</si>
  <si>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</si>
  <si>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</si>
  <si>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</si>
  <si>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</si>
  <si>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</si>
  <si>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</si>
  <si>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</si>
  <si>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</si>
  <si>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</si>
  <si>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</si>
  <si>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</si>
  <si>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</si>
  <si>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</si>
  <si>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</si>
  <si>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</si>
  <si>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</si>
  <si>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</si>
  <si>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</si>
  <si>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</si>
  <si>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</si>
  <si>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</si>
  <si>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</si>
  <si>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</si>
  <si>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</si>
  <si>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</si>
  <si>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</si>
  <si>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</si>
  <si>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</si>
  <si>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</si>
  <si>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</si>
  <si>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</si>
  <si>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</si>
  <si>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</si>
  <si>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</si>
  <si>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</si>
  <si>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</si>
  <si>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</si>
  <si>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</si>
  <si>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</si>
  <si>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</si>
  <si>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</si>
  <si>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</si>
  <si>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</si>
  <si>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</si>
  <si>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</si>
  <si>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</si>
  <si>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</si>
  <si>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</si>
  <si>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</si>
  <si>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</si>
  <si>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</si>
  <si>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</si>
  <si>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</si>
  <si>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</si>
  <si>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</si>
  <si>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</si>
  <si>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</si>
  <si>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</si>
  <si>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</si>
  <si>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</si>
  <si>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</si>
  <si>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</si>
  <si>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</si>
  <si>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</si>
  <si>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</si>
  <si>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</si>
  <si>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</si>
  <si>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</si>
  <si>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</si>
  <si>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</si>
  <si>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</si>
  <si>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</si>
  <si>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</si>
  <si>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</si>
  <si>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</si>
  <si>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</si>
  <si>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</si>
  <si>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</si>
  <si>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</si>
  <si>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</si>
  <si>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</si>
  <si>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</si>
  <si>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</si>
  <si>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</si>
  <si>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</si>
  <si>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</si>
  <si>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</si>
  <si>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</si>
  <si>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</si>
  <si>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</si>
  <si>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</si>
  <si>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</si>
  <si>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</si>
  <si>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</si>
  <si>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</si>
  <si>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</si>
  <si>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</si>
  <si>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</si>
  <si>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</si>
  <si>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</si>
  <si>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</si>
  <si>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</si>
  <si>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</si>
  <si>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</si>
  <si>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</si>
  <si>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</si>
  <si>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</si>
  <si>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</si>
  <si>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</si>
  <si>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</si>
  <si>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</si>
  <si>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</si>
  <si>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</si>
  <si>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</si>
  <si>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</si>
  <si>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</si>
  <si>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</si>
  <si>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</si>
  <si>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</si>
  <si>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</si>
  <si>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</si>
  <si>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</si>
  <si>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</si>
  <si>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</si>
  <si>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</si>
  <si>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</si>
  <si>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</si>
  <si>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</si>
  <si>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</si>
  <si>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</si>
  <si>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</si>
  <si>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</si>
  <si>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</si>
  <si>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</si>
  <si>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</si>
  <si>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</si>
  <si>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</si>
  <si>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</si>
  <si>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</si>
  <si>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</si>
  <si>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</si>
  <si>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</si>
  <si>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</si>
  <si>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</si>
  <si>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</si>
  <si>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</si>
  <si>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</si>
  <si>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</si>
  <si>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</si>
  <si>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</si>
  <si>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</si>
  <si>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</si>
  <si>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</si>
  <si>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</si>
  <si>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</si>
  <si>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</si>
  <si>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</si>
  <si>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</si>
  <si>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</si>
  <si>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</si>
  <si>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</si>
  <si>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</si>
  <si>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</si>
  <si>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</si>
  <si>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</si>
  <si>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</si>
  <si>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</si>
  <si>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</si>
  <si>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</si>
  <si>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</si>
  <si>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</si>
  <si>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</si>
  <si>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</si>
  <si>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</si>
  <si>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</si>
  <si>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</si>
  <si>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</si>
  <si>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</si>
  <si>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</si>
  <si>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</si>
  <si>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</si>
  <si>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</si>
  <si>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</si>
  <si>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</si>
  <si>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</si>
  <si>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</si>
  <si>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</si>
  <si>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</si>
  <si>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</si>
  <si>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</si>
  <si>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</si>
  <si>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</si>
  <si>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</si>
  <si>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</si>
  <si>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</si>
  <si>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</si>
  <si>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</si>
  <si>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</si>
  <si>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</si>
  <si>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</si>
  <si>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</si>
  <si>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</si>
  <si>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</si>
  <si>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</si>
  <si>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</si>
  <si>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</si>
  <si>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</si>
  <si>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</si>
  <si>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</si>
  <si>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</si>
  <si>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</si>
  <si>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</si>
  <si>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</si>
  <si>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</si>
  <si>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</si>
  <si>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</si>
  <si>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</si>
  <si>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</si>
  <si>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</si>
  <si>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</si>
  <si>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</si>
  <si>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</si>
  <si>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</si>
  <si>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</si>
  <si>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</si>
  <si>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</si>
  <si>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</si>
  <si>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</si>
  <si>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</si>
  <si>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</si>
  <si>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</si>
  <si>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</si>
  <si>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</si>
  <si>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</si>
  <si>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</si>
  <si>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</si>
  <si>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</si>
  <si>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</si>
  <si>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</si>
  <si>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</si>
  <si>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</si>
  <si>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</si>
  <si>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</si>
  <si>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</si>
  <si>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</si>
  <si>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</si>
  <si>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</si>
  <si>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</si>
  <si>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</si>
  <si>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</si>
  <si>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</si>
  <si>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</si>
  <si>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</si>
  <si>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</si>
  <si>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</si>
  <si>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</si>
  <si>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</si>
  <si>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</si>
  <si>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</si>
  <si>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</si>
  <si>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</si>
  <si>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</si>
  <si>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</si>
  <si>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</si>
  <si>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</si>
  <si>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</si>
  <si>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</si>
  <si>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</si>
  <si>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</si>
  <si>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</si>
  <si>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</si>
  <si>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</si>
  <si>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</si>
  <si>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</si>
  <si>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</si>
  <si>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</si>
  <si>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</si>
  <si>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</si>
  <si>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</si>
  <si>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</si>
  <si>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</si>
  <si>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</si>
  <si>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</si>
  <si>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</si>
  <si>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</si>
  <si>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</si>
  <si>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</si>
  <si>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</si>
  <si>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</si>
  <si>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</si>
  <si>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</si>
  <si>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</si>
  <si>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</si>
  <si>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</si>
  <si>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</si>
  <si>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</si>
  <si>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</si>
  <si>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</si>
  <si>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</si>
  <si>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</si>
  <si>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</si>
  <si>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</si>
  <si>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</si>
  <si>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</si>
  <si>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</si>
  <si>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</si>
  <si>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</si>
  <si>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</si>
  <si>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</si>
  <si>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</si>
  <si>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</si>
  <si>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</si>
  <si>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</si>
  <si>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</si>
  <si>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</si>
  <si>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</si>
  <si>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</si>
  <si>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</si>
  <si>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</si>
  <si>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</si>
  <si>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</si>
  <si>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</si>
  <si>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</si>
  <si>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</si>
  <si>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</si>
  <si>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</si>
  <si>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</si>
  <si>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</si>
  <si>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</si>
  <si>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</si>
  <si>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</si>
  <si>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</si>
  <si>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</si>
  <si>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</si>
  <si>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</si>
  <si>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</si>
  <si>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</si>
  <si>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</si>
  <si>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</si>
  <si>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</si>
  <si>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</si>
  <si>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</si>
  <si>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</si>
  <si>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</si>
  <si>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</si>
  <si>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</si>
  <si>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</si>
  <si>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</si>
  <si>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</si>
  <si>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</si>
  <si>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</si>
  <si>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</si>
  <si>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</si>
  <si>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</si>
  <si>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</si>
  <si>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</si>
  <si>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</si>
  <si>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</si>
  <si>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</si>
  <si>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</si>
  <si>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</si>
  <si>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</si>
  <si>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</si>
  <si>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</si>
  <si>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</si>
  <si>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</si>
  <si>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</si>
  <si>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</si>
  <si>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</si>
  <si>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</si>
  <si>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</si>
  <si>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</si>
  <si>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</si>
  <si>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</si>
  <si>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</si>
  <si>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</si>
  <si>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</si>
  <si>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</si>
  <si>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</si>
  <si>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</si>
  <si>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</si>
  <si>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</si>
  <si>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</si>
  <si>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</si>
  <si>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</si>
  <si>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</si>
  <si>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</si>
  <si>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</si>
  <si>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</si>
  <si>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</si>
  <si>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</si>
  <si>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</si>
  <si>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</si>
  <si>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</si>
  <si>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</si>
  <si>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</si>
  <si>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</si>
  <si>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</si>
  <si>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</si>
  <si>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</si>
  <si>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</si>
  <si>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</si>
  <si>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</si>
  <si>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</si>
  <si>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</si>
  <si>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</si>
  <si>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</si>
  <si>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</si>
  <si>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</si>
  <si>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</si>
  <si>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</si>
  <si>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</si>
  <si>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FISHER CONTROLES DE MEXICO — Dirección Fiscal — Industrias Químicas 2</t>
  </si>
  <si>
    <t>HUBBELL PRODUCTS MEXICO — Dirección Fiscal — Cinco Sur 104, Parque</t>
  </si>
  <si>
    <t xml:space="preserve">KANTE — </t>
  </si>
  <si>
    <t xml:space="preserve">MJC — </t>
  </si>
  <si>
    <t>National Presort — 14901 Trinity Blvd Ft Worth, TX  76155 U</t>
  </si>
  <si>
    <t xml:space="preserve">SCHNEIDER ELECTRIC USA INC — Planta 2 Querétaro, — Carretera Estatal </t>
  </si>
  <si>
    <t>STK INDUSTRIAS — Carretera a Villa de García 2501 - Bodeg</t>
  </si>
  <si>
    <t>WIELAND METAL SERVICES — La Griega 117, Parque Industrial Queréta</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</si>
  <si>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</si>
  <si>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</si>
  <si>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</si>
  <si>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</si>
  <si>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</si>
  <si>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</si>
  <si>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</si>
  <si>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</si>
  <si>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</si>
  <si>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</si>
  <si>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</si>
  <si>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</si>
  <si>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</si>
  <si>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</si>
  <si>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</si>
  <si>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</si>
  <si>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</si>
  <si>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</si>
  <si>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</si>
  <si>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</si>
  <si>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</si>
  <si>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</si>
  <si>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</si>
  <si>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</si>
  <si>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</si>
  <si>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</si>
  <si>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</si>
  <si>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</si>
  <si>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</si>
  <si>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</si>
  <si>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</si>
  <si>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</si>
  <si>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</si>
  <si>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</si>
  <si>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</si>
  <si>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</si>
  <si>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</si>
  <si>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</si>
  <si>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</si>
  <si>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</si>
  <si>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</si>
  <si>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</si>
  <si>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</si>
  <si>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</si>
  <si>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</si>
  <si>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</si>
  <si>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</si>
  <si>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FFS-1A1 (Fosfato de Zinc) | 8 - 12 µm</t>
  </si>
  <si>
    <t>RC Anodizado Natural | 2 - 3 µm</t>
  </si>
  <si>
    <t>RC Ensamble de Kits</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</si>
  <si>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</si>
  <si>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</si>
  <si>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</si>
  <si>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</si>
  <si>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</si>
  <si>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</si>
  <si>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</si>
  <si>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</si>
  <si>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</si>
  <si>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</si>
  <si>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</si>
  <si>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</si>
  <si>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</si>
  <si>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</si>
  <si>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</si>
  <si>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</si>
  <si>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</si>
  <si>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</si>
  <si>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</si>
  <si>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</si>
  <si>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</si>
  <si>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</si>
  <si>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</si>
  <si>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</si>
  <si>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</si>
  <si>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</si>
  <si>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</si>
  <si>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</si>
  <si>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</si>
  <si>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</si>
  <si>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</si>
  <si>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</si>
  <si>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</si>
  <si>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</si>
  <si>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</si>
  <si>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</si>
  <si>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</si>
  <si>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</si>
  <si>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</si>
  <si>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</si>
  <si>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</si>
  <si>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</si>
  <si>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</si>
  <si>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</si>
  <si>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</si>
  <si>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</si>
  <si>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</si>
  <si>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</si>
  <si>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</si>
  <si>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</si>
  <si>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</si>
  <si>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</si>
  <si>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</si>
  <si>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</si>
  <si>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</si>
  <si>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</si>
  <si>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</si>
  <si>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</si>
  <si>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</si>
  <si>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</si>
  <si>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</si>
  <si>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</si>
  <si>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</si>
  <si>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</si>
  <si>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</si>
  <si>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</si>
  <si>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</si>
  <si>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</si>
  <si>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</si>
  <si>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</si>
  <si>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</si>
  <si>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</si>
  <si>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</si>
  <si>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</si>
  <si>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</si>
  <si>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</si>
  <si>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</si>
  <si>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</si>
  <si>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</si>
  <si>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</si>
  <si>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</si>
  <si>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</si>
  <si>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</si>
  <si>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</si>
  <si>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</si>
  <si>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</si>
  <si>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</si>
  <si>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</si>
  <si>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</si>
  <si>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</si>
  <si>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</si>
  <si>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</si>
  <si>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</si>
  <si>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</si>
  <si>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</si>
  <si>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</si>
  <si>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</si>
  <si>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</si>
  <si>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</si>
  <si>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</si>
  <si>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</si>
  <si>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</si>
  <si>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aux: rank G2</t>
  </si>
  <si>
    <t>aux: cumple cond</t>
  </si>
  <si>
    <t>aux: 1ª aparición</t>
  </si>
  <si>
    <t>aux: rank único</t>
  </si>
  <si>
    <t>aux: criterio O2</t>
  </si>
  <si>
    <t>aux: rank O2 ↓</t>
  </si>
  <si>
    <t xml:space="preserve">OLSON METAL PRODUCTS LLC — </t>
  </si>
  <si>
    <t>PARKER HANNIFIN DE MEXICO — Eje Uno Norte 100, Parque Industrial Tol</t>
  </si>
  <si>
    <t>RESORTES Y PARTES — GUIZAR Y VALENCIA 14-01 San Andrés Atoto</t>
  </si>
  <si>
    <t>T101 (PRE)-T108 (NSU)-T109 (PAS)-LA/CU- GG (13.0)</t>
  </si>
  <si>
    <t>T101 (PRE)-T108 (NSU)-T301 (EST)-LA- GG (13.0)</t>
  </si>
  <si>
    <t>T103 (CRD)-T103 (LMA)-AC-VEEBALL (11.0)</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</si>
  <si>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</si>
  <si>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</si>
  <si>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</si>
  <si>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</si>
  <si>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</si>
  <si>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</si>
  <si>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</si>
  <si>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</si>
  <si>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</si>
  <si>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</si>
  <si>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</si>
  <si>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</si>
  <si>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</si>
  <si>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</si>
  <si>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</si>
  <si>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</si>
  <si>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</si>
  <si>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</si>
  <si>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</si>
  <si>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</si>
  <si>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</si>
  <si>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</si>
  <si>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</si>
  <si>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T401 (ENM)-T103 (CRD)-T401 (DNM)-T100 (FIB)-FE/AC/INOX-CAGES (11.0)</t>
  </si>
  <si>
    <t>Estaño Brillante</t>
  </si>
  <si>
    <t>Parker</t>
  </si>
  <si>
    <t>Plata Alto Espesor</t>
  </si>
  <si>
    <t>40004-014-01 (Estaño) | 5 - 10 µm | 0.5 - 1.0 µm</t>
  </si>
  <si>
    <t>40004-014-01 (Estaño) | 5 - 8 µm | 0.5 - 1.0 µm</t>
  </si>
  <si>
    <t>40004-015-01 (Estaño) | 5 - 10 µm | 0.5 - 1.0 µm</t>
  </si>
  <si>
    <t>40004-015-01 (Estaño) | 5 - 8 µm | 0.5 - 1.0 µm</t>
  </si>
  <si>
    <t>40004-022-01 (Estaño) | 5 - 10 µm | 0.5 - 1.0 µm</t>
  </si>
  <si>
    <t>40004-022-01 (Estaño) | 5 - 8 µm | 0.5 - 1.0 µm</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</si>
  <si>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</si>
  <si>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</si>
  <si>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</si>
  <si>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</si>
  <si>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</si>
  <si>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20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</si>
  <si>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</si>
  <si>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</si>
  <si>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</si>
  <si>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</si>
  <si>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</si>
  <si>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</si>
  <si>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</si>
  <si>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</si>
  <si>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</si>
  <si>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</si>
  <si>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</si>
  <si>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20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</si>
  <si>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</si>
  <si>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</si>
  <si>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</si>
  <si>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</si>
  <si>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</si>
  <si>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</si>
  <si>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</si>
  <si>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</si>
  <si>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</si>
  <si>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</si>
  <si>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</si>
  <si>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</si>
  <si>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</si>
  <si>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</si>
  <si>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</si>
  <si>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</si>
  <si>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</si>
  <si>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</si>
  <si>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</si>
  <si>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</si>
  <si>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</si>
  <si>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</si>
  <si>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</si>
  <si>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</si>
  <si>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</si>
  <si>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</si>
  <si>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</si>
  <si>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</si>
  <si>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</si>
  <si>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</si>
  <si>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80065-DS-001 (Estaño) | 5 - 10 µm | 0.5 - 1.0 µm</t>
  </si>
  <si>
    <t>80065-DS-001 (Estaño) | 5 - 8 µm | 0.5 - 1.0 µm</t>
  </si>
  <si>
    <t>80065-DS-002 (Estaño) | 5 - 10 µm | 0.5 - 1.0 µm</t>
  </si>
  <si>
    <t>80065-DS-002 (Estaño) | 5 - 8 µm | 0.5 - 1.0 µm</t>
  </si>
  <si>
    <t>80065-DS-005 (Plata Flash) | 0.076 - 0.203 µm</t>
  </si>
  <si>
    <t>DIN 50967 | 5 - 8 µm</t>
  </si>
  <si>
    <t>DYM Pendiente (Deshidrogenado) | 130 - 150 °C | &gt;= 5 hrs.</t>
  </si>
  <si>
    <t>F50HD3S (Deshidrogenado) | 115 - 121 °C | &gt;= 6 hrs.</t>
  </si>
  <si>
    <t>F70F2 (Estaño Mate) | 0.508 - 1.016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</si>
  <si>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</si>
  <si>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</si>
  <si>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</si>
  <si>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</si>
  <si>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</si>
  <si>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FC-F01 | 8.0 - 12.5 µm</t>
  </si>
  <si>
    <t>FFS-2E3 (Cromo Duro) | 5.08 - 7.62 µm</t>
  </si>
  <si>
    <t>FFS-2E3 (Cromo Duro) | 50.8 - 63.5 µm</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</si>
  <si>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</si>
  <si>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</si>
  <si>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</si>
  <si>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</si>
  <si>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</si>
  <si>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</si>
  <si>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</si>
  <si>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</si>
  <si>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</si>
  <si>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</si>
  <si>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</si>
  <si>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</si>
  <si>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</si>
  <si>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</si>
  <si>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</si>
  <si>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</si>
  <si>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</si>
  <si>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</si>
  <si>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</si>
  <si>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</si>
  <si>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</si>
  <si>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</si>
  <si>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</si>
  <si>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</si>
  <si>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</si>
  <si>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</si>
  <si>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</si>
  <si>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</si>
  <si>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</si>
  <si>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</si>
  <si>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</si>
  <si>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</si>
  <si>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</si>
  <si>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</si>
  <si>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</si>
  <si>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</si>
  <si>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</si>
  <si>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</si>
  <si>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</si>
  <si>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</si>
  <si>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</si>
  <si>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</si>
  <si>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</si>
  <si>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</si>
  <si>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FTR00055 (Níquel) | 2 - 4 µm</t>
  </si>
  <si>
    <t>Hirschvogel (Cromo Duro) | 21 - 25 µm</t>
  </si>
  <si>
    <t>MIL-DTL-16232G (Deshidrogenado) | 98 - 107 °C | &gt;= 8 hrs.</t>
  </si>
  <si>
    <t>RC MnPO4 (Fosfato de Manganeso - Medición de Grano) | 2.54 - 7.62 µm</t>
  </si>
  <si>
    <t>Sistema de Gestión de Calidad</t>
  </si>
  <si>
    <t>ALEJANDRO DE LEON GOMEZ</t>
  </si>
  <si>
    <t>BRANDON JAIR COLIN NAVA</t>
  </si>
  <si>
    <t>HECTOR CASTRO VARGAS</t>
  </si>
  <si>
    <t>JOSE DAVID HERNANDEZ RAMOS</t>
  </si>
  <si>
    <t>LEONARDO ROSAS NAVA</t>
  </si>
  <si>
    <t>NOE CRISANTO JACINTO</t>
  </si>
  <si>
    <t>OLD_BRAYAN NOE PICHARDO FRIAS</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</si>
  <si>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</si>
  <si>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</si>
  <si>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</si>
  <si>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</si>
  <si>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</si>
  <si>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</si>
  <si>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</si>
  <si>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</si>
  <si>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</si>
  <si>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</si>
  <si>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</si>
  <si>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</si>
  <si>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</si>
  <si>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</si>
  <si>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</si>
  <si>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</si>
  <si>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</si>
  <si>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</si>
  <si>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</si>
  <si>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</si>
  <si>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</si>
  <si>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</si>
  <si>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</si>
  <si>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</si>
  <si>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</si>
  <si>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</si>
  <si>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</si>
  <si>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</si>
  <si>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</si>
  <si>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</si>
  <si>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</si>
  <si>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</si>
  <si>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</si>
  <si>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</si>
  <si>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</si>
  <si>
    <t xml:space="preserve">BROVEDANI MEXICO S.A DE C.V — </t>
  </si>
  <si>
    <t>SCHNEIDER ELECTRIC USA INC — Dirección Fiscal, — 5914 San Bernardo, S</t>
  </si>
  <si>
    <t>T100 (LMC)-T104 (DEC)-T104 (EST)-CU/BR-HUBBELL (6.0)</t>
  </si>
  <si>
    <t>T109 (DEC)-T109 (NBR)-FE/AC-GRANEL (15.0)</t>
  </si>
  <si>
    <t>T109 (DEC)-T109 (NBR)-T100 (HOR)-FE/AC-GRANEL (15.0)</t>
  </si>
  <si>
    <t>T109 (DEC)-T109 (NSU)-FE/AC-GRANEL (15.0)</t>
  </si>
  <si>
    <t>T109 (NBR)-T106 (ZIN)-T106(CAZ)-FE-VARIOS (10.0)</t>
  </si>
  <si>
    <t>T204 (PLA)-CU/BR-VARIOS  (16.1)</t>
  </si>
  <si>
    <t>Decapa281Ndo Estañado</t>
  </si>
  <si>
    <t>Epóxico MT Alto Grosor</t>
  </si>
  <si>
    <t>IMMSA</t>
  </si>
  <si>
    <t>Proyecto Declinado</t>
  </si>
  <si>
    <t>T114</t>
  </si>
  <si>
    <t>1.28.032 (Níquel) | 5.08 - 8.89 µm</t>
  </si>
  <si>
    <t>1.28.037 (Zinc Cromato Tropicalizado) | 3.81 - 5.08 µm</t>
  </si>
  <si>
    <t>1.28.037 (Zinc Cromato Tropicalizado) | 5.08 - 10.16 µm</t>
  </si>
  <si>
    <t>1.28.037 (Zinc Cromato Tropicalizado) | 5.08 - 8.89 µm</t>
  </si>
  <si>
    <t>40001-050-01 (Plata Flash) | 0.508 - 1.016 µm</t>
  </si>
  <si>
    <t>40004-014-01 (Estaño) | 5 - 10 µm | No aplica</t>
  </si>
  <si>
    <t>40004-014-01 (Estaño) | 5 - 8 µm | No aplica</t>
  </si>
  <si>
    <t>40004-015-01 (Estaño) | 5 - 10 µm | No aplica</t>
  </si>
  <si>
    <t>40004-015-01 (Estaño) | 5 - 8 µm | No aplica</t>
  </si>
  <si>
    <t>40004-017-01 (Zinc) | 12.19 - 15.49 µm</t>
  </si>
  <si>
    <t>40004-017-01 (Zinc) | 15.49 - 20 µm</t>
  </si>
  <si>
    <t>40004-017-01 (Zinc) | 2.54 - 4.44 µm</t>
  </si>
  <si>
    <t>40004-017-01 (Zinc) | 2.54 - 6.35 µm</t>
  </si>
  <si>
    <t>40004-017-01 (Zinc) | 4.44 - 6.35 µm</t>
  </si>
  <si>
    <t>40004-017-01 (Zinc) | 6.35 - 10.16 µm</t>
  </si>
  <si>
    <t>40004-017-01 (Zinc) | 8- 12.19 µm</t>
  </si>
  <si>
    <t>40004-022-01 (Estaño) | 5 - 10 µm | No aplica</t>
  </si>
  <si>
    <t>40004-022-01 (Estaño) | 5 - 8 µm | No aplica</t>
  </si>
  <si>
    <t>40004-055-01 (Plata) | 5 - 8 µm</t>
  </si>
  <si>
    <t>40004-086-01 (Plata Flash) | 1.27 - 2.54 µm</t>
  </si>
  <si>
    <t>40004-086-01 (Plata Flash) | 1.27 - 3 µm</t>
  </si>
  <si>
    <t>40004-086-01 (Plata Flash) | 1.27 - 3.5 µm</t>
  </si>
  <si>
    <t>48057-002-01 (Níquel) | 2.54 - 5.08 µm</t>
  </si>
  <si>
    <t>48057-002-02 (Níquel Bimetales) | 2.5- 5.0 µm</t>
  </si>
  <si>
    <t>48057-003-01 (Zinc) | 3.8 - 6.0 µm</t>
  </si>
  <si>
    <t>48057-006-01 (Plata) | 1.88- 2.56 µm</t>
  </si>
  <si>
    <t>48057-006-01 (Plata) | 2.54 - 3.81 µm</t>
  </si>
  <si>
    <t>48057-007-03 (Estaño Bimetales) | 0.6 - 2.0 µm</t>
  </si>
  <si>
    <t>48121-140-03 (Estaño) | 5 - 12 µm | No aplica</t>
  </si>
  <si>
    <t>48957-014-01 (Níquel Electroless) | 2.54 - 7.62 µm</t>
  </si>
  <si>
    <t>48957-014-01 (Níquel Electroless) | 7.62 - 15.24 µm</t>
  </si>
  <si>
    <t>7706XXX | 5.0 - 10.0 µm</t>
  </si>
  <si>
    <t>80040-DS-018 (Epóxico BT) | 14 - 22 mils</t>
  </si>
  <si>
    <t>80065-DS-001 (Estaño) | 5 - 10 µm | No aplica</t>
  </si>
  <si>
    <t>80065-DS-001 (Estaño) | 5 - 8 µm | No aplica</t>
  </si>
  <si>
    <t>80065-DS-002 (Estaño) | 5 - 10 µm | No aplica</t>
  </si>
  <si>
    <t>80065-DS-002 (Estaño) | 5 - 8 µm | No aplica</t>
  </si>
  <si>
    <t>80065-DS-004 (Plata) | 1.27 - 2.54 µm</t>
  </si>
  <si>
    <t>80065-DS-004 (Plata) | 1.27 - 3 µm</t>
  </si>
  <si>
    <t>80065-DS-008 (Plata) | 7.62 - 9.52 µm</t>
  </si>
  <si>
    <t>80282-DS-005 (Epóxico BT) | 4 - 11 mils</t>
  </si>
  <si>
    <t>A48057-030-02 (Níquel Electroless) | 7 - 12 µm</t>
  </si>
  <si>
    <t>ASTM B545 (Estaño) | 1.5 - 2.5 µm | 0.5 - 1.0 µm</t>
  </si>
  <si>
    <t>ASTM B545 (Estaño) | 1.5 - 2.5 µm | 1.0 - 2.54 µm</t>
  </si>
  <si>
    <t>ASTM B545 (Estaño) | 1.5 - 2.5 µm | 2.54 - 5.08 µm</t>
  </si>
  <si>
    <t>ASTM B545 (Estaño) | 1.5 - 2.5 µm | 5.08 - 10.16 µm</t>
  </si>
  <si>
    <t>ASTM B545 (Estaño) | 1.5 - 2.5 µm | No aplica</t>
  </si>
  <si>
    <t>ASTM B545 (Estaño) | 15 - 30 µm | 0.5 - 1.0 µm</t>
  </si>
  <si>
    <t>ASTM B545 (Estaño) | 15 - 30 µm | 1.0 - 2.54 µm</t>
  </si>
  <si>
    <t>ASTM B545 (Estaño) | 15 - 30 µm | 2.54 - 5.08 µm</t>
  </si>
  <si>
    <t>ASTM B545 (Estaño) | 15 - 30 µm | 5.08 - 10.16 µm</t>
  </si>
  <si>
    <t>ASTM B545 (Estaño) | 15 - 30 µm | No aplica</t>
  </si>
  <si>
    <t>ASTM B545 (Estaño) | 2.5 - 5 µm | 0.5 - 1.0 µm</t>
  </si>
  <si>
    <t>ASTM B545 (Estaño) | 2.5 - 5 µm | 1.0 - 2.54 µm</t>
  </si>
  <si>
    <t>ASTM B545 (Estaño) | 2.5 - 5 µm | 2.54 - 5.08 µm</t>
  </si>
  <si>
    <t>ASTM B545 (Estaño) | 2.5 - 5 µm | 5.08 - 10.16 µm</t>
  </si>
  <si>
    <t>ASTM B545 (Estaño) | 2.5 - 5 µm | No aplica</t>
  </si>
  <si>
    <t>ASTM B545 (Estaño) | 30 - 50 µm | 0.5 - 1.0 µm</t>
  </si>
  <si>
    <t>ASTM B545 (Estaño) | 30 - 50 µm | 1.0 - 2.54 µm</t>
  </si>
  <si>
    <t>ASTM B545 (Estaño) | 30 - 50 µm | 2.54 - 5.08 µm</t>
  </si>
  <si>
    <t>ASTM B545 (Estaño) | 30 - 50 µm | 5.08 - 10.16 µm</t>
  </si>
  <si>
    <t>ASTM B545 (Estaño) | 30 - 50 µm | No aplica</t>
  </si>
  <si>
    <t>ASTM B545 (Estaño) | 5 - 8 µm | 0.5 - 1.0 µm</t>
  </si>
  <si>
    <t>ASTM B545 (Estaño) | 5 - 8 µm | 1.0 - 2.54 µm</t>
  </si>
  <si>
    <t>ASTM B545 (Estaño) | 5 - 8 µm | 2.54 - 5.08 µm</t>
  </si>
  <si>
    <t>ASTM B545 (Estaño) | 5 - 8 µm | 5.08 - 10.16 µm</t>
  </si>
  <si>
    <t>ASTM B545 (Estaño) | 5 - 8 µm | No aplica</t>
  </si>
  <si>
    <t>ASTM B545 (Estaño) | 8 - 15 µm | 0.5 - 1.0 µm</t>
  </si>
  <si>
    <t>ASTM B545 (Estaño) | 8 - 15 µm | 1.0 - 2.54 µm</t>
  </si>
  <si>
    <t>ASTM B545 (Estaño) | 8 - 15 µm | 2.54 - 5.08 µm</t>
  </si>
  <si>
    <t>ASTM B545 (Estaño) | 8 - 15 µm | 5.08 - 10.16 µm</t>
  </si>
  <si>
    <t>ASTM B545 (Estaño) | 8 - 15 µm | No aplica</t>
  </si>
  <si>
    <t>ASTM B633 (Zinc) | 12 - 25 µm</t>
  </si>
  <si>
    <t>ASTM B633 (Zinc) | 25 - 40 µm</t>
  </si>
  <si>
    <t>ASTM B633 (Zinc) | 5 - 8 µm</t>
  </si>
  <si>
    <t>ASTM B633 (Zinc) | 8 - 12 µm</t>
  </si>
  <si>
    <t>ASTM B689 (Níquel) | 100 - 150 µm</t>
  </si>
  <si>
    <t>ASTM B689 (Níquel) | 5 - 12 µm</t>
  </si>
  <si>
    <t>ASTM B700 (Plata) | .41 - 2.5 µm</t>
  </si>
  <si>
    <t>BURNDY DI-EI-01/81 (Estaño) | 5 - 12 µm | No aplica</t>
  </si>
  <si>
    <t>BURNDY DI-EI-01/81 (Estaño) | 5 - 8 µm | No aplica</t>
  </si>
  <si>
    <t>BURNDY DI-EI-01/81 (Estaño) | 8 - 12 µm | No aplica</t>
  </si>
  <si>
    <t>DS258-103-00 (Estaño) | 5.08 - 10.16 µm | No aplica</t>
  </si>
  <si>
    <t>E27550 (Plata) | 1.27 - 2.54 µm</t>
  </si>
  <si>
    <t>E27550 (Plata) | 1.27 - 3 µm</t>
  </si>
  <si>
    <t>E27550 (Plata) | 1.27 - 3.81 µm</t>
  </si>
  <si>
    <t>E27551 (Plata) | 5 - 12 µm</t>
  </si>
  <si>
    <t>E27551 (Plata) | 5 - 8 µm</t>
  </si>
  <si>
    <t>E27551 (Plata) | 8 - 12 µm</t>
  </si>
  <si>
    <t>E27600 (Zinc) | 8 - 12 µm</t>
  </si>
  <si>
    <t>E27780 (Epóxico MT) | 80 - 100 mils</t>
  </si>
  <si>
    <t>EIPS (Zinc - Niquel) | 8 - 12 µm</t>
  </si>
  <si>
    <t>F50KD12 (Estaño) | 0.254 - 1.5 µm | No aplica</t>
  </si>
  <si>
    <t>F70F2 (Estaño Mate) | 0.508 - 1.016 µm | 0.762 - 1.27 µm</t>
  </si>
  <si>
    <t>F70F2 (Estaño Mate) | 0.508 - 1.016 µm | 5.08 - 10.16 µm</t>
  </si>
  <si>
    <t>F70F2 (Estaño Mate) | 0.508 - 1.016 µm | No aplica</t>
  </si>
  <si>
    <t>F70F2 (Estaño Mate) | 12.7 - 19.05 µm | 0.762 - 1.27 µm</t>
  </si>
  <si>
    <t>F70F2 (Estaño Mate) | 12.7 - 19.05 µm | 5.08 - 10.16 µm</t>
  </si>
  <si>
    <t>F70F2 (Estaño Mate) | 12.7 - 19.05 µm | No aplica</t>
  </si>
  <si>
    <t>F70F2 (Estaño Mate) | 2.54 - 5.08 µm | 0.762 - 1.27 µm</t>
  </si>
  <si>
    <t>F70F2 (Estaño Mate) | 2.54 - 5.08 µm | 5.08 - 10.16 µm</t>
  </si>
  <si>
    <t>F70F2 (Estaño Mate) | 2.54 - 5.08 µm | No aplica</t>
  </si>
  <si>
    <t>F70F2 (Estaño Mate) | 25.4 - 38.1 µm | 0.762 - 1.27 µm</t>
  </si>
  <si>
    <t>F70F2 (Estaño Mate) | 25.4 - 38.1 µm | 5.08 - 10.16 µm</t>
  </si>
  <si>
    <t>F70F2 (Estaño Mate) | 25.4 - 38.1 µm | No aplica</t>
  </si>
  <si>
    <t>F70F2 (Estaño Mate) | 3.81 - 7.62 µm | 0.762 - 1.27 µm</t>
  </si>
  <si>
    <t>F70F2 (Estaño Mate) | 3.81 - 7.62 µm | 5.08 - 10.16 µm</t>
  </si>
  <si>
    <t>F70F2 (Estaño Mate) | 3.81 - 7.62 µm | No aplica</t>
  </si>
  <si>
    <t>F70F2 (Estaño Mate) | 5.08 - 10.16 µm | 0.762 - 1.27 µm</t>
  </si>
  <si>
    <t>F70F2 (Estaño Mate) | 5.08 - 10.16 µm | 5.08 - 10.16 µm</t>
  </si>
  <si>
    <t>F70F2 (Estaño Mate) | 5.08 - 10.16 µm | No aplica</t>
  </si>
  <si>
    <t>F70H2 (Plata Mate) | 0.3 - 0.6 µm</t>
  </si>
  <si>
    <t>F70H2 (Plata Mate) | 10.16 - 15.24 µm</t>
  </si>
  <si>
    <t>F70H2 (Plata Mate) | 12.7 - 19.05 µm</t>
  </si>
  <si>
    <t>F70H2 (Plata Mate) | 2.54 - 7.62 µm</t>
  </si>
  <si>
    <t>F70H2 (Plata Mate) | 5.08 - 10.16 µm</t>
  </si>
  <si>
    <t>F70H3 (Plata Semibrillante) | 12.7 - 19.05 µm</t>
  </si>
  <si>
    <t>F70H3 (Plata Semibrillante) | 2.54 - 5.08 µm</t>
  </si>
  <si>
    <t>F70H3 (Plata Semibrillante) | 5.08 - 10.16 µm</t>
  </si>
  <si>
    <t>F71B1 (Estaño) | 0.762 - 1.27 µm | 0.5 - 1.0 µm</t>
  </si>
  <si>
    <t>F71B1 (Estaño) | 0.762 - 1.27 µm | No aplica</t>
  </si>
  <si>
    <t>F71D1 (Plata) | 0.076 - 0.152 µm</t>
  </si>
  <si>
    <t>F71D1 (Plata) | 0.508 - 1.016 µm</t>
  </si>
  <si>
    <t>FFS 3A9 (Zinc) | 5 - 12 µm</t>
  </si>
  <si>
    <t>FFS-2B4 (Zinc Cromato Verde - Amarillo - Claro) | 12.7 - 17.78 µm</t>
  </si>
  <si>
    <t>FFS-2B4 (Zinc Cromato Verde - Amarillo - Claro) | 3.81 - 6.35 µm</t>
  </si>
  <si>
    <t>FFS-2B4 (Zinc Cromato Verde - Amarillo - Claro) | 6.35 - 8.89 µm</t>
  </si>
  <si>
    <t>FTR00025 (Zinc) | 12 - 25 µm</t>
  </si>
  <si>
    <t>FTR00025 (Zinc) | 25 - 40 µm</t>
  </si>
  <si>
    <t>FTR00025 (Zinc) | 40 - 50 µm</t>
  </si>
  <si>
    <t>FTR00025 (Zinc) | 5 - 8 µm</t>
  </si>
  <si>
    <t>FTR00025 (Zinc) | 8 - 12 µm</t>
  </si>
  <si>
    <t>FTR00047 (Plata) | 2 - 5 µm</t>
  </si>
  <si>
    <t>GG QTLV 5115 (Níquel Sulfamato) | 5 - 8 µm</t>
  </si>
  <si>
    <t>GG QTLV 5120.06 (Níquel Sulfamato - Estaño) | 1 - 5 µm | 1 - 3 µm</t>
  </si>
  <si>
    <t>GG QTLV 5120.06 (Níquel Sulfamato - Estaño) | 1 - 5 µm | No aplica</t>
  </si>
  <si>
    <t>GG QTLV 5120.06 (Níquel Sulfamato - Estaño) | 2.5 - 7.6 µm | 1 - 3 µm</t>
  </si>
  <si>
    <t>GG QTLV 5120.06 (Níquel Sulfamato - Estaño) | 2.5 - 7.6 µm | No aplica</t>
  </si>
  <si>
    <t>GG QTLV 5120.06 (Níquel Sulfamato - Estaño) | 8 - 15 µm | 1 - 3 µm</t>
  </si>
  <si>
    <t>GG QTLV 5120.06 (Níquel Sulfamato - Estaño) | 8 - 15 µm | No aplica</t>
  </si>
  <si>
    <t>Hubbell 250µm (Estaño) | 250 - 255 µm | No aplica</t>
  </si>
  <si>
    <t>KDS-258-107 (Estaño) | 2.5 - 5 µm | No aplica</t>
  </si>
  <si>
    <t>NNZ3703201 (Epóxico MT) | 80 - 100 mils</t>
  </si>
  <si>
    <t>RC Ag (Plata) | 0.0762 - 0.127 µm</t>
  </si>
  <si>
    <t>RC Ag (Plata) | 0.127 - 0.254 µm</t>
  </si>
  <si>
    <t>RC Ag (Plata) | 0.127 - 0.762 µm</t>
  </si>
  <si>
    <t>RC Ag (Plata) | 0.254 - 0.762 µm</t>
  </si>
  <si>
    <t>RC Ag (Plata) | 0.254 - 1.27 µm</t>
  </si>
  <si>
    <t>RC Ag (Plata) | 0.4 - 1.27 µm</t>
  </si>
  <si>
    <t>RC Ag (Plata) | 0.4 - 2.54 µm</t>
  </si>
  <si>
    <t>RC Ag (Plata) | 0.508 - 1.27 µm</t>
  </si>
  <si>
    <t>RC Ag (Plata) | 0.762 - 1.27 µm</t>
  </si>
  <si>
    <t>RC Ag (Plata) | 1.27 - 2.54 µm</t>
  </si>
  <si>
    <t>RC Ag (Plata) | 12.7 - 15.24 µm</t>
  </si>
  <si>
    <t>RC Ag (Plata) | 2 - 4 µm</t>
  </si>
  <si>
    <t>RC Ag (Plata) | 2.54 - 5.08 µm</t>
  </si>
  <si>
    <t>RC Ag (Plata) | 5.08 - 10.16 µm</t>
  </si>
  <si>
    <t>RC Ag (Plata) | 7.62 - 12.7 µm</t>
  </si>
  <si>
    <t>RC Cámara Salina | 12 hrs. | 12 hrs.</t>
  </si>
  <si>
    <t>RC Cámara Salina | 12 hrs. | 120 hrs.</t>
  </si>
  <si>
    <t>RC Cámara Salina | 12 hrs. | 144 hrs.</t>
  </si>
  <si>
    <t>RC Cámara Salina | 12 hrs. | 16 hrs.</t>
  </si>
  <si>
    <t>RC Cámara Salina | 12 hrs. | 172 hrs.</t>
  </si>
  <si>
    <t>RC Cámara Salina | 12 hrs. | 200 hrs.</t>
  </si>
  <si>
    <t>RC Cámara Salina | 12 hrs. | 24 hrs.</t>
  </si>
  <si>
    <t>RC Cámara Salina | 12 hrs. | 240 hrs.</t>
  </si>
  <si>
    <t>RC Cámara Salina | 12 hrs. | 36 hrs.</t>
  </si>
  <si>
    <t>RC Cámara Salina | 12 hrs. | 360 hrs.</t>
  </si>
  <si>
    <t>RC Cámara Salina | 12 hrs. | 48 hrs.</t>
  </si>
  <si>
    <t>RC Cámara Salina | 12 hrs. | 480 hrs.</t>
  </si>
  <si>
    <t>RC Cámara Salina | 12 hrs. | 500 hrs.</t>
  </si>
  <si>
    <t>RC Cámara Salina | 12 hrs. | 72 hrs.</t>
  </si>
  <si>
    <t>RC Cámara Salina | 12 hrs. | 720 hrs.</t>
  </si>
  <si>
    <t>RC Cámara Salina | 12 hrs. | 96 hrs.</t>
  </si>
  <si>
    <t>RC Cámara Salina | 12 hrs. | 960 hrs.</t>
  </si>
  <si>
    <t>RC Cámara Salina | 12 hrs. | No aplica</t>
  </si>
  <si>
    <t>RC Cámara Salina | 120 hrs. | 12 hrs.</t>
  </si>
  <si>
    <t>RC Cámara Salina | 120 hrs. | 120 hrs.</t>
  </si>
  <si>
    <t>RC Cámara Salina | 120 hrs. | 144 hrs.</t>
  </si>
  <si>
    <t>RC Cámara Salina | 120 hrs. | 16 hrs.</t>
  </si>
  <si>
    <t>RC Cámara Salina | 120 hrs. | 172 hrs.</t>
  </si>
  <si>
    <t>RC Cámara Salina | 120 hrs. | 200 hrs.</t>
  </si>
  <si>
    <t>RC Cámara Salina | 120 hrs. | 24 hrs.</t>
  </si>
  <si>
    <t>RC Cámara Salina | 120 hrs. | 240 hrs.</t>
  </si>
  <si>
    <t>RC Cámara Salina | 120 hrs. | 36 hrs.</t>
  </si>
  <si>
    <t>RC Cámara Salina | 120 hrs. | 360 hrs.</t>
  </si>
  <si>
    <t>RC Cámara Salina | 120 hrs. | 48 hrs.</t>
  </si>
  <si>
    <t>RC Cámara Salina | 120 hrs. | 480 hrs.</t>
  </si>
  <si>
    <t>RC Cámara Salina | 120 hrs. | 500 hrs.</t>
  </si>
  <si>
    <t>RC Cámara Salina | 120 hrs. | 72 hrs.</t>
  </si>
  <si>
    <t>RC Cámara Salina | 120 hrs. | 720 hrs.</t>
  </si>
  <si>
    <t>RC Cámara Salina | 120 hrs. | 96 hrs.</t>
  </si>
  <si>
    <t>RC Cámara Salina | 120 hrs. | 960 hrs.</t>
  </si>
  <si>
    <t>RC Cámara Salina | 120 hrs. | No aplica</t>
  </si>
  <si>
    <t>RC Cámara Salina | 144 hrs. | 12 hrs.</t>
  </si>
  <si>
    <t>RC Cámara Salina | 144 hrs. | 120 hrs.</t>
  </si>
  <si>
    <t>RC Cámara Salina | 144 hrs. | 144 hrs.</t>
  </si>
  <si>
    <t>RC Cámara Salina | 144 hrs. | 16 hrs.</t>
  </si>
  <si>
    <t>RC Cámara Salina | 144 hrs. | 172 hrs.</t>
  </si>
  <si>
    <t>RC Cámara Salina | 144 hrs. | 200 hrs.</t>
  </si>
  <si>
    <t>RC Cámara Salina | 144 hrs. | 24 hrs.</t>
  </si>
  <si>
    <t>RC Cámara Salina | 144 hrs. | 240 hrs.</t>
  </si>
  <si>
    <t>RC Cámara Salina | 144 hrs. | 36 hrs.</t>
  </si>
  <si>
    <t>RC Cámara Salina | 144 hrs. | 360 hrs.</t>
  </si>
  <si>
    <t>RC Cámara Salina | 144 hrs. | 48 hrs.</t>
  </si>
  <si>
    <t>RC Cámara Salina | 144 hrs. | 480 hrs.</t>
  </si>
  <si>
    <t>RC Cámara Salina | 144 hrs. | 500 hrs.</t>
  </si>
  <si>
    <t>RC Cámara Salina | 144 hrs. | 72 hrs.</t>
  </si>
  <si>
    <t>RC Cámara Salina | 144 hrs. | 720 hrs.</t>
  </si>
  <si>
    <t>RC Cámara Salina | 144 hrs. | 96 hrs.</t>
  </si>
  <si>
    <t>RC Cámara Salina | 144 hrs. | 960 hrs.</t>
  </si>
  <si>
    <t>RC Cámara Salina | 144 hrs. | No aplica</t>
  </si>
  <si>
    <t>RC Cámara Salina | 200 hrs. | 12 hrs.</t>
  </si>
  <si>
    <t>RC Cámara Salina | 200 hrs. | 120 hrs.</t>
  </si>
  <si>
    <t>RC Cámara Salina | 200 hrs. | 144 hrs.</t>
  </si>
  <si>
    <t>RC Cámara Salina | 200 hrs. | 16 hrs.</t>
  </si>
  <si>
    <t>RC Cámara Salina | 200 hrs. | 172 hrs.</t>
  </si>
  <si>
    <t>RC Cámara Salina | 200 hrs. | 200 hrs.</t>
  </si>
  <si>
    <t>RC Cámara Salina | 200 hrs. | 24 hrs.</t>
  </si>
  <si>
    <t>RC Cámara Salina | 200 hrs. | 240 hrs.</t>
  </si>
  <si>
    <t>RC Cámara Salina | 200 hrs. | 36 hrs.</t>
  </si>
  <si>
    <t>RC Cámara Salina | 200 hrs. | 360 hrs.</t>
  </si>
  <si>
    <t>RC Cámara Salina | 200 hrs. | 48 hrs.</t>
  </si>
  <si>
    <t>RC Cámara Salina | 200 hrs. | 480 hrs.</t>
  </si>
  <si>
    <t>RC Cámara Salina | 200 hrs. | 500 hrs.</t>
  </si>
  <si>
    <t>RC Cámara Salina | 200 hrs. | 72 hrs.</t>
  </si>
  <si>
    <t>RC Cámara Salina | 200 hrs. | 720 hrs.</t>
  </si>
  <si>
    <t>RC Cámara Salina | 200 hrs. | 96 hrs.</t>
  </si>
  <si>
    <t>RC Cámara Salina | 200 hrs. | 960 hrs.</t>
  </si>
  <si>
    <t>RC Cámara Salina | 200 hrs. | No aplica</t>
  </si>
  <si>
    <t>RC Cámara Salina | 24 hrs. | 12 hrs.</t>
  </si>
  <si>
    <t>RC Cámara Salina | 24 hrs. | 120 hrs.</t>
  </si>
  <si>
    <t>RC Cámara Salina | 24 hrs. | 144 hrs.</t>
  </si>
  <si>
    <t>RC Cámara Salina | 24 hrs. | 16 hrs.</t>
  </si>
  <si>
    <t>RC Cámara Salina | 24 hrs. | 172 hrs.</t>
  </si>
  <si>
    <t>RC Cámara Salina | 24 hrs. | 200 hrs.</t>
  </si>
  <si>
    <t>RC Cámara Salina | 24 hrs. | 24 hrs.</t>
  </si>
  <si>
    <t>RC Cámara Salina | 24 hrs. | 240 hrs.</t>
  </si>
  <si>
    <t>RC Cámara Salina | 24 hrs. | 36 hrs.</t>
  </si>
  <si>
    <t>RC Cámara Salina | 24 hrs. | 360 hrs.</t>
  </si>
  <si>
    <t>RC Cámara Salina | 24 hrs. | 48 hrs.</t>
  </si>
  <si>
    <t>RC Cámara Salina | 24 hrs. | 480 hrs.</t>
  </si>
  <si>
    <t>RC Cámara Salina | 24 hrs. | 500 hrs.</t>
  </si>
  <si>
    <t>RC Cámara Salina | 24 hrs. | 72 hrs.</t>
  </si>
  <si>
    <t>RC Cámara Salina | 24 hrs. | 720 hrs.</t>
  </si>
  <si>
    <t>RC Cámara Salina | 24 hrs. | 96 hrs.</t>
  </si>
  <si>
    <t>RC Cámara Salina | 24 hrs. | 960 hrs.</t>
  </si>
  <si>
    <t>RC Cámara Salina | 24 hrs. | No aplica</t>
  </si>
  <si>
    <t>RC Cámara Salina | 240 hrs. | 12 hrs.</t>
  </si>
  <si>
    <t>RC Cámara Salina | 240 hrs. | 120 hrs.</t>
  </si>
  <si>
    <t>RC Cámara Salina | 240 hrs. | 144 hrs.</t>
  </si>
  <si>
    <t>RC Cámara Salina | 240 hrs. | 16 hrs.</t>
  </si>
  <si>
    <t>RC Cámara Salina | 240 hrs. | 172 hrs.</t>
  </si>
  <si>
    <t>RC Cámara Salina | 240 hrs. | 200 hrs.</t>
  </si>
  <si>
    <t>RC Cámara Salina | 240 hrs. | 24 hrs.</t>
  </si>
  <si>
    <t>RC Cámara Salina | 240 hrs. | 240 hrs.</t>
  </si>
  <si>
    <t>RC Cámara Salina | 240 hrs. | 36 hrs.</t>
  </si>
  <si>
    <t>RC Cámara Salina | 240 hrs. | 360 hrs.</t>
  </si>
  <si>
    <t>RC Cámara Salina | 240 hrs. | 48 hrs.</t>
  </si>
  <si>
    <t>RC Cámara Salina | 240 hrs. | 480 hrs.</t>
  </si>
  <si>
    <t>RC Cámara Salina | 240 hrs. | 500 hrs.</t>
  </si>
  <si>
    <t>RC Cámara Salina | 240 hrs. | 72 hrs.</t>
  </si>
  <si>
    <t>RC Cámara Salina | 240 hrs. | 720 hrs.</t>
  </si>
  <si>
    <t>RC Cámara Salina | 240 hrs. | 96 hrs.</t>
  </si>
  <si>
    <t>RC Cámara Salina | 240 hrs. | 960 hrs.</t>
  </si>
  <si>
    <t>RC Cámara Salina | 240 hrs. | No aplica</t>
  </si>
  <si>
    <t>RC Cámara Salina | 3 hrs. | 12 hrs.</t>
  </si>
  <si>
    <t>RC Cámara Salina | 3 hrs. | 120 hrs.</t>
  </si>
  <si>
    <t>RC Cámara Salina | 3 hrs. | 144 hrs.</t>
  </si>
  <si>
    <t>RC Cámara Salina | 3 hrs. | 16 hrs.</t>
  </si>
  <si>
    <t>RC Cámara Salina | 3 hrs. | 172 hrs.</t>
  </si>
  <si>
    <t>RC Cámara Salina | 3 hrs. | 200 hrs.</t>
  </si>
  <si>
    <t>RC Cámara Salina | 3 hrs. | 24 hrs.</t>
  </si>
  <si>
    <t>RC Cámara Salina | 3 hrs. | 240 hrs.</t>
  </si>
  <si>
    <t>RC Cámara Salina | 3 hrs. | 36 hrs.</t>
  </si>
  <si>
    <t>RC Cámara Salina | 3 hrs. | 360 hrs.</t>
  </si>
  <si>
    <t>RC Cámara Salina | 3 hrs. | 48 hrs.</t>
  </si>
  <si>
    <t>RC Cámara Salina | 3 hrs. | 480 hrs.</t>
  </si>
  <si>
    <t>RC Cámara Salina | 3 hrs. | 500 hrs.</t>
  </si>
  <si>
    <t>RC Cámara Salina | 3 hrs. | 72 hrs.</t>
  </si>
  <si>
    <t>RC Cámara Salina | 3 hrs. | 720 hrs.</t>
  </si>
  <si>
    <t>RC Cámara Salina | 3 hrs. | 96 hrs.</t>
  </si>
  <si>
    <t>RC Cámara Salina | 3 hrs. | 960 hrs.</t>
  </si>
  <si>
    <t>RC Cámara Salina | 3 hrs. | No aplica</t>
  </si>
  <si>
    <t>RC Cámara Salina | 48 hrs. | 12 hrs.</t>
  </si>
  <si>
    <t>RC Cámara Salina | 48 hrs. | 120 hrs.</t>
  </si>
  <si>
    <t>RC Cámara Salina | 48 hrs. | 144 hrs.</t>
  </si>
  <si>
    <t>RC Cámara Salina | 48 hrs. | 16 hrs.</t>
  </si>
  <si>
    <t>RC Cámara Salina | 48 hrs. | 172 hrs.</t>
  </si>
  <si>
    <t>RC Cámara Salina | 48 hrs. | 200 hrs.</t>
  </si>
  <si>
    <t>RC Cámara Salina | 48 hrs. | 24 hrs.</t>
  </si>
  <si>
    <t>RC Cámara Salina | 48 hrs. | 240 hrs.</t>
  </si>
  <si>
    <t>RC Cámara Salina | 48 hrs. | 36 hrs.</t>
  </si>
  <si>
    <t>RC Cámara Salina | 48 hrs. | 360 hrs.</t>
  </si>
  <si>
    <t>RC Cámara Salina | 48 hrs. | 48 hrs.</t>
  </si>
  <si>
    <t>RC Cámara Salina | 48 hrs. | 480 hrs.</t>
  </si>
  <si>
    <t>RC Cámara Salina | 48 hrs. | 500 hrs.</t>
  </si>
  <si>
    <t>RC Cámara Salina | 48 hrs. | 72 hrs.</t>
  </si>
  <si>
    <t>RC Cámara Salina | 48 hrs. | 720 hrs.</t>
  </si>
  <si>
    <t>RC Cámara Salina | 48 hrs. | 96 hrs.</t>
  </si>
  <si>
    <t>RC Cámara Salina | 48 hrs. | 960 hrs.</t>
  </si>
  <si>
    <t>RC Cámara Salina | 48 hrs. | No aplica</t>
  </si>
  <si>
    <t>RC Cámara Salina | 72 hrs. | 12 hrs.</t>
  </si>
  <si>
    <t>RC Cámara Salina | 72 hrs. | 120 hrs.</t>
  </si>
  <si>
    <t>RC Cámara Salina | 72 hrs. | 144 hrs.</t>
  </si>
  <si>
    <t>RC Cámara Salina | 72 hrs. | 16 hrs.</t>
  </si>
  <si>
    <t>RC Cámara Salina | 72 hrs. | 172 hrs.</t>
  </si>
  <si>
    <t>RC Cámara Salina | 72 hrs. | 200 hrs.</t>
  </si>
  <si>
    <t>RC Cámara Salina | 72 hrs. | 24 hrs.</t>
  </si>
  <si>
    <t>RC Cámara Salina | 72 hrs. | 240 hrs.</t>
  </si>
  <si>
    <t>RC Cámara Salina | 72 hrs. | 36 hrs.</t>
  </si>
  <si>
    <t>RC Cámara Salina | 72 hrs. | 360 hrs.</t>
  </si>
  <si>
    <t>RC Cámara Salina | 72 hrs. | 48 hrs.</t>
  </si>
  <si>
    <t>RC Cámara Salina | 72 hrs. | 480 hrs.</t>
  </si>
  <si>
    <t>RC Cámara Salina | 72 hrs. | 500 hrs.</t>
  </si>
  <si>
    <t>RC Cámara Salina | 72 hrs. | 72 hrs.</t>
  </si>
  <si>
    <t>RC Cámara Salina | 72 hrs. | 720 hrs.</t>
  </si>
  <si>
    <t>RC Cámara Salina | 72 hrs. | 96 hrs.</t>
  </si>
  <si>
    <t>RC Cámara Salina | 72 hrs. | 960 hrs.</t>
  </si>
  <si>
    <t>RC Cámara Salina | 72 hrs. | No aplica</t>
  </si>
  <si>
    <t>RC Cámara Salina | 8 hrs. | 12 hrs.</t>
  </si>
  <si>
    <t>RC Cámara Salina | 8 hrs. | 120 hrs.</t>
  </si>
  <si>
    <t>RC Cámara Salina | 8 hrs. | 144 hrs.</t>
  </si>
  <si>
    <t>RC Cámara Salina | 8 hrs. | 16 hrs.</t>
  </si>
  <si>
    <t>RC Cámara Salina | 8 hrs. | 172 hrs.</t>
  </si>
  <si>
    <t>RC Cámara Salina | 8 hrs. | 200 hrs.</t>
  </si>
  <si>
    <t>RC Cámara Salina | 8 hrs. | 24 hrs.</t>
  </si>
  <si>
    <t>RC Cámara Salina | 8 hrs. | 240 hrs.</t>
  </si>
  <si>
    <t>RC Cámara Salina | 8 hrs. | 36 hrs.</t>
  </si>
  <si>
    <t>RC Cámara Salina | 8 hrs. | 360 hrs.</t>
  </si>
  <si>
    <t>RC Cámara Salina | 8 hrs. | 48 hrs.</t>
  </si>
  <si>
    <t>RC Cámara Salina | 8 hrs. | 480 hrs.</t>
  </si>
  <si>
    <t>RC Cámara Salina | 8 hrs. | 500 hrs.</t>
  </si>
  <si>
    <t>RC Cámara Salina | 8 hrs. | 72 hrs.</t>
  </si>
  <si>
    <t>RC Cámara Salina | 8 hrs. | 720 hrs.</t>
  </si>
  <si>
    <t>RC Cámara Salina | 8 hrs. | 96 hrs.</t>
  </si>
  <si>
    <t>RC Cámara Salina | 8 hrs. | 960 hrs.</t>
  </si>
  <si>
    <t>RC Cámara Salina | 8 hrs. | No aplica</t>
  </si>
  <si>
    <t>RC Cámara Salina | 80 hrs. | 12 hrs.</t>
  </si>
  <si>
    <t>RC Cámara Salina | 80 hrs. | 120 hrs.</t>
  </si>
  <si>
    <t>RC Cámara Salina | 80 hrs. | 144 hrs.</t>
  </si>
  <si>
    <t>RC Cámara Salina | 80 hrs. | 16 hrs.</t>
  </si>
  <si>
    <t>RC Cámara Salina | 80 hrs. | 172 hrs.</t>
  </si>
  <si>
    <t>RC Cámara Salina | 80 hrs. | 200 hrs.</t>
  </si>
  <si>
    <t>RC Cámara Salina | 80 hrs. | 24 hrs.</t>
  </si>
  <si>
    <t>RC Cámara Salina | 80 hrs. | 240 hrs.</t>
  </si>
  <si>
    <t>RC Cámara Salina | 80 hrs. | 36 hrs.</t>
  </si>
  <si>
    <t>RC Cámara Salina | 80 hrs. | 360 hrs.</t>
  </si>
  <si>
    <t>RC Cámara Salina | 80 hrs. | 48 hrs.</t>
  </si>
  <si>
    <t>RC Cámara Salina | 80 hrs. | 480 hrs.</t>
  </si>
  <si>
    <t>RC Cámara Salina | 80 hrs. | 500 hrs.</t>
  </si>
  <si>
    <t>RC Cámara Salina | 80 hrs. | 72 hrs.</t>
  </si>
  <si>
    <t>RC Cámara Salina | 80 hrs. | 720 hrs.</t>
  </si>
  <si>
    <t>RC Cámara Salina | 80 hrs. | 96 hrs.</t>
  </si>
  <si>
    <t>RC Cámara Salina | 80 hrs. | 960 hrs.</t>
  </si>
  <si>
    <t>RC Cámara Salina | 80 hrs. | No aplica</t>
  </si>
  <si>
    <t>RC Cámara Salina | 96 hrs. | 12 hrs.</t>
  </si>
  <si>
    <t>RC Cámara Salina | 96 hrs. | 120 hrs.</t>
  </si>
  <si>
    <t>RC Cámara Salina | 96 hrs. | 144 hrs.</t>
  </si>
  <si>
    <t>RC Cámara Salina | 96 hrs. | 16 hrs.</t>
  </si>
  <si>
    <t>RC Cámara Salina | 96 hrs. | 172 hrs.</t>
  </si>
  <si>
    <t>RC Cámara Salina | 96 hrs. | 200 hrs.</t>
  </si>
  <si>
    <t>RC Cámara Salina | 96 hrs. | 24 hrs.</t>
  </si>
  <si>
    <t>RC Cámara Salina | 96 hrs. | 240 hrs.</t>
  </si>
  <si>
    <t>RC Cámara Salina | 96 hrs. | 36 hrs.</t>
  </si>
  <si>
    <t>RC Cámara Salina | 96 hrs. | 360 hrs.</t>
  </si>
  <si>
    <t>RC Cámara Salina | 96 hrs. | 48 hrs.</t>
  </si>
  <si>
    <t>RC Cámara Salina | 96 hrs. | 480 hrs.</t>
  </si>
  <si>
    <t>RC Cámara Salina | 96 hrs. | 500 hrs.</t>
  </si>
  <si>
    <t>RC Cámara Salina | 96 hrs. | 72 hrs.</t>
  </si>
  <si>
    <t>RC Cámara Salina | 96 hrs. | 720 hrs.</t>
  </si>
  <si>
    <t>RC Cámara Salina | 96 hrs. | 96 hrs.</t>
  </si>
  <si>
    <t>RC Cámara Salina | 96 hrs. | 960 hrs.</t>
  </si>
  <si>
    <t>RC Cámara Salina | 96 hrs. | No aplica</t>
  </si>
  <si>
    <t>RC Cámara Salina | No aplica | 12 hrs.</t>
  </si>
  <si>
    <t>RC Cámara Salina | No aplica | 120 hrs.</t>
  </si>
  <si>
    <t>RC Cámara Salina | No aplica | 144 hrs.</t>
  </si>
  <si>
    <t>RC Cámara Salina | No aplica | 16 hrs.</t>
  </si>
  <si>
    <t>RC Cámara Salina | No aplica | 172 hrs.</t>
  </si>
  <si>
    <t>RC Cámara Salina | No aplica | 200 hrs.</t>
  </si>
  <si>
    <t>RC Cámara Salina | No aplica | 24 hrs.</t>
  </si>
  <si>
    <t>RC Cámara Salina | No aplica | 240 hrs.</t>
  </si>
  <si>
    <t>RC Cámara Salina | No aplica | 36 hrs.</t>
  </si>
  <si>
    <t>RC Cámara Salina | No aplica | 360 hrs.</t>
  </si>
  <si>
    <t>RC Cámara Salina | No aplica | 48 hrs.</t>
  </si>
  <si>
    <t>RC Cámara Salina | No aplica | 480 hrs.</t>
  </si>
  <si>
    <t>RC Cámara Salina | No aplica | 500 hrs.</t>
  </si>
  <si>
    <t>RC Cámara Salina | No aplica | 72 hrs.</t>
  </si>
  <si>
    <t>RC Cámara Salina | No aplica | 720 hrs.</t>
  </si>
  <si>
    <t>RC Cámara Salina | No aplica | 96 hrs.</t>
  </si>
  <si>
    <t>RC Cámara Salina | No aplica | 960 hrs.</t>
  </si>
  <si>
    <t>RC Cámara Salina | No aplica | No aplica</t>
  </si>
  <si>
    <t>RC Cu-Ag (Cobre - Plata) | 0.5 - 1.5 µm | 0.5 - 1.0 µm</t>
  </si>
  <si>
    <t>RC Cu-Ag (Cobre - Plata) | 0.5 - 1.5 µm | No aplica</t>
  </si>
  <si>
    <t>RC Cu-Ag (Cobre - Plata) | 1.5 - 2.5 µm | 0.5 - 1.0 µm</t>
  </si>
  <si>
    <t>RC Cu-Ag (Cobre - Plata) | 1.5 - 2.5 µm | No aplica</t>
  </si>
  <si>
    <t>RC Cu-Ni (Cobre - Níquel) | 10 - 13 µm | 0.5 - 1.0 µm</t>
  </si>
  <si>
    <t>RC Cu-Ni (Cobre - Níquel) | 10 - 13 µm | 18 - 22 µm</t>
  </si>
  <si>
    <t>RC Cu-Ni (Cobre - Níquel) | 10 - 13 µm | 20 - 25 µm</t>
  </si>
  <si>
    <t>RC Cu-Ni (Cobre - Níquel) | 10 - 13 µm | 7 - 9 µm</t>
  </si>
  <si>
    <t>RC Cu-Ni (Cobre - Níquel) | 10 - 13 µm | No aplica</t>
  </si>
  <si>
    <t>RC Cu-Ni (Cobre - Níquel) | 3.81 - 5.08 µm | 0.5 - 1.0 µm</t>
  </si>
  <si>
    <t>RC Cu-Ni (Cobre - Níquel) | 3.81 - 5.08 µm | 18 - 22 µm</t>
  </si>
  <si>
    <t>RC Cu-Ni (Cobre - Níquel) | 3.81 - 5.08 µm | 20 - 25 µm</t>
  </si>
  <si>
    <t>RC Cu-Ni (Cobre - Níquel) | 3.81 - 5.08 µm | 7 - 9 µm</t>
  </si>
  <si>
    <t>RC Cu-Ni (Cobre - Níquel) | 3.81 - 5.08 µm | No aplica</t>
  </si>
  <si>
    <t>RC Cu-Ni (Cobre - Níquel) | 7.62 - 10.16 µm | 0.5 - 1.0 µm</t>
  </si>
  <si>
    <t>RC Cu-Ni (Cobre - Níquel) | 7.62 - 10.16 µm | 18 - 22 µm</t>
  </si>
  <si>
    <t>RC Cu-Ni (Cobre - Níquel) | 7.62 - 10.16 µm | 20 - 25 µm</t>
  </si>
  <si>
    <t>RC Cu-Ni (Cobre - Níquel) | 7.62 - 10.16 µm | 7 - 9 µm</t>
  </si>
  <si>
    <t>RC Cu-Ni (Cobre - Níquel) | 7.62 - 10.16 µm | No aplica</t>
  </si>
  <si>
    <t>RC MnPO4 (Fosfato de Manganeso - Medición de Grano) | 4 - 12 µm</t>
  </si>
  <si>
    <t>RC Ni (Níquel) | 1 - 6 µm</t>
  </si>
  <si>
    <t>RC Ni (Níquel) | 2 - 5 µm</t>
  </si>
  <si>
    <t>RC Ni (Níquel) | 4 - 7 µm</t>
  </si>
  <si>
    <t>RC Ni (Níquel) | 5 - 10 µm</t>
  </si>
  <si>
    <t>RC Ni (Níquel) | 7.62 - 12.7 µm</t>
  </si>
  <si>
    <t>RC Ni-Ag (Níquel - Plata) | 2.5 - 5.0 µm | 0.5 - 0.8 µm</t>
  </si>
  <si>
    <t>RC Ni-Ag (Níquel - Plata) | 2.5 - 5.0 µm | 3 - 6 µm</t>
  </si>
  <si>
    <t>RC Ni-Ag (Níquel - Plata) | 2.5 - 5.0 µm | 5 - 8 µm</t>
  </si>
  <si>
    <t>RC Ni-Ag (Níquel - Plata) | 2.5 - 5.0 µm | No aplica</t>
  </si>
  <si>
    <t>RC Ni-Ag (Níquel - Plata) | 5.0 - 8.0 µm | 0.5 - 0.8 µm</t>
  </si>
  <si>
    <t>RC Ni-Ag (Níquel - Plata) | 5.0 - 8.0 µm | 3 - 6 µm</t>
  </si>
  <si>
    <t>RC Ni-Ag (Níquel - Plata) | 5.0 - 8.0 µm | 5 - 8 µm</t>
  </si>
  <si>
    <t>RC Ni-Ag (Níquel - Plata) | 5.0 - 8.0 µm | No aplica</t>
  </si>
  <si>
    <t>RC Ni-Sn (Níquel - Estaño) | 12 - 16 µm | 1 - 3 µm</t>
  </si>
  <si>
    <t>RC Ni-Sn (Níquel - Estaño) | 12 - 16 µm | No aplica</t>
  </si>
  <si>
    <t>RC Ni-Sn (Níquel - Estaño) | 3 - 5 µm | 1 - 3 µm</t>
  </si>
  <si>
    <t>RC Ni-Sn (Níquel - Estaño) | 3 - 5 µm | No aplica</t>
  </si>
  <si>
    <t>RC Ni-Sn (Níquel - Estaño) | 8 - 12 µm | 1 - 3 µm</t>
  </si>
  <si>
    <t>RC Ni-Sn (Níquel - Estaño) | 8 - 12 µm | No aplica</t>
  </si>
  <si>
    <t>RC NiEl (Níquel Electroless) | 10 - 13 µm</t>
  </si>
  <si>
    <t>RC NiEl (Níquel Electroless) | 12.7 - 25.4 µm</t>
  </si>
  <si>
    <t>RC NiEl (Níquel Electroless) | 13 - 15 µm</t>
  </si>
  <si>
    <t>RC NiEl (Níquel Electroless) | 6 - 8 µm</t>
  </si>
  <si>
    <t>RC Sn (Estaño) | 0.5 - 1 µm | 0.5 - 1 µm</t>
  </si>
  <si>
    <t>RC Sn (Estaño) | 0.5 - 1 µm | 0.762 - 1.27 µm</t>
  </si>
  <si>
    <t>RC Sn (Estaño) | 0.5 - 1 µm | 1 - 3 µm</t>
  </si>
  <si>
    <t>RC Sn (Estaño) | 0.5 - 1 µm | 2.54 - 5.08 µm</t>
  </si>
  <si>
    <t>RC Sn (Estaño) | 0.5 - 1 µm | No aplica</t>
  </si>
  <si>
    <t>RC Sn (Estaño) | 0.6 - 2 µm | 0.5 - 1 µm</t>
  </si>
  <si>
    <t>RC Sn (Estaño) | 0.6 - 2 µm | 0.762 - 1.27 µm</t>
  </si>
  <si>
    <t>RC Sn (Estaño) | 0.6 - 2 µm | 1 - 3 µm</t>
  </si>
  <si>
    <t>RC Sn (Estaño) | 0.6 - 2 µm | 2.54 - 5.08 µm</t>
  </si>
  <si>
    <t>RC Sn (Estaño) | 0.6 - 2 µm | No aplica</t>
  </si>
  <si>
    <t>RC Sn (Estaño) | 1.5 - 3 µm | 0.5 - 1 µm</t>
  </si>
  <si>
    <t>RC Sn (Estaño) | 1.5 - 3 µm | 0.762 - 1.27 µm</t>
  </si>
  <si>
    <t>RC Sn (Estaño) | 1.5 - 3 µm | 1 - 3 µm</t>
  </si>
  <si>
    <t>RC Sn (Estaño) | 1.5 - 3 µm | 2.54 - 5.08 µm</t>
  </si>
  <si>
    <t>RC Sn (Estaño) | 1.5 - 3 µm | No aplica</t>
  </si>
  <si>
    <t>RC Sn (Estaño) | 10 - 15 µm | 0.5 - 1 µm</t>
  </si>
  <si>
    <t>RC Sn (Estaño) | 10 - 15 µm | 0.762 - 1.27 µm</t>
  </si>
  <si>
    <t>RC Sn (Estaño) | 10 - 15 µm | 1 - 3 µm</t>
  </si>
  <si>
    <t>RC Sn (Estaño) | 10 - 15 µm | 2.54 - 5.08 µm</t>
  </si>
  <si>
    <t>RC Sn (Estaño) | 10 - 15 µm | No aplica</t>
  </si>
  <si>
    <t>RC Sn (Estaño) | 2 - 5 µm | 0.5 - 1 µm</t>
  </si>
  <si>
    <t>RC Sn (Estaño) | 2 - 5 µm | 0.762 - 1.27 µm</t>
  </si>
  <si>
    <t>RC Sn (Estaño) | 2 - 5 µm | 1 - 3 µm</t>
  </si>
  <si>
    <t>RC Sn (Estaño) | 2 - 5 µm | 2.54 - 5.08 µm</t>
  </si>
  <si>
    <t>RC Sn (Estaño) | 2 - 5 µm | No aplica</t>
  </si>
  <si>
    <t>RC Sn (Estaño) | 3 - 5 µm | 0.5 - 1 µm</t>
  </si>
  <si>
    <t>RC Sn (Estaño) | 3 - 5 µm | 0.762 - 1.27 µm</t>
  </si>
  <si>
    <t>RC Sn (Estaño) | 3 - 5 µm | 1 - 3 µm</t>
  </si>
  <si>
    <t>RC Sn (Estaño) | 3 - 5 µm | 2.54 - 5.08 µm</t>
  </si>
  <si>
    <t>RC Sn (Estaño) | 3 - 5 µm | No aplica</t>
  </si>
  <si>
    <t>RC Sn (Estaño) | 5 - 10 µm | 0.5 - 1 µm</t>
  </si>
  <si>
    <t>RC Sn (Estaño) | 5 - 10 µm | 0.762 - 1.27 µm</t>
  </si>
  <si>
    <t>RC Sn (Estaño) | 5 - 10 µm | 1 - 3 µm</t>
  </si>
  <si>
    <t>RC Sn (Estaño) | 5 - 10 µm | 2.54 - 5.08 µm</t>
  </si>
  <si>
    <t>RC Sn (Estaño) | 5 - 10 µm | No aplica</t>
  </si>
  <si>
    <t>RC Sn (Estaño) | 5 - 12 µm | 0.5 - 1 µm</t>
  </si>
  <si>
    <t>RC Sn (Estaño) | 5 - 12 µm | 0.762 - 1.27 µm</t>
  </si>
  <si>
    <t>RC Sn (Estaño) | 5 - 12 µm | 1 - 3 µm</t>
  </si>
  <si>
    <t>RC Sn (Estaño) | 5 - 12 µm | 2.54 - 5.08 µm</t>
  </si>
  <si>
    <t>RC Sn (Estaño) | 5 - 12 µm | No aplica</t>
  </si>
  <si>
    <t>RC Sn (Estaño) | 5 - 8 µm | 0.5 - 1 µm</t>
  </si>
  <si>
    <t>RC Sn (Estaño) | 5 - 8 µm | 0.762 - 1.27 µm</t>
  </si>
  <si>
    <t>RC Sn (Estaño) | 5 - 8 µm | 1 - 3 µm</t>
  </si>
  <si>
    <t>RC Sn (Estaño) | 5 - 8 µm | 2.54 - 5.08 µm</t>
  </si>
  <si>
    <t>RC Sn (Estaño) | 5 - 8 µm | No aplica</t>
  </si>
  <si>
    <t>RC Sn (Estaño) | 7 - 12 µm | 0.5 - 1 µm</t>
  </si>
  <si>
    <t>RC Sn (Estaño) | 7 - 12 µm | 0.762 - 1.27 µm</t>
  </si>
  <si>
    <t>RC Sn (Estaño) | 7 - 12 µm | 1 - 3 µm</t>
  </si>
  <si>
    <t>RC Sn (Estaño) | 7 - 12 µm | 2.54 - 5.08 µm</t>
  </si>
  <si>
    <t>RC Sn (Estaño) | 7 - 12 µm | No aplica</t>
  </si>
  <si>
    <t>RC Sn (Estaño) | 8 - 10 µm | 0.5 - 1 µm</t>
  </si>
  <si>
    <t>RC Sn (Estaño) | 8 - 10 µm | 0.762 - 1.27 µm</t>
  </si>
  <si>
    <t>RC Sn (Estaño) | 8 - 10 µm | 1 - 3 µm</t>
  </si>
  <si>
    <t>RC Sn (Estaño) | 8 - 10 µm | 2.54 - 5.08 µm</t>
  </si>
  <si>
    <t>RC Sn (Estaño) | 8 - 10 µm | No aplica</t>
  </si>
  <si>
    <t>RC Sn (Estaño) | 8 - 12 µm | 0.5 - 1 µm</t>
  </si>
  <si>
    <t>RC Sn (Estaño) | 8 - 12 µm | 0.762 - 1.27 µm</t>
  </si>
  <si>
    <t>RC Sn (Estaño) | 8 - 12 µm | 1 - 3 µm</t>
  </si>
  <si>
    <t>RC Sn (Estaño) | 8 - 12 µm | 2.54 - 5.08 µm</t>
  </si>
  <si>
    <t>RC Sn (Estaño) | 8 - 12 µm | No aplica</t>
  </si>
  <si>
    <t>RC Sn (Estaño) | 9 - 25 µm | 0.5 - 1 µm</t>
  </si>
  <si>
    <t>RC Sn (Estaño) | 9 - 25 µm | 0.762 - 1.27 µm</t>
  </si>
  <si>
    <t>RC Sn (Estaño) | 9 - 25 µm | 1 - 3 µm</t>
  </si>
  <si>
    <t>RC Sn (Estaño) | 9 - 25 µm | 2.54 - 5.08 µm</t>
  </si>
  <si>
    <t>RC Sn (Estaño) | 9 - 25 µm | No aplica</t>
  </si>
  <si>
    <t>RC Zn (Zinc) | 10 - 15 µm</t>
  </si>
  <si>
    <t>RC Zn (Zinc) | 2.4 - 5 µm</t>
  </si>
  <si>
    <t>RC Zn (Zinc) | 6 - 10 µm</t>
  </si>
  <si>
    <t>RC Zn (Zinc) | 8 - 12.5 µm</t>
  </si>
  <si>
    <t>TL 203 (Níquel Cromo) | 10 - 13 µm | 0.3 - 1 µm</t>
  </si>
  <si>
    <t>TL 203 (Níquel Cromo) | 10 - 13 µm | No aplica</t>
  </si>
  <si>
    <t>T300</t>
  </si>
  <si>
    <t>T200-CE06 Laboratorio</t>
  </si>
  <si>
    <t>T300-CE08 Célula de Barnizado (40.0)</t>
  </si>
  <si>
    <t>DAVID ORTIZ ROSAS</t>
  </si>
  <si>
    <t>EMMANUEL PEREA MORENO</t>
  </si>
  <si>
    <t>GABRIEL VALDEZ ESTRADA</t>
  </si>
  <si>
    <t>ISRAEL ANTONIO OCHOA MONROY</t>
  </si>
  <si>
    <t>IVETTE GUILLERMINA DE JESUS RAMOS</t>
  </si>
  <si>
    <t>LETICIA CARMONA VALDEZ</t>
  </si>
  <si>
    <t>MIGUEL ANGEL GARDUÑO</t>
  </si>
  <si>
    <t>MIGUEL CARRILLO DESIDERIO</t>
  </si>
  <si>
    <t>OLD_DANIEL SHARSHI LAZARO</t>
  </si>
  <si>
    <t>OLD_Nestor Lopéz Iglesias</t>
  </si>
  <si>
    <t>Prueba Carga Masiva</t>
  </si>
  <si>
    <t>TERMINAL</t>
  </si>
  <si>
    <t>Níquel-Zinc</t>
  </si>
  <si>
    <t>LÍNEA Y ACABADOS (Etiquetas - Labels)</t>
  </si>
  <si>
    <t>Rack Flybar o Barril 1</t>
  </si>
  <si>
    <t>Pzas/Rack
Línea 1</t>
  </si>
  <si>
    <t>Rack Flybar o Barril 2</t>
  </si>
  <si>
    <t>Pzas/Rack
Línea 2</t>
  </si>
  <si>
    <t>Rack Flybar o Barril 3</t>
  </si>
  <si>
    <t>Pzas/Rack
Línea 3</t>
  </si>
  <si>
    <t>Rack Flybar o Barril 4</t>
  </si>
  <si>
    <t>Pzas/Rack
Línea 4</t>
  </si>
  <si>
    <t>Rack Flybar o Barril 5</t>
  </si>
  <si>
    <t>Pzas/Rack
Línea 5</t>
  </si>
  <si>
    <t>TIPOS DE RACKS (Piezas por Tipo de Rack)</t>
  </si>
  <si>
    <t>Instrucciones de Empaque</t>
  </si>
  <si>
    <t>Carga Masiva Steelhead v13 - Compatibilidad Excel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</si>
</sst>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55"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i/>
      <sz val="9"/>
      <color rgb="FF94A3B8"/>
      <name val="Calibri"/>
      <family val="2"/>
      <scheme val="minor"/>
    </font>
    <font>
      <sz val="10"/>
      <color rgb="FF000000"/>
      <name val="Arial Unicode MS"/>
      <family val="2"/>
    </font>
    <font>
      <b/>
      <sz val="11"/>
      <color theme="0" tint="-0.499984740745262"/>
      <name val="Trebuchet MS"/>
      <family val="2"/>
    </font>
    <font>
      <sz val="8"/>
      <color theme="0" tint="-0.499984740745262"/>
      <name val="Trebuchet MS"/>
      <family val="2"/>
    </font>
  </fonts>
  <fills count="38">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
      <patternFill patternType="solid">
        <fgColor rgb="FFE8F5E9"/>
        <bgColor rgb="FF000000"/>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4">
    <xf numFmtId="0" fontId="0" fillId="0" borderId="0"/>
    <xf numFmtId="0" fontId="1" fillId="0" borderId="0"/>
    <xf numFmtId="0" fontId="42" fillId="0" borderId="0"/>
    <xf numFmtId="0" fontId="41" fillId="0" borderId="0"/>
  </cellStyleXfs>
  <cellXfs count="174">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0" fontId="19" fillId="18" borderId="0" xfId="0" applyFont="1" applyFill="1"/>
    <xf numFmtId="49" fontId="25" fillId="18" borderId="0" xfId="0" applyNumberFormat="1" applyFont="1" applyFill="1"/>
    <xf numFmtId="49" fontId="24" fillId="18" borderId="8" xfId="0" applyNumberFormat="1" applyFont="1" applyFill="1" applyBorder="1" applyAlignment="1">
      <alignment vertical="center"/>
    </xf>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1" fillId="0" borderId="0" xfId="2" applyFont="1"/>
    <xf numFmtId="0" fontId="52" fillId="0" borderId="0" xfId="0" applyFont="1"/>
    <xf numFmtId="0" fontId="28" fillId="37" borderId="1" xfId="0" applyFont="1" applyFill="1" applyBorder="1" applyAlignment="1">
      <alignment vertical="center"/>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9" borderId="4" xfId="0" applyFont="1" applyFill="1" applyBorder="1" applyAlignment="1">
      <alignment horizontal="center" vertical="center" wrapText="1"/>
    </xf>
    <xf numFmtId="0" fontId="33" fillId="0" borderId="3" xfId="0" applyFont="1" applyBorder="1"/>
    <xf numFmtId="0" fontId="33" fillId="0" borderId="4" xfId="0" applyFont="1" applyBorder="1"/>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23" borderId="2" xfId="0" applyFont="1" applyFill="1" applyBorder="1" applyAlignment="1">
      <alignment horizontal="center" vertical="center" wrapText="1"/>
    </xf>
    <xf numFmtId="0" fontId="27" fillId="18" borderId="9" xfId="0" applyFont="1" applyFill="1" applyBorder="1" applyAlignment="1">
      <alignment horizontal="left" vertical="top"/>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10" fillId="0" borderId="0" xfId="0" applyFont="1"/>
    <xf numFmtId="0" fontId="0" fillId="0" borderId="0" xfId="0"/>
    <xf numFmtId="0" fontId="50" fillId="0" borderId="0" xfId="0" applyFont="1" applyFill="1" applyAlignment="1">
      <alignment horizontal="left"/>
    </xf>
    <xf numFmtId="0" fontId="32" fillId="10" borderId="16" xfId="0" applyFont="1" applyFill="1" applyBorder="1" applyAlignment="1">
      <alignment horizontal="center" vertical="center" wrapText="1"/>
    </xf>
    <xf numFmtId="0" fontId="32" fillId="10" borderId="17" xfId="0" applyFont="1" applyFill="1" applyBorder="1" applyAlignment="1">
      <alignment horizontal="center" vertical="center" wrapText="1"/>
    </xf>
    <xf numFmtId="0" fontId="32" fillId="10" borderId="18" xfId="0" applyFont="1" applyFill="1" applyBorder="1" applyAlignment="1">
      <alignment horizontal="center" vertical="center" wrapText="1"/>
    </xf>
    <xf numFmtId="0" fontId="53" fillId="31" borderId="2" xfId="0" applyFont="1" applyFill="1" applyBorder="1" applyAlignment="1">
      <alignment horizontal="center" vertical="center" wrapText="1"/>
    </xf>
    <xf numFmtId="0" fontId="54" fillId="31" borderId="5" xfId="0" applyFont="1" applyFill="1" applyBorder="1" applyAlignment="1">
      <alignment horizontal="center" vertical="center"/>
    </xf>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O508"/>
  <sheetViews>
    <sheetView tabSelected="1" zoomScaleNormal="100" workbookViewId="0">
      <pane xSplit="5" ySplit="8" topLeftCell="F9" activePane="bottomRight" state="frozen"/>
      <selection pane="topRight" activeCell="F1" sqref="F1"/>
      <selection pane="bottomLeft" activeCell="A9" sqref="A9"/>
      <selection pane="bottomRight" activeCell="AG3" sqref="AF3:AG3"/>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30"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0" style="19" bestFit="1" customWidth="1"/>
    <col min="24" max="24" width="16.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5" style="19" customWidth="1"/>
    <col min="40" max="40" width="10.1640625" style="19" customWidth="1"/>
    <col min="41" max="41" width="15" style="19" customWidth="1"/>
    <col min="42" max="42" width="10.1640625" style="19" customWidth="1"/>
    <col min="43" max="43" width="15" style="19" customWidth="1"/>
    <col min="44" max="44" width="10.1640625" style="19" customWidth="1"/>
    <col min="45" max="45" width="18.6640625" style="19" bestFit="1" customWidth="1"/>
    <col min="46" max="46" width="8.33203125" style="19" bestFit="1" customWidth="1"/>
    <col min="47" max="47" width="6.5" style="19" bestFit="1" customWidth="1"/>
    <col min="48" max="48" width="4.5" style="19" bestFit="1" customWidth="1"/>
    <col min="49" max="49" width="8.83203125" style="19" bestFit="1" customWidth="1"/>
    <col min="50" max="50" width="8.5" style="19" bestFit="1" customWidth="1"/>
    <col min="51" max="55" width="8.1640625" style="19" bestFit="1" customWidth="1" outlineLevel="1"/>
    <col min="56" max="56" width="10.5" style="19" bestFit="1" customWidth="1" outlineLevel="1"/>
    <col min="57" max="57" width="9" style="19" bestFit="1" customWidth="1" outlineLevel="1"/>
    <col min="58" max="58" width="8.83203125" style="19" bestFit="1" customWidth="1" outlineLevel="1"/>
    <col min="59" max="59" width="10.1640625" style="19" bestFit="1" customWidth="1" outlineLevel="1"/>
    <col min="60" max="60" width="14" style="19" customWidth="1"/>
    <col min="61" max="61" width="10.5" style="19" bestFit="1" customWidth="1"/>
    <col min="62" max="62" width="10.1640625" style="19" bestFit="1" customWidth="1" outlineLevel="1"/>
    <col min="63" max="63" width="7.6640625" style="19" bestFit="1" customWidth="1" outlineLevel="1"/>
    <col min="64" max="64" width="5.6640625" style="19" bestFit="1" customWidth="1" outlineLevel="1"/>
    <col min="65" max="65" width="10.33203125" style="19" bestFit="1" customWidth="1" outlineLevel="1"/>
    <col min="66" max="66" width="8.6640625" style="19" bestFit="1" customWidth="1" outlineLevel="1"/>
    <col min="67" max="67" width="10.33203125" style="19" bestFit="1" customWidth="1" outlineLevel="1"/>
    <col min="68" max="69" width="10.5" style="19" customWidth="1"/>
    <col min="70" max="70" width="8.6640625" style="19" customWidth="1"/>
    <col min="71" max="16384" width="8.6640625" style="19"/>
  </cols>
  <sheetData>
    <row r="1" spans="1:67" ht="41" customHeight="1" thickBot="1" x14ac:dyDescent="0.2">
      <c r="A1" s="16"/>
      <c r="B1" s="16"/>
      <c r="C1" s="16"/>
      <c r="D1" s="16"/>
      <c r="E1" s="16"/>
      <c r="F1" s="16"/>
      <c r="G1" s="17"/>
      <c r="H1" s="18" t="s">
        <v>1833</v>
      </c>
      <c r="I1" s="17"/>
      <c r="J1" s="16"/>
      <c r="K1" s="16"/>
      <c r="L1" s="16"/>
      <c r="M1" s="16"/>
      <c r="N1" s="16"/>
      <c r="O1" s="16"/>
      <c r="Q1" s="16"/>
      <c r="R1" s="16"/>
      <c r="S1" s="16"/>
      <c r="T1" s="105" t="s">
        <v>1826</v>
      </c>
      <c r="U1" s="106">
        <f>COUNTA($U$9:$U$508)-SUM(U2:U3)</f>
        <v>0</v>
      </c>
    </row>
    <row r="2" spans="1:67" ht="25" customHeight="1" x14ac:dyDescent="0.15">
      <c r="A2" s="134" t="s">
        <v>2793</v>
      </c>
      <c r="B2" s="135"/>
      <c r="C2" s="135"/>
      <c r="D2" s="135"/>
      <c r="E2" s="135"/>
      <c r="F2" s="135"/>
      <c r="G2" s="136"/>
      <c r="H2" s="136"/>
      <c r="I2" s="21" t="s">
        <v>996</v>
      </c>
      <c r="J2" s="16"/>
      <c r="K2" s="16"/>
      <c r="L2" s="16"/>
      <c r="M2" s="16"/>
      <c r="N2" s="16"/>
      <c r="O2" s="16"/>
      <c r="Q2" s="16"/>
      <c r="R2" s="16"/>
      <c r="S2" s="16"/>
      <c r="T2" s="105" t="s">
        <v>73</v>
      </c>
      <c r="U2" s="106">
        <f>COUNTIF($U$9:$U$508,$T2)</f>
        <v>0</v>
      </c>
    </row>
    <row r="3" spans="1:67" ht="22" customHeight="1" x14ac:dyDescent="0.2">
      <c r="A3" s="109" t="s">
        <v>0</v>
      </c>
      <c r="B3" s="110" t="s">
        <v>1</v>
      </c>
      <c r="C3" s="111"/>
      <c r="D3" s="111"/>
      <c r="E3" s="109" t="s">
        <v>2</v>
      </c>
      <c r="F3" s="112"/>
      <c r="G3" s="113" t="s">
        <v>997</v>
      </c>
      <c r="H3" s="114"/>
      <c r="I3" s="115" t="s">
        <v>3</v>
      </c>
      <c r="J3" s="159"/>
      <c r="K3" s="138"/>
      <c r="L3" s="138"/>
      <c r="M3" s="139"/>
      <c r="N3" s="111"/>
      <c r="O3" s="111"/>
      <c r="P3" s="116" t="s">
        <v>4</v>
      </c>
      <c r="Q3" s="137"/>
      <c r="R3" s="138"/>
      <c r="S3" s="139"/>
      <c r="T3" s="105" t="s">
        <v>1827</v>
      </c>
      <c r="U3" s="106">
        <f>COUNTIF($U$9:$U$508,$T3)</f>
        <v>500</v>
      </c>
    </row>
    <row r="4" spans="1:67" ht="22" customHeight="1" x14ac:dyDescent="0.15">
      <c r="A4" s="116" t="s">
        <v>5</v>
      </c>
      <c r="B4" s="117" t="s">
        <v>6</v>
      </c>
      <c r="C4" s="111"/>
      <c r="D4" s="111"/>
      <c r="E4" s="116" t="s">
        <v>7</v>
      </c>
      <c r="F4" s="118"/>
      <c r="G4" s="119" t="s">
        <v>2768</v>
      </c>
      <c r="H4" s="114"/>
      <c r="I4" s="111"/>
      <c r="J4" s="140"/>
      <c r="K4" s="141"/>
      <c r="L4" s="141"/>
      <c r="M4" s="142"/>
      <c r="N4" s="111"/>
      <c r="O4" s="111"/>
      <c r="P4" s="111"/>
      <c r="Q4" s="140"/>
      <c r="R4" s="141"/>
      <c r="S4" s="142"/>
      <c r="T4" s="104"/>
      <c r="U4" s="106">
        <f>SUM(U2:U3)</f>
        <v>500</v>
      </c>
      <c r="W4" s="30" t="s">
        <v>1851</v>
      </c>
      <c r="Z4" s="128"/>
    </row>
    <row r="5" spans="1:67" ht="24" customHeight="1" x14ac:dyDescent="0.15">
      <c r="A5" s="16"/>
      <c r="B5" s="16"/>
      <c r="C5" s="16"/>
      <c r="D5" s="16"/>
      <c r="E5" s="16"/>
      <c r="F5" s="16"/>
      <c r="G5" s="17"/>
      <c r="H5" s="22" t="s">
        <v>946</v>
      </c>
      <c r="J5" s="16"/>
      <c r="K5" s="23"/>
      <c r="L5" s="24"/>
      <c r="M5" s="24"/>
      <c r="N5" s="24"/>
      <c r="O5" s="25"/>
      <c r="Q5" s="26"/>
      <c r="R5" s="26"/>
      <c r="S5" s="27"/>
      <c r="T5" s="28"/>
      <c r="U5" s="26"/>
      <c r="V5" s="29"/>
      <c r="W5" s="124"/>
      <c r="X5" s="125" t="s">
        <v>944</v>
      </c>
      <c r="AA5" s="125"/>
      <c r="AC5" s="125"/>
      <c r="AE5" s="129"/>
      <c r="AH5" s="30" t="s">
        <v>945</v>
      </c>
    </row>
    <row r="6" spans="1:67" s="32" customFormat="1" ht="22" customHeight="1" x14ac:dyDescent="0.2">
      <c r="A6" s="154" t="s">
        <v>9</v>
      </c>
      <c r="B6" s="155"/>
      <c r="C6" s="149" t="s">
        <v>10</v>
      </c>
      <c r="D6" s="150"/>
      <c r="E6" s="150"/>
      <c r="F6" s="150"/>
      <c r="G6" s="150"/>
      <c r="H6" s="150"/>
      <c r="I6" s="146" t="s">
        <v>11</v>
      </c>
      <c r="J6" s="147"/>
      <c r="K6" s="147"/>
      <c r="L6" s="147"/>
      <c r="M6" s="148"/>
      <c r="N6" s="151" t="s">
        <v>2780</v>
      </c>
      <c r="O6" s="152"/>
      <c r="P6" s="152"/>
      <c r="Q6" s="152"/>
      <c r="R6" s="152"/>
      <c r="S6" s="152"/>
      <c r="T6" s="153"/>
      <c r="U6" s="31" t="s">
        <v>12</v>
      </c>
      <c r="V6" s="121" t="s">
        <v>1864</v>
      </c>
      <c r="W6" s="163" t="s">
        <v>13</v>
      </c>
      <c r="X6" s="164"/>
      <c r="Y6" s="164"/>
      <c r="Z6" s="164"/>
      <c r="AA6" s="164"/>
      <c r="AB6" s="164"/>
      <c r="AC6" s="164"/>
      <c r="AD6" s="165"/>
      <c r="AE6" s="143" t="s">
        <v>14</v>
      </c>
      <c r="AF6" s="144"/>
      <c r="AG6" s="144"/>
      <c r="AH6" s="145"/>
      <c r="AI6" s="169" t="s">
        <v>2791</v>
      </c>
      <c r="AJ6" s="170"/>
      <c r="AK6" s="170"/>
      <c r="AL6" s="170"/>
      <c r="AM6" s="170"/>
      <c r="AN6" s="170"/>
      <c r="AO6" s="170"/>
      <c r="AP6" s="170"/>
      <c r="AQ6" s="170"/>
      <c r="AR6" s="171"/>
      <c r="AS6" s="160" t="s">
        <v>15</v>
      </c>
      <c r="AT6" s="161"/>
      <c r="AU6" s="161"/>
      <c r="AV6" s="161"/>
      <c r="AW6" s="161"/>
      <c r="AX6" s="162"/>
      <c r="AY6" s="158" t="s">
        <v>16</v>
      </c>
      <c r="AZ6" s="144"/>
      <c r="BA6" s="144"/>
      <c r="BB6" s="144"/>
      <c r="BC6" s="144"/>
      <c r="BD6" s="144"/>
      <c r="BE6" s="144"/>
      <c r="BF6" s="144"/>
      <c r="BG6" s="145"/>
      <c r="BH6" s="156" t="s">
        <v>1417</v>
      </c>
      <c r="BI6" s="157"/>
      <c r="BJ6" s="157"/>
      <c r="BK6" s="157"/>
      <c r="BL6" s="157"/>
      <c r="BM6" s="157"/>
      <c r="BN6" s="157"/>
      <c r="BO6" s="157"/>
    </row>
    <row r="7" spans="1:67" ht="36" customHeight="1" x14ac:dyDescent="0.15">
      <c r="A7" s="33" t="s">
        <v>1855</v>
      </c>
      <c r="B7" s="35" t="s">
        <v>1857</v>
      </c>
      <c r="C7" s="34" t="s">
        <v>1400</v>
      </c>
      <c r="D7" s="36" t="s">
        <v>17</v>
      </c>
      <c r="E7" s="37" t="s">
        <v>18</v>
      </c>
      <c r="F7" s="37" t="s">
        <v>19</v>
      </c>
      <c r="G7" s="37" t="s">
        <v>20</v>
      </c>
      <c r="H7" s="36" t="s">
        <v>21</v>
      </c>
      <c r="I7" s="34" t="s">
        <v>22</v>
      </c>
      <c r="J7" s="34" t="s">
        <v>23</v>
      </c>
      <c r="K7" s="34" t="s">
        <v>24</v>
      </c>
      <c r="L7" s="34" t="s">
        <v>25</v>
      </c>
      <c r="M7" s="35" t="s">
        <v>26</v>
      </c>
      <c r="N7" s="36" t="s">
        <v>49</v>
      </c>
      <c r="O7" s="36" t="s">
        <v>27</v>
      </c>
      <c r="P7" s="36" t="s">
        <v>28</v>
      </c>
      <c r="Q7" s="38" t="s">
        <v>29</v>
      </c>
      <c r="R7" s="39" t="s">
        <v>30</v>
      </c>
      <c r="S7" s="36" t="s">
        <v>31</v>
      </c>
      <c r="T7" s="36" t="s">
        <v>1862</v>
      </c>
      <c r="U7" s="36" t="s">
        <v>32</v>
      </c>
      <c r="V7" s="40" t="s">
        <v>78</v>
      </c>
      <c r="W7" s="126" t="s">
        <v>36</v>
      </c>
      <c r="X7" s="127" t="s">
        <v>37</v>
      </c>
      <c r="Y7" s="127" t="s">
        <v>38</v>
      </c>
      <c r="Z7" s="127" t="s">
        <v>39</v>
      </c>
      <c r="AA7" s="127" t="s">
        <v>1858</v>
      </c>
      <c r="AB7" s="127" t="s">
        <v>1859</v>
      </c>
      <c r="AC7" s="127" t="s">
        <v>1860</v>
      </c>
      <c r="AD7" s="127" t="s">
        <v>1861</v>
      </c>
      <c r="AE7" s="36" t="s">
        <v>40</v>
      </c>
      <c r="AF7" s="36" t="s">
        <v>41</v>
      </c>
      <c r="AG7" s="36" t="s">
        <v>42</v>
      </c>
      <c r="AH7" s="36" t="s">
        <v>43</v>
      </c>
      <c r="AI7" s="36" t="s">
        <v>2781</v>
      </c>
      <c r="AJ7" s="36" t="s">
        <v>2782</v>
      </c>
      <c r="AK7" s="36" t="s">
        <v>2783</v>
      </c>
      <c r="AL7" s="36" t="s">
        <v>2784</v>
      </c>
      <c r="AM7" s="36" t="s">
        <v>2785</v>
      </c>
      <c r="AN7" s="36" t="s">
        <v>2786</v>
      </c>
      <c r="AO7" s="36" t="s">
        <v>2787</v>
      </c>
      <c r="AP7" s="36" t="s">
        <v>2788</v>
      </c>
      <c r="AQ7" s="36" t="s">
        <v>2789</v>
      </c>
      <c r="AR7" s="36" t="s">
        <v>2790</v>
      </c>
      <c r="AS7" s="36" t="s">
        <v>1416</v>
      </c>
      <c r="AT7" s="36" t="s">
        <v>44</v>
      </c>
      <c r="AU7" s="36" t="s">
        <v>45</v>
      </c>
      <c r="AV7" s="36" t="s">
        <v>46</v>
      </c>
      <c r="AW7" s="36" t="s">
        <v>47</v>
      </c>
      <c r="AX7" s="36" t="s">
        <v>48</v>
      </c>
      <c r="AY7" s="36" t="s">
        <v>50</v>
      </c>
      <c r="AZ7" s="36" t="s">
        <v>51</v>
      </c>
      <c r="BA7" s="36" t="s">
        <v>52</v>
      </c>
      <c r="BB7" s="36" t="s">
        <v>53</v>
      </c>
      <c r="BC7" s="36" t="s">
        <v>54</v>
      </c>
      <c r="BD7" s="36" t="s">
        <v>55</v>
      </c>
      <c r="BE7" s="36" t="s">
        <v>56</v>
      </c>
      <c r="BF7" s="36" t="s">
        <v>57</v>
      </c>
      <c r="BG7" s="36" t="s">
        <v>58</v>
      </c>
      <c r="BH7" s="36" t="s">
        <v>2792</v>
      </c>
      <c r="BI7" s="36" t="s">
        <v>64</v>
      </c>
      <c r="BJ7" s="172" t="s">
        <v>59</v>
      </c>
      <c r="BK7" s="172" t="s">
        <v>1817</v>
      </c>
      <c r="BL7" s="172" t="s">
        <v>60</v>
      </c>
      <c r="BM7" s="172" t="s">
        <v>61</v>
      </c>
      <c r="BN7" s="172" t="s">
        <v>62</v>
      </c>
      <c r="BO7" s="172" t="s">
        <v>63</v>
      </c>
    </row>
    <row r="8" spans="1:67" ht="18" customHeight="1" x14ac:dyDescent="0.15">
      <c r="A8" s="41" t="s">
        <v>66</v>
      </c>
      <c r="B8" s="41" t="s">
        <v>66</v>
      </c>
      <c r="C8" s="43" t="s">
        <v>67</v>
      </c>
      <c r="D8" s="42" t="s">
        <v>66</v>
      </c>
      <c r="E8" s="43" t="s">
        <v>67</v>
      </c>
      <c r="F8" s="43" t="s">
        <v>67</v>
      </c>
      <c r="G8" s="43" t="s">
        <v>67</v>
      </c>
      <c r="H8" s="44" t="s">
        <v>67</v>
      </c>
      <c r="I8" s="44" t="s">
        <v>68</v>
      </c>
      <c r="J8" s="44" t="s">
        <v>69</v>
      </c>
      <c r="K8" s="44" t="s">
        <v>66</v>
      </c>
      <c r="L8" s="44" t="s">
        <v>66</v>
      </c>
      <c r="M8" s="41" t="s">
        <v>65</v>
      </c>
      <c r="N8" s="44" t="s">
        <v>66</v>
      </c>
      <c r="O8" s="44" t="s">
        <v>66</v>
      </c>
      <c r="P8" s="44" t="s">
        <v>66</v>
      </c>
      <c r="Q8" s="45" t="s">
        <v>66</v>
      </c>
      <c r="R8" s="41" t="s">
        <v>66</v>
      </c>
      <c r="S8" s="44" t="s">
        <v>66</v>
      </c>
      <c r="T8" s="44" t="s">
        <v>71</v>
      </c>
      <c r="U8" s="44" t="s">
        <v>66</v>
      </c>
      <c r="V8" s="46" t="s">
        <v>66</v>
      </c>
      <c r="W8" s="45" t="s">
        <v>66</v>
      </c>
      <c r="X8" s="47" t="s">
        <v>70</v>
      </c>
      <c r="Y8" s="44" t="s">
        <v>66</v>
      </c>
      <c r="Z8" s="47" t="s">
        <v>70</v>
      </c>
      <c r="AA8" s="44" t="s">
        <v>66</v>
      </c>
      <c r="AB8" s="47" t="s">
        <v>70</v>
      </c>
      <c r="AC8" s="44" t="s">
        <v>66</v>
      </c>
      <c r="AD8" s="47" t="s">
        <v>70</v>
      </c>
      <c r="AE8" s="44" t="s">
        <v>68</v>
      </c>
      <c r="AF8" s="44" t="s">
        <v>68</v>
      </c>
      <c r="AG8" s="44" t="s">
        <v>68</v>
      </c>
      <c r="AH8" s="44" t="s">
        <v>68</v>
      </c>
      <c r="AI8" s="44" t="s">
        <v>66</v>
      </c>
      <c r="AJ8" s="44" t="s">
        <v>68</v>
      </c>
      <c r="AK8" s="44" t="s">
        <v>66</v>
      </c>
      <c r="AL8" s="44" t="s">
        <v>68</v>
      </c>
      <c r="AM8" s="44" t="s">
        <v>66</v>
      </c>
      <c r="AN8" s="44" t="s">
        <v>68</v>
      </c>
      <c r="AO8" s="44" t="s">
        <v>66</v>
      </c>
      <c r="AP8" s="44" t="s">
        <v>68</v>
      </c>
      <c r="AQ8" s="44" t="s">
        <v>66</v>
      </c>
      <c r="AR8" s="44" t="s">
        <v>68</v>
      </c>
      <c r="AS8" s="44" t="s">
        <v>66</v>
      </c>
      <c r="AT8" s="44" t="s">
        <v>68</v>
      </c>
      <c r="AU8" s="44" t="s">
        <v>68</v>
      </c>
      <c r="AV8" s="44" t="s">
        <v>68</v>
      </c>
      <c r="AW8" s="44" t="s">
        <v>68</v>
      </c>
      <c r="AX8" s="44" t="s">
        <v>68</v>
      </c>
      <c r="AY8" s="44" t="s">
        <v>71</v>
      </c>
      <c r="AZ8" s="44" t="s">
        <v>71</v>
      </c>
      <c r="BA8" s="44" t="s">
        <v>71</v>
      </c>
      <c r="BB8" s="44" t="s">
        <v>71</v>
      </c>
      <c r="BC8" s="44" t="s">
        <v>71</v>
      </c>
      <c r="BD8" s="44" t="s">
        <v>71</v>
      </c>
      <c r="BE8" s="44" t="s">
        <v>71</v>
      </c>
      <c r="BF8" s="44" t="s">
        <v>71</v>
      </c>
      <c r="BG8" s="44" t="s">
        <v>71</v>
      </c>
      <c r="BH8" s="44" t="s">
        <v>67</v>
      </c>
      <c r="BI8" s="44" t="s">
        <v>67</v>
      </c>
      <c r="BJ8" s="173" t="s">
        <v>67</v>
      </c>
      <c r="BK8" s="173" t="s">
        <v>67</v>
      </c>
      <c r="BL8" s="173" t="s">
        <v>67</v>
      </c>
      <c r="BM8" s="173" t="s">
        <v>67</v>
      </c>
      <c r="BN8" s="173" t="s">
        <v>67</v>
      </c>
      <c r="BO8" s="173" t="s">
        <v>67</v>
      </c>
    </row>
    <row r="9" spans="1:67" ht="19.5" customHeight="1" x14ac:dyDescent="0.15">
      <c r="A9" s="123" t="s">
        <v>1856</v>
      </c>
      <c r="B9" s="122" t="s">
        <v>1854</v>
      </c>
      <c r="C9" s="49"/>
      <c r="D9" s="48" t="s">
        <v>73</v>
      </c>
      <c r="E9" s="49"/>
      <c r="F9" s="50"/>
      <c r="G9" s="51"/>
      <c r="H9" s="48" t="s">
        <v>72</v>
      </c>
      <c r="I9" s="52">
        <v>1</v>
      </c>
      <c r="J9" s="52"/>
      <c r="K9" s="52" t="s">
        <v>73</v>
      </c>
      <c r="L9" s="52" t="s">
        <v>74</v>
      </c>
      <c r="M9" s="53" t="s">
        <v>942</v>
      </c>
      <c r="N9" s="58" t="s">
        <v>73</v>
      </c>
      <c r="O9" s="48" t="s">
        <v>72</v>
      </c>
      <c r="P9" s="133" t="s">
        <v>73</v>
      </c>
      <c r="Q9" s="54" t="s">
        <v>73</v>
      </c>
      <c r="R9" s="48" t="s">
        <v>73</v>
      </c>
      <c r="S9" s="48" t="s">
        <v>73</v>
      </c>
      <c r="T9" s="130" t="str" cm="1">
        <f t="array" ref="T9">IF(ISNUMBER(SEARCH("SCHNEIDER",D9)),_xlfn.IFS(ISNUMBER(SEARCH("2 Querétaro",D9)),"SQ2",ISNUMBER(SEARCH("Xicohténcatl",D9)),"SXC",ISNUMBER(SEARCH("Rojo Gómez",D9)),"SRG",ISNUMBER(SEARCH("Tlaxcala",D9)),"STX",ISNUMBER(SEARCH("Monterrey",D9)),"SMY",ISNUMBER(SEARCH("Querétaro",D9)),"SQ1",ISNUMBER(SEARCH("CDMX",D9)),"SCM",TRUE,""),"")</f>
        <v/>
      </c>
      <c r="U9" s="48" t="str" cm="1">
        <f t="array" ref="U9">IF(SUMPRODUCT(--((CAT_Procesos!$E$2:$E$1581=O9)*(CAT_Procesos!$F$2:$F$1581=_xlfn.TEXTJOIN(" + ",TRUE,IF((TRIM(P9:S9)="")+(LOWER(TRIM(P9:S9))="(seleccione)"),"",PROPER(TRIM(P9:S9)))))*(CAT_Procesos!$D$2:$D$1581=IFERROR(VLOOKUP(N9&amp;"*",CAT_Procesos!$D:$D,1,FALSE),""))))=0,"Combinación no existente",IF(SUMPRODUCT(((CAT_Procesos!$E$2:$E$1581=O9)*(CAT_Procesos!$F$2:$F$1581=_xlfn.TEXTJOIN(" + ",TRUE,IF((TRIM(P9:S9)="")+(LOWER(TRIM(P9:S9))="(seleccione)"),"",PROPER(TRIM(P9:S9)))))*(CAT_Procesos!$D$2:$D$1581=IFERROR(VLOOKUP(N9&amp;"*",CAT_Procesos!$D:$D,1,FALSE),"")))*(CAT_Procesos!$G$2:$G$1581=INDEX(CAT_Procesos!$G$2:$G$1581,MATCH(1,(CAT_Procesos!$E$2:$E$1581=O9)*(CAT_Procesos!$F$2:$F$1581=_xlfn.TEXTJOIN(" + ",TRUE,IF((TRIM(P9:S9)="")+(LOWER(TRIM(P9:S9))="(seleccione)"),"",PROPER(TRIM(P9:S9)))))*(CAT_Procesos!$D$2:$D$1581=IFERROR(VLOOKUP(N9&amp;"*",CAT_Procesos!$D:$D,1,FALSE),"")),0))))=SUMPRODUCT(--((CAT_Procesos!$E$2:$E$1581=O9)*(CAT_Procesos!$F$2:$F$1581=_xlfn.TEXTJOIN(" + ",TRUE,IF((TRIM(P9:S9)="")+(LOWER(TRIM(P9:S9))="(seleccione)"),"",PROPER(TRIM(P9:S9)))))*(CAT_Procesos!$D$2:$D$1581=IFERROR(VLOOKUP(N9&amp;"*",CAT_Procesos!$D:$D,1,FALSE),"")))),INDEX(CAT_Procesos!$G$2:$G$1581,MATCH(1,(CAT_Procesos!$E$2:$E$1581=O9)*(CAT_Procesos!$F$2:$F$1581=_xlfn.TEXTJOIN(" + ",TRUE,IF((TRIM(P9:S9)="")+(LOWER(TRIM(P9:S9))="(seleccione)"),"",PROPER(TRIM(P9:S9)))))*(CAT_Procesos!$D$2:$D$1581=IFERROR(VLOOKUP(N9&amp;"*",CAT_Procesos!$D:$D,1,FALSE),"")),0)),"(seleccione)"))</f>
        <v>Combinación no existente</v>
      </c>
      <c r="V9" s="55" t="s">
        <v>73</v>
      </c>
      <c r="W9" s="56" t="s">
        <v>73</v>
      </c>
      <c r="X9" s="57" t="str">
        <f t="shared" ref="X9:X72" si="0">IFERROR(((VALUE(TRIM(LEFT(MID(W9,FIND("|",W9)+1,99),FIND("-",MID(W9,FIND("|",W9)+1,99))-1)))+VALUE(TRIM(SUBSTITUTE(SUBSTITUTE(SUBSTITUTE(SUBSTITUTE(SUBSTITUTE(MID(MID(W9,FIND("|",W9)+1,99),FIND("-",MID(W9,FIND("|",W9)+1,99))+1,20),"µm",""),"μm",""),"mils",""),"mil",""),"",""))))/2)*IF(ISNUMBER(SEARCH("mil",MID(W9,FIND("|",W9)+1,99))),25.4,1),"")</f>
        <v/>
      </c>
      <c r="Y9" s="58" t="s">
        <v>73</v>
      </c>
      <c r="Z9" s="57" t="str">
        <f t="shared" ref="Z9:Z72" si="1">IFERROR(((VALUE(TRIM(LEFT(MID(Y9,FIND("|",Y9)+1,99),FIND("-",MID(Y9,FIND("|",Y9)+1,99))-1)))+VALUE(TRIM(SUBSTITUTE(SUBSTITUTE(SUBSTITUTE(SUBSTITUTE(SUBSTITUTE(MID(MID(Y9,FIND("|",Y9)+1,99),FIND("-",MID(Y9,FIND("|",Y9)+1,99))+1,20),"µm",""),"μm",""),"mils",""),"mil",""),"",""))))/2)*IF(ISNUMBER(SEARCH("mil",MID(Y9,FIND("|",Y9)+1,99))),25.4,1),"")</f>
        <v/>
      </c>
      <c r="AA9" s="58" t="s">
        <v>73</v>
      </c>
      <c r="AB9" s="57" t="str">
        <f t="shared" ref="AB9:AB72" si="2">IFERROR(((VALUE(TRIM(LEFT(MID(AA9,FIND("|",AA9)+1,99),FIND("-",MID(AA9,FIND("|",AA9)+1,99))-1)))+VALUE(TRIM(SUBSTITUTE(SUBSTITUTE(SUBSTITUTE(SUBSTITUTE(SUBSTITUTE(MID(MID(AA9,FIND("|",AA9)+1,99),FIND("-",MID(AA9,FIND("|",AA9)+1,99))+1,20),"µm",""),"μm",""),"mils",""),"mil",""),"",""))))/2)*IF(ISNUMBER(SEARCH("mil",MID(AA9,FIND("|",AA9)+1,99))),25.4,1),"")</f>
        <v/>
      </c>
      <c r="AC9" s="58" t="s">
        <v>73</v>
      </c>
      <c r="AD9" s="57" t="str">
        <f t="shared" ref="AD9:AD72" si="3">IFERROR(((VALUE(TRIM(LEFT(MID(AC9,FIND("|",AC9)+1,99),FIND("-",MID(AC9,FIND("|",AC9)+1,99))-1)))+VALUE(TRIM(SUBSTITUTE(SUBSTITUTE(SUBSTITUTE(SUBSTITUTE(SUBSTITUTE(MID(MID(AC9,FIND("|",AC9)+1,99),FIND("-",MID(AC9,FIND("|",AC9)+1,99))+1,20),"µm",""),"μm",""),"mils",""),"mil",""),"",""))))/2)*IF(ISNUMBER(SEARCH("mil",MID(AC9,FIND("|",AC9)+1,99))),25.4,1),"")</f>
        <v/>
      </c>
      <c r="AE9" s="59"/>
      <c r="AF9" s="59"/>
      <c r="AG9" s="59"/>
      <c r="AH9" s="59"/>
      <c r="AI9" s="59" t="s">
        <v>73</v>
      </c>
      <c r="AJ9" s="59"/>
      <c r="AK9" s="59" t="s">
        <v>73</v>
      </c>
      <c r="AL9" s="59"/>
      <c r="AM9" s="59" t="s">
        <v>73</v>
      </c>
      <c r="AN9" s="59"/>
      <c r="AO9" s="59" t="s">
        <v>73</v>
      </c>
      <c r="AP9" s="59"/>
      <c r="AQ9" s="59" t="s">
        <v>73</v>
      </c>
      <c r="AR9" s="59"/>
      <c r="AS9" s="59" t="s">
        <v>72</v>
      </c>
      <c r="AT9" s="59"/>
      <c r="AU9" s="59"/>
      <c r="AV9" s="59"/>
      <c r="AW9" s="59"/>
      <c r="AX9" s="59"/>
      <c r="AY9" s="60" t="str">
        <f>IF('Cálculo MP'!K19="","",'Cálculo MP'!K19)</f>
        <v/>
      </c>
      <c r="AZ9" s="60" t="str">
        <f>IF('Cálculo MP'!L19="","",'Cálculo MP'!L19)</f>
        <v/>
      </c>
      <c r="BA9" s="60" t="str">
        <f>IF('Cálculo MP'!M19="","",'Cálculo MP'!M19)</f>
        <v/>
      </c>
      <c r="BB9" s="60" t="str">
        <f>IF('Cálculo MP'!N19="","",'Cálculo MP'!N19)</f>
        <v/>
      </c>
      <c r="BC9" s="60" t="str">
        <f>IF('Cálculo MP'!O19="","",'Cálculo MP'!O19)</f>
        <v/>
      </c>
      <c r="BD9" s="60" t="str">
        <f>IF('Cálculo MP'!P19="","",'Cálculo MP'!P19)</f>
        <v/>
      </c>
      <c r="BE9" s="60" t="str">
        <f>IF('Cálculo MP'!Q19="","",'Cálculo MP'!Q19)</f>
        <v/>
      </c>
      <c r="BF9" s="60" t="str">
        <f>IF('Cálculo MP'!R19="","",'Cálculo MP'!R19)</f>
        <v/>
      </c>
      <c r="BG9" s="60" t="str">
        <f>IF('Cálculo MP'!S19="","",'Cálculo MP'!S19)</f>
        <v/>
      </c>
      <c r="BH9" s="61"/>
      <c r="BI9" s="61"/>
      <c r="BJ9" s="61"/>
      <c r="BK9" s="61"/>
      <c r="BL9" s="61"/>
      <c r="BM9" s="61"/>
      <c r="BN9" s="61"/>
      <c r="BO9" s="61"/>
    </row>
    <row r="10" spans="1:67" ht="19.5" customHeight="1" x14ac:dyDescent="0.15">
      <c r="A10" s="123" t="s">
        <v>1856</v>
      </c>
      <c r="B10" s="122" t="s">
        <v>1854</v>
      </c>
      <c r="C10" s="49"/>
      <c r="D10" s="48" t="s">
        <v>73</v>
      </c>
      <c r="E10" s="49"/>
      <c r="F10" s="50"/>
      <c r="G10" s="62"/>
      <c r="H10" s="48" t="s">
        <v>72</v>
      </c>
      <c r="I10" s="52">
        <v>1</v>
      </c>
      <c r="J10" s="52"/>
      <c r="K10" s="52" t="s">
        <v>73</v>
      </c>
      <c r="L10" s="52" t="s">
        <v>74</v>
      </c>
      <c r="M10" s="53" t="s">
        <v>942</v>
      </c>
      <c r="N10" s="58" t="s">
        <v>73</v>
      </c>
      <c r="O10" s="48" t="s">
        <v>72</v>
      </c>
      <c r="P10" s="48" t="s">
        <v>73</v>
      </c>
      <c r="Q10" s="54" t="s">
        <v>73</v>
      </c>
      <c r="R10" s="48" t="s">
        <v>73</v>
      </c>
      <c r="S10" s="48" t="s">
        <v>73</v>
      </c>
      <c r="T10" s="130"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8" t="str" cm="1">
        <f t="array" ref="U10">IF(SUMPRODUCT(--((CAT_Procesos!$E$2:$E$1581=O10)*(CAT_Procesos!$F$2:$F$1581=_xlfn.TEXTJOIN(" + ",TRUE,IF((TRIM(P10:S10)="")+(LOWER(TRIM(P10:S10))="(seleccione)"),"",PROPER(TRIM(P10:S10)))))*(CAT_Procesos!$D$2:$D$1581=IFERROR(VLOOKUP(N10&amp;"*",CAT_Procesos!$D:$D,1,FALSE),""))))=0,"Combinación no existente",IF(SUMPRODUCT(((CAT_Procesos!$E$2:$E$1581=O10)*(CAT_Procesos!$F$2:$F$1581=_xlfn.TEXTJOIN(" + ",TRUE,IF((TRIM(P10:S10)="")+(LOWER(TRIM(P10:S10))="(seleccione)"),"",PROPER(TRIM(P10:S10)))))*(CAT_Procesos!$D$2:$D$1581=IFERROR(VLOOKUP(N10&amp;"*",CAT_Procesos!$D:$D,1,FALSE),"")))*(CAT_Procesos!$G$2:$G$1581=INDEX(CAT_Procesos!$G$2:$G$1581,MATCH(1,(CAT_Procesos!$E$2:$E$1581=O10)*(CAT_Procesos!$F$2:$F$1581=_xlfn.TEXTJOIN(" + ",TRUE,IF((TRIM(P10:S10)="")+(LOWER(TRIM(P10:S10))="(seleccione)"),"",PROPER(TRIM(P10:S10)))))*(CAT_Procesos!$D$2:$D$1581=IFERROR(VLOOKUP(N10&amp;"*",CAT_Procesos!$D:$D,1,FALSE),"")),0))))=SUMPRODUCT(--((CAT_Procesos!$E$2:$E$1581=O10)*(CAT_Procesos!$F$2:$F$1581=_xlfn.TEXTJOIN(" + ",TRUE,IF((TRIM(P10:S10)="")+(LOWER(TRIM(P10:S10))="(seleccione)"),"",PROPER(TRIM(P10:S10)))))*(CAT_Procesos!$D$2:$D$1581=IFERROR(VLOOKUP(N10&amp;"*",CAT_Procesos!$D:$D,1,FALSE),"")))),INDEX(CAT_Procesos!$G$2:$G$1581,MATCH(1,(CAT_Procesos!$E$2:$E$1581=O10)*(CAT_Procesos!$F$2:$F$1581=_xlfn.TEXTJOIN(" + ",TRUE,IF((TRIM(P10:S10)="")+(LOWER(TRIM(P10:S10))="(seleccione)"),"",PROPER(TRIM(P10:S10)))))*(CAT_Procesos!$D$2:$D$1581=IFERROR(VLOOKUP(N10&amp;"*",CAT_Procesos!$D:$D,1,FALSE),"")),0)),"(seleccione)"))</f>
        <v>Combinación no existente</v>
      </c>
      <c r="V10" s="55" t="s">
        <v>73</v>
      </c>
      <c r="W10" s="56" t="s">
        <v>73</v>
      </c>
      <c r="X10" s="57" t="str">
        <f t="shared" si="0"/>
        <v/>
      </c>
      <c r="Y10" s="58" t="s">
        <v>73</v>
      </c>
      <c r="Z10" s="57" t="str">
        <f t="shared" si="1"/>
        <v/>
      </c>
      <c r="AA10" s="58" t="s">
        <v>73</v>
      </c>
      <c r="AB10" s="57" t="str">
        <f t="shared" si="2"/>
        <v/>
      </c>
      <c r="AC10" s="58" t="s">
        <v>73</v>
      </c>
      <c r="AD10" s="57" t="str">
        <f t="shared" si="3"/>
        <v/>
      </c>
      <c r="AE10" s="59"/>
      <c r="AF10" s="59"/>
      <c r="AG10" s="59"/>
      <c r="AH10" s="63"/>
      <c r="AI10" s="59" t="s">
        <v>73</v>
      </c>
      <c r="AJ10" s="59"/>
      <c r="AK10" s="59" t="s">
        <v>73</v>
      </c>
      <c r="AL10" s="59"/>
      <c r="AM10" s="59" t="s">
        <v>73</v>
      </c>
      <c r="AN10" s="59"/>
      <c r="AO10" s="59" t="s">
        <v>73</v>
      </c>
      <c r="AP10" s="59"/>
      <c r="AQ10" s="59" t="s">
        <v>73</v>
      </c>
      <c r="AR10" s="59"/>
      <c r="AS10" s="59" t="s">
        <v>72</v>
      </c>
      <c r="AT10" s="59"/>
      <c r="AU10" s="59"/>
      <c r="AV10" s="59"/>
      <c r="AW10" s="59"/>
      <c r="AX10" s="59"/>
      <c r="AY10" s="60" t="str">
        <f>IF('Cálculo MP'!K20="","",'Cálculo MP'!K20)</f>
        <v/>
      </c>
      <c r="AZ10" s="60" t="str">
        <f>IF('Cálculo MP'!L20="","",'Cálculo MP'!L20)</f>
        <v/>
      </c>
      <c r="BA10" s="60" t="str">
        <f>IF('Cálculo MP'!M20="","",'Cálculo MP'!M20)</f>
        <v/>
      </c>
      <c r="BB10" s="60" t="str">
        <f>IF('Cálculo MP'!N20="","",'Cálculo MP'!N20)</f>
        <v/>
      </c>
      <c r="BC10" s="60" t="str">
        <f>IF('Cálculo MP'!O20="","",'Cálculo MP'!O20)</f>
        <v/>
      </c>
      <c r="BD10" s="60" t="str">
        <f>IF('Cálculo MP'!P20="","",'Cálculo MP'!P20)</f>
        <v/>
      </c>
      <c r="BE10" s="60" t="str">
        <f>IF('Cálculo MP'!Q20="","",'Cálculo MP'!Q20)</f>
        <v/>
      </c>
      <c r="BF10" s="60" t="str">
        <f>IF('Cálculo MP'!R20="","",'Cálculo MP'!R20)</f>
        <v/>
      </c>
      <c r="BG10" s="60" t="str">
        <f>IF('Cálculo MP'!S20="","",'Cálculo MP'!S20)</f>
        <v/>
      </c>
      <c r="BH10" s="61"/>
      <c r="BI10" s="61"/>
      <c r="BJ10" s="61"/>
      <c r="BK10" s="61"/>
      <c r="BL10" s="61"/>
      <c r="BM10" s="61"/>
      <c r="BN10" s="61"/>
      <c r="BO10" s="61"/>
    </row>
    <row r="11" spans="1:67" ht="19.5" customHeight="1" x14ac:dyDescent="0.15">
      <c r="A11" s="123" t="s">
        <v>1856</v>
      </c>
      <c r="B11" s="122" t="s">
        <v>1854</v>
      </c>
      <c r="C11" s="49"/>
      <c r="D11" s="48" t="s">
        <v>73</v>
      </c>
      <c r="E11" s="49"/>
      <c r="F11" s="50"/>
      <c r="G11" s="62"/>
      <c r="H11" s="48" t="s">
        <v>72</v>
      </c>
      <c r="I11" s="52">
        <v>1</v>
      </c>
      <c r="J11" s="52"/>
      <c r="K11" s="52" t="s">
        <v>73</v>
      </c>
      <c r="L11" s="52" t="s">
        <v>74</v>
      </c>
      <c r="M11" s="53" t="s">
        <v>942</v>
      </c>
      <c r="N11" s="58" t="s">
        <v>73</v>
      </c>
      <c r="O11" s="48" t="s">
        <v>72</v>
      </c>
      <c r="P11" s="48" t="s">
        <v>73</v>
      </c>
      <c r="Q11" s="54" t="s">
        <v>73</v>
      </c>
      <c r="R11" s="55" t="s">
        <v>73</v>
      </c>
      <c r="S11" s="48" t="s">
        <v>73</v>
      </c>
      <c r="T11" s="130"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8" t="str" cm="1">
        <f t="array" ref="U11">IF(SUMPRODUCT(--((CAT_Procesos!$E$2:$E$1581=O11)*(CAT_Procesos!$F$2:$F$1581=_xlfn.TEXTJOIN(" + ",TRUE,IF((TRIM(P11:S11)="")+(LOWER(TRIM(P11:S11))="(seleccione)"),"",PROPER(TRIM(P11:S11)))))*(CAT_Procesos!$D$2:$D$1581=IFERROR(VLOOKUP(N11&amp;"*",CAT_Procesos!$D:$D,1,FALSE),""))))=0,"Combinación no existente",IF(SUMPRODUCT(((CAT_Procesos!$E$2:$E$1581=O11)*(CAT_Procesos!$F$2:$F$1581=_xlfn.TEXTJOIN(" + ",TRUE,IF((TRIM(P11:S11)="")+(LOWER(TRIM(P11:S11))="(seleccione)"),"",PROPER(TRIM(P11:S11)))))*(CAT_Procesos!$D$2:$D$1581=IFERROR(VLOOKUP(N11&amp;"*",CAT_Procesos!$D:$D,1,FALSE),"")))*(CAT_Procesos!$G$2:$G$1581=INDEX(CAT_Procesos!$G$2:$G$1581,MATCH(1,(CAT_Procesos!$E$2:$E$1581=O11)*(CAT_Procesos!$F$2:$F$1581=_xlfn.TEXTJOIN(" + ",TRUE,IF((TRIM(P11:S11)="")+(LOWER(TRIM(P11:S11))="(seleccione)"),"",PROPER(TRIM(P11:S11)))))*(CAT_Procesos!$D$2:$D$1581=IFERROR(VLOOKUP(N11&amp;"*",CAT_Procesos!$D:$D,1,FALSE),"")),0))))=SUMPRODUCT(--((CAT_Procesos!$E$2:$E$1581=O11)*(CAT_Procesos!$F$2:$F$1581=_xlfn.TEXTJOIN(" + ",TRUE,IF((TRIM(P11:S11)="")+(LOWER(TRIM(P11:S11))="(seleccione)"),"",PROPER(TRIM(P11:S11)))))*(CAT_Procesos!$D$2:$D$1581=IFERROR(VLOOKUP(N11&amp;"*",CAT_Procesos!$D:$D,1,FALSE),"")))),INDEX(CAT_Procesos!$G$2:$G$1581,MATCH(1,(CAT_Procesos!$E$2:$E$1581=O11)*(CAT_Procesos!$F$2:$F$1581=_xlfn.TEXTJOIN(" + ",TRUE,IF((TRIM(P11:S11)="")+(LOWER(TRIM(P11:S11))="(seleccione)"),"",PROPER(TRIM(P11:S11)))))*(CAT_Procesos!$D$2:$D$1581=IFERROR(VLOOKUP(N11&amp;"*",CAT_Procesos!$D:$D,1,FALSE),"")),0)),"(seleccione)"))</f>
        <v>Combinación no existente</v>
      </c>
      <c r="V11" s="55" t="s">
        <v>73</v>
      </c>
      <c r="W11" s="56" t="s">
        <v>73</v>
      </c>
      <c r="X11" s="57" t="str">
        <f t="shared" si="0"/>
        <v/>
      </c>
      <c r="Y11" s="58" t="s">
        <v>73</v>
      </c>
      <c r="Z11" s="57" t="str">
        <f t="shared" si="1"/>
        <v/>
      </c>
      <c r="AA11" s="58" t="s">
        <v>73</v>
      </c>
      <c r="AB11" s="57" t="str">
        <f t="shared" si="2"/>
        <v/>
      </c>
      <c r="AC11" s="58" t="s">
        <v>73</v>
      </c>
      <c r="AD11" s="57" t="str">
        <f t="shared" si="3"/>
        <v/>
      </c>
      <c r="AE11" s="59"/>
      <c r="AF11" s="59"/>
      <c r="AG11" s="59"/>
      <c r="AH11" s="63"/>
      <c r="AI11" s="59" t="s">
        <v>73</v>
      </c>
      <c r="AJ11" s="59"/>
      <c r="AK11" s="59" t="s">
        <v>73</v>
      </c>
      <c r="AL11" s="59"/>
      <c r="AM11" s="59" t="s">
        <v>73</v>
      </c>
      <c r="AN11" s="59"/>
      <c r="AO11" s="59" t="s">
        <v>73</v>
      </c>
      <c r="AP11" s="59"/>
      <c r="AQ11" s="59" t="s">
        <v>73</v>
      </c>
      <c r="AR11" s="59"/>
      <c r="AS11" s="59" t="s">
        <v>72</v>
      </c>
      <c r="AT11" s="59"/>
      <c r="AU11" s="59"/>
      <c r="AV11" s="59"/>
      <c r="AW11" s="59"/>
      <c r="AX11" s="59"/>
      <c r="AY11" s="60" t="str">
        <f>IF('Cálculo MP'!K21="","",'Cálculo MP'!K21)</f>
        <v/>
      </c>
      <c r="AZ11" s="60" t="str">
        <f>IF('Cálculo MP'!L21="","",'Cálculo MP'!L21)</f>
        <v/>
      </c>
      <c r="BA11" s="60" t="str">
        <f>IF('Cálculo MP'!M21="","",'Cálculo MP'!M21)</f>
        <v/>
      </c>
      <c r="BB11" s="60" t="str">
        <f>IF('Cálculo MP'!N21="","",'Cálculo MP'!N21)</f>
        <v/>
      </c>
      <c r="BC11" s="60" t="str">
        <f>IF('Cálculo MP'!O21="","",'Cálculo MP'!O21)</f>
        <v/>
      </c>
      <c r="BD11" s="60" t="str">
        <f>IF('Cálculo MP'!P21="","",'Cálculo MP'!P21)</f>
        <v/>
      </c>
      <c r="BE11" s="60" t="str">
        <f>IF('Cálculo MP'!Q21="","",'Cálculo MP'!Q21)</f>
        <v/>
      </c>
      <c r="BF11" s="60" t="str">
        <f>IF('Cálculo MP'!R21="","",'Cálculo MP'!R21)</f>
        <v/>
      </c>
      <c r="BG11" s="60" t="str">
        <f>IF('Cálculo MP'!S21="","",'Cálculo MP'!S21)</f>
        <v/>
      </c>
      <c r="BH11" s="61"/>
      <c r="BI11" s="61"/>
      <c r="BJ11" s="61"/>
      <c r="BK11" s="61"/>
      <c r="BL11" s="61"/>
      <c r="BM11" s="61"/>
      <c r="BN11" s="61"/>
      <c r="BO11" s="61"/>
    </row>
    <row r="12" spans="1:67" ht="19.5" customHeight="1" x14ac:dyDescent="0.15">
      <c r="A12" s="123" t="s">
        <v>1856</v>
      </c>
      <c r="B12" s="122" t="s">
        <v>1854</v>
      </c>
      <c r="C12" s="49"/>
      <c r="D12" s="48" t="s">
        <v>73</v>
      </c>
      <c r="E12" s="49"/>
      <c r="F12" s="50"/>
      <c r="G12" s="62"/>
      <c r="H12" s="48" t="s">
        <v>72</v>
      </c>
      <c r="I12" s="52">
        <v>1</v>
      </c>
      <c r="J12" s="52"/>
      <c r="K12" s="52" t="s">
        <v>73</v>
      </c>
      <c r="L12" s="52" t="s">
        <v>74</v>
      </c>
      <c r="M12" s="53" t="s">
        <v>942</v>
      </c>
      <c r="N12" s="58" t="s">
        <v>73</v>
      </c>
      <c r="O12" s="48" t="s">
        <v>72</v>
      </c>
      <c r="P12" s="48" t="s">
        <v>73</v>
      </c>
      <c r="Q12" s="54" t="s">
        <v>73</v>
      </c>
      <c r="R12" s="55" t="s">
        <v>73</v>
      </c>
      <c r="S12" s="48" t="s">
        <v>73</v>
      </c>
      <c r="T12" s="130"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8" t="str" cm="1">
        <f t="array" ref="U12">IF(SUMPRODUCT(--((CAT_Procesos!$E$2:$E$1581=O12)*(CAT_Procesos!$F$2:$F$1581=_xlfn.TEXTJOIN(" + ",TRUE,IF((TRIM(P12:S12)="")+(LOWER(TRIM(P12:S12))="(seleccione)"),"",PROPER(TRIM(P12:S12)))))*(CAT_Procesos!$D$2:$D$1581=IFERROR(VLOOKUP(N12&amp;"*",CAT_Procesos!$D:$D,1,FALSE),""))))=0,"Combinación no existente",IF(SUMPRODUCT(((CAT_Procesos!$E$2:$E$1581=O12)*(CAT_Procesos!$F$2:$F$1581=_xlfn.TEXTJOIN(" + ",TRUE,IF((TRIM(P12:S12)="")+(LOWER(TRIM(P12:S12))="(seleccione)"),"",PROPER(TRIM(P12:S12)))))*(CAT_Procesos!$D$2:$D$1581=IFERROR(VLOOKUP(N12&amp;"*",CAT_Procesos!$D:$D,1,FALSE),"")))*(CAT_Procesos!$G$2:$G$1581=INDEX(CAT_Procesos!$G$2:$G$1581,MATCH(1,(CAT_Procesos!$E$2:$E$1581=O12)*(CAT_Procesos!$F$2:$F$1581=_xlfn.TEXTJOIN(" + ",TRUE,IF((TRIM(P12:S12)="")+(LOWER(TRIM(P12:S12))="(seleccione)"),"",PROPER(TRIM(P12:S12)))))*(CAT_Procesos!$D$2:$D$1581=IFERROR(VLOOKUP(N12&amp;"*",CAT_Procesos!$D:$D,1,FALSE),"")),0))))=SUMPRODUCT(--((CAT_Procesos!$E$2:$E$1581=O12)*(CAT_Procesos!$F$2:$F$1581=_xlfn.TEXTJOIN(" + ",TRUE,IF((TRIM(P12:S12)="")+(LOWER(TRIM(P12:S12))="(seleccione)"),"",PROPER(TRIM(P12:S12)))))*(CAT_Procesos!$D$2:$D$1581=IFERROR(VLOOKUP(N12&amp;"*",CAT_Procesos!$D:$D,1,FALSE),"")))),INDEX(CAT_Procesos!$G$2:$G$1581,MATCH(1,(CAT_Procesos!$E$2:$E$1581=O12)*(CAT_Procesos!$F$2:$F$1581=_xlfn.TEXTJOIN(" + ",TRUE,IF((TRIM(P12:S12)="")+(LOWER(TRIM(P12:S12))="(seleccione)"),"",PROPER(TRIM(P12:S12)))))*(CAT_Procesos!$D$2:$D$1581=IFERROR(VLOOKUP(N12&amp;"*",CAT_Procesos!$D:$D,1,FALSE),"")),0)),"(seleccione)"))</f>
        <v>Combinación no existente</v>
      </c>
      <c r="V12" s="55" t="s">
        <v>73</v>
      </c>
      <c r="W12" s="56" t="s">
        <v>73</v>
      </c>
      <c r="X12" s="57" t="str">
        <f t="shared" si="0"/>
        <v/>
      </c>
      <c r="Y12" s="58" t="s">
        <v>73</v>
      </c>
      <c r="Z12" s="57" t="str">
        <f t="shared" si="1"/>
        <v/>
      </c>
      <c r="AA12" s="58" t="s">
        <v>73</v>
      </c>
      <c r="AB12" s="57" t="str">
        <f t="shared" si="2"/>
        <v/>
      </c>
      <c r="AC12" s="58" t="s">
        <v>73</v>
      </c>
      <c r="AD12" s="57" t="str">
        <f t="shared" si="3"/>
        <v/>
      </c>
      <c r="AE12" s="59"/>
      <c r="AF12" s="59"/>
      <c r="AG12" s="59"/>
      <c r="AH12" s="63"/>
      <c r="AI12" s="59" t="s">
        <v>73</v>
      </c>
      <c r="AJ12" s="59"/>
      <c r="AK12" s="59" t="s">
        <v>73</v>
      </c>
      <c r="AL12" s="59"/>
      <c r="AM12" s="59" t="s">
        <v>73</v>
      </c>
      <c r="AN12" s="59"/>
      <c r="AO12" s="59" t="s">
        <v>73</v>
      </c>
      <c r="AP12" s="59"/>
      <c r="AQ12" s="59" t="s">
        <v>73</v>
      </c>
      <c r="AR12" s="59"/>
      <c r="AS12" s="59" t="s">
        <v>72</v>
      </c>
      <c r="AT12" s="59"/>
      <c r="AU12" s="59"/>
      <c r="AV12" s="59"/>
      <c r="AW12" s="59"/>
      <c r="AX12" s="59"/>
      <c r="AY12" s="60" t="str">
        <f>IF('Cálculo MP'!K22="","",'Cálculo MP'!K22)</f>
        <v/>
      </c>
      <c r="AZ12" s="60" t="str">
        <f>IF('Cálculo MP'!L22="","",'Cálculo MP'!L22)</f>
        <v/>
      </c>
      <c r="BA12" s="60" t="str">
        <f>IF('Cálculo MP'!M22="","",'Cálculo MP'!M22)</f>
        <v/>
      </c>
      <c r="BB12" s="60" t="str">
        <f>IF('Cálculo MP'!N22="","",'Cálculo MP'!N22)</f>
        <v/>
      </c>
      <c r="BC12" s="60" t="str">
        <f>IF('Cálculo MP'!O22="","",'Cálculo MP'!O22)</f>
        <v/>
      </c>
      <c r="BD12" s="60" t="str">
        <f>IF('Cálculo MP'!P22="","",'Cálculo MP'!P22)</f>
        <v/>
      </c>
      <c r="BE12" s="60" t="str">
        <f>IF('Cálculo MP'!Q22="","",'Cálculo MP'!Q22)</f>
        <v/>
      </c>
      <c r="BF12" s="60" t="str">
        <f>IF('Cálculo MP'!R22="","",'Cálculo MP'!R22)</f>
        <v/>
      </c>
      <c r="BG12" s="60" t="str">
        <f>IF('Cálculo MP'!S22="","",'Cálculo MP'!S22)</f>
        <v/>
      </c>
      <c r="BH12" s="61"/>
      <c r="BI12" s="61"/>
      <c r="BJ12" s="61"/>
      <c r="BK12" s="61"/>
      <c r="BL12" s="61"/>
      <c r="BM12" s="61"/>
      <c r="BN12" s="61"/>
      <c r="BO12" s="61"/>
    </row>
    <row r="13" spans="1:67" ht="19.5" customHeight="1" x14ac:dyDescent="0.15">
      <c r="A13" s="123" t="s">
        <v>1856</v>
      </c>
      <c r="B13" s="122" t="s">
        <v>1854</v>
      </c>
      <c r="C13" s="49"/>
      <c r="D13" s="48" t="s">
        <v>73</v>
      </c>
      <c r="E13" s="49"/>
      <c r="F13" s="50"/>
      <c r="G13" s="62"/>
      <c r="H13" s="48" t="s">
        <v>72</v>
      </c>
      <c r="I13" s="52">
        <v>1</v>
      </c>
      <c r="J13" s="52"/>
      <c r="K13" s="52" t="s">
        <v>73</v>
      </c>
      <c r="L13" s="52" t="s">
        <v>74</v>
      </c>
      <c r="M13" s="53" t="s">
        <v>942</v>
      </c>
      <c r="N13" s="58" t="s">
        <v>73</v>
      </c>
      <c r="O13" s="48" t="s">
        <v>72</v>
      </c>
      <c r="P13" s="48" t="s">
        <v>73</v>
      </c>
      <c r="Q13" s="54" t="s">
        <v>73</v>
      </c>
      <c r="R13" s="55" t="s">
        <v>73</v>
      </c>
      <c r="S13" s="48" t="s">
        <v>73</v>
      </c>
      <c r="T13" s="130"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8" t="str" cm="1">
        <f t="array" ref="U13">IF(SUMPRODUCT(--((CAT_Procesos!$E$2:$E$1581=O13)*(CAT_Procesos!$F$2:$F$1581=_xlfn.TEXTJOIN(" + ",TRUE,IF((TRIM(P13:S13)="")+(LOWER(TRIM(P13:S13))="(seleccione)"),"",PROPER(TRIM(P13:S13)))))*(CAT_Procesos!$D$2:$D$1581=IFERROR(VLOOKUP(N13&amp;"*",CAT_Procesos!$D:$D,1,FALSE),""))))=0,"Combinación no existente",IF(SUMPRODUCT(((CAT_Procesos!$E$2:$E$1581=O13)*(CAT_Procesos!$F$2:$F$1581=_xlfn.TEXTJOIN(" + ",TRUE,IF((TRIM(P13:S13)="")+(LOWER(TRIM(P13:S13))="(seleccione)"),"",PROPER(TRIM(P13:S13)))))*(CAT_Procesos!$D$2:$D$1581=IFERROR(VLOOKUP(N13&amp;"*",CAT_Procesos!$D:$D,1,FALSE),"")))*(CAT_Procesos!$G$2:$G$1581=INDEX(CAT_Procesos!$G$2:$G$1581,MATCH(1,(CAT_Procesos!$E$2:$E$1581=O13)*(CAT_Procesos!$F$2:$F$1581=_xlfn.TEXTJOIN(" + ",TRUE,IF((TRIM(P13:S13)="")+(LOWER(TRIM(P13:S13))="(seleccione)"),"",PROPER(TRIM(P13:S13)))))*(CAT_Procesos!$D$2:$D$1581=IFERROR(VLOOKUP(N13&amp;"*",CAT_Procesos!$D:$D,1,FALSE),"")),0))))=SUMPRODUCT(--((CAT_Procesos!$E$2:$E$1581=O13)*(CAT_Procesos!$F$2:$F$1581=_xlfn.TEXTJOIN(" + ",TRUE,IF((TRIM(P13:S13)="")+(LOWER(TRIM(P13:S13))="(seleccione)"),"",PROPER(TRIM(P13:S13)))))*(CAT_Procesos!$D$2:$D$1581=IFERROR(VLOOKUP(N13&amp;"*",CAT_Procesos!$D:$D,1,FALSE),"")))),INDEX(CAT_Procesos!$G$2:$G$1581,MATCH(1,(CAT_Procesos!$E$2:$E$1581=O13)*(CAT_Procesos!$F$2:$F$1581=_xlfn.TEXTJOIN(" + ",TRUE,IF((TRIM(P13:S13)="")+(LOWER(TRIM(P13:S13))="(seleccione)"),"",PROPER(TRIM(P13:S13)))))*(CAT_Procesos!$D$2:$D$1581=IFERROR(VLOOKUP(N13&amp;"*",CAT_Procesos!$D:$D,1,FALSE),"")),0)),"(seleccione)"))</f>
        <v>Combinación no existente</v>
      </c>
      <c r="V13" s="55" t="s">
        <v>73</v>
      </c>
      <c r="W13" s="56" t="s">
        <v>73</v>
      </c>
      <c r="X13" s="57" t="str">
        <f t="shared" si="0"/>
        <v/>
      </c>
      <c r="Y13" s="58" t="s">
        <v>73</v>
      </c>
      <c r="Z13" s="57" t="str">
        <f t="shared" si="1"/>
        <v/>
      </c>
      <c r="AA13" s="58" t="s">
        <v>73</v>
      </c>
      <c r="AB13" s="57" t="str">
        <f t="shared" si="2"/>
        <v/>
      </c>
      <c r="AC13" s="58" t="s">
        <v>73</v>
      </c>
      <c r="AD13" s="57" t="str">
        <f t="shared" si="3"/>
        <v/>
      </c>
      <c r="AE13" s="59"/>
      <c r="AF13" s="59"/>
      <c r="AG13" s="59"/>
      <c r="AH13" s="63"/>
      <c r="AI13" s="59" t="s">
        <v>73</v>
      </c>
      <c r="AJ13" s="59"/>
      <c r="AK13" s="59" t="s">
        <v>73</v>
      </c>
      <c r="AL13" s="59"/>
      <c r="AM13" s="59" t="s">
        <v>73</v>
      </c>
      <c r="AN13" s="59"/>
      <c r="AO13" s="59" t="s">
        <v>73</v>
      </c>
      <c r="AP13" s="59"/>
      <c r="AQ13" s="59" t="s">
        <v>73</v>
      </c>
      <c r="AR13" s="59"/>
      <c r="AS13" s="59" t="s">
        <v>72</v>
      </c>
      <c r="AT13" s="59"/>
      <c r="AU13" s="59"/>
      <c r="AV13" s="59"/>
      <c r="AW13" s="59"/>
      <c r="AX13" s="59"/>
      <c r="AY13" s="60" t="str">
        <f>IF('Cálculo MP'!K23="","",'Cálculo MP'!K23)</f>
        <v/>
      </c>
      <c r="AZ13" s="60" t="str">
        <f>IF('Cálculo MP'!L23="","",'Cálculo MP'!L23)</f>
        <v/>
      </c>
      <c r="BA13" s="60" t="str">
        <f>IF('Cálculo MP'!M23="","",'Cálculo MP'!M23)</f>
        <v/>
      </c>
      <c r="BB13" s="60" t="str">
        <f>IF('Cálculo MP'!N23="","",'Cálculo MP'!N23)</f>
        <v/>
      </c>
      <c r="BC13" s="60" t="str">
        <f>IF('Cálculo MP'!O23="","",'Cálculo MP'!O23)</f>
        <v/>
      </c>
      <c r="BD13" s="60" t="str">
        <f>IF('Cálculo MP'!P23="","",'Cálculo MP'!P23)</f>
        <v/>
      </c>
      <c r="BE13" s="60" t="str">
        <f>IF('Cálculo MP'!Q23="","",'Cálculo MP'!Q23)</f>
        <v/>
      </c>
      <c r="BF13" s="60" t="str">
        <f>IF('Cálculo MP'!R23="","",'Cálculo MP'!R23)</f>
        <v/>
      </c>
      <c r="BG13" s="60" t="str">
        <f>IF('Cálculo MP'!S23="","",'Cálculo MP'!S23)</f>
        <v/>
      </c>
      <c r="BH13" s="61"/>
      <c r="BI13" s="61"/>
      <c r="BJ13" s="61"/>
      <c r="BK13" s="61"/>
      <c r="BL13" s="61"/>
      <c r="BM13" s="61"/>
      <c r="BN13" s="61"/>
      <c r="BO13" s="61"/>
    </row>
    <row r="14" spans="1:67" ht="19.5" customHeight="1" x14ac:dyDescent="0.15">
      <c r="A14" s="123" t="s">
        <v>1856</v>
      </c>
      <c r="B14" s="122" t="s">
        <v>1854</v>
      </c>
      <c r="C14" s="49"/>
      <c r="D14" s="48" t="s">
        <v>73</v>
      </c>
      <c r="E14" s="49"/>
      <c r="F14" s="50"/>
      <c r="G14" s="62"/>
      <c r="H14" s="48" t="s">
        <v>72</v>
      </c>
      <c r="I14" s="52">
        <v>1</v>
      </c>
      <c r="J14" s="52"/>
      <c r="K14" s="52" t="s">
        <v>73</v>
      </c>
      <c r="L14" s="52" t="s">
        <v>74</v>
      </c>
      <c r="M14" s="53" t="s">
        <v>942</v>
      </c>
      <c r="N14" s="58" t="s">
        <v>73</v>
      </c>
      <c r="O14" s="48" t="s">
        <v>72</v>
      </c>
      <c r="P14" s="48" t="s">
        <v>73</v>
      </c>
      <c r="Q14" s="54" t="s">
        <v>73</v>
      </c>
      <c r="R14" s="55" t="s">
        <v>73</v>
      </c>
      <c r="S14" s="48" t="s">
        <v>73</v>
      </c>
      <c r="T14" s="130"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8" t="str" cm="1">
        <f t="array" ref="U14">IF(SUMPRODUCT(--((CAT_Procesos!$E$2:$E$1581=O14)*(CAT_Procesos!$F$2:$F$1581=_xlfn.TEXTJOIN(" + ",TRUE,IF((TRIM(P14:S14)="")+(LOWER(TRIM(P14:S14))="(seleccione)"),"",PROPER(TRIM(P14:S14)))))*(CAT_Procesos!$D$2:$D$1581=IFERROR(VLOOKUP(N14&amp;"*",CAT_Procesos!$D:$D,1,FALSE),""))))=0,"Combinación no existente",IF(SUMPRODUCT(((CAT_Procesos!$E$2:$E$1581=O14)*(CAT_Procesos!$F$2:$F$1581=_xlfn.TEXTJOIN(" + ",TRUE,IF((TRIM(P14:S14)="")+(LOWER(TRIM(P14:S14))="(seleccione)"),"",PROPER(TRIM(P14:S14)))))*(CAT_Procesos!$D$2:$D$1581=IFERROR(VLOOKUP(N14&amp;"*",CAT_Procesos!$D:$D,1,FALSE),"")))*(CAT_Procesos!$G$2:$G$1581=INDEX(CAT_Procesos!$G$2:$G$1581,MATCH(1,(CAT_Procesos!$E$2:$E$1581=O14)*(CAT_Procesos!$F$2:$F$1581=_xlfn.TEXTJOIN(" + ",TRUE,IF((TRIM(P14:S14)="")+(LOWER(TRIM(P14:S14))="(seleccione)"),"",PROPER(TRIM(P14:S14)))))*(CAT_Procesos!$D$2:$D$1581=IFERROR(VLOOKUP(N14&amp;"*",CAT_Procesos!$D:$D,1,FALSE),"")),0))))=SUMPRODUCT(--((CAT_Procesos!$E$2:$E$1581=O14)*(CAT_Procesos!$F$2:$F$1581=_xlfn.TEXTJOIN(" + ",TRUE,IF((TRIM(P14:S14)="")+(LOWER(TRIM(P14:S14))="(seleccione)"),"",PROPER(TRIM(P14:S14)))))*(CAT_Procesos!$D$2:$D$1581=IFERROR(VLOOKUP(N14&amp;"*",CAT_Procesos!$D:$D,1,FALSE),"")))),INDEX(CAT_Procesos!$G$2:$G$1581,MATCH(1,(CAT_Procesos!$E$2:$E$1581=O14)*(CAT_Procesos!$F$2:$F$1581=_xlfn.TEXTJOIN(" + ",TRUE,IF((TRIM(P14:S14)="")+(LOWER(TRIM(P14:S14))="(seleccione)"),"",PROPER(TRIM(P14:S14)))))*(CAT_Procesos!$D$2:$D$1581=IFERROR(VLOOKUP(N14&amp;"*",CAT_Procesos!$D:$D,1,FALSE),"")),0)),"(seleccione)"))</f>
        <v>Combinación no existente</v>
      </c>
      <c r="V14" s="55" t="s">
        <v>73</v>
      </c>
      <c r="W14" s="56" t="s">
        <v>73</v>
      </c>
      <c r="X14" s="57" t="str">
        <f t="shared" si="0"/>
        <v/>
      </c>
      <c r="Y14" s="58" t="s">
        <v>73</v>
      </c>
      <c r="Z14" s="57" t="str">
        <f t="shared" si="1"/>
        <v/>
      </c>
      <c r="AA14" s="58" t="s">
        <v>73</v>
      </c>
      <c r="AB14" s="57" t="str">
        <f t="shared" si="2"/>
        <v/>
      </c>
      <c r="AC14" s="58" t="s">
        <v>73</v>
      </c>
      <c r="AD14" s="57" t="str">
        <f t="shared" si="3"/>
        <v/>
      </c>
      <c r="AE14" s="59"/>
      <c r="AF14" s="59"/>
      <c r="AG14" s="59"/>
      <c r="AH14" s="59"/>
      <c r="AI14" s="59" t="s">
        <v>73</v>
      </c>
      <c r="AJ14" s="59"/>
      <c r="AK14" s="59" t="s">
        <v>73</v>
      </c>
      <c r="AL14" s="59"/>
      <c r="AM14" s="59" t="s">
        <v>73</v>
      </c>
      <c r="AN14" s="59"/>
      <c r="AO14" s="59" t="s">
        <v>73</v>
      </c>
      <c r="AP14" s="59"/>
      <c r="AQ14" s="59" t="s">
        <v>73</v>
      </c>
      <c r="AR14" s="59"/>
      <c r="AS14" s="59" t="s">
        <v>72</v>
      </c>
      <c r="AT14" s="59"/>
      <c r="AU14" s="59"/>
      <c r="AV14" s="59"/>
      <c r="AW14" s="59"/>
      <c r="AX14" s="59"/>
      <c r="AY14" s="60" t="str">
        <f>IF('Cálculo MP'!K24="","",'Cálculo MP'!K24)</f>
        <v/>
      </c>
      <c r="AZ14" s="60" t="str">
        <f>IF('Cálculo MP'!L24="","",'Cálculo MP'!L24)</f>
        <v/>
      </c>
      <c r="BA14" s="60" t="str">
        <f>IF('Cálculo MP'!M24="","",'Cálculo MP'!M24)</f>
        <v/>
      </c>
      <c r="BB14" s="60" t="str">
        <f>IF('Cálculo MP'!N24="","",'Cálculo MP'!N24)</f>
        <v/>
      </c>
      <c r="BC14" s="60" t="str">
        <f>IF('Cálculo MP'!O24="","",'Cálculo MP'!O24)</f>
        <v/>
      </c>
      <c r="BD14" s="60" t="str">
        <f>IF('Cálculo MP'!P24="","",'Cálculo MP'!P24)</f>
        <v/>
      </c>
      <c r="BE14" s="60" t="str">
        <f>IF('Cálculo MP'!Q24="","",'Cálculo MP'!Q24)</f>
        <v/>
      </c>
      <c r="BF14" s="60" t="str">
        <f>IF('Cálculo MP'!R24="","",'Cálculo MP'!R24)</f>
        <v/>
      </c>
      <c r="BG14" s="60" t="str">
        <f>IF('Cálculo MP'!S24="","",'Cálculo MP'!S24)</f>
        <v/>
      </c>
      <c r="BH14" s="61"/>
      <c r="BI14" s="61"/>
      <c r="BJ14" s="61"/>
      <c r="BK14" s="61"/>
      <c r="BL14" s="61"/>
      <c r="BM14" s="61"/>
      <c r="BN14" s="61"/>
      <c r="BO14" s="61"/>
    </row>
    <row r="15" spans="1:67" ht="19.5" customHeight="1" x14ac:dyDescent="0.15">
      <c r="A15" s="123" t="s">
        <v>1856</v>
      </c>
      <c r="B15" s="122" t="s">
        <v>1854</v>
      </c>
      <c r="C15" s="49"/>
      <c r="D15" s="48" t="s">
        <v>73</v>
      </c>
      <c r="E15" s="49"/>
      <c r="F15" s="50"/>
      <c r="G15" s="62"/>
      <c r="H15" s="48" t="s">
        <v>72</v>
      </c>
      <c r="I15" s="52">
        <v>1</v>
      </c>
      <c r="J15" s="52"/>
      <c r="K15" s="52" t="s">
        <v>73</v>
      </c>
      <c r="L15" s="52" t="s">
        <v>74</v>
      </c>
      <c r="M15" s="53" t="s">
        <v>942</v>
      </c>
      <c r="N15" s="58" t="s">
        <v>73</v>
      </c>
      <c r="O15" s="48" t="s">
        <v>72</v>
      </c>
      <c r="P15" s="48" t="s">
        <v>73</v>
      </c>
      <c r="Q15" s="54" t="s">
        <v>73</v>
      </c>
      <c r="R15" s="55" t="s">
        <v>73</v>
      </c>
      <c r="S15" s="48" t="s">
        <v>73</v>
      </c>
      <c r="T15" s="130"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8" t="str" cm="1">
        <f t="array" ref="U15">IF(SUMPRODUCT(--((CAT_Procesos!$E$2:$E$1581=O15)*(CAT_Procesos!$F$2:$F$1581=_xlfn.TEXTJOIN(" + ",TRUE,IF((TRIM(P15:S15)="")+(LOWER(TRIM(P15:S15))="(seleccione)"),"",PROPER(TRIM(P15:S15)))))*(CAT_Procesos!$D$2:$D$1581=IFERROR(VLOOKUP(N15&amp;"*",CAT_Procesos!$D:$D,1,FALSE),""))))=0,"Combinación no existente",IF(SUMPRODUCT(((CAT_Procesos!$E$2:$E$1581=O15)*(CAT_Procesos!$F$2:$F$1581=_xlfn.TEXTJOIN(" + ",TRUE,IF((TRIM(P15:S15)="")+(LOWER(TRIM(P15:S15))="(seleccione)"),"",PROPER(TRIM(P15:S15)))))*(CAT_Procesos!$D$2:$D$1581=IFERROR(VLOOKUP(N15&amp;"*",CAT_Procesos!$D:$D,1,FALSE),"")))*(CAT_Procesos!$G$2:$G$1581=INDEX(CAT_Procesos!$G$2:$G$1581,MATCH(1,(CAT_Procesos!$E$2:$E$1581=O15)*(CAT_Procesos!$F$2:$F$1581=_xlfn.TEXTJOIN(" + ",TRUE,IF((TRIM(P15:S15)="")+(LOWER(TRIM(P15:S15))="(seleccione)"),"",PROPER(TRIM(P15:S15)))))*(CAT_Procesos!$D$2:$D$1581=IFERROR(VLOOKUP(N15&amp;"*",CAT_Procesos!$D:$D,1,FALSE),"")),0))))=SUMPRODUCT(--((CAT_Procesos!$E$2:$E$1581=O15)*(CAT_Procesos!$F$2:$F$1581=_xlfn.TEXTJOIN(" + ",TRUE,IF((TRIM(P15:S15)="")+(LOWER(TRIM(P15:S15))="(seleccione)"),"",PROPER(TRIM(P15:S15)))))*(CAT_Procesos!$D$2:$D$1581=IFERROR(VLOOKUP(N15&amp;"*",CAT_Procesos!$D:$D,1,FALSE),"")))),INDEX(CAT_Procesos!$G$2:$G$1581,MATCH(1,(CAT_Procesos!$E$2:$E$1581=O15)*(CAT_Procesos!$F$2:$F$1581=_xlfn.TEXTJOIN(" + ",TRUE,IF((TRIM(P15:S15)="")+(LOWER(TRIM(P15:S15))="(seleccione)"),"",PROPER(TRIM(P15:S15)))))*(CAT_Procesos!$D$2:$D$1581=IFERROR(VLOOKUP(N15&amp;"*",CAT_Procesos!$D:$D,1,FALSE),"")),0)),"(seleccione)"))</f>
        <v>Combinación no existente</v>
      </c>
      <c r="V15" s="55" t="s">
        <v>73</v>
      </c>
      <c r="W15" s="56" t="s">
        <v>73</v>
      </c>
      <c r="X15" s="57" t="str">
        <f t="shared" si="0"/>
        <v/>
      </c>
      <c r="Y15" s="58" t="s">
        <v>73</v>
      </c>
      <c r="Z15" s="57" t="str">
        <f t="shared" si="1"/>
        <v/>
      </c>
      <c r="AA15" s="58" t="s">
        <v>73</v>
      </c>
      <c r="AB15" s="57" t="str">
        <f t="shared" si="2"/>
        <v/>
      </c>
      <c r="AC15" s="58" t="s">
        <v>73</v>
      </c>
      <c r="AD15" s="57" t="str">
        <f t="shared" si="3"/>
        <v/>
      </c>
      <c r="AE15" s="59"/>
      <c r="AF15" s="59"/>
      <c r="AG15" s="59"/>
      <c r="AH15" s="59"/>
      <c r="AI15" s="59" t="s">
        <v>73</v>
      </c>
      <c r="AJ15" s="59"/>
      <c r="AK15" s="59" t="s">
        <v>73</v>
      </c>
      <c r="AL15" s="59"/>
      <c r="AM15" s="59" t="s">
        <v>73</v>
      </c>
      <c r="AN15" s="59"/>
      <c r="AO15" s="59" t="s">
        <v>73</v>
      </c>
      <c r="AP15" s="59"/>
      <c r="AQ15" s="59" t="s">
        <v>73</v>
      </c>
      <c r="AR15" s="59"/>
      <c r="AS15" s="59" t="s">
        <v>72</v>
      </c>
      <c r="AT15" s="59"/>
      <c r="AU15" s="59"/>
      <c r="AV15" s="59"/>
      <c r="AW15" s="59"/>
      <c r="AX15" s="59"/>
      <c r="AY15" s="60" t="str">
        <f>IF('Cálculo MP'!K25="","",'Cálculo MP'!K25)</f>
        <v/>
      </c>
      <c r="AZ15" s="60" t="str">
        <f>IF('Cálculo MP'!L25="","",'Cálculo MP'!L25)</f>
        <v/>
      </c>
      <c r="BA15" s="60" t="str">
        <f>IF('Cálculo MP'!M25="","",'Cálculo MP'!M25)</f>
        <v/>
      </c>
      <c r="BB15" s="60" t="str">
        <f>IF('Cálculo MP'!N25="","",'Cálculo MP'!N25)</f>
        <v/>
      </c>
      <c r="BC15" s="60" t="str">
        <f>IF('Cálculo MP'!O25="","",'Cálculo MP'!O25)</f>
        <v/>
      </c>
      <c r="BD15" s="60" t="str">
        <f>IF('Cálculo MP'!P25="","",'Cálculo MP'!P25)</f>
        <v/>
      </c>
      <c r="BE15" s="60" t="str">
        <f>IF('Cálculo MP'!Q25="","",'Cálculo MP'!Q25)</f>
        <v/>
      </c>
      <c r="BF15" s="60" t="str">
        <f>IF('Cálculo MP'!R25="","",'Cálculo MP'!R25)</f>
        <v/>
      </c>
      <c r="BG15" s="60" t="str">
        <f>IF('Cálculo MP'!S25="","",'Cálculo MP'!S25)</f>
        <v/>
      </c>
      <c r="BH15" s="61"/>
      <c r="BI15" s="61"/>
      <c r="BJ15" s="61"/>
      <c r="BK15" s="61"/>
      <c r="BL15" s="61"/>
      <c r="BM15" s="61"/>
      <c r="BN15" s="61"/>
      <c r="BO15" s="61"/>
    </row>
    <row r="16" spans="1:67" ht="19.5" customHeight="1" x14ac:dyDescent="0.15">
      <c r="A16" s="123" t="s">
        <v>1856</v>
      </c>
      <c r="B16" s="122" t="s">
        <v>1854</v>
      </c>
      <c r="C16" s="49"/>
      <c r="D16" s="48" t="s">
        <v>73</v>
      </c>
      <c r="E16" s="49"/>
      <c r="F16" s="50"/>
      <c r="G16" s="62"/>
      <c r="H16" s="48" t="s">
        <v>72</v>
      </c>
      <c r="I16" s="52">
        <v>1</v>
      </c>
      <c r="J16" s="52"/>
      <c r="K16" s="52" t="s">
        <v>73</v>
      </c>
      <c r="L16" s="52" t="s">
        <v>74</v>
      </c>
      <c r="M16" s="53" t="s">
        <v>942</v>
      </c>
      <c r="N16" s="58" t="s">
        <v>73</v>
      </c>
      <c r="O16" s="48" t="s">
        <v>72</v>
      </c>
      <c r="P16" s="48" t="s">
        <v>73</v>
      </c>
      <c r="Q16" s="54" t="s">
        <v>73</v>
      </c>
      <c r="R16" s="55" t="s">
        <v>73</v>
      </c>
      <c r="S16" s="48" t="s">
        <v>73</v>
      </c>
      <c r="T16" s="130"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8" t="str" cm="1">
        <f t="array" ref="U16">IF(SUMPRODUCT(--((CAT_Procesos!$E$2:$E$1581=O16)*(CAT_Procesos!$F$2:$F$1581=_xlfn.TEXTJOIN(" + ",TRUE,IF((TRIM(P16:S16)="")+(LOWER(TRIM(P16:S16))="(seleccione)"),"",PROPER(TRIM(P16:S16)))))*(CAT_Procesos!$D$2:$D$1581=IFERROR(VLOOKUP(N16&amp;"*",CAT_Procesos!$D:$D,1,FALSE),""))))=0,"Combinación no existente",IF(SUMPRODUCT(((CAT_Procesos!$E$2:$E$1581=O16)*(CAT_Procesos!$F$2:$F$1581=_xlfn.TEXTJOIN(" + ",TRUE,IF((TRIM(P16:S16)="")+(LOWER(TRIM(P16:S16))="(seleccione)"),"",PROPER(TRIM(P16:S16)))))*(CAT_Procesos!$D$2:$D$1581=IFERROR(VLOOKUP(N16&amp;"*",CAT_Procesos!$D:$D,1,FALSE),"")))*(CAT_Procesos!$G$2:$G$1581=INDEX(CAT_Procesos!$G$2:$G$1581,MATCH(1,(CAT_Procesos!$E$2:$E$1581=O16)*(CAT_Procesos!$F$2:$F$1581=_xlfn.TEXTJOIN(" + ",TRUE,IF((TRIM(P16:S16)="")+(LOWER(TRIM(P16:S16))="(seleccione)"),"",PROPER(TRIM(P16:S16)))))*(CAT_Procesos!$D$2:$D$1581=IFERROR(VLOOKUP(N16&amp;"*",CAT_Procesos!$D:$D,1,FALSE),"")),0))))=SUMPRODUCT(--((CAT_Procesos!$E$2:$E$1581=O16)*(CAT_Procesos!$F$2:$F$1581=_xlfn.TEXTJOIN(" + ",TRUE,IF((TRIM(P16:S16)="")+(LOWER(TRIM(P16:S16))="(seleccione)"),"",PROPER(TRIM(P16:S16)))))*(CAT_Procesos!$D$2:$D$1581=IFERROR(VLOOKUP(N16&amp;"*",CAT_Procesos!$D:$D,1,FALSE),"")))),INDEX(CAT_Procesos!$G$2:$G$1581,MATCH(1,(CAT_Procesos!$E$2:$E$1581=O16)*(CAT_Procesos!$F$2:$F$1581=_xlfn.TEXTJOIN(" + ",TRUE,IF((TRIM(P16:S16)="")+(LOWER(TRIM(P16:S16))="(seleccione)"),"",PROPER(TRIM(P16:S16)))))*(CAT_Procesos!$D$2:$D$1581=IFERROR(VLOOKUP(N16&amp;"*",CAT_Procesos!$D:$D,1,FALSE),"")),0)),"(seleccione)"))</f>
        <v>Combinación no existente</v>
      </c>
      <c r="V16" s="55" t="s">
        <v>73</v>
      </c>
      <c r="W16" s="56" t="s">
        <v>73</v>
      </c>
      <c r="X16" s="57" t="str">
        <f t="shared" si="0"/>
        <v/>
      </c>
      <c r="Y16" s="58" t="s">
        <v>73</v>
      </c>
      <c r="Z16" s="57" t="str">
        <f t="shared" si="1"/>
        <v/>
      </c>
      <c r="AA16" s="58" t="s">
        <v>73</v>
      </c>
      <c r="AB16" s="57" t="str">
        <f t="shared" si="2"/>
        <v/>
      </c>
      <c r="AC16" s="58" t="s">
        <v>73</v>
      </c>
      <c r="AD16" s="57" t="str">
        <f t="shared" si="3"/>
        <v/>
      </c>
      <c r="AE16" s="59"/>
      <c r="AF16" s="59"/>
      <c r="AG16" s="59"/>
      <c r="AH16" s="59"/>
      <c r="AI16" s="59" t="s">
        <v>73</v>
      </c>
      <c r="AJ16" s="59"/>
      <c r="AK16" s="59" t="s">
        <v>73</v>
      </c>
      <c r="AL16" s="59"/>
      <c r="AM16" s="59" t="s">
        <v>73</v>
      </c>
      <c r="AN16" s="59"/>
      <c r="AO16" s="59" t="s">
        <v>73</v>
      </c>
      <c r="AP16" s="59"/>
      <c r="AQ16" s="59" t="s">
        <v>73</v>
      </c>
      <c r="AR16" s="59"/>
      <c r="AS16" s="59" t="s">
        <v>72</v>
      </c>
      <c r="AT16" s="59"/>
      <c r="AU16" s="59"/>
      <c r="AV16" s="59"/>
      <c r="AW16" s="59"/>
      <c r="AX16" s="59"/>
      <c r="AY16" s="60" t="str">
        <f>IF('Cálculo MP'!K26="","",'Cálculo MP'!K26)</f>
        <v/>
      </c>
      <c r="AZ16" s="60" t="str">
        <f>IF('Cálculo MP'!L26="","",'Cálculo MP'!L26)</f>
        <v/>
      </c>
      <c r="BA16" s="60" t="str">
        <f>IF('Cálculo MP'!M26="","",'Cálculo MP'!M26)</f>
        <v/>
      </c>
      <c r="BB16" s="60" t="str">
        <f>IF('Cálculo MP'!N26="","",'Cálculo MP'!N26)</f>
        <v/>
      </c>
      <c r="BC16" s="60" t="str">
        <f>IF('Cálculo MP'!O26="","",'Cálculo MP'!O26)</f>
        <v/>
      </c>
      <c r="BD16" s="60" t="str">
        <f>IF('Cálculo MP'!P26="","",'Cálculo MP'!P26)</f>
        <v/>
      </c>
      <c r="BE16" s="60" t="str">
        <f>IF('Cálculo MP'!Q26="","",'Cálculo MP'!Q26)</f>
        <v/>
      </c>
      <c r="BF16" s="60" t="str">
        <f>IF('Cálculo MP'!R26="","",'Cálculo MP'!R26)</f>
        <v/>
      </c>
      <c r="BG16" s="60" t="str">
        <f>IF('Cálculo MP'!S26="","",'Cálculo MP'!S26)</f>
        <v/>
      </c>
      <c r="BH16" s="61"/>
      <c r="BI16" s="61"/>
      <c r="BJ16" s="61"/>
      <c r="BK16" s="61"/>
      <c r="BL16" s="61"/>
      <c r="BM16" s="61"/>
      <c r="BN16" s="61"/>
      <c r="BO16" s="61"/>
    </row>
    <row r="17" spans="1:67" ht="19.5" customHeight="1" x14ac:dyDescent="0.15">
      <c r="A17" s="123" t="s">
        <v>1856</v>
      </c>
      <c r="B17" s="122" t="s">
        <v>1854</v>
      </c>
      <c r="C17" s="49"/>
      <c r="D17" s="48" t="s">
        <v>73</v>
      </c>
      <c r="E17" s="49"/>
      <c r="F17" s="50"/>
      <c r="G17" s="62"/>
      <c r="H17" s="48" t="s">
        <v>72</v>
      </c>
      <c r="I17" s="52">
        <v>1</v>
      </c>
      <c r="J17" s="52"/>
      <c r="K17" s="52" t="s">
        <v>73</v>
      </c>
      <c r="L17" s="52" t="s">
        <v>74</v>
      </c>
      <c r="M17" s="53" t="s">
        <v>942</v>
      </c>
      <c r="N17" s="58" t="s">
        <v>73</v>
      </c>
      <c r="O17" s="48" t="s">
        <v>72</v>
      </c>
      <c r="P17" s="48" t="s">
        <v>73</v>
      </c>
      <c r="Q17" s="54" t="s">
        <v>73</v>
      </c>
      <c r="R17" s="55" t="s">
        <v>73</v>
      </c>
      <c r="S17" s="48" t="s">
        <v>73</v>
      </c>
      <c r="T17" s="130"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8" t="str" cm="1">
        <f t="array" ref="U17">IF(SUMPRODUCT(--((CAT_Procesos!$E$2:$E$1581=O17)*(CAT_Procesos!$F$2:$F$1581=_xlfn.TEXTJOIN(" + ",TRUE,IF((TRIM(P17:S17)="")+(LOWER(TRIM(P17:S17))="(seleccione)"),"",PROPER(TRIM(P17:S17)))))*(CAT_Procesos!$D$2:$D$1581=IFERROR(VLOOKUP(N17&amp;"*",CAT_Procesos!$D:$D,1,FALSE),""))))=0,"Combinación no existente",IF(SUMPRODUCT(((CAT_Procesos!$E$2:$E$1581=O17)*(CAT_Procesos!$F$2:$F$1581=_xlfn.TEXTJOIN(" + ",TRUE,IF((TRIM(P17:S17)="")+(LOWER(TRIM(P17:S17))="(seleccione)"),"",PROPER(TRIM(P17:S17)))))*(CAT_Procesos!$D$2:$D$1581=IFERROR(VLOOKUP(N17&amp;"*",CAT_Procesos!$D:$D,1,FALSE),"")))*(CAT_Procesos!$G$2:$G$1581=INDEX(CAT_Procesos!$G$2:$G$1581,MATCH(1,(CAT_Procesos!$E$2:$E$1581=O17)*(CAT_Procesos!$F$2:$F$1581=_xlfn.TEXTJOIN(" + ",TRUE,IF((TRIM(P17:S17)="")+(LOWER(TRIM(P17:S17))="(seleccione)"),"",PROPER(TRIM(P17:S17)))))*(CAT_Procesos!$D$2:$D$1581=IFERROR(VLOOKUP(N17&amp;"*",CAT_Procesos!$D:$D,1,FALSE),"")),0))))=SUMPRODUCT(--((CAT_Procesos!$E$2:$E$1581=O17)*(CAT_Procesos!$F$2:$F$1581=_xlfn.TEXTJOIN(" + ",TRUE,IF((TRIM(P17:S17)="")+(LOWER(TRIM(P17:S17))="(seleccione)"),"",PROPER(TRIM(P17:S17)))))*(CAT_Procesos!$D$2:$D$1581=IFERROR(VLOOKUP(N17&amp;"*",CAT_Procesos!$D:$D,1,FALSE),"")))),INDEX(CAT_Procesos!$G$2:$G$1581,MATCH(1,(CAT_Procesos!$E$2:$E$1581=O17)*(CAT_Procesos!$F$2:$F$1581=_xlfn.TEXTJOIN(" + ",TRUE,IF((TRIM(P17:S17)="")+(LOWER(TRIM(P17:S17))="(seleccione)"),"",PROPER(TRIM(P17:S17)))))*(CAT_Procesos!$D$2:$D$1581=IFERROR(VLOOKUP(N17&amp;"*",CAT_Procesos!$D:$D,1,FALSE),"")),0)),"(seleccione)"))</f>
        <v>Combinación no existente</v>
      </c>
      <c r="V17" s="55" t="s">
        <v>73</v>
      </c>
      <c r="W17" s="56" t="s">
        <v>73</v>
      </c>
      <c r="X17" s="57" t="str">
        <f t="shared" si="0"/>
        <v/>
      </c>
      <c r="Y17" s="58" t="s">
        <v>73</v>
      </c>
      <c r="Z17" s="57" t="str">
        <f t="shared" si="1"/>
        <v/>
      </c>
      <c r="AA17" s="58" t="s">
        <v>73</v>
      </c>
      <c r="AB17" s="57" t="str">
        <f t="shared" si="2"/>
        <v/>
      </c>
      <c r="AC17" s="58" t="s">
        <v>73</v>
      </c>
      <c r="AD17" s="57" t="str">
        <f t="shared" si="3"/>
        <v/>
      </c>
      <c r="AE17" s="59"/>
      <c r="AF17" s="59"/>
      <c r="AG17" s="59"/>
      <c r="AH17" s="59"/>
      <c r="AI17" s="59" t="s">
        <v>73</v>
      </c>
      <c r="AJ17" s="59"/>
      <c r="AK17" s="59" t="s">
        <v>73</v>
      </c>
      <c r="AL17" s="59"/>
      <c r="AM17" s="59" t="s">
        <v>73</v>
      </c>
      <c r="AN17" s="59"/>
      <c r="AO17" s="59" t="s">
        <v>73</v>
      </c>
      <c r="AP17" s="59"/>
      <c r="AQ17" s="59" t="s">
        <v>73</v>
      </c>
      <c r="AR17" s="59"/>
      <c r="AS17" s="59" t="s">
        <v>72</v>
      </c>
      <c r="AT17" s="59"/>
      <c r="AU17" s="59"/>
      <c r="AV17" s="59"/>
      <c r="AW17" s="59"/>
      <c r="AX17" s="59"/>
      <c r="AY17" s="60" t="str">
        <f>IF('Cálculo MP'!K27="","",'Cálculo MP'!K27)</f>
        <v/>
      </c>
      <c r="AZ17" s="60" t="str">
        <f>IF('Cálculo MP'!L27="","",'Cálculo MP'!L27)</f>
        <v/>
      </c>
      <c r="BA17" s="60" t="str">
        <f>IF('Cálculo MP'!M27="","",'Cálculo MP'!M27)</f>
        <v/>
      </c>
      <c r="BB17" s="60" t="str">
        <f>IF('Cálculo MP'!N27="","",'Cálculo MP'!N27)</f>
        <v/>
      </c>
      <c r="BC17" s="60" t="str">
        <f>IF('Cálculo MP'!O27="","",'Cálculo MP'!O27)</f>
        <v/>
      </c>
      <c r="BD17" s="60" t="str">
        <f>IF('Cálculo MP'!P27="","",'Cálculo MP'!P27)</f>
        <v/>
      </c>
      <c r="BE17" s="60" t="str">
        <f>IF('Cálculo MP'!Q27="","",'Cálculo MP'!Q27)</f>
        <v/>
      </c>
      <c r="BF17" s="60" t="str">
        <f>IF('Cálculo MP'!R27="","",'Cálculo MP'!R27)</f>
        <v/>
      </c>
      <c r="BG17" s="60" t="str">
        <f>IF('Cálculo MP'!S27="","",'Cálculo MP'!S27)</f>
        <v/>
      </c>
      <c r="BH17" s="61"/>
      <c r="BI17" s="61"/>
      <c r="BJ17" s="61"/>
      <c r="BK17" s="61"/>
      <c r="BL17" s="61"/>
      <c r="BM17" s="61"/>
      <c r="BN17" s="61"/>
      <c r="BO17" s="61"/>
    </row>
    <row r="18" spans="1:67" ht="19.5" customHeight="1" x14ac:dyDescent="0.15">
      <c r="A18" s="123" t="s">
        <v>1856</v>
      </c>
      <c r="B18" s="122" t="s">
        <v>1854</v>
      </c>
      <c r="C18" s="49"/>
      <c r="D18" s="48" t="s">
        <v>73</v>
      </c>
      <c r="E18" s="49"/>
      <c r="F18" s="50"/>
      <c r="G18" s="62"/>
      <c r="H18" s="48" t="s">
        <v>72</v>
      </c>
      <c r="I18" s="52">
        <v>1</v>
      </c>
      <c r="J18" s="52"/>
      <c r="K18" s="52" t="s">
        <v>73</v>
      </c>
      <c r="L18" s="52" t="s">
        <v>74</v>
      </c>
      <c r="M18" s="53" t="s">
        <v>942</v>
      </c>
      <c r="N18" s="58" t="s">
        <v>73</v>
      </c>
      <c r="O18" s="48" t="s">
        <v>72</v>
      </c>
      <c r="P18" s="48" t="s">
        <v>73</v>
      </c>
      <c r="Q18" s="54" t="s">
        <v>73</v>
      </c>
      <c r="R18" s="55" t="s">
        <v>73</v>
      </c>
      <c r="S18" s="48" t="s">
        <v>73</v>
      </c>
      <c r="T18" s="130"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8" t="str" cm="1">
        <f t="array" ref="U18">IF(SUMPRODUCT(--((CAT_Procesos!$E$2:$E$1581=O18)*(CAT_Procesos!$F$2:$F$1581=_xlfn.TEXTJOIN(" + ",TRUE,IF((TRIM(P18:S18)="")+(LOWER(TRIM(P18:S18))="(seleccione)"),"",PROPER(TRIM(P18:S18)))))*(CAT_Procesos!$D$2:$D$1581=IFERROR(VLOOKUP(N18&amp;"*",CAT_Procesos!$D:$D,1,FALSE),""))))=0,"Combinación no existente",IF(SUMPRODUCT(((CAT_Procesos!$E$2:$E$1581=O18)*(CAT_Procesos!$F$2:$F$1581=_xlfn.TEXTJOIN(" + ",TRUE,IF((TRIM(P18:S18)="")+(LOWER(TRIM(P18:S18))="(seleccione)"),"",PROPER(TRIM(P18:S18)))))*(CAT_Procesos!$D$2:$D$1581=IFERROR(VLOOKUP(N18&amp;"*",CAT_Procesos!$D:$D,1,FALSE),"")))*(CAT_Procesos!$G$2:$G$1581=INDEX(CAT_Procesos!$G$2:$G$1581,MATCH(1,(CAT_Procesos!$E$2:$E$1581=O18)*(CAT_Procesos!$F$2:$F$1581=_xlfn.TEXTJOIN(" + ",TRUE,IF((TRIM(P18:S18)="")+(LOWER(TRIM(P18:S18))="(seleccione)"),"",PROPER(TRIM(P18:S18)))))*(CAT_Procesos!$D$2:$D$1581=IFERROR(VLOOKUP(N18&amp;"*",CAT_Procesos!$D:$D,1,FALSE),"")),0))))=SUMPRODUCT(--((CAT_Procesos!$E$2:$E$1581=O18)*(CAT_Procesos!$F$2:$F$1581=_xlfn.TEXTJOIN(" + ",TRUE,IF((TRIM(P18:S18)="")+(LOWER(TRIM(P18:S18))="(seleccione)"),"",PROPER(TRIM(P18:S18)))))*(CAT_Procesos!$D$2:$D$1581=IFERROR(VLOOKUP(N18&amp;"*",CAT_Procesos!$D:$D,1,FALSE),"")))),INDEX(CAT_Procesos!$G$2:$G$1581,MATCH(1,(CAT_Procesos!$E$2:$E$1581=O18)*(CAT_Procesos!$F$2:$F$1581=_xlfn.TEXTJOIN(" + ",TRUE,IF((TRIM(P18:S18)="")+(LOWER(TRIM(P18:S18))="(seleccione)"),"",PROPER(TRIM(P18:S18)))))*(CAT_Procesos!$D$2:$D$1581=IFERROR(VLOOKUP(N18&amp;"*",CAT_Procesos!$D:$D,1,FALSE),"")),0)),"(seleccione)"))</f>
        <v>Combinación no existente</v>
      </c>
      <c r="V18" s="55" t="s">
        <v>73</v>
      </c>
      <c r="W18" s="56" t="s">
        <v>73</v>
      </c>
      <c r="X18" s="57" t="str">
        <f t="shared" si="0"/>
        <v/>
      </c>
      <c r="Y18" s="58" t="s">
        <v>73</v>
      </c>
      <c r="Z18" s="57" t="str">
        <f t="shared" si="1"/>
        <v/>
      </c>
      <c r="AA18" s="58" t="s">
        <v>73</v>
      </c>
      <c r="AB18" s="57" t="str">
        <f t="shared" si="2"/>
        <v/>
      </c>
      <c r="AC18" s="58" t="s">
        <v>73</v>
      </c>
      <c r="AD18" s="57" t="str">
        <f t="shared" si="3"/>
        <v/>
      </c>
      <c r="AE18" s="59"/>
      <c r="AF18" s="59"/>
      <c r="AG18" s="59"/>
      <c r="AH18" s="59"/>
      <c r="AI18" s="59" t="s">
        <v>73</v>
      </c>
      <c r="AJ18" s="59"/>
      <c r="AK18" s="59" t="s">
        <v>73</v>
      </c>
      <c r="AL18" s="59"/>
      <c r="AM18" s="59" t="s">
        <v>73</v>
      </c>
      <c r="AN18" s="59"/>
      <c r="AO18" s="59" t="s">
        <v>73</v>
      </c>
      <c r="AP18" s="59"/>
      <c r="AQ18" s="59" t="s">
        <v>73</v>
      </c>
      <c r="AR18" s="59"/>
      <c r="AS18" s="59" t="s">
        <v>72</v>
      </c>
      <c r="AT18" s="59"/>
      <c r="AU18" s="59"/>
      <c r="AV18" s="59"/>
      <c r="AW18" s="59"/>
      <c r="AX18" s="59"/>
      <c r="AY18" s="60" t="str">
        <f>IF('Cálculo MP'!K28="","",'Cálculo MP'!K28)</f>
        <v/>
      </c>
      <c r="AZ18" s="60" t="str">
        <f>IF('Cálculo MP'!L28="","",'Cálculo MP'!L28)</f>
        <v/>
      </c>
      <c r="BA18" s="60" t="str">
        <f>IF('Cálculo MP'!M28="","",'Cálculo MP'!M28)</f>
        <v/>
      </c>
      <c r="BB18" s="60" t="str">
        <f>IF('Cálculo MP'!N28="","",'Cálculo MP'!N28)</f>
        <v/>
      </c>
      <c r="BC18" s="60" t="str">
        <f>IF('Cálculo MP'!O28="","",'Cálculo MP'!O28)</f>
        <v/>
      </c>
      <c r="BD18" s="60" t="str">
        <f>IF('Cálculo MP'!P28="","",'Cálculo MP'!P28)</f>
        <v/>
      </c>
      <c r="BE18" s="60" t="str">
        <f>IF('Cálculo MP'!Q28="","",'Cálculo MP'!Q28)</f>
        <v/>
      </c>
      <c r="BF18" s="60" t="str">
        <f>IF('Cálculo MP'!R28="","",'Cálculo MP'!R28)</f>
        <v/>
      </c>
      <c r="BG18" s="60" t="str">
        <f>IF('Cálculo MP'!S28="","",'Cálculo MP'!S28)</f>
        <v/>
      </c>
      <c r="BH18" s="61"/>
      <c r="BI18" s="61"/>
      <c r="BJ18" s="61"/>
      <c r="BK18" s="61"/>
      <c r="BL18" s="61"/>
      <c r="BM18" s="61"/>
      <c r="BN18" s="61"/>
      <c r="BO18" s="61"/>
    </row>
    <row r="19" spans="1:67" ht="19.5" customHeight="1" x14ac:dyDescent="0.15">
      <c r="A19" s="123" t="s">
        <v>1856</v>
      </c>
      <c r="B19" s="122" t="s">
        <v>1854</v>
      </c>
      <c r="C19" s="49"/>
      <c r="D19" s="48" t="s">
        <v>73</v>
      </c>
      <c r="E19" s="49"/>
      <c r="F19" s="50"/>
      <c r="G19" s="62"/>
      <c r="H19" s="48" t="s">
        <v>72</v>
      </c>
      <c r="I19" s="52">
        <v>1</v>
      </c>
      <c r="J19" s="52"/>
      <c r="K19" s="52" t="s">
        <v>73</v>
      </c>
      <c r="L19" s="52" t="s">
        <v>74</v>
      </c>
      <c r="M19" s="53" t="s">
        <v>942</v>
      </c>
      <c r="N19" s="58" t="s">
        <v>73</v>
      </c>
      <c r="O19" s="48" t="s">
        <v>72</v>
      </c>
      <c r="P19" s="48" t="s">
        <v>73</v>
      </c>
      <c r="Q19" s="54" t="s">
        <v>73</v>
      </c>
      <c r="R19" s="55" t="s">
        <v>73</v>
      </c>
      <c r="S19" s="48" t="s">
        <v>73</v>
      </c>
      <c r="T19" s="130"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8" t="str" cm="1">
        <f t="array" ref="U19">IF(SUMPRODUCT(--((CAT_Procesos!$E$2:$E$1581=O19)*(CAT_Procesos!$F$2:$F$1581=_xlfn.TEXTJOIN(" + ",TRUE,IF((TRIM(P19:S19)="")+(LOWER(TRIM(P19:S19))="(seleccione)"),"",PROPER(TRIM(P19:S19)))))*(CAT_Procesos!$D$2:$D$1581=IFERROR(VLOOKUP(N19&amp;"*",CAT_Procesos!$D:$D,1,FALSE),""))))=0,"Combinación no existente",IF(SUMPRODUCT(((CAT_Procesos!$E$2:$E$1581=O19)*(CAT_Procesos!$F$2:$F$1581=_xlfn.TEXTJOIN(" + ",TRUE,IF((TRIM(P19:S19)="")+(LOWER(TRIM(P19:S19))="(seleccione)"),"",PROPER(TRIM(P19:S19)))))*(CAT_Procesos!$D$2:$D$1581=IFERROR(VLOOKUP(N19&amp;"*",CAT_Procesos!$D:$D,1,FALSE),"")))*(CAT_Procesos!$G$2:$G$1581=INDEX(CAT_Procesos!$G$2:$G$1581,MATCH(1,(CAT_Procesos!$E$2:$E$1581=O19)*(CAT_Procesos!$F$2:$F$1581=_xlfn.TEXTJOIN(" + ",TRUE,IF((TRIM(P19:S19)="")+(LOWER(TRIM(P19:S19))="(seleccione)"),"",PROPER(TRIM(P19:S19)))))*(CAT_Procesos!$D$2:$D$1581=IFERROR(VLOOKUP(N19&amp;"*",CAT_Procesos!$D:$D,1,FALSE),"")),0))))=SUMPRODUCT(--((CAT_Procesos!$E$2:$E$1581=O19)*(CAT_Procesos!$F$2:$F$1581=_xlfn.TEXTJOIN(" + ",TRUE,IF((TRIM(P19:S19)="")+(LOWER(TRIM(P19:S19))="(seleccione)"),"",PROPER(TRIM(P19:S19)))))*(CAT_Procesos!$D$2:$D$1581=IFERROR(VLOOKUP(N19&amp;"*",CAT_Procesos!$D:$D,1,FALSE),"")))),INDEX(CAT_Procesos!$G$2:$G$1581,MATCH(1,(CAT_Procesos!$E$2:$E$1581=O19)*(CAT_Procesos!$F$2:$F$1581=_xlfn.TEXTJOIN(" + ",TRUE,IF((TRIM(P19:S19)="")+(LOWER(TRIM(P19:S19))="(seleccione)"),"",PROPER(TRIM(P19:S19)))))*(CAT_Procesos!$D$2:$D$1581=IFERROR(VLOOKUP(N19&amp;"*",CAT_Procesos!$D:$D,1,FALSE),"")),0)),"(seleccione)"))</f>
        <v>Combinación no existente</v>
      </c>
      <c r="V19" s="55" t="s">
        <v>73</v>
      </c>
      <c r="W19" s="56" t="s">
        <v>73</v>
      </c>
      <c r="X19" s="57" t="str">
        <f t="shared" si="0"/>
        <v/>
      </c>
      <c r="Y19" s="58" t="s">
        <v>73</v>
      </c>
      <c r="Z19" s="57" t="str">
        <f t="shared" si="1"/>
        <v/>
      </c>
      <c r="AA19" s="58" t="s">
        <v>73</v>
      </c>
      <c r="AB19" s="57" t="str">
        <f t="shared" si="2"/>
        <v/>
      </c>
      <c r="AC19" s="58" t="s">
        <v>73</v>
      </c>
      <c r="AD19" s="57" t="str">
        <f t="shared" si="3"/>
        <v/>
      </c>
      <c r="AE19" s="59"/>
      <c r="AF19" s="59"/>
      <c r="AG19" s="59"/>
      <c r="AH19" s="59"/>
      <c r="AI19" s="59" t="s">
        <v>73</v>
      </c>
      <c r="AJ19" s="59"/>
      <c r="AK19" s="59" t="s">
        <v>73</v>
      </c>
      <c r="AL19" s="59"/>
      <c r="AM19" s="59" t="s">
        <v>73</v>
      </c>
      <c r="AN19" s="59"/>
      <c r="AO19" s="59" t="s">
        <v>73</v>
      </c>
      <c r="AP19" s="59"/>
      <c r="AQ19" s="59" t="s">
        <v>73</v>
      </c>
      <c r="AR19" s="59"/>
      <c r="AS19" s="59" t="s">
        <v>72</v>
      </c>
      <c r="AT19" s="59"/>
      <c r="AU19" s="59"/>
      <c r="AV19" s="59"/>
      <c r="AW19" s="59"/>
      <c r="AX19" s="59"/>
      <c r="AY19" s="60" t="str">
        <f>IF('Cálculo MP'!K29="","",'Cálculo MP'!K29)</f>
        <v/>
      </c>
      <c r="AZ19" s="60" t="str">
        <f>IF('Cálculo MP'!L29="","",'Cálculo MP'!L29)</f>
        <v/>
      </c>
      <c r="BA19" s="60" t="str">
        <f>IF('Cálculo MP'!M29="","",'Cálculo MP'!M29)</f>
        <v/>
      </c>
      <c r="BB19" s="60" t="str">
        <f>IF('Cálculo MP'!N29="","",'Cálculo MP'!N29)</f>
        <v/>
      </c>
      <c r="BC19" s="60" t="str">
        <f>IF('Cálculo MP'!O29="","",'Cálculo MP'!O29)</f>
        <v/>
      </c>
      <c r="BD19" s="60" t="str">
        <f>IF('Cálculo MP'!P29="","",'Cálculo MP'!P29)</f>
        <v/>
      </c>
      <c r="BE19" s="60" t="str">
        <f>IF('Cálculo MP'!Q29="","",'Cálculo MP'!Q29)</f>
        <v/>
      </c>
      <c r="BF19" s="60" t="str">
        <f>IF('Cálculo MP'!R29="","",'Cálculo MP'!R29)</f>
        <v/>
      </c>
      <c r="BG19" s="60" t="str">
        <f>IF('Cálculo MP'!S29="","",'Cálculo MP'!S29)</f>
        <v/>
      </c>
      <c r="BH19" s="61"/>
      <c r="BI19" s="61"/>
      <c r="BJ19" s="61"/>
      <c r="BK19" s="61"/>
      <c r="BL19" s="61"/>
      <c r="BM19" s="61"/>
      <c r="BN19" s="61"/>
      <c r="BO19" s="61"/>
    </row>
    <row r="20" spans="1:67" ht="19.5" customHeight="1" x14ac:dyDescent="0.15">
      <c r="A20" s="123" t="s">
        <v>1856</v>
      </c>
      <c r="B20" s="122" t="s">
        <v>1854</v>
      </c>
      <c r="C20" s="49"/>
      <c r="D20" s="48" t="s">
        <v>73</v>
      </c>
      <c r="E20" s="49"/>
      <c r="F20" s="50"/>
      <c r="G20" s="62"/>
      <c r="H20" s="48" t="s">
        <v>72</v>
      </c>
      <c r="I20" s="52">
        <v>1</v>
      </c>
      <c r="J20" s="52"/>
      <c r="K20" s="52" t="s">
        <v>73</v>
      </c>
      <c r="L20" s="52" t="s">
        <v>74</v>
      </c>
      <c r="M20" s="53" t="s">
        <v>942</v>
      </c>
      <c r="N20" s="58" t="s">
        <v>73</v>
      </c>
      <c r="O20" s="48" t="s">
        <v>72</v>
      </c>
      <c r="P20" s="48" t="s">
        <v>73</v>
      </c>
      <c r="Q20" s="54" t="s">
        <v>73</v>
      </c>
      <c r="R20" s="55" t="s">
        <v>73</v>
      </c>
      <c r="S20" s="48" t="s">
        <v>73</v>
      </c>
      <c r="T20" s="130"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8" t="str" cm="1">
        <f t="array" ref="U20">IF(SUMPRODUCT(--((CAT_Procesos!$E$2:$E$1581=O20)*(CAT_Procesos!$F$2:$F$1581=_xlfn.TEXTJOIN(" + ",TRUE,IF((TRIM(P20:S20)="")+(LOWER(TRIM(P20:S20))="(seleccione)"),"",PROPER(TRIM(P20:S20)))))*(CAT_Procesos!$D$2:$D$1581=IFERROR(VLOOKUP(N20&amp;"*",CAT_Procesos!$D:$D,1,FALSE),""))))=0,"Combinación no existente",IF(SUMPRODUCT(((CAT_Procesos!$E$2:$E$1581=O20)*(CAT_Procesos!$F$2:$F$1581=_xlfn.TEXTJOIN(" + ",TRUE,IF((TRIM(P20:S20)="")+(LOWER(TRIM(P20:S20))="(seleccione)"),"",PROPER(TRIM(P20:S20)))))*(CAT_Procesos!$D$2:$D$1581=IFERROR(VLOOKUP(N20&amp;"*",CAT_Procesos!$D:$D,1,FALSE),"")))*(CAT_Procesos!$G$2:$G$1581=INDEX(CAT_Procesos!$G$2:$G$1581,MATCH(1,(CAT_Procesos!$E$2:$E$1581=O20)*(CAT_Procesos!$F$2:$F$1581=_xlfn.TEXTJOIN(" + ",TRUE,IF((TRIM(P20:S20)="")+(LOWER(TRIM(P20:S20))="(seleccione)"),"",PROPER(TRIM(P20:S20)))))*(CAT_Procesos!$D$2:$D$1581=IFERROR(VLOOKUP(N20&amp;"*",CAT_Procesos!$D:$D,1,FALSE),"")),0))))=SUMPRODUCT(--((CAT_Procesos!$E$2:$E$1581=O20)*(CAT_Procesos!$F$2:$F$1581=_xlfn.TEXTJOIN(" + ",TRUE,IF((TRIM(P20:S20)="")+(LOWER(TRIM(P20:S20))="(seleccione)"),"",PROPER(TRIM(P20:S20)))))*(CAT_Procesos!$D$2:$D$1581=IFERROR(VLOOKUP(N20&amp;"*",CAT_Procesos!$D:$D,1,FALSE),"")))),INDEX(CAT_Procesos!$G$2:$G$1581,MATCH(1,(CAT_Procesos!$E$2:$E$1581=O20)*(CAT_Procesos!$F$2:$F$1581=_xlfn.TEXTJOIN(" + ",TRUE,IF((TRIM(P20:S20)="")+(LOWER(TRIM(P20:S20))="(seleccione)"),"",PROPER(TRIM(P20:S20)))))*(CAT_Procesos!$D$2:$D$1581=IFERROR(VLOOKUP(N20&amp;"*",CAT_Procesos!$D:$D,1,FALSE),"")),0)),"(seleccione)"))</f>
        <v>Combinación no existente</v>
      </c>
      <c r="V20" s="55" t="s">
        <v>73</v>
      </c>
      <c r="W20" s="56" t="s">
        <v>73</v>
      </c>
      <c r="X20" s="57" t="str">
        <f t="shared" si="0"/>
        <v/>
      </c>
      <c r="Y20" s="58" t="s">
        <v>73</v>
      </c>
      <c r="Z20" s="57" t="str">
        <f t="shared" si="1"/>
        <v/>
      </c>
      <c r="AA20" s="58" t="s">
        <v>73</v>
      </c>
      <c r="AB20" s="57" t="str">
        <f t="shared" si="2"/>
        <v/>
      </c>
      <c r="AC20" s="58" t="s">
        <v>73</v>
      </c>
      <c r="AD20" s="57" t="str">
        <f t="shared" si="3"/>
        <v/>
      </c>
      <c r="AE20" s="59"/>
      <c r="AF20" s="59"/>
      <c r="AG20" s="59"/>
      <c r="AH20" s="59"/>
      <c r="AI20" s="59" t="s">
        <v>73</v>
      </c>
      <c r="AJ20" s="59"/>
      <c r="AK20" s="59" t="s">
        <v>73</v>
      </c>
      <c r="AL20" s="59"/>
      <c r="AM20" s="59" t="s">
        <v>73</v>
      </c>
      <c r="AN20" s="59"/>
      <c r="AO20" s="59" t="s">
        <v>73</v>
      </c>
      <c r="AP20" s="59"/>
      <c r="AQ20" s="59" t="s">
        <v>73</v>
      </c>
      <c r="AR20" s="59"/>
      <c r="AS20" s="59" t="s">
        <v>72</v>
      </c>
      <c r="AT20" s="59"/>
      <c r="AU20" s="59"/>
      <c r="AV20" s="59"/>
      <c r="AW20" s="59"/>
      <c r="AX20" s="59"/>
      <c r="AY20" s="60" t="str">
        <f>IF('Cálculo MP'!K30="","",'Cálculo MP'!K30)</f>
        <v/>
      </c>
      <c r="AZ20" s="60" t="str">
        <f>IF('Cálculo MP'!L30="","",'Cálculo MP'!L30)</f>
        <v/>
      </c>
      <c r="BA20" s="60" t="str">
        <f>IF('Cálculo MP'!M30="","",'Cálculo MP'!M30)</f>
        <v/>
      </c>
      <c r="BB20" s="60" t="str">
        <f>IF('Cálculo MP'!N30="","",'Cálculo MP'!N30)</f>
        <v/>
      </c>
      <c r="BC20" s="60" t="str">
        <f>IF('Cálculo MP'!O30="","",'Cálculo MP'!O30)</f>
        <v/>
      </c>
      <c r="BD20" s="60" t="str">
        <f>IF('Cálculo MP'!P30="","",'Cálculo MP'!P30)</f>
        <v/>
      </c>
      <c r="BE20" s="60" t="str">
        <f>IF('Cálculo MP'!Q30="","",'Cálculo MP'!Q30)</f>
        <v/>
      </c>
      <c r="BF20" s="60" t="str">
        <f>IF('Cálculo MP'!R30="","",'Cálculo MP'!R30)</f>
        <v/>
      </c>
      <c r="BG20" s="60" t="str">
        <f>IF('Cálculo MP'!S30="","",'Cálculo MP'!S30)</f>
        <v/>
      </c>
      <c r="BH20" s="61"/>
      <c r="BI20" s="61"/>
      <c r="BJ20" s="61"/>
      <c r="BK20" s="61"/>
      <c r="BL20" s="61"/>
      <c r="BM20" s="61"/>
      <c r="BN20" s="61"/>
      <c r="BO20" s="61"/>
    </row>
    <row r="21" spans="1:67" ht="19.5" customHeight="1" x14ac:dyDescent="0.15">
      <c r="A21" s="123" t="s">
        <v>1856</v>
      </c>
      <c r="B21" s="122" t="s">
        <v>1854</v>
      </c>
      <c r="C21" s="49"/>
      <c r="D21" s="48" t="s">
        <v>73</v>
      </c>
      <c r="E21" s="49"/>
      <c r="F21" s="50"/>
      <c r="G21" s="62"/>
      <c r="H21" s="48" t="s">
        <v>72</v>
      </c>
      <c r="I21" s="52">
        <v>1</v>
      </c>
      <c r="J21" s="52"/>
      <c r="K21" s="52" t="s">
        <v>73</v>
      </c>
      <c r="L21" s="52" t="s">
        <v>74</v>
      </c>
      <c r="M21" s="53" t="s">
        <v>942</v>
      </c>
      <c r="N21" s="58" t="s">
        <v>73</v>
      </c>
      <c r="O21" s="48" t="s">
        <v>72</v>
      </c>
      <c r="P21" s="48" t="s">
        <v>73</v>
      </c>
      <c r="Q21" s="54" t="s">
        <v>73</v>
      </c>
      <c r="R21" s="55" t="s">
        <v>73</v>
      </c>
      <c r="S21" s="48" t="s">
        <v>73</v>
      </c>
      <c r="T21" s="130"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8" t="str" cm="1">
        <f t="array" ref="U21">IF(SUMPRODUCT(--((CAT_Procesos!$E$2:$E$1581=O21)*(CAT_Procesos!$F$2:$F$1581=_xlfn.TEXTJOIN(" + ",TRUE,IF((TRIM(P21:S21)="")+(LOWER(TRIM(P21:S21))="(seleccione)"),"",PROPER(TRIM(P21:S21)))))*(CAT_Procesos!$D$2:$D$1581=IFERROR(VLOOKUP(N21&amp;"*",CAT_Procesos!$D:$D,1,FALSE),""))))=0,"Combinación no existente",IF(SUMPRODUCT(((CAT_Procesos!$E$2:$E$1581=O21)*(CAT_Procesos!$F$2:$F$1581=_xlfn.TEXTJOIN(" + ",TRUE,IF((TRIM(P21:S21)="")+(LOWER(TRIM(P21:S21))="(seleccione)"),"",PROPER(TRIM(P21:S21)))))*(CAT_Procesos!$D$2:$D$1581=IFERROR(VLOOKUP(N21&amp;"*",CAT_Procesos!$D:$D,1,FALSE),"")))*(CAT_Procesos!$G$2:$G$1581=INDEX(CAT_Procesos!$G$2:$G$1581,MATCH(1,(CAT_Procesos!$E$2:$E$1581=O21)*(CAT_Procesos!$F$2:$F$1581=_xlfn.TEXTJOIN(" + ",TRUE,IF((TRIM(P21:S21)="")+(LOWER(TRIM(P21:S21))="(seleccione)"),"",PROPER(TRIM(P21:S21)))))*(CAT_Procesos!$D$2:$D$1581=IFERROR(VLOOKUP(N21&amp;"*",CAT_Procesos!$D:$D,1,FALSE),"")),0))))=SUMPRODUCT(--((CAT_Procesos!$E$2:$E$1581=O21)*(CAT_Procesos!$F$2:$F$1581=_xlfn.TEXTJOIN(" + ",TRUE,IF((TRIM(P21:S21)="")+(LOWER(TRIM(P21:S21))="(seleccione)"),"",PROPER(TRIM(P21:S21)))))*(CAT_Procesos!$D$2:$D$1581=IFERROR(VLOOKUP(N21&amp;"*",CAT_Procesos!$D:$D,1,FALSE),"")))),INDEX(CAT_Procesos!$G$2:$G$1581,MATCH(1,(CAT_Procesos!$E$2:$E$1581=O21)*(CAT_Procesos!$F$2:$F$1581=_xlfn.TEXTJOIN(" + ",TRUE,IF((TRIM(P21:S21)="")+(LOWER(TRIM(P21:S21))="(seleccione)"),"",PROPER(TRIM(P21:S21)))))*(CAT_Procesos!$D$2:$D$1581=IFERROR(VLOOKUP(N21&amp;"*",CAT_Procesos!$D:$D,1,FALSE),"")),0)),"(seleccione)"))</f>
        <v>Combinación no existente</v>
      </c>
      <c r="V21" s="55" t="s">
        <v>73</v>
      </c>
      <c r="W21" s="56" t="s">
        <v>73</v>
      </c>
      <c r="X21" s="57" t="str">
        <f t="shared" si="0"/>
        <v/>
      </c>
      <c r="Y21" s="58" t="s">
        <v>73</v>
      </c>
      <c r="Z21" s="57" t="str">
        <f t="shared" si="1"/>
        <v/>
      </c>
      <c r="AA21" s="58" t="s">
        <v>73</v>
      </c>
      <c r="AB21" s="57" t="str">
        <f t="shared" si="2"/>
        <v/>
      </c>
      <c r="AC21" s="58" t="s">
        <v>73</v>
      </c>
      <c r="AD21" s="57" t="str">
        <f t="shared" si="3"/>
        <v/>
      </c>
      <c r="AE21" s="59"/>
      <c r="AF21" s="59"/>
      <c r="AG21" s="59"/>
      <c r="AH21" s="59"/>
      <c r="AI21" s="59" t="s">
        <v>73</v>
      </c>
      <c r="AJ21" s="59"/>
      <c r="AK21" s="59" t="s">
        <v>73</v>
      </c>
      <c r="AL21" s="59"/>
      <c r="AM21" s="59" t="s">
        <v>73</v>
      </c>
      <c r="AN21" s="59"/>
      <c r="AO21" s="59" t="s">
        <v>73</v>
      </c>
      <c r="AP21" s="59"/>
      <c r="AQ21" s="59" t="s">
        <v>73</v>
      </c>
      <c r="AR21" s="59"/>
      <c r="AS21" s="59" t="s">
        <v>72</v>
      </c>
      <c r="AT21" s="59"/>
      <c r="AU21" s="59"/>
      <c r="AV21" s="59"/>
      <c r="AW21" s="59"/>
      <c r="AX21" s="59"/>
      <c r="AY21" s="60" t="str">
        <f>IF('Cálculo MP'!K31="","",'Cálculo MP'!K31)</f>
        <v/>
      </c>
      <c r="AZ21" s="60" t="str">
        <f>IF('Cálculo MP'!L31="","",'Cálculo MP'!L31)</f>
        <v/>
      </c>
      <c r="BA21" s="60" t="str">
        <f>IF('Cálculo MP'!M31="","",'Cálculo MP'!M31)</f>
        <v/>
      </c>
      <c r="BB21" s="60" t="str">
        <f>IF('Cálculo MP'!N31="","",'Cálculo MP'!N31)</f>
        <v/>
      </c>
      <c r="BC21" s="60" t="str">
        <f>IF('Cálculo MP'!O31="","",'Cálculo MP'!O31)</f>
        <v/>
      </c>
      <c r="BD21" s="60" t="str">
        <f>IF('Cálculo MP'!P31="","",'Cálculo MP'!P31)</f>
        <v/>
      </c>
      <c r="BE21" s="60" t="str">
        <f>IF('Cálculo MP'!Q31="","",'Cálculo MP'!Q31)</f>
        <v/>
      </c>
      <c r="BF21" s="60" t="str">
        <f>IF('Cálculo MP'!R31="","",'Cálculo MP'!R31)</f>
        <v/>
      </c>
      <c r="BG21" s="60" t="str">
        <f>IF('Cálculo MP'!S31="","",'Cálculo MP'!S31)</f>
        <v/>
      </c>
      <c r="BH21" s="61"/>
      <c r="BI21" s="61"/>
      <c r="BJ21" s="61"/>
      <c r="BK21" s="61"/>
      <c r="BL21" s="61"/>
      <c r="BM21" s="61"/>
      <c r="BN21" s="61"/>
      <c r="BO21" s="61"/>
    </row>
    <row r="22" spans="1:67" ht="19.5" customHeight="1" x14ac:dyDescent="0.15">
      <c r="A22" s="123" t="s">
        <v>1856</v>
      </c>
      <c r="B22" s="122" t="s">
        <v>1854</v>
      </c>
      <c r="C22" s="49"/>
      <c r="D22" s="48" t="s">
        <v>73</v>
      </c>
      <c r="E22" s="49"/>
      <c r="F22" s="50"/>
      <c r="G22" s="62"/>
      <c r="H22" s="48" t="s">
        <v>72</v>
      </c>
      <c r="I22" s="52">
        <v>1</v>
      </c>
      <c r="J22" s="52"/>
      <c r="K22" s="52" t="s">
        <v>73</v>
      </c>
      <c r="L22" s="52" t="s">
        <v>74</v>
      </c>
      <c r="M22" s="53" t="s">
        <v>942</v>
      </c>
      <c r="N22" s="58" t="s">
        <v>73</v>
      </c>
      <c r="O22" s="48" t="s">
        <v>72</v>
      </c>
      <c r="P22" s="48" t="s">
        <v>73</v>
      </c>
      <c r="Q22" s="54" t="s">
        <v>73</v>
      </c>
      <c r="R22" s="55" t="s">
        <v>73</v>
      </c>
      <c r="S22" s="48" t="s">
        <v>73</v>
      </c>
      <c r="T22" s="130"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8" t="str" cm="1">
        <f t="array" ref="U22">IF(SUMPRODUCT(--((CAT_Procesos!$E$2:$E$1581=O22)*(CAT_Procesos!$F$2:$F$1581=_xlfn.TEXTJOIN(" + ",TRUE,IF((TRIM(P22:S22)="")+(LOWER(TRIM(P22:S22))="(seleccione)"),"",PROPER(TRIM(P22:S22)))))*(CAT_Procesos!$D$2:$D$1581=IFERROR(VLOOKUP(N22&amp;"*",CAT_Procesos!$D:$D,1,FALSE),""))))=0,"Combinación no existente",IF(SUMPRODUCT(((CAT_Procesos!$E$2:$E$1581=O22)*(CAT_Procesos!$F$2:$F$1581=_xlfn.TEXTJOIN(" + ",TRUE,IF((TRIM(P22:S22)="")+(LOWER(TRIM(P22:S22))="(seleccione)"),"",PROPER(TRIM(P22:S22)))))*(CAT_Procesos!$D$2:$D$1581=IFERROR(VLOOKUP(N22&amp;"*",CAT_Procesos!$D:$D,1,FALSE),"")))*(CAT_Procesos!$G$2:$G$1581=INDEX(CAT_Procesos!$G$2:$G$1581,MATCH(1,(CAT_Procesos!$E$2:$E$1581=O22)*(CAT_Procesos!$F$2:$F$1581=_xlfn.TEXTJOIN(" + ",TRUE,IF((TRIM(P22:S22)="")+(LOWER(TRIM(P22:S22))="(seleccione)"),"",PROPER(TRIM(P22:S22)))))*(CAT_Procesos!$D$2:$D$1581=IFERROR(VLOOKUP(N22&amp;"*",CAT_Procesos!$D:$D,1,FALSE),"")),0))))=SUMPRODUCT(--((CAT_Procesos!$E$2:$E$1581=O22)*(CAT_Procesos!$F$2:$F$1581=_xlfn.TEXTJOIN(" + ",TRUE,IF((TRIM(P22:S22)="")+(LOWER(TRIM(P22:S22))="(seleccione)"),"",PROPER(TRIM(P22:S22)))))*(CAT_Procesos!$D$2:$D$1581=IFERROR(VLOOKUP(N22&amp;"*",CAT_Procesos!$D:$D,1,FALSE),"")))),INDEX(CAT_Procesos!$G$2:$G$1581,MATCH(1,(CAT_Procesos!$E$2:$E$1581=O22)*(CAT_Procesos!$F$2:$F$1581=_xlfn.TEXTJOIN(" + ",TRUE,IF((TRIM(P22:S22)="")+(LOWER(TRIM(P22:S22))="(seleccione)"),"",PROPER(TRIM(P22:S22)))))*(CAT_Procesos!$D$2:$D$1581=IFERROR(VLOOKUP(N22&amp;"*",CAT_Procesos!$D:$D,1,FALSE),"")),0)),"(seleccione)"))</f>
        <v>Combinación no existente</v>
      </c>
      <c r="V22" s="55" t="s">
        <v>73</v>
      </c>
      <c r="W22" s="56" t="s">
        <v>73</v>
      </c>
      <c r="X22" s="57" t="str">
        <f t="shared" si="0"/>
        <v/>
      </c>
      <c r="Y22" s="58" t="s">
        <v>73</v>
      </c>
      <c r="Z22" s="57" t="str">
        <f t="shared" si="1"/>
        <v/>
      </c>
      <c r="AA22" s="58" t="s">
        <v>73</v>
      </c>
      <c r="AB22" s="57" t="str">
        <f t="shared" si="2"/>
        <v/>
      </c>
      <c r="AC22" s="58" t="s">
        <v>73</v>
      </c>
      <c r="AD22" s="57" t="str">
        <f t="shared" si="3"/>
        <v/>
      </c>
      <c r="AE22" s="59"/>
      <c r="AF22" s="59"/>
      <c r="AG22" s="59"/>
      <c r="AH22" s="59"/>
      <c r="AI22" s="59" t="s">
        <v>73</v>
      </c>
      <c r="AJ22" s="59"/>
      <c r="AK22" s="59" t="s">
        <v>73</v>
      </c>
      <c r="AL22" s="59"/>
      <c r="AM22" s="59" t="s">
        <v>73</v>
      </c>
      <c r="AN22" s="59"/>
      <c r="AO22" s="59" t="s">
        <v>73</v>
      </c>
      <c r="AP22" s="59"/>
      <c r="AQ22" s="59" t="s">
        <v>73</v>
      </c>
      <c r="AR22" s="59"/>
      <c r="AS22" s="59" t="s">
        <v>72</v>
      </c>
      <c r="AT22" s="59"/>
      <c r="AU22" s="59"/>
      <c r="AV22" s="59"/>
      <c r="AW22" s="59"/>
      <c r="AX22" s="59"/>
      <c r="AY22" s="60" t="str">
        <f>IF('Cálculo MP'!K32="","",'Cálculo MP'!K32)</f>
        <v/>
      </c>
      <c r="AZ22" s="60" t="str">
        <f>IF('Cálculo MP'!L32="","",'Cálculo MP'!L32)</f>
        <v/>
      </c>
      <c r="BA22" s="60" t="str">
        <f>IF('Cálculo MP'!M32="","",'Cálculo MP'!M32)</f>
        <v/>
      </c>
      <c r="BB22" s="60" t="str">
        <f>IF('Cálculo MP'!N32="","",'Cálculo MP'!N32)</f>
        <v/>
      </c>
      <c r="BC22" s="60" t="str">
        <f>IF('Cálculo MP'!O32="","",'Cálculo MP'!O32)</f>
        <v/>
      </c>
      <c r="BD22" s="60" t="str">
        <f>IF('Cálculo MP'!P32="","",'Cálculo MP'!P32)</f>
        <v/>
      </c>
      <c r="BE22" s="60" t="str">
        <f>IF('Cálculo MP'!Q32="","",'Cálculo MP'!Q32)</f>
        <v/>
      </c>
      <c r="BF22" s="60" t="str">
        <f>IF('Cálculo MP'!R32="","",'Cálculo MP'!R32)</f>
        <v/>
      </c>
      <c r="BG22" s="60" t="str">
        <f>IF('Cálculo MP'!S32="","",'Cálculo MP'!S32)</f>
        <v/>
      </c>
      <c r="BH22" s="61"/>
      <c r="BI22" s="61"/>
      <c r="BJ22" s="61"/>
      <c r="BK22" s="61"/>
      <c r="BL22" s="61"/>
      <c r="BM22" s="61"/>
      <c r="BN22" s="61"/>
      <c r="BO22" s="61"/>
    </row>
    <row r="23" spans="1:67" ht="19.5" customHeight="1" x14ac:dyDescent="0.15">
      <c r="A23" s="123" t="s">
        <v>1856</v>
      </c>
      <c r="B23" s="122" t="s">
        <v>1854</v>
      </c>
      <c r="C23" s="49"/>
      <c r="D23" s="48" t="s">
        <v>73</v>
      </c>
      <c r="E23" s="49"/>
      <c r="F23" s="50"/>
      <c r="G23" s="62"/>
      <c r="H23" s="48" t="s">
        <v>72</v>
      </c>
      <c r="I23" s="52">
        <v>1</v>
      </c>
      <c r="J23" s="52"/>
      <c r="K23" s="52" t="s">
        <v>73</v>
      </c>
      <c r="L23" s="52" t="s">
        <v>74</v>
      </c>
      <c r="M23" s="53" t="s">
        <v>942</v>
      </c>
      <c r="N23" s="58" t="s">
        <v>73</v>
      </c>
      <c r="O23" s="48" t="s">
        <v>72</v>
      </c>
      <c r="P23" s="48" t="s">
        <v>73</v>
      </c>
      <c r="Q23" s="54" t="s">
        <v>73</v>
      </c>
      <c r="R23" s="55" t="s">
        <v>73</v>
      </c>
      <c r="S23" s="48" t="s">
        <v>73</v>
      </c>
      <c r="T23" s="130"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8" t="str" cm="1">
        <f t="array" ref="U23">IF(SUMPRODUCT(--((CAT_Procesos!$E$2:$E$1581=O23)*(CAT_Procesos!$F$2:$F$1581=_xlfn.TEXTJOIN(" + ",TRUE,IF((TRIM(P23:S23)="")+(LOWER(TRIM(P23:S23))="(seleccione)"),"",PROPER(TRIM(P23:S23)))))*(CAT_Procesos!$D$2:$D$1581=IFERROR(VLOOKUP(N23&amp;"*",CAT_Procesos!$D:$D,1,FALSE),""))))=0,"Combinación no existente",IF(SUMPRODUCT(((CAT_Procesos!$E$2:$E$1581=O23)*(CAT_Procesos!$F$2:$F$1581=_xlfn.TEXTJOIN(" + ",TRUE,IF((TRIM(P23:S23)="")+(LOWER(TRIM(P23:S23))="(seleccione)"),"",PROPER(TRIM(P23:S23)))))*(CAT_Procesos!$D$2:$D$1581=IFERROR(VLOOKUP(N23&amp;"*",CAT_Procesos!$D:$D,1,FALSE),"")))*(CAT_Procesos!$G$2:$G$1581=INDEX(CAT_Procesos!$G$2:$G$1581,MATCH(1,(CAT_Procesos!$E$2:$E$1581=O23)*(CAT_Procesos!$F$2:$F$1581=_xlfn.TEXTJOIN(" + ",TRUE,IF((TRIM(P23:S23)="")+(LOWER(TRIM(P23:S23))="(seleccione)"),"",PROPER(TRIM(P23:S23)))))*(CAT_Procesos!$D$2:$D$1581=IFERROR(VLOOKUP(N23&amp;"*",CAT_Procesos!$D:$D,1,FALSE),"")),0))))=SUMPRODUCT(--((CAT_Procesos!$E$2:$E$1581=O23)*(CAT_Procesos!$F$2:$F$1581=_xlfn.TEXTJOIN(" + ",TRUE,IF((TRIM(P23:S23)="")+(LOWER(TRIM(P23:S23))="(seleccione)"),"",PROPER(TRIM(P23:S23)))))*(CAT_Procesos!$D$2:$D$1581=IFERROR(VLOOKUP(N23&amp;"*",CAT_Procesos!$D:$D,1,FALSE),"")))),INDEX(CAT_Procesos!$G$2:$G$1581,MATCH(1,(CAT_Procesos!$E$2:$E$1581=O23)*(CAT_Procesos!$F$2:$F$1581=_xlfn.TEXTJOIN(" + ",TRUE,IF((TRIM(P23:S23)="")+(LOWER(TRIM(P23:S23))="(seleccione)"),"",PROPER(TRIM(P23:S23)))))*(CAT_Procesos!$D$2:$D$1581=IFERROR(VLOOKUP(N23&amp;"*",CAT_Procesos!$D:$D,1,FALSE),"")),0)),"(seleccione)"))</f>
        <v>Combinación no existente</v>
      </c>
      <c r="V23" s="55" t="s">
        <v>73</v>
      </c>
      <c r="W23" s="56" t="s">
        <v>73</v>
      </c>
      <c r="X23" s="57" t="str">
        <f t="shared" si="0"/>
        <v/>
      </c>
      <c r="Y23" s="58" t="s">
        <v>73</v>
      </c>
      <c r="Z23" s="57" t="str">
        <f t="shared" si="1"/>
        <v/>
      </c>
      <c r="AA23" s="58" t="s">
        <v>73</v>
      </c>
      <c r="AB23" s="57" t="str">
        <f t="shared" si="2"/>
        <v/>
      </c>
      <c r="AC23" s="58" t="s">
        <v>73</v>
      </c>
      <c r="AD23" s="57" t="str">
        <f t="shared" si="3"/>
        <v/>
      </c>
      <c r="AE23" s="59"/>
      <c r="AF23" s="59"/>
      <c r="AG23" s="59"/>
      <c r="AH23" s="59"/>
      <c r="AI23" s="59" t="s">
        <v>73</v>
      </c>
      <c r="AJ23" s="59"/>
      <c r="AK23" s="59" t="s">
        <v>73</v>
      </c>
      <c r="AL23" s="59"/>
      <c r="AM23" s="59" t="s">
        <v>73</v>
      </c>
      <c r="AN23" s="59"/>
      <c r="AO23" s="59" t="s">
        <v>73</v>
      </c>
      <c r="AP23" s="59"/>
      <c r="AQ23" s="59" t="s">
        <v>73</v>
      </c>
      <c r="AR23" s="59"/>
      <c r="AS23" s="59" t="s">
        <v>72</v>
      </c>
      <c r="AT23" s="59"/>
      <c r="AU23" s="59"/>
      <c r="AV23" s="59"/>
      <c r="AW23" s="59"/>
      <c r="AX23" s="59"/>
      <c r="AY23" s="60" t="str">
        <f>IF('Cálculo MP'!K33="","",'Cálculo MP'!K33)</f>
        <v/>
      </c>
      <c r="AZ23" s="60" t="str">
        <f>IF('Cálculo MP'!L33="","",'Cálculo MP'!L33)</f>
        <v/>
      </c>
      <c r="BA23" s="60" t="str">
        <f>IF('Cálculo MP'!M33="","",'Cálculo MP'!M33)</f>
        <v/>
      </c>
      <c r="BB23" s="60" t="str">
        <f>IF('Cálculo MP'!N33="","",'Cálculo MP'!N33)</f>
        <v/>
      </c>
      <c r="BC23" s="60" t="str">
        <f>IF('Cálculo MP'!O33="","",'Cálculo MP'!O33)</f>
        <v/>
      </c>
      <c r="BD23" s="60" t="str">
        <f>IF('Cálculo MP'!P33="","",'Cálculo MP'!P33)</f>
        <v/>
      </c>
      <c r="BE23" s="60" t="str">
        <f>IF('Cálculo MP'!Q33="","",'Cálculo MP'!Q33)</f>
        <v/>
      </c>
      <c r="BF23" s="60" t="str">
        <f>IF('Cálculo MP'!R33="","",'Cálculo MP'!R33)</f>
        <v/>
      </c>
      <c r="BG23" s="60" t="str">
        <f>IF('Cálculo MP'!S33="","",'Cálculo MP'!S33)</f>
        <v/>
      </c>
      <c r="BH23" s="61"/>
      <c r="BI23" s="61"/>
      <c r="BJ23" s="61"/>
      <c r="BK23" s="61"/>
      <c r="BL23" s="61"/>
      <c r="BM23" s="61"/>
      <c r="BN23" s="61"/>
      <c r="BO23" s="61"/>
    </row>
    <row r="24" spans="1:67" ht="19.5" customHeight="1" x14ac:dyDescent="0.15">
      <c r="A24" s="123" t="s">
        <v>1856</v>
      </c>
      <c r="B24" s="122" t="s">
        <v>1854</v>
      </c>
      <c r="C24" s="49"/>
      <c r="D24" s="48" t="s">
        <v>73</v>
      </c>
      <c r="E24" s="49"/>
      <c r="F24" s="50"/>
      <c r="G24" s="62"/>
      <c r="H24" s="48" t="s">
        <v>72</v>
      </c>
      <c r="I24" s="52">
        <v>1</v>
      </c>
      <c r="J24" s="52"/>
      <c r="K24" s="52" t="s">
        <v>73</v>
      </c>
      <c r="L24" s="52" t="s">
        <v>74</v>
      </c>
      <c r="M24" s="53" t="s">
        <v>942</v>
      </c>
      <c r="N24" s="58" t="s">
        <v>73</v>
      </c>
      <c r="O24" s="48" t="s">
        <v>72</v>
      </c>
      <c r="P24" s="48" t="s">
        <v>73</v>
      </c>
      <c r="Q24" s="54" t="s">
        <v>73</v>
      </c>
      <c r="R24" s="55" t="s">
        <v>73</v>
      </c>
      <c r="S24" s="48" t="s">
        <v>73</v>
      </c>
      <c r="T24" s="130"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8" t="str" cm="1">
        <f t="array" ref="U24">IF(SUMPRODUCT(--((CAT_Procesos!$E$2:$E$1581=O24)*(CAT_Procesos!$F$2:$F$1581=_xlfn.TEXTJOIN(" + ",TRUE,IF((TRIM(P24:S24)="")+(LOWER(TRIM(P24:S24))="(seleccione)"),"",PROPER(TRIM(P24:S24)))))*(CAT_Procesos!$D$2:$D$1581=IFERROR(VLOOKUP(N24&amp;"*",CAT_Procesos!$D:$D,1,FALSE),""))))=0,"Combinación no existente",IF(SUMPRODUCT(((CAT_Procesos!$E$2:$E$1581=O24)*(CAT_Procesos!$F$2:$F$1581=_xlfn.TEXTJOIN(" + ",TRUE,IF((TRIM(P24:S24)="")+(LOWER(TRIM(P24:S24))="(seleccione)"),"",PROPER(TRIM(P24:S24)))))*(CAT_Procesos!$D$2:$D$1581=IFERROR(VLOOKUP(N24&amp;"*",CAT_Procesos!$D:$D,1,FALSE),"")))*(CAT_Procesos!$G$2:$G$1581=INDEX(CAT_Procesos!$G$2:$G$1581,MATCH(1,(CAT_Procesos!$E$2:$E$1581=O24)*(CAT_Procesos!$F$2:$F$1581=_xlfn.TEXTJOIN(" + ",TRUE,IF((TRIM(P24:S24)="")+(LOWER(TRIM(P24:S24))="(seleccione)"),"",PROPER(TRIM(P24:S24)))))*(CAT_Procesos!$D$2:$D$1581=IFERROR(VLOOKUP(N24&amp;"*",CAT_Procesos!$D:$D,1,FALSE),"")),0))))=SUMPRODUCT(--((CAT_Procesos!$E$2:$E$1581=O24)*(CAT_Procesos!$F$2:$F$1581=_xlfn.TEXTJOIN(" + ",TRUE,IF((TRIM(P24:S24)="")+(LOWER(TRIM(P24:S24))="(seleccione)"),"",PROPER(TRIM(P24:S24)))))*(CAT_Procesos!$D$2:$D$1581=IFERROR(VLOOKUP(N24&amp;"*",CAT_Procesos!$D:$D,1,FALSE),"")))),INDEX(CAT_Procesos!$G$2:$G$1581,MATCH(1,(CAT_Procesos!$E$2:$E$1581=O24)*(CAT_Procesos!$F$2:$F$1581=_xlfn.TEXTJOIN(" + ",TRUE,IF((TRIM(P24:S24)="")+(LOWER(TRIM(P24:S24))="(seleccione)"),"",PROPER(TRIM(P24:S24)))))*(CAT_Procesos!$D$2:$D$1581=IFERROR(VLOOKUP(N24&amp;"*",CAT_Procesos!$D:$D,1,FALSE),"")),0)),"(seleccione)"))</f>
        <v>Combinación no existente</v>
      </c>
      <c r="V24" s="55" t="s">
        <v>73</v>
      </c>
      <c r="W24" s="56" t="s">
        <v>73</v>
      </c>
      <c r="X24" s="57" t="str">
        <f t="shared" si="0"/>
        <v/>
      </c>
      <c r="Y24" s="58" t="s">
        <v>73</v>
      </c>
      <c r="Z24" s="57" t="str">
        <f t="shared" si="1"/>
        <v/>
      </c>
      <c r="AA24" s="58" t="s">
        <v>73</v>
      </c>
      <c r="AB24" s="57" t="str">
        <f t="shared" si="2"/>
        <v/>
      </c>
      <c r="AC24" s="58" t="s">
        <v>73</v>
      </c>
      <c r="AD24" s="57" t="str">
        <f t="shared" si="3"/>
        <v/>
      </c>
      <c r="AE24" s="59"/>
      <c r="AF24" s="59"/>
      <c r="AG24" s="59"/>
      <c r="AH24" s="59"/>
      <c r="AI24" s="59" t="s">
        <v>73</v>
      </c>
      <c r="AJ24" s="59"/>
      <c r="AK24" s="59" t="s">
        <v>73</v>
      </c>
      <c r="AL24" s="59"/>
      <c r="AM24" s="59" t="s">
        <v>73</v>
      </c>
      <c r="AN24" s="59"/>
      <c r="AO24" s="59" t="s">
        <v>73</v>
      </c>
      <c r="AP24" s="59"/>
      <c r="AQ24" s="59" t="s">
        <v>73</v>
      </c>
      <c r="AR24" s="59"/>
      <c r="AS24" s="59" t="s">
        <v>72</v>
      </c>
      <c r="AT24" s="59"/>
      <c r="AU24" s="59"/>
      <c r="AV24" s="59"/>
      <c r="AW24" s="59"/>
      <c r="AX24" s="59"/>
      <c r="AY24" s="60" t="str">
        <f>IF('Cálculo MP'!K34="","",'Cálculo MP'!K34)</f>
        <v/>
      </c>
      <c r="AZ24" s="60" t="str">
        <f>IF('Cálculo MP'!L34="","",'Cálculo MP'!L34)</f>
        <v/>
      </c>
      <c r="BA24" s="60" t="str">
        <f>IF('Cálculo MP'!M34="","",'Cálculo MP'!M34)</f>
        <v/>
      </c>
      <c r="BB24" s="60" t="str">
        <f>IF('Cálculo MP'!N34="","",'Cálculo MP'!N34)</f>
        <v/>
      </c>
      <c r="BC24" s="60" t="str">
        <f>IF('Cálculo MP'!O34="","",'Cálculo MP'!O34)</f>
        <v/>
      </c>
      <c r="BD24" s="60" t="str">
        <f>IF('Cálculo MP'!P34="","",'Cálculo MP'!P34)</f>
        <v/>
      </c>
      <c r="BE24" s="60" t="str">
        <f>IF('Cálculo MP'!Q34="","",'Cálculo MP'!Q34)</f>
        <v/>
      </c>
      <c r="BF24" s="60" t="str">
        <f>IF('Cálculo MP'!R34="","",'Cálculo MP'!R34)</f>
        <v/>
      </c>
      <c r="BG24" s="60" t="str">
        <f>IF('Cálculo MP'!S34="","",'Cálculo MP'!S34)</f>
        <v/>
      </c>
      <c r="BH24" s="61"/>
      <c r="BI24" s="61"/>
      <c r="BJ24" s="61"/>
      <c r="BK24" s="61"/>
      <c r="BL24" s="61"/>
      <c r="BM24" s="61"/>
      <c r="BN24" s="61"/>
      <c r="BO24" s="61"/>
    </row>
    <row r="25" spans="1:67" ht="19.5" customHeight="1" x14ac:dyDescent="0.15">
      <c r="A25" s="123" t="s">
        <v>1856</v>
      </c>
      <c r="B25" s="122" t="s">
        <v>1854</v>
      </c>
      <c r="C25" s="49"/>
      <c r="D25" s="48" t="s">
        <v>73</v>
      </c>
      <c r="E25" s="49"/>
      <c r="F25" s="50"/>
      <c r="G25" s="62"/>
      <c r="H25" s="48" t="s">
        <v>72</v>
      </c>
      <c r="I25" s="52">
        <v>1</v>
      </c>
      <c r="J25" s="52"/>
      <c r="K25" s="52" t="s">
        <v>73</v>
      </c>
      <c r="L25" s="52" t="s">
        <v>74</v>
      </c>
      <c r="M25" s="53" t="s">
        <v>942</v>
      </c>
      <c r="N25" s="58" t="s">
        <v>73</v>
      </c>
      <c r="O25" s="48" t="s">
        <v>72</v>
      </c>
      <c r="P25" s="48" t="s">
        <v>73</v>
      </c>
      <c r="Q25" s="54" t="s">
        <v>73</v>
      </c>
      <c r="R25" s="55" t="s">
        <v>73</v>
      </c>
      <c r="S25" s="48" t="s">
        <v>73</v>
      </c>
      <c r="T25" s="130"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8" t="str" cm="1">
        <f t="array" ref="U25">IF(SUMPRODUCT(--((CAT_Procesos!$E$2:$E$1581=O25)*(CAT_Procesos!$F$2:$F$1581=_xlfn.TEXTJOIN(" + ",TRUE,IF((TRIM(P25:S25)="")+(LOWER(TRIM(P25:S25))="(seleccione)"),"",PROPER(TRIM(P25:S25)))))*(CAT_Procesos!$D$2:$D$1581=IFERROR(VLOOKUP(N25&amp;"*",CAT_Procesos!$D:$D,1,FALSE),""))))=0,"Combinación no existente",IF(SUMPRODUCT(((CAT_Procesos!$E$2:$E$1581=O25)*(CAT_Procesos!$F$2:$F$1581=_xlfn.TEXTJOIN(" + ",TRUE,IF((TRIM(P25:S25)="")+(LOWER(TRIM(P25:S25))="(seleccione)"),"",PROPER(TRIM(P25:S25)))))*(CAT_Procesos!$D$2:$D$1581=IFERROR(VLOOKUP(N25&amp;"*",CAT_Procesos!$D:$D,1,FALSE),"")))*(CAT_Procesos!$G$2:$G$1581=INDEX(CAT_Procesos!$G$2:$G$1581,MATCH(1,(CAT_Procesos!$E$2:$E$1581=O25)*(CAT_Procesos!$F$2:$F$1581=_xlfn.TEXTJOIN(" + ",TRUE,IF((TRIM(P25:S25)="")+(LOWER(TRIM(P25:S25))="(seleccione)"),"",PROPER(TRIM(P25:S25)))))*(CAT_Procesos!$D$2:$D$1581=IFERROR(VLOOKUP(N25&amp;"*",CAT_Procesos!$D:$D,1,FALSE),"")),0))))=SUMPRODUCT(--((CAT_Procesos!$E$2:$E$1581=O25)*(CAT_Procesos!$F$2:$F$1581=_xlfn.TEXTJOIN(" + ",TRUE,IF((TRIM(P25:S25)="")+(LOWER(TRIM(P25:S25))="(seleccione)"),"",PROPER(TRIM(P25:S25)))))*(CAT_Procesos!$D$2:$D$1581=IFERROR(VLOOKUP(N25&amp;"*",CAT_Procesos!$D:$D,1,FALSE),"")))),INDEX(CAT_Procesos!$G$2:$G$1581,MATCH(1,(CAT_Procesos!$E$2:$E$1581=O25)*(CAT_Procesos!$F$2:$F$1581=_xlfn.TEXTJOIN(" + ",TRUE,IF((TRIM(P25:S25)="")+(LOWER(TRIM(P25:S25))="(seleccione)"),"",PROPER(TRIM(P25:S25)))))*(CAT_Procesos!$D$2:$D$1581=IFERROR(VLOOKUP(N25&amp;"*",CAT_Procesos!$D:$D,1,FALSE),"")),0)),"(seleccione)"))</f>
        <v>Combinación no existente</v>
      </c>
      <c r="V25" s="55" t="s">
        <v>73</v>
      </c>
      <c r="W25" s="56" t="s">
        <v>73</v>
      </c>
      <c r="X25" s="57" t="str">
        <f t="shared" si="0"/>
        <v/>
      </c>
      <c r="Y25" s="58" t="s">
        <v>73</v>
      </c>
      <c r="Z25" s="57" t="str">
        <f t="shared" si="1"/>
        <v/>
      </c>
      <c r="AA25" s="58" t="s">
        <v>73</v>
      </c>
      <c r="AB25" s="57" t="str">
        <f t="shared" si="2"/>
        <v/>
      </c>
      <c r="AC25" s="58" t="s">
        <v>73</v>
      </c>
      <c r="AD25" s="57" t="str">
        <f t="shared" si="3"/>
        <v/>
      </c>
      <c r="AE25" s="59"/>
      <c r="AF25" s="59"/>
      <c r="AG25" s="59"/>
      <c r="AH25" s="59"/>
      <c r="AI25" s="59" t="s">
        <v>73</v>
      </c>
      <c r="AJ25" s="59"/>
      <c r="AK25" s="59" t="s">
        <v>73</v>
      </c>
      <c r="AL25" s="59"/>
      <c r="AM25" s="59" t="s">
        <v>73</v>
      </c>
      <c r="AN25" s="59"/>
      <c r="AO25" s="59" t="s">
        <v>73</v>
      </c>
      <c r="AP25" s="59"/>
      <c r="AQ25" s="59" t="s">
        <v>73</v>
      </c>
      <c r="AR25" s="59"/>
      <c r="AS25" s="59" t="s">
        <v>72</v>
      </c>
      <c r="AT25" s="59"/>
      <c r="AU25" s="59"/>
      <c r="AV25" s="59"/>
      <c r="AW25" s="59"/>
      <c r="AX25" s="59"/>
      <c r="AY25" s="60" t="str">
        <f>IF('Cálculo MP'!K35="","",'Cálculo MP'!K35)</f>
        <v/>
      </c>
      <c r="AZ25" s="60" t="str">
        <f>IF('Cálculo MP'!L35="","",'Cálculo MP'!L35)</f>
        <v/>
      </c>
      <c r="BA25" s="60" t="str">
        <f>IF('Cálculo MP'!M35="","",'Cálculo MP'!M35)</f>
        <v/>
      </c>
      <c r="BB25" s="60" t="str">
        <f>IF('Cálculo MP'!N35="","",'Cálculo MP'!N35)</f>
        <v/>
      </c>
      <c r="BC25" s="60" t="str">
        <f>IF('Cálculo MP'!O35="","",'Cálculo MP'!O35)</f>
        <v/>
      </c>
      <c r="BD25" s="60" t="str">
        <f>IF('Cálculo MP'!P35="","",'Cálculo MP'!P35)</f>
        <v/>
      </c>
      <c r="BE25" s="60" t="str">
        <f>IF('Cálculo MP'!Q35="","",'Cálculo MP'!Q35)</f>
        <v/>
      </c>
      <c r="BF25" s="60" t="str">
        <f>IF('Cálculo MP'!R35="","",'Cálculo MP'!R35)</f>
        <v/>
      </c>
      <c r="BG25" s="60" t="str">
        <f>IF('Cálculo MP'!S35="","",'Cálculo MP'!S35)</f>
        <v/>
      </c>
      <c r="BH25" s="61"/>
      <c r="BI25" s="61"/>
      <c r="BJ25" s="61"/>
      <c r="BK25" s="61"/>
      <c r="BL25" s="61"/>
      <c r="BM25" s="61"/>
      <c r="BN25" s="61"/>
      <c r="BO25" s="61"/>
    </row>
    <row r="26" spans="1:67" ht="19.5" customHeight="1" x14ac:dyDescent="0.15">
      <c r="A26" s="123" t="s">
        <v>1856</v>
      </c>
      <c r="B26" s="122" t="s">
        <v>1854</v>
      </c>
      <c r="C26" s="49"/>
      <c r="D26" s="48" t="s">
        <v>73</v>
      </c>
      <c r="E26" s="49"/>
      <c r="F26" s="50"/>
      <c r="G26" s="62"/>
      <c r="H26" s="48" t="s">
        <v>72</v>
      </c>
      <c r="I26" s="52">
        <v>1</v>
      </c>
      <c r="J26" s="52"/>
      <c r="K26" s="52" t="s">
        <v>73</v>
      </c>
      <c r="L26" s="52" t="s">
        <v>74</v>
      </c>
      <c r="M26" s="53" t="s">
        <v>942</v>
      </c>
      <c r="N26" s="58" t="s">
        <v>73</v>
      </c>
      <c r="O26" s="48" t="s">
        <v>72</v>
      </c>
      <c r="P26" s="48" t="s">
        <v>73</v>
      </c>
      <c r="Q26" s="54" t="s">
        <v>73</v>
      </c>
      <c r="R26" s="55" t="s">
        <v>73</v>
      </c>
      <c r="S26" s="48" t="s">
        <v>73</v>
      </c>
      <c r="T26" s="130"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8" t="str" cm="1">
        <f t="array" ref="U26">IF(SUMPRODUCT(--((CAT_Procesos!$E$2:$E$1581=O26)*(CAT_Procesos!$F$2:$F$1581=_xlfn.TEXTJOIN(" + ",TRUE,IF((TRIM(P26:S26)="")+(LOWER(TRIM(P26:S26))="(seleccione)"),"",PROPER(TRIM(P26:S26)))))*(CAT_Procesos!$D$2:$D$1581=IFERROR(VLOOKUP(N26&amp;"*",CAT_Procesos!$D:$D,1,FALSE),""))))=0,"Combinación no existente",IF(SUMPRODUCT(((CAT_Procesos!$E$2:$E$1581=O26)*(CAT_Procesos!$F$2:$F$1581=_xlfn.TEXTJOIN(" + ",TRUE,IF((TRIM(P26:S26)="")+(LOWER(TRIM(P26:S26))="(seleccione)"),"",PROPER(TRIM(P26:S26)))))*(CAT_Procesos!$D$2:$D$1581=IFERROR(VLOOKUP(N26&amp;"*",CAT_Procesos!$D:$D,1,FALSE),"")))*(CAT_Procesos!$G$2:$G$1581=INDEX(CAT_Procesos!$G$2:$G$1581,MATCH(1,(CAT_Procesos!$E$2:$E$1581=O26)*(CAT_Procesos!$F$2:$F$1581=_xlfn.TEXTJOIN(" + ",TRUE,IF((TRIM(P26:S26)="")+(LOWER(TRIM(P26:S26))="(seleccione)"),"",PROPER(TRIM(P26:S26)))))*(CAT_Procesos!$D$2:$D$1581=IFERROR(VLOOKUP(N26&amp;"*",CAT_Procesos!$D:$D,1,FALSE),"")),0))))=SUMPRODUCT(--((CAT_Procesos!$E$2:$E$1581=O26)*(CAT_Procesos!$F$2:$F$1581=_xlfn.TEXTJOIN(" + ",TRUE,IF((TRIM(P26:S26)="")+(LOWER(TRIM(P26:S26))="(seleccione)"),"",PROPER(TRIM(P26:S26)))))*(CAT_Procesos!$D$2:$D$1581=IFERROR(VLOOKUP(N26&amp;"*",CAT_Procesos!$D:$D,1,FALSE),"")))),INDEX(CAT_Procesos!$G$2:$G$1581,MATCH(1,(CAT_Procesos!$E$2:$E$1581=O26)*(CAT_Procesos!$F$2:$F$1581=_xlfn.TEXTJOIN(" + ",TRUE,IF((TRIM(P26:S26)="")+(LOWER(TRIM(P26:S26))="(seleccione)"),"",PROPER(TRIM(P26:S26)))))*(CAT_Procesos!$D$2:$D$1581=IFERROR(VLOOKUP(N26&amp;"*",CAT_Procesos!$D:$D,1,FALSE),"")),0)),"(seleccione)"))</f>
        <v>Combinación no existente</v>
      </c>
      <c r="V26" s="55" t="s">
        <v>73</v>
      </c>
      <c r="W26" s="56" t="s">
        <v>73</v>
      </c>
      <c r="X26" s="57" t="str">
        <f t="shared" si="0"/>
        <v/>
      </c>
      <c r="Y26" s="58" t="s">
        <v>73</v>
      </c>
      <c r="Z26" s="57" t="str">
        <f t="shared" si="1"/>
        <v/>
      </c>
      <c r="AA26" s="58" t="s">
        <v>73</v>
      </c>
      <c r="AB26" s="57" t="str">
        <f t="shared" si="2"/>
        <v/>
      </c>
      <c r="AC26" s="58" t="s">
        <v>73</v>
      </c>
      <c r="AD26" s="57" t="str">
        <f t="shared" si="3"/>
        <v/>
      </c>
      <c r="AE26" s="59"/>
      <c r="AF26" s="59"/>
      <c r="AG26" s="59"/>
      <c r="AH26" s="59"/>
      <c r="AI26" s="59" t="s">
        <v>73</v>
      </c>
      <c r="AJ26" s="59"/>
      <c r="AK26" s="59" t="s">
        <v>73</v>
      </c>
      <c r="AL26" s="59"/>
      <c r="AM26" s="59" t="s">
        <v>73</v>
      </c>
      <c r="AN26" s="59"/>
      <c r="AO26" s="59" t="s">
        <v>73</v>
      </c>
      <c r="AP26" s="59"/>
      <c r="AQ26" s="59" t="s">
        <v>73</v>
      </c>
      <c r="AR26" s="59"/>
      <c r="AS26" s="59" t="s">
        <v>72</v>
      </c>
      <c r="AT26" s="59"/>
      <c r="AU26" s="59"/>
      <c r="AV26" s="59"/>
      <c r="AW26" s="59"/>
      <c r="AX26" s="59"/>
      <c r="AY26" s="60" t="str">
        <f>IF('Cálculo MP'!K36="","",'Cálculo MP'!K36)</f>
        <v/>
      </c>
      <c r="AZ26" s="60" t="str">
        <f>IF('Cálculo MP'!L36="","",'Cálculo MP'!L36)</f>
        <v/>
      </c>
      <c r="BA26" s="60" t="str">
        <f>IF('Cálculo MP'!M36="","",'Cálculo MP'!M36)</f>
        <v/>
      </c>
      <c r="BB26" s="60" t="str">
        <f>IF('Cálculo MP'!N36="","",'Cálculo MP'!N36)</f>
        <v/>
      </c>
      <c r="BC26" s="60" t="str">
        <f>IF('Cálculo MP'!O36="","",'Cálculo MP'!O36)</f>
        <v/>
      </c>
      <c r="BD26" s="60" t="str">
        <f>IF('Cálculo MP'!P36="","",'Cálculo MP'!P36)</f>
        <v/>
      </c>
      <c r="BE26" s="60" t="str">
        <f>IF('Cálculo MP'!Q36="","",'Cálculo MP'!Q36)</f>
        <v/>
      </c>
      <c r="BF26" s="60" t="str">
        <f>IF('Cálculo MP'!R36="","",'Cálculo MP'!R36)</f>
        <v/>
      </c>
      <c r="BG26" s="60" t="str">
        <f>IF('Cálculo MP'!S36="","",'Cálculo MP'!S36)</f>
        <v/>
      </c>
      <c r="BH26" s="61"/>
      <c r="BI26" s="61"/>
      <c r="BJ26" s="61"/>
      <c r="BK26" s="61"/>
      <c r="BL26" s="61"/>
      <c r="BM26" s="61"/>
      <c r="BN26" s="61"/>
      <c r="BO26" s="61"/>
    </row>
    <row r="27" spans="1:67" ht="19.5" customHeight="1" x14ac:dyDescent="0.15">
      <c r="A27" s="123" t="s">
        <v>1856</v>
      </c>
      <c r="B27" s="122" t="s">
        <v>1854</v>
      </c>
      <c r="C27" s="49"/>
      <c r="D27" s="48" t="s">
        <v>73</v>
      </c>
      <c r="E27" s="49"/>
      <c r="F27" s="50"/>
      <c r="G27" s="62"/>
      <c r="H27" s="48" t="s">
        <v>72</v>
      </c>
      <c r="I27" s="52">
        <v>1</v>
      </c>
      <c r="J27" s="52"/>
      <c r="K27" s="52" t="s">
        <v>73</v>
      </c>
      <c r="L27" s="52" t="s">
        <v>74</v>
      </c>
      <c r="M27" s="53" t="s">
        <v>942</v>
      </c>
      <c r="N27" s="58" t="s">
        <v>73</v>
      </c>
      <c r="O27" s="48" t="s">
        <v>72</v>
      </c>
      <c r="P27" s="48" t="s">
        <v>73</v>
      </c>
      <c r="Q27" s="54" t="s">
        <v>73</v>
      </c>
      <c r="R27" s="55" t="s">
        <v>73</v>
      </c>
      <c r="S27" s="48" t="s">
        <v>73</v>
      </c>
      <c r="T27" s="130"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8" t="str" cm="1">
        <f t="array" ref="U27">IF(SUMPRODUCT(--((CAT_Procesos!$E$2:$E$1581=O27)*(CAT_Procesos!$F$2:$F$1581=_xlfn.TEXTJOIN(" + ",TRUE,IF((TRIM(P27:S27)="")+(LOWER(TRIM(P27:S27))="(seleccione)"),"",PROPER(TRIM(P27:S27)))))*(CAT_Procesos!$D$2:$D$1581=IFERROR(VLOOKUP(N27&amp;"*",CAT_Procesos!$D:$D,1,FALSE),""))))=0,"Combinación no existente",IF(SUMPRODUCT(((CAT_Procesos!$E$2:$E$1581=O27)*(CAT_Procesos!$F$2:$F$1581=_xlfn.TEXTJOIN(" + ",TRUE,IF((TRIM(P27:S27)="")+(LOWER(TRIM(P27:S27))="(seleccione)"),"",PROPER(TRIM(P27:S27)))))*(CAT_Procesos!$D$2:$D$1581=IFERROR(VLOOKUP(N27&amp;"*",CAT_Procesos!$D:$D,1,FALSE),"")))*(CAT_Procesos!$G$2:$G$1581=INDEX(CAT_Procesos!$G$2:$G$1581,MATCH(1,(CAT_Procesos!$E$2:$E$1581=O27)*(CAT_Procesos!$F$2:$F$1581=_xlfn.TEXTJOIN(" + ",TRUE,IF((TRIM(P27:S27)="")+(LOWER(TRIM(P27:S27))="(seleccione)"),"",PROPER(TRIM(P27:S27)))))*(CAT_Procesos!$D$2:$D$1581=IFERROR(VLOOKUP(N27&amp;"*",CAT_Procesos!$D:$D,1,FALSE),"")),0))))=SUMPRODUCT(--((CAT_Procesos!$E$2:$E$1581=O27)*(CAT_Procesos!$F$2:$F$1581=_xlfn.TEXTJOIN(" + ",TRUE,IF((TRIM(P27:S27)="")+(LOWER(TRIM(P27:S27))="(seleccione)"),"",PROPER(TRIM(P27:S27)))))*(CAT_Procesos!$D$2:$D$1581=IFERROR(VLOOKUP(N27&amp;"*",CAT_Procesos!$D:$D,1,FALSE),"")))),INDEX(CAT_Procesos!$G$2:$G$1581,MATCH(1,(CAT_Procesos!$E$2:$E$1581=O27)*(CAT_Procesos!$F$2:$F$1581=_xlfn.TEXTJOIN(" + ",TRUE,IF((TRIM(P27:S27)="")+(LOWER(TRIM(P27:S27))="(seleccione)"),"",PROPER(TRIM(P27:S27)))))*(CAT_Procesos!$D$2:$D$1581=IFERROR(VLOOKUP(N27&amp;"*",CAT_Procesos!$D:$D,1,FALSE),"")),0)),"(seleccione)"))</f>
        <v>Combinación no existente</v>
      </c>
      <c r="V27" s="55" t="s">
        <v>73</v>
      </c>
      <c r="W27" s="56" t="s">
        <v>73</v>
      </c>
      <c r="X27" s="57" t="str">
        <f t="shared" si="0"/>
        <v/>
      </c>
      <c r="Y27" s="58" t="s">
        <v>73</v>
      </c>
      <c r="Z27" s="57" t="str">
        <f t="shared" si="1"/>
        <v/>
      </c>
      <c r="AA27" s="58" t="s">
        <v>73</v>
      </c>
      <c r="AB27" s="57" t="str">
        <f t="shared" si="2"/>
        <v/>
      </c>
      <c r="AC27" s="58" t="s">
        <v>73</v>
      </c>
      <c r="AD27" s="57" t="str">
        <f t="shared" si="3"/>
        <v/>
      </c>
      <c r="AE27" s="59"/>
      <c r="AF27" s="59"/>
      <c r="AG27" s="59"/>
      <c r="AH27" s="59"/>
      <c r="AI27" s="59" t="s">
        <v>73</v>
      </c>
      <c r="AJ27" s="59"/>
      <c r="AK27" s="59" t="s">
        <v>73</v>
      </c>
      <c r="AL27" s="59"/>
      <c r="AM27" s="59" t="s">
        <v>73</v>
      </c>
      <c r="AN27" s="59"/>
      <c r="AO27" s="59" t="s">
        <v>73</v>
      </c>
      <c r="AP27" s="59"/>
      <c r="AQ27" s="59" t="s">
        <v>73</v>
      </c>
      <c r="AR27" s="59"/>
      <c r="AS27" s="59" t="s">
        <v>72</v>
      </c>
      <c r="AT27" s="59"/>
      <c r="AU27" s="59"/>
      <c r="AV27" s="59"/>
      <c r="AW27" s="59"/>
      <c r="AX27" s="59"/>
      <c r="AY27" s="60" t="str">
        <f>IF('Cálculo MP'!K37="","",'Cálculo MP'!K37)</f>
        <v/>
      </c>
      <c r="AZ27" s="60" t="str">
        <f>IF('Cálculo MP'!L37="","",'Cálculo MP'!L37)</f>
        <v/>
      </c>
      <c r="BA27" s="60" t="str">
        <f>IF('Cálculo MP'!M37="","",'Cálculo MP'!M37)</f>
        <v/>
      </c>
      <c r="BB27" s="60" t="str">
        <f>IF('Cálculo MP'!N37="","",'Cálculo MP'!N37)</f>
        <v/>
      </c>
      <c r="BC27" s="60" t="str">
        <f>IF('Cálculo MP'!O37="","",'Cálculo MP'!O37)</f>
        <v/>
      </c>
      <c r="BD27" s="60" t="str">
        <f>IF('Cálculo MP'!P37="","",'Cálculo MP'!P37)</f>
        <v/>
      </c>
      <c r="BE27" s="60" t="str">
        <f>IF('Cálculo MP'!Q37="","",'Cálculo MP'!Q37)</f>
        <v/>
      </c>
      <c r="BF27" s="60" t="str">
        <f>IF('Cálculo MP'!R37="","",'Cálculo MP'!R37)</f>
        <v/>
      </c>
      <c r="BG27" s="60" t="str">
        <f>IF('Cálculo MP'!S37="","",'Cálculo MP'!S37)</f>
        <v/>
      </c>
      <c r="BH27" s="61"/>
      <c r="BI27" s="61"/>
      <c r="BJ27" s="61"/>
      <c r="BK27" s="61"/>
      <c r="BL27" s="61"/>
      <c r="BM27" s="61"/>
      <c r="BN27" s="61"/>
      <c r="BO27" s="61"/>
    </row>
    <row r="28" spans="1:67" ht="19.5" customHeight="1" x14ac:dyDescent="0.15">
      <c r="A28" s="123" t="s">
        <v>1856</v>
      </c>
      <c r="B28" s="122" t="s">
        <v>1854</v>
      </c>
      <c r="C28" s="49"/>
      <c r="D28" s="48" t="s">
        <v>73</v>
      </c>
      <c r="E28" s="49"/>
      <c r="F28" s="50"/>
      <c r="G28" s="62"/>
      <c r="H28" s="48" t="s">
        <v>72</v>
      </c>
      <c r="I28" s="52">
        <v>1</v>
      </c>
      <c r="J28" s="52"/>
      <c r="K28" s="52" t="s">
        <v>73</v>
      </c>
      <c r="L28" s="52" t="s">
        <v>74</v>
      </c>
      <c r="M28" s="53" t="s">
        <v>942</v>
      </c>
      <c r="N28" s="58" t="s">
        <v>73</v>
      </c>
      <c r="O28" s="48" t="s">
        <v>72</v>
      </c>
      <c r="P28" s="48" t="s">
        <v>73</v>
      </c>
      <c r="Q28" s="54" t="s">
        <v>73</v>
      </c>
      <c r="R28" s="55" t="s">
        <v>73</v>
      </c>
      <c r="S28" s="48" t="s">
        <v>73</v>
      </c>
      <c r="T28" s="130"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8" t="str" cm="1">
        <f t="array" ref="U28">IF(SUMPRODUCT(--((CAT_Procesos!$E$2:$E$1581=O28)*(CAT_Procesos!$F$2:$F$1581=_xlfn.TEXTJOIN(" + ",TRUE,IF((TRIM(P28:S28)="")+(LOWER(TRIM(P28:S28))="(seleccione)"),"",PROPER(TRIM(P28:S28)))))*(CAT_Procesos!$D$2:$D$1581=IFERROR(VLOOKUP(N28&amp;"*",CAT_Procesos!$D:$D,1,FALSE),""))))=0,"Combinación no existente",IF(SUMPRODUCT(((CAT_Procesos!$E$2:$E$1581=O28)*(CAT_Procesos!$F$2:$F$1581=_xlfn.TEXTJOIN(" + ",TRUE,IF((TRIM(P28:S28)="")+(LOWER(TRIM(P28:S28))="(seleccione)"),"",PROPER(TRIM(P28:S28)))))*(CAT_Procesos!$D$2:$D$1581=IFERROR(VLOOKUP(N28&amp;"*",CAT_Procesos!$D:$D,1,FALSE),"")))*(CAT_Procesos!$G$2:$G$1581=INDEX(CAT_Procesos!$G$2:$G$1581,MATCH(1,(CAT_Procesos!$E$2:$E$1581=O28)*(CAT_Procesos!$F$2:$F$1581=_xlfn.TEXTJOIN(" + ",TRUE,IF((TRIM(P28:S28)="")+(LOWER(TRIM(P28:S28))="(seleccione)"),"",PROPER(TRIM(P28:S28)))))*(CAT_Procesos!$D$2:$D$1581=IFERROR(VLOOKUP(N28&amp;"*",CAT_Procesos!$D:$D,1,FALSE),"")),0))))=SUMPRODUCT(--((CAT_Procesos!$E$2:$E$1581=O28)*(CAT_Procesos!$F$2:$F$1581=_xlfn.TEXTJOIN(" + ",TRUE,IF((TRIM(P28:S28)="")+(LOWER(TRIM(P28:S28))="(seleccione)"),"",PROPER(TRIM(P28:S28)))))*(CAT_Procesos!$D$2:$D$1581=IFERROR(VLOOKUP(N28&amp;"*",CAT_Procesos!$D:$D,1,FALSE),"")))),INDEX(CAT_Procesos!$G$2:$G$1581,MATCH(1,(CAT_Procesos!$E$2:$E$1581=O28)*(CAT_Procesos!$F$2:$F$1581=_xlfn.TEXTJOIN(" + ",TRUE,IF((TRIM(P28:S28)="")+(LOWER(TRIM(P28:S28))="(seleccione)"),"",PROPER(TRIM(P28:S28)))))*(CAT_Procesos!$D$2:$D$1581=IFERROR(VLOOKUP(N28&amp;"*",CAT_Procesos!$D:$D,1,FALSE),"")),0)),"(seleccione)"))</f>
        <v>Combinación no existente</v>
      </c>
      <c r="V28" s="55" t="s">
        <v>73</v>
      </c>
      <c r="W28" s="56" t="s">
        <v>73</v>
      </c>
      <c r="X28" s="57" t="str">
        <f t="shared" si="0"/>
        <v/>
      </c>
      <c r="Y28" s="58" t="s">
        <v>73</v>
      </c>
      <c r="Z28" s="57" t="str">
        <f t="shared" si="1"/>
        <v/>
      </c>
      <c r="AA28" s="58" t="s">
        <v>73</v>
      </c>
      <c r="AB28" s="57" t="str">
        <f t="shared" si="2"/>
        <v/>
      </c>
      <c r="AC28" s="58" t="s">
        <v>73</v>
      </c>
      <c r="AD28" s="57" t="str">
        <f t="shared" si="3"/>
        <v/>
      </c>
      <c r="AE28" s="59"/>
      <c r="AF28" s="59"/>
      <c r="AG28" s="59"/>
      <c r="AH28" s="59"/>
      <c r="AI28" s="59" t="s">
        <v>73</v>
      </c>
      <c r="AJ28" s="59"/>
      <c r="AK28" s="59" t="s">
        <v>73</v>
      </c>
      <c r="AL28" s="59"/>
      <c r="AM28" s="59" t="s">
        <v>73</v>
      </c>
      <c r="AN28" s="59"/>
      <c r="AO28" s="59" t="s">
        <v>73</v>
      </c>
      <c r="AP28" s="59"/>
      <c r="AQ28" s="59" t="s">
        <v>73</v>
      </c>
      <c r="AR28" s="59"/>
      <c r="AS28" s="59" t="s">
        <v>72</v>
      </c>
      <c r="AT28" s="59"/>
      <c r="AU28" s="59"/>
      <c r="AV28" s="59"/>
      <c r="AW28" s="59"/>
      <c r="AX28" s="59"/>
      <c r="AY28" s="60" t="str">
        <f>IF('Cálculo MP'!K38="","",'Cálculo MP'!K38)</f>
        <v/>
      </c>
      <c r="AZ28" s="60" t="str">
        <f>IF('Cálculo MP'!L38="","",'Cálculo MP'!L38)</f>
        <v/>
      </c>
      <c r="BA28" s="60" t="str">
        <f>IF('Cálculo MP'!M38="","",'Cálculo MP'!M38)</f>
        <v/>
      </c>
      <c r="BB28" s="60" t="str">
        <f>IF('Cálculo MP'!N38="","",'Cálculo MP'!N38)</f>
        <v/>
      </c>
      <c r="BC28" s="60" t="str">
        <f>IF('Cálculo MP'!O38="","",'Cálculo MP'!O38)</f>
        <v/>
      </c>
      <c r="BD28" s="60" t="str">
        <f>IF('Cálculo MP'!P38="","",'Cálculo MP'!P38)</f>
        <v/>
      </c>
      <c r="BE28" s="60" t="str">
        <f>IF('Cálculo MP'!Q38="","",'Cálculo MP'!Q38)</f>
        <v/>
      </c>
      <c r="BF28" s="60" t="str">
        <f>IF('Cálculo MP'!R38="","",'Cálculo MP'!R38)</f>
        <v/>
      </c>
      <c r="BG28" s="60" t="str">
        <f>IF('Cálculo MP'!S38="","",'Cálculo MP'!S38)</f>
        <v/>
      </c>
      <c r="BH28" s="61"/>
      <c r="BI28" s="61"/>
      <c r="BJ28" s="61"/>
      <c r="BK28" s="61"/>
      <c r="BL28" s="61"/>
      <c r="BM28" s="61"/>
      <c r="BN28" s="61"/>
      <c r="BO28" s="61"/>
    </row>
    <row r="29" spans="1:67" ht="19.5" customHeight="1" x14ac:dyDescent="0.15">
      <c r="A29" s="123" t="s">
        <v>1856</v>
      </c>
      <c r="B29" s="122" t="s">
        <v>1854</v>
      </c>
      <c r="C29" s="49"/>
      <c r="D29" s="48" t="s">
        <v>73</v>
      </c>
      <c r="E29" s="49"/>
      <c r="F29" s="50"/>
      <c r="G29" s="62"/>
      <c r="H29" s="48" t="s">
        <v>72</v>
      </c>
      <c r="I29" s="52">
        <v>1</v>
      </c>
      <c r="J29" s="52"/>
      <c r="K29" s="52" t="s">
        <v>73</v>
      </c>
      <c r="L29" s="52" t="s">
        <v>74</v>
      </c>
      <c r="M29" s="53" t="s">
        <v>942</v>
      </c>
      <c r="N29" s="58" t="s">
        <v>73</v>
      </c>
      <c r="O29" s="48" t="s">
        <v>72</v>
      </c>
      <c r="P29" s="48" t="s">
        <v>73</v>
      </c>
      <c r="Q29" s="54" t="s">
        <v>73</v>
      </c>
      <c r="R29" s="55" t="s">
        <v>73</v>
      </c>
      <c r="S29" s="48" t="s">
        <v>73</v>
      </c>
      <c r="T29" s="130"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8" t="str" cm="1">
        <f t="array" ref="U29">IF(SUMPRODUCT(--((CAT_Procesos!$E$2:$E$1581=O29)*(CAT_Procesos!$F$2:$F$1581=_xlfn.TEXTJOIN(" + ",TRUE,IF((TRIM(P29:S29)="")+(LOWER(TRIM(P29:S29))="(seleccione)"),"",PROPER(TRIM(P29:S29)))))*(CAT_Procesos!$D$2:$D$1581=IFERROR(VLOOKUP(N29&amp;"*",CAT_Procesos!$D:$D,1,FALSE),""))))=0,"Combinación no existente",IF(SUMPRODUCT(((CAT_Procesos!$E$2:$E$1581=O29)*(CAT_Procesos!$F$2:$F$1581=_xlfn.TEXTJOIN(" + ",TRUE,IF((TRIM(P29:S29)="")+(LOWER(TRIM(P29:S29))="(seleccione)"),"",PROPER(TRIM(P29:S29)))))*(CAT_Procesos!$D$2:$D$1581=IFERROR(VLOOKUP(N29&amp;"*",CAT_Procesos!$D:$D,1,FALSE),"")))*(CAT_Procesos!$G$2:$G$1581=INDEX(CAT_Procesos!$G$2:$G$1581,MATCH(1,(CAT_Procesos!$E$2:$E$1581=O29)*(CAT_Procesos!$F$2:$F$1581=_xlfn.TEXTJOIN(" + ",TRUE,IF((TRIM(P29:S29)="")+(LOWER(TRIM(P29:S29))="(seleccione)"),"",PROPER(TRIM(P29:S29)))))*(CAT_Procesos!$D$2:$D$1581=IFERROR(VLOOKUP(N29&amp;"*",CAT_Procesos!$D:$D,1,FALSE),"")),0))))=SUMPRODUCT(--((CAT_Procesos!$E$2:$E$1581=O29)*(CAT_Procesos!$F$2:$F$1581=_xlfn.TEXTJOIN(" + ",TRUE,IF((TRIM(P29:S29)="")+(LOWER(TRIM(P29:S29))="(seleccione)"),"",PROPER(TRIM(P29:S29)))))*(CAT_Procesos!$D$2:$D$1581=IFERROR(VLOOKUP(N29&amp;"*",CAT_Procesos!$D:$D,1,FALSE),"")))),INDEX(CAT_Procesos!$G$2:$G$1581,MATCH(1,(CAT_Procesos!$E$2:$E$1581=O29)*(CAT_Procesos!$F$2:$F$1581=_xlfn.TEXTJOIN(" + ",TRUE,IF((TRIM(P29:S29)="")+(LOWER(TRIM(P29:S29))="(seleccione)"),"",PROPER(TRIM(P29:S29)))))*(CAT_Procesos!$D$2:$D$1581=IFERROR(VLOOKUP(N29&amp;"*",CAT_Procesos!$D:$D,1,FALSE),"")),0)),"(seleccione)"))</f>
        <v>Combinación no existente</v>
      </c>
      <c r="V29" s="55" t="s">
        <v>73</v>
      </c>
      <c r="W29" s="56" t="s">
        <v>73</v>
      </c>
      <c r="X29" s="57" t="str">
        <f t="shared" si="0"/>
        <v/>
      </c>
      <c r="Y29" s="58" t="s">
        <v>73</v>
      </c>
      <c r="Z29" s="57" t="str">
        <f t="shared" si="1"/>
        <v/>
      </c>
      <c r="AA29" s="58" t="s">
        <v>73</v>
      </c>
      <c r="AB29" s="57" t="str">
        <f t="shared" si="2"/>
        <v/>
      </c>
      <c r="AC29" s="58" t="s">
        <v>73</v>
      </c>
      <c r="AD29" s="57" t="str">
        <f t="shared" si="3"/>
        <v/>
      </c>
      <c r="AE29" s="59"/>
      <c r="AF29" s="59"/>
      <c r="AG29" s="59"/>
      <c r="AH29" s="59"/>
      <c r="AI29" s="59" t="s">
        <v>73</v>
      </c>
      <c r="AJ29" s="59"/>
      <c r="AK29" s="59" t="s">
        <v>73</v>
      </c>
      <c r="AL29" s="59"/>
      <c r="AM29" s="59" t="s">
        <v>73</v>
      </c>
      <c r="AN29" s="59"/>
      <c r="AO29" s="59" t="s">
        <v>73</v>
      </c>
      <c r="AP29" s="59"/>
      <c r="AQ29" s="59" t="s">
        <v>73</v>
      </c>
      <c r="AR29" s="59"/>
      <c r="AS29" s="59" t="s">
        <v>72</v>
      </c>
      <c r="AT29" s="59"/>
      <c r="AU29" s="59"/>
      <c r="AV29" s="59"/>
      <c r="AW29" s="59"/>
      <c r="AX29" s="59"/>
      <c r="AY29" s="60" t="str">
        <f>IF('Cálculo MP'!K39="","",'Cálculo MP'!K39)</f>
        <v/>
      </c>
      <c r="AZ29" s="60" t="str">
        <f>IF('Cálculo MP'!L39="","",'Cálculo MP'!L39)</f>
        <v/>
      </c>
      <c r="BA29" s="60" t="str">
        <f>IF('Cálculo MP'!M39="","",'Cálculo MP'!M39)</f>
        <v/>
      </c>
      <c r="BB29" s="60" t="str">
        <f>IF('Cálculo MP'!N39="","",'Cálculo MP'!N39)</f>
        <v/>
      </c>
      <c r="BC29" s="60" t="str">
        <f>IF('Cálculo MP'!O39="","",'Cálculo MP'!O39)</f>
        <v/>
      </c>
      <c r="BD29" s="60" t="str">
        <f>IF('Cálculo MP'!P39="","",'Cálculo MP'!P39)</f>
        <v/>
      </c>
      <c r="BE29" s="60" t="str">
        <f>IF('Cálculo MP'!Q39="","",'Cálculo MP'!Q39)</f>
        <v/>
      </c>
      <c r="BF29" s="60" t="str">
        <f>IF('Cálculo MP'!R39="","",'Cálculo MP'!R39)</f>
        <v/>
      </c>
      <c r="BG29" s="60" t="str">
        <f>IF('Cálculo MP'!S39="","",'Cálculo MP'!S39)</f>
        <v/>
      </c>
      <c r="BH29" s="61"/>
      <c r="BI29" s="61"/>
      <c r="BJ29" s="61"/>
      <c r="BK29" s="61"/>
      <c r="BL29" s="61"/>
      <c r="BM29" s="61"/>
      <c r="BN29" s="61"/>
      <c r="BO29" s="61"/>
    </row>
    <row r="30" spans="1:67" ht="19.5" customHeight="1" x14ac:dyDescent="0.15">
      <c r="A30" s="123" t="s">
        <v>1856</v>
      </c>
      <c r="B30" s="122" t="s">
        <v>1854</v>
      </c>
      <c r="C30" s="49"/>
      <c r="D30" s="48" t="s">
        <v>73</v>
      </c>
      <c r="E30" s="49"/>
      <c r="F30" s="50"/>
      <c r="G30" s="62"/>
      <c r="H30" s="48" t="s">
        <v>72</v>
      </c>
      <c r="I30" s="52">
        <v>1</v>
      </c>
      <c r="J30" s="52"/>
      <c r="K30" s="52" t="s">
        <v>73</v>
      </c>
      <c r="L30" s="52" t="s">
        <v>74</v>
      </c>
      <c r="M30" s="53" t="s">
        <v>942</v>
      </c>
      <c r="N30" s="58" t="s">
        <v>73</v>
      </c>
      <c r="O30" s="48" t="s">
        <v>72</v>
      </c>
      <c r="P30" s="48" t="s">
        <v>73</v>
      </c>
      <c r="Q30" s="54" t="s">
        <v>73</v>
      </c>
      <c r="R30" s="55" t="s">
        <v>73</v>
      </c>
      <c r="S30" s="48" t="s">
        <v>73</v>
      </c>
      <c r="T30" s="130"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8" t="str" cm="1">
        <f t="array" ref="U30">IF(SUMPRODUCT(--((CAT_Procesos!$E$2:$E$1581=O30)*(CAT_Procesos!$F$2:$F$1581=_xlfn.TEXTJOIN(" + ",TRUE,IF((TRIM(P30:S30)="")+(LOWER(TRIM(P30:S30))="(seleccione)"),"",PROPER(TRIM(P30:S30)))))*(CAT_Procesos!$D$2:$D$1581=IFERROR(VLOOKUP(N30&amp;"*",CAT_Procesos!$D:$D,1,FALSE),""))))=0,"Combinación no existente",IF(SUMPRODUCT(((CAT_Procesos!$E$2:$E$1581=O30)*(CAT_Procesos!$F$2:$F$1581=_xlfn.TEXTJOIN(" + ",TRUE,IF((TRIM(P30:S30)="")+(LOWER(TRIM(P30:S30))="(seleccione)"),"",PROPER(TRIM(P30:S30)))))*(CAT_Procesos!$D$2:$D$1581=IFERROR(VLOOKUP(N30&amp;"*",CAT_Procesos!$D:$D,1,FALSE),"")))*(CAT_Procesos!$G$2:$G$1581=INDEX(CAT_Procesos!$G$2:$G$1581,MATCH(1,(CAT_Procesos!$E$2:$E$1581=O30)*(CAT_Procesos!$F$2:$F$1581=_xlfn.TEXTJOIN(" + ",TRUE,IF((TRIM(P30:S30)="")+(LOWER(TRIM(P30:S30))="(seleccione)"),"",PROPER(TRIM(P30:S30)))))*(CAT_Procesos!$D$2:$D$1581=IFERROR(VLOOKUP(N30&amp;"*",CAT_Procesos!$D:$D,1,FALSE),"")),0))))=SUMPRODUCT(--((CAT_Procesos!$E$2:$E$1581=O30)*(CAT_Procesos!$F$2:$F$1581=_xlfn.TEXTJOIN(" + ",TRUE,IF((TRIM(P30:S30)="")+(LOWER(TRIM(P30:S30))="(seleccione)"),"",PROPER(TRIM(P30:S30)))))*(CAT_Procesos!$D$2:$D$1581=IFERROR(VLOOKUP(N30&amp;"*",CAT_Procesos!$D:$D,1,FALSE),"")))),INDEX(CAT_Procesos!$G$2:$G$1581,MATCH(1,(CAT_Procesos!$E$2:$E$1581=O30)*(CAT_Procesos!$F$2:$F$1581=_xlfn.TEXTJOIN(" + ",TRUE,IF((TRIM(P30:S30)="")+(LOWER(TRIM(P30:S30))="(seleccione)"),"",PROPER(TRIM(P30:S30)))))*(CAT_Procesos!$D$2:$D$1581=IFERROR(VLOOKUP(N30&amp;"*",CAT_Procesos!$D:$D,1,FALSE),"")),0)),"(seleccione)"))</f>
        <v>Combinación no existente</v>
      </c>
      <c r="V30" s="55" t="s">
        <v>73</v>
      </c>
      <c r="W30" s="56" t="s">
        <v>73</v>
      </c>
      <c r="X30" s="57" t="str">
        <f t="shared" si="0"/>
        <v/>
      </c>
      <c r="Y30" s="58" t="s">
        <v>73</v>
      </c>
      <c r="Z30" s="57" t="str">
        <f t="shared" si="1"/>
        <v/>
      </c>
      <c r="AA30" s="58" t="s">
        <v>73</v>
      </c>
      <c r="AB30" s="57" t="str">
        <f t="shared" si="2"/>
        <v/>
      </c>
      <c r="AC30" s="58" t="s">
        <v>73</v>
      </c>
      <c r="AD30" s="57" t="str">
        <f t="shared" si="3"/>
        <v/>
      </c>
      <c r="AE30" s="59"/>
      <c r="AF30" s="59"/>
      <c r="AG30" s="59"/>
      <c r="AH30" s="59"/>
      <c r="AI30" s="59" t="s">
        <v>73</v>
      </c>
      <c r="AJ30" s="59"/>
      <c r="AK30" s="59" t="s">
        <v>73</v>
      </c>
      <c r="AL30" s="59"/>
      <c r="AM30" s="59" t="s">
        <v>73</v>
      </c>
      <c r="AN30" s="59"/>
      <c r="AO30" s="59" t="s">
        <v>73</v>
      </c>
      <c r="AP30" s="59"/>
      <c r="AQ30" s="59" t="s">
        <v>73</v>
      </c>
      <c r="AR30" s="59"/>
      <c r="AS30" s="59" t="s">
        <v>72</v>
      </c>
      <c r="AT30" s="59"/>
      <c r="AU30" s="59"/>
      <c r="AV30" s="59"/>
      <c r="AW30" s="59"/>
      <c r="AX30" s="59"/>
      <c r="AY30" s="60" t="str">
        <f>IF('Cálculo MP'!K40="","",'Cálculo MP'!K40)</f>
        <v/>
      </c>
      <c r="AZ30" s="60" t="str">
        <f>IF('Cálculo MP'!L40="","",'Cálculo MP'!L40)</f>
        <v/>
      </c>
      <c r="BA30" s="60" t="str">
        <f>IF('Cálculo MP'!M40="","",'Cálculo MP'!M40)</f>
        <v/>
      </c>
      <c r="BB30" s="60" t="str">
        <f>IF('Cálculo MP'!N40="","",'Cálculo MP'!N40)</f>
        <v/>
      </c>
      <c r="BC30" s="60" t="str">
        <f>IF('Cálculo MP'!O40="","",'Cálculo MP'!O40)</f>
        <v/>
      </c>
      <c r="BD30" s="60" t="str">
        <f>IF('Cálculo MP'!P40="","",'Cálculo MP'!P40)</f>
        <v/>
      </c>
      <c r="BE30" s="60" t="str">
        <f>IF('Cálculo MP'!Q40="","",'Cálculo MP'!Q40)</f>
        <v/>
      </c>
      <c r="BF30" s="60" t="str">
        <f>IF('Cálculo MP'!R40="","",'Cálculo MP'!R40)</f>
        <v/>
      </c>
      <c r="BG30" s="60" t="str">
        <f>IF('Cálculo MP'!S40="","",'Cálculo MP'!S40)</f>
        <v/>
      </c>
      <c r="BH30" s="61"/>
      <c r="BI30" s="61"/>
      <c r="BJ30" s="61"/>
      <c r="BK30" s="61"/>
      <c r="BL30" s="61"/>
      <c r="BM30" s="61"/>
      <c r="BN30" s="61"/>
      <c r="BO30" s="61"/>
    </row>
    <row r="31" spans="1:67" ht="19.5" customHeight="1" x14ac:dyDescent="0.15">
      <c r="A31" s="123" t="s">
        <v>1856</v>
      </c>
      <c r="B31" s="122" t="s">
        <v>1854</v>
      </c>
      <c r="C31" s="49"/>
      <c r="D31" s="48" t="s">
        <v>73</v>
      </c>
      <c r="E31" s="49"/>
      <c r="F31" s="50"/>
      <c r="G31" s="62"/>
      <c r="H31" s="48" t="s">
        <v>72</v>
      </c>
      <c r="I31" s="52">
        <v>1</v>
      </c>
      <c r="J31" s="52"/>
      <c r="K31" s="52" t="s">
        <v>73</v>
      </c>
      <c r="L31" s="52" t="s">
        <v>74</v>
      </c>
      <c r="M31" s="53" t="s">
        <v>942</v>
      </c>
      <c r="N31" s="58" t="s">
        <v>73</v>
      </c>
      <c r="O31" s="48" t="s">
        <v>72</v>
      </c>
      <c r="P31" s="48" t="s">
        <v>73</v>
      </c>
      <c r="Q31" s="54" t="s">
        <v>73</v>
      </c>
      <c r="R31" s="55" t="s">
        <v>73</v>
      </c>
      <c r="S31" s="48" t="s">
        <v>73</v>
      </c>
      <c r="T31" s="130"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8" t="str" cm="1">
        <f t="array" ref="U31">IF(SUMPRODUCT(--((CAT_Procesos!$E$2:$E$1581=O31)*(CAT_Procesos!$F$2:$F$1581=_xlfn.TEXTJOIN(" + ",TRUE,IF((TRIM(P31:S31)="")+(LOWER(TRIM(P31:S31))="(seleccione)"),"",PROPER(TRIM(P31:S31)))))*(CAT_Procesos!$D$2:$D$1581=IFERROR(VLOOKUP(N31&amp;"*",CAT_Procesos!$D:$D,1,FALSE),""))))=0,"Combinación no existente",IF(SUMPRODUCT(((CAT_Procesos!$E$2:$E$1581=O31)*(CAT_Procesos!$F$2:$F$1581=_xlfn.TEXTJOIN(" + ",TRUE,IF((TRIM(P31:S31)="")+(LOWER(TRIM(P31:S31))="(seleccione)"),"",PROPER(TRIM(P31:S31)))))*(CAT_Procesos!$D$2:$D$1581=IFERROR(VLOOKUP(N31&amp;"*",CAT_Procesos!$D:$D,1,FALSE),"")))*(CAT_Procesos!$G$2:$G$1581=INDEX(CAT_Procesos!$G$2:$G$1581,MATCH(1,(CAT_Procesos!$E$2:$E$1581=O31)*(CAT_Procesos!$F$2:$F$1581=_xlfn.TEXTJOIN(" + ",TRUE,IF((TRIM(P31:S31)="")+(LOWER(TRIM(P31:S31))="(seleccione)"),"",PROPER(TRIM(P31:S31)))))*(CAT_Procesos!$D$2:$D$1581=IFERROR(VLOOKUP(N31&amp;"*",CAT_Procesos!$D:$D,1,FALSE),"")),0))))=SUMPRODUCT(--((CAT_Procesos!$E$2:$E$1581=O31)*(CAT_Procesos!$F$2:$F$1581=_xlfn.TEXTJOIN(" + ",TRUE,IF((TRIM(P31:S31)="")+(LOWER(TRIM(P31:S31))="(seleccione)"),"",PROPER(TRIM(P31:S31)))))*(CAT_Procesos!$D$2:$D$1581=IFERROR(VLOOKUP(N31&amp;"*",CAT_Procesos!$D:$D,1,FALSE),"")))),INDEX(CAT_Procesos!$G$2:$G$1581,MATCH(1,(CAT_Procesos!$E$2:$E$1581=O31)*(CAT_Procesos!$F$2:$F$1581=_xlfn.TEXTJOIN(" + ",TRUE,IF((TRIM(P31:S31)="")+(LOWER(TRIM(P31:S31))="(seleccione)"),"",PROPER(TRIM(P31:S31)))))*(CAT_Procesos!$D$2:$D$1581=IFERROR(VLOOKUP(N31&amp;"*",CAT_Procesos!$D:$D,1,FALSE),"")),0)),"(seleccione)"))</f>
        <v>Combinación no existente</v>
      </c>
      <c r="V31" s="55" t="s">
        <v>73</v>
      </c>
      <c r="W31" s="56" t="s">
        <v>73</v>
      </c>
      <c r="X31" s="57" t="str">
        <f t="shared" si="0"/>
        <v/>
      </c>
      <c r="Y31" s="58" t="s">
        <v>73</v>
      </c>
      <c r="Z31" s="57" t="str">
        <f t="shared" si="1"/>
        <v/>
      </c>
      <c r="AA31" s="58" t="s">
        <v>73</v>
      </c>
      <c r="AB31" s="57" t="str">
        <f t="shared" si="2"/>
        <v/>
      </c>
      <c r="AC31" s="58" t="s">
        <v>73</v>
      </c>
      <c r="AD31" s="57" t="str">
        <f t="shared" si="3"/>
        <v/>
      </c>
      <c r="AE31" s="59"/>
      <c r="AF31" s="59"/>
      <c r="AG31" s="59"/>
      <c r="AH31" s="59"/>
      <c r="AI31" s="59" t="s">
        <v>73</v>
      </c>
      <c r="AJ31" s="59"/>
      <c r="AK31" s="59" t="s">
        <v>73</v>
      </c>
      <c r="AL31" s="59"/>
      <c r="AM31" s="59" t="s">
        <v>73</v>
      </c>
      <c r="AN31" s="59"/>
      <c r="AO31" s="59" t="s">
        <v>73</v>
      </c>
      <c r="AP31" s="59"/>
      <c r="AQ31" s="59" t="s">
        <v>73</v>
      </c>
      <c r="AR31" s="59"/>
      <c r="AS31" s="59" t="s">
        <v>72</v>
      </c>
      <c r="AT31" s="59"/>
      <c r="AU31" s="59"/>
      <c r="AV31" s="59"/>
      <c r="AW31" s="59"/>
      <c r="AX31" s="59"/>
      <c r="AY31" s="60" t="str">
        <f>IF('Cálculo MP'!K41="","",'Cálculo MP'!K41)</f>
        <v/>
      </c>
      <c r="AZ31" s="60" t="str">
        <f>IF('Cálculo MP'!L41="","",'Cálculo MP'!L41)</f>
        <v/>
      </c>
      <c r="BA31" s="60" t="str">
        <f>IF('Cálculo MP'!M41="","",'Cálculo MP'!M41)</f>
        <v/>
      </c>
      <c r="BB31" s="60" t="str">
        <f>IF('Cálculo MP'!N41="","",'Cálculo MP'!N41)</f>
        <v/>
      </c>
      <c r="BC31" s="60" t="str">
        <f>IF('Cálculo MP'!O41="","",'Cálculo MP'!O41)</f>
        <v/>
      </c>
      <c r="BD31" s="60" t="str">
        <f>IF('Cálculo MP'!P41="","",'Cálculo MP'!P41)</f>
        <v/>
      </c>
      <c r="BE31" s="60" t="str">
        <f>IF('Cálculo MP'!Q41="","",'Cálculo MP'!Q41)</f>
        <v/>
      </c>
      <c r="BF31" s="60" t="str">
        <f>IF('Cálculo MP'!R41="","",'Cálculo MP'!R41)</f>
        <v/>
      </c>
      <c r="BG31" s="60" t="str">
        <f>IF('Cálculo MP'!S41="","",'Cálculo MP'!S41)</f>
        <v/>
      </c>
      <c r="BH31" s="61"/>
      <c r="BI31" s="61"/>
      <c r="BJ31" s="61"/>
      <c r="BK31" s="61"/>
      <c r="BL31" s="61"/>
      <c r="BM31" s="61"/>
      <c r="BN31" s="61"/>
      <c r="BO31" s="61"/>
    </row>
    <row r="32" spans="1:67" ht="19.5" customHeight="1" x14ac:dyDescent="0.15">
      <c r="A32" s="123" t="s">
        <v>1856</v>
      </c>
      <c r="B32" s="122" t="s">
        <v>1854</v>
      </c>
      <c r="C32" s="49"/>
      <c r="D32" s="48" t="s">
        <v>73</v>
      </c>
      <c r="E32" s="49"/>
      <c r="F32" s="50"/>
      <c r="G32" s="62"/>
      <c r="H32" s="48" t="s">
        <v>72</v>
      </c>
      <c r="I32" s="52">
        <v>1</v>
      </c>
      <c r="J32" s="52"/>
      <c r="K32" s="52" t="s">
        <v>73</v>
      </c>
      <c r="L32" s="52" t="s">
        <v>74</v>
      </c>
      <c r="M32" s="53" t="s">
        <v>942</v>
      </c>
      <c r="N32" s="58" t="s">
        <v>73</v>
      </c>
      <c r="O32" s="48" t="s">
        <v>72</v>
      </c>
      <c r="P32" s="48" t="s">
        <v>73</v>
      </c>
      <c r="Q32" s="54" t="s">
        <v>73</v>
      </c>
      <c r="R32" s="55" t="s">
        <v>73</v>
      </c>
      <c r="S32" s="48" t="s">
        <v>73</v>
      </c>
      <c r="T32" s="130"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8" t="str" cm="1">
        <f t="array" ref="U32">IF(SUMPRODUCT(--((CAT_Procesos!$E$2:$E$1581=O32)*(CAT_Procesos!$F$2:$F$1581=_xlfn.TEXTJOIN(" + ",TRUE,IF((TRIM(P32:S32)="")+(LOWER(TRIM(P32:S32))="(seleccione)"),"",PROPER(TRIM(P32:S32)))))*(CAT_Procesos!$D$2:$D$1581=IFERROR(VLOOKUP(N32&amp;"*",CAT_Procesos!$D:$D,1,FALSE),""))))=0,"Combinación no existente",IF(SUMPRODUCT(((CAT_Procesos!$E$2:$E$1581=O32)*(CAT_Procesos!$F$2:$F$1581=_xlfn.TEXTJOIN(" + ",TRUE,IF((TRIM(P32:S32)="")+(LOWER(TRIM(P32:S32))="(seleccione)"),"",PROPER(TRIM(P32:S32)))))*(CAT_Procesos!$D$2:$D$1581=IFERROR(VLOOKUP(N32&amp;"*",CAT_Procesos!$D:$D,1,FALSE),"")))*(CAT_Procesos!$G$2:$G$1581=INDEX(CAT_Procesos!$G$2:$G$1581,MATCH(1,(CAT_Procesos!$E$2:$E$1581=O32)*(CAT_Procesos!$F$2:$F$1581=_xlfn.TEXTJOIN(" + ",TRUE,IF((TRIM(P32:S32)="")+(LOWER(TRIM(P32:S32))="(seleccione)"),"",PROPER(TRIM(P32:S32)))))*(CAT_Procesos!$D$2:$D$1581=IFERROR(VLOOKUP(N32&amp;"*",CAT_Procesos!$D:$D,1,FALSE),"")),0))))=SUMPRODUCT(--((CAT_Procesos!$E$2:$E$1581=O32)*(CAT_Procesos!$F$2:$F$1581=_xlfn.TEXTJOIN(" + ",TRUE,IF((TRIM(P32:S32)="")+(LOWER(TRIM(P32:S32))="(seleccione)"),"",PROPER(TRIM(P32:S32)))))*(CAT_Procesos!$D$2:$D$1581=IFERROR(VLOOKUP(N32&amp;"*",CAT_Procesos!$D:$D,1,FALSE),"")))),INDEX(CAT_Procesos!$G$2:$G$1581,MATCH(1,(CAT_Procesos!$E$2:$E$1581=O32)*(CAT_Procesos!$F$2:$F$1581=_xlfn.TEXTJOIN(" + ",TRUE,IF((TRIM(P32:S32)="")+(LOWER(TRIM(P32:S32))="(seleccione)"),"",PROPER(TRIM(P32:S32)))))*(CAT_Procesos!$D$2:$D$1581=IFERROR(VLOOKUP(N32&amp;"*",CAT_Procesos!$D:$D,1,FALSE),"")),0)),"(seleccione)"))</f>
        <v>Combinación no existente</v>
      </c>
      <c r="V32" s="55" t="s">
        <v>73</v>
      </c>
      <c r="W32" s="56" t="s">
        <v>73</v>
      </c>
      <c r="X32" s="57" t="str">
        <f t="shared" si="0"/>
        <v/>
      </c>
      <c r="Y32" s="58" t="s">
        <v>73</v>
      </c>
      <c r="Z32" s="57" t="str">
        <f t="shared" si="1"/>
        <v/>
      </c>
      <c r="AA32" s="58" t="s">
        <v>73</v>
      </c>
      <c r="AB32" s="57" t="str">
        <f t="shared" si="2"/>
        <v/>
      </c>
      <c r="AC32" s="58" t="s">
        <v>73</v>
      </c>
      <c r="AD32" s="57" t="str">
        <f t="shared" si="3"/>
        <v/>
      </c>
      <c r="AE32" s="59"/>
      <c r="AF32" s="59"/>
      <c r="AG32" s="59"/>
      <c r="AH32" s="59"/>
      <c r="AI32" s="59" t="s">
        <v>73</v>
      </c>
      <c r="AJ32" s="59"/>
      <c r="AK32" s="59" t="s">
        <v>73</v>
      </c>
      <c r="AL32" s="59"/>
      <c r="AM32" s="59" t="s">
        <v>73</v>
      </c>
      <c r="AN32" s="59"/>
      <c r="AO32" s="59" t="s">
        <v>73</v>
      </c>
      <c r="AP32" s="59"/>
      <c r="AQ32" s="59" t="s">
        <v>73</v>
      </c>
      <c r="AR32" s="59"/>
      <c r="AS32" s="59" t="s">
        <v>72</v>
      </c>
      <c r="AT32" s="59"/>
      <c r="AU32" s="59"/>
      <c r="AV32" s="59"/>
      <c r="AW32" s="59"/>
      <c r="AX32" s="59"/>
      <c r="AY32" s="60" t="str">
        <f>IF('Cálculo MP'!K42="","",'Cálculo MP'!K42)</f>
        <v/>
      </c>
      <c r="AZ32" s="60" t="str">
        <f>IF('Cálculo MP'!L42="","",'Cálculo MP'!L42)</f>
        <v/>
      </c>
      <c r="BA32" s="60" t="str">
        <f>IF('Cálculo MP'!M42="","",'Cálculo MP'!M42)</f>
        <v/>
      </c>
      <c r="BB32" s="60" t="str">
        <f>IF('Cálculo MP'!N42="","",'Cálculo MP'!N42)</f>
        <v/>
      </c>
      <c r="BC32" s="60" t="str">
        <f>IF('Cálculo MP'!O42="","",'Cálculo MP'!O42)</f>
        <v/>
      </c>
      <c r="BD32" s="60" t="str">
        <f>IF('Cálculo MP'!P42="","",'Cálculo MP'!P42)</f>
        <v/>
      </c>
      <c r="BE32" s="60" t="str">
        <f>IF('Cálculo MP'!Q42="","",'Cálculo MP'!Q42)</f>
        <v/>
      </c>
      <c r="BF32" s="60" t="str">
        <f>IF('Cálculo MP'!R42="","",'Cálculo MP'!R42)</f>
        <v/>
      </c>
      <c r="BG32" s="60" t="str">
        <f>IF('Cálculo MP'!S42="","",'Cálculo MP'!S42)</f>
        <v/>
      </c>
      <c r="BH32" s="61"/>
      <c r="BI32" s="61"/>
      <c r="BJ32" s="61"/>
      <c r="BK32" s="61"/>
      <c r="BL32" s="61"/>
      <c r="BM32" s="61"/>
      <c r="BN32" s="61"/>
      <c r="BO32" s="61"/>
    </row>
    <row r="33" spans="1:67" ht="19.5" customHeight="1" x14ac:dyDescent="0.15">
      <c r="A33" s="123" t="s">
        <v>1856</v>
      </c>
      <c r="B33" s="122" t="s">
        <v>1854</v>
      </c>
      <c r="C33" s="49"/>
      <c r="D33" s="48" t="s">
        <v>73</v>
      </c>
      <c r="E33" s="49"/>
      <c r="F33" s="50"/>
      <c r="G33" s="62"/>
      <c r="H33" s="48" t="s">
        <v>72</v>
      </c>
      <c r="I33" s="52">
        <v>1</v>
      </c>
      <c r="J33" s="52"/>
      <c r="K33" s="52" t="s">
        <v>73</v>
      </c>
      <c r="L33" s="52" t="s">
        <v>74</v>
      </c>
      <c r="M33" s="53" t="s">
        <v>942</v>
      </c>
      <c r="N33" s="58" t="s">
        <v>73</v>
      </c>
      <c r="O33" s="48" t="s">
        <v>72</v>
      </c>
      <c r="P33" s="48" t="s">
        <v>73</v>
      </c>
      <c r="Q33" s="54" t="s">
        <v>73</v>
      </c>
      <c r="R33" s="55" t="s">
        <v>73</v>
      </c>
      <c r="S33" s="48" t="s">
        <v>73</v>
      </c>
      <c r="T33" s="130"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8" t="str" cm="1">
        <f t="array" ref="U33">IF(SUMPRODUCT(--((CAT_Procesos!$E$2:$E$1581=O33)*(CAT_Procesos!$F$2:$F$1581=_xlfn.TEXTJOIN(" + ",TRUE,IF((TRIM(P33:S33)="")+(LOWER(TRIM(P33:S33))="(seleccione)"),"",PROPER(TRIM(P33:S33)))))*(CAT_Procesos!$D$2:$D$1581=IFERROR(VLOOKUP(N33&amp;"*",CAT_Procesos!$D:$D,1,FALSE),""))))=0,"Combinación no existente",IF(SUMPRODUCT(((CAT_Procesos!$E$2:$E$1581=O33)*(CAT_Procesos!$F$2:$F$1581=_xlfn.TEXTJOIN(" + ",TRUE,IF((TRIM(P33:S33)="")+(LOWER(TRIM(P33:S33))="(seleccione)"),"",PROPER(TRIM(P33:S33)))))*(CAT_Procesos!$D$2:$D$1581=IFERROR(VLOOKUP(N33&amp;"*",CAT_Procesos!$D:$D,1,FALSE),"")))*(CAT_Procesos!$G$2:$G$1581=INDEX(CAT_Procesos!$G$2:$G$1581,MATCH(1,(CAT_Procesos!$E$2:$E$1581=O33)*(CAT_Procesos!$F$2:$F$1581=_xlfn.TEXTJOIN(" + ",TRUE,IF((TRIM(P33:S33)="")+(LOWER(TRIM(P33:S33))="(seleccione)"),"",PROPER(TRIM(P33:S33)))))*(CAT_Procesos!$D$2:$D$1581=IFERROR(VLOOKUP(N33&amp;"*",CAT_Procesos!$D:$D,1,FALSE),"")),0))))=SUMPRODUCT(--((CAT_Procesos!$E$2:$E$1581=O33)*(CAT_Procesos!$F$2:$F$1581=_xlfn.TEXTJOIN(" + ",TRUE,IF((TRIM(P33:S33)="")+(LOWER(TRIM(P33:S33))="(seleccione)"),"",PROPER(TRIM(P33:S33)))))*(CAT_Procesos!$D$2:$D$1581=IFERROR(VLOOKUP(N33&amp;"*",CAT_Procesos!$D:$D,1,FALSE),"")))),INDEX(CAT_Procesos!$G$2:$G$1581,MATCH(1,(CAT_Procesos!$E$2:$E$1581=O33)*(CAT_Procesos!$F$2:$F$1581=_xlfn.TEXTJOIN(" + ",TRUE,IF((TRIM(P33:S33)="")+(LOWER(TRIM(P33:S33))="(seleccione)"),"",PROPER(TRIM(P33:S33)))))*(CAT_Procesos!$D$2:$D$1581=IFERROR(VLOOKUP(N33&amp;"*",CAT_Procesos!$D:$D,1,FALSE),"")),0)),"(seleccione)"))</f>
        <v>Combinación no existente</v>
      </c>
      <c r="V33" s="55" t="s">
        <v>73</v>
      </c>
      <c r="W33" s="56" t="s">
        <v>73</v>
      </c>
      <c r="X33" s="57" t="str">
        <f t="shared" si="0"/>
        <v/>
      </c>
      <c r="Y33" s="58" t="s">
        <v>73</v>
      </c>
      <c r="Z33" s="57" t="str">
        <f t="shared" si="1"/>
        <v/>
      </c>
      <c r="AA33" s="58" t="s">
        <v>73</v>
      </c>
      <c r="AB33" s="57" t="str">
        <f t="shared" si="2"/>
        <v/>
      </c>
      <c r="AC33" s="58" t="s">
        <v>73</v>
      </c>
      <c r="AD33" s="57" t="str">
        <f t="shared" si="3"/>
        <v/>
      </c>
      <c r="AE33" s="59"/>
      <c r="AF33" s="59"/>
      <c r="AG33" s="59"/>
      <c r="AH33" s="59"/>
      <c r="AI33" s="59" t="s">
        <v>73</v>
      </c>
      <c r="AJ33" s="59"/>
      <c r="AK33" s="59" t="s">
        <v>73</v>
      </c>
      <c r="AL33" s="59"/>
      <c r="AM33" s="59" t="s">
        <v>73</v>
      </c>
      <c r="AN33" s="59"/>
      <c r="AO33" s="59" t="s">
        <v>73</v>
      </c>
      <c r="AP33" s="59"/>
      <c r="AQ33" s="59" t="s">
        <v>73</v>
      </c>
      <c r="AR33" s="59"/>
      <c r="AS33" s="59" t="s">
        <v>72</v>
      </c>
      <c r="AT33" s="59"/>
      <c r="AU33" s="59"/>
      <c r="AV33" s="59"/>
      <c r="AW33" s="59"/>
      <c r="AX33" s="59"/>
      <c r="AY33" s="60" t="str">
        <f>IF('Cálculo MP'!K43="","",'Cálculo MP'!K43)</f>
        <v/>
      </c>
      <c r="AZ33" s="60" t="str">
        <f>IF('Cálculo MP'!L43="","",'Cálculo MP'!L43)</f>
        <v/>
      </c>
      <c r="BA33" s="60" t="str">
        <f>IF('Cálculo MP'!M43="","",'Cálculo MP'!M43)</f>
        <v/>
      </c>
      <c r="BB33" s="60" t="str">
        <f>IF('Cálculo MP'!N43="","",'Cálculo MP'!N43)</f>
        <v/>
      </c>
      <c r="BC33" s="60" t="str">
        <f>IF('Cálculo MP'!O43="","",'Cálculo MP'!O43)</f>
        <v/>
      </c>
      <c r="BD33" s="60" t="str">
        <f>IF('Cálculo MP'!P43="","",'Cálculo MP'!P43)</f>
        <v/>
      </c>
      <c r="BE33" s="60" t="str">
        <f>IF('Cálculo MP'!Q43="","",'Cálculo MP'!Q43)</f>
        <v/>
      </c>
      <c r="BF33" s="60" t="str">
        <f>IF('Cálculo MP'!R43="","",'Cálculo MP'!R43)</f>
        <v/>
      </c>
      <c r="BG33" s="60" t="str">
        <f>IF('Cálculo MP'!S43="","",'Cálculo MP'!S43)</f>
        <v/>
      </c>
      <c r="BH33" s="61"/>
      <c r="BI33" s="61"/>
      <c r="BJ33" s="61"/>
      <c r="BK33" s="61"/>
      <c r="BL33" s="61"/>
      <c r="BM33" s="61"/>
      <c r="BN33" s="61"/>
      <c r="BO33" s="61"/>
    </row>
    <row r="34" spans="1:67" ht="19.5" customHeight="1" x14ac:dyDescent="0.15">
      <c r="A34" s="123" t="s">
        <v>1856</v>
      </c>
      <c r="B34" s="122" t="s">
        <v>1854</v>
      </c>
      <c r="C34" s="49"/>
      <c r="D34" s="48" t="s">
        <v>73</v>
      </c>
      <c r="E34" s="49"/>
      <c r="F34" s="50"/>
      <c r="G34" s="62"/>
      <c r="H34" s="48" t="s">
        <v>72</v>
      </c>
      <c r="I34" s="52">
        <v>1</v>
      </c>
      <c r="J34" s="52"/>
      <c r="K34" s="52" t="s">
        <v>73</v>
      </c>
      <c r="L34" s="52" t="s">
        <v>74</v>
      </c>
      <c r="M34" s="53" t="s">
        <v>942</v>
      </c>
      <c r="N34" s="58" t="s">
        <v>73</v>
      </c>
      <c r="O34" s="48" t="s">
        <v>72</v>
      </c>
      <c r="P34" s="48" t="s">
        <v>73</v>
      </c>
      <c r="Q34" s="54" t="s">
        <v>73</v>
      </c>
      <c r="R34" s="55" t="s">
        <v>73</v>
      </c>
      <c r="S34" s="48" t="s">
        <v>73</v>
      </c>
      <c r="T34" s="130"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8" t="str" cm="1">
        <f t="array" ref="U34">IF(SUMPRODUCT(--((CAT_Procesos!$E$2:$E$1581=O34)*(CAT_Procesos!$F$2:$F$1581=_xlfn.TEXTJOIN(" + ",TRUE,IF((TRIM(P34:S34)="")+(LOWER(TRIM(P34:S34))="(seleccione)"),"",PROPER(TRIM(P34:S34)))))*(CAT_Procesos!$D$2:$D$1581=IFERROR(VLOOKUP(N34&amp;"*",CAT_Procesos!$D:$D,1,FALSE),""))))=0,"Combinación no existente",IF(SUMPRODUCT(((CAT_Procesos!$E$2:$E$1581=O34)*(CAT_Procesos!$F$2:$F$1581=_xlfn.TEXTJOIN(" + ",TRUE,IF((TRIM(P34:S34)="")+(LOWER(TRIM(P34:S34))="(seleccione)"),"",PROPER(TRIM(P34:S34)))))*(CAT_Procesos!$D$2:$D$1581=IFERROR(VLOOKUP(N34&amp;"*",CAT_Procesos!$D:$D,1,FALSE),"")))*(CAT_Procesos!$G$2:$G$1581=INDEX(CAT_Procesos!$G$2:$G$1581,MATCH(1,(CAT_Procesos!$E$2:$E$1581=O34)*(CAT_Procesos!$F$2:$F$1581=_xlfn.TEXTJOIN(" + ",TRUE,IF((TRIM(P34:S34)="")+(LOWER(TRIM(P34:S34))="(seleccione)"),"",PROPER(TRIM(P34:S34)))))*(CAT_Procesos!$D$2:$D$1581=IFERROR(VLOOKUP(N34&amp;"*",CAT_Procesos!$D:$D,1,FALSE),"")),0))))=SUMPRODUCT(--((CAT_Procesos!$E$2:$E$1581=O34)*(CAT_Procesos!$F$2:$F$1581=_xlfn.TEXTJOIN(" + ",TRUE,IF((TRIM(P34:S34)="")+(LOWER(TRIM(P34:S34))="(seleccione)"),"",PROPER(TRIM(P34:S34)))))*(CAT_Procesos!$D$2:$D$1581=IFERROR(VLOOKUP(N34&amp;"*",CAT_Procesos!$D:$D,1,FALSE),"")))),INDEX(CAT_Procesos!$G$2:$G$1581,MATCH(1,(CAT_Procesos!$E$2:$E$1581=O34)*(CAT_Procesos!$F$2:$F$1581=_xlfn.TEXTJOIN(" + ",TRUE,IF((TRIM(P34:S34)="")+(LOWER(TRIM(P34:S34))="(seleccione)"),"",PROPER(TRIM(P34:S34)))))*(CAT_Procesos!$D$2:$D$1581=IFERROR(VLOOKUP(N34&amp;"*",CAT_Procesos!$D:$D,1,FALSE),"")),0)),"(seleccione)"))</f>
        <v>Combinación no existente</v>
      </c>
      <c r="V34" s="55" t="s">
        <v>73</v>
      </c>
      <c r="W34" s="56" t="s">
        <v>73</v>
      </c>
      <c r="X34" s="57" t="str">
        <f t="shared" si="0"/>
        <v/>
      </c>
      <c r="Y34" s="58" t="s">
        <v>73</v>
      </c>
      <c r="Z34" s="57" t="str">
        <f t="shared" si="1"/>
        <v/>
      </c>
      <c r="AA34" s="58" t="s">
        <v>73</v>
      </c>
      <c r="AB34" s="57" t="str">
        <f t="shared" si="2"/>
        <v/>
      </c>
      <c r="AC34" s="58" t="s">
        <v>73</v>
      </c>
      <c r="AD34" s="57" t="str">
        <f t="shared" si="3"/>
        <v/>
      </c>
      <c r="AE34" s="59"/>
      <c r="AF34" s="59"/>
      <c r="AG34" s="59"/>
      <c r="AH34" s="59"/>
      <c r="AI34" s="59" t="s">
        <v>73</v>
      </c>
      <c r="AJ34" s="59"/>
      <c r="AK34" s="59" t="s">
        <v>73</v>
      </c>
      <c r="AL34" s="59"/>
      <c r="AM34" s="59" t="s">
        <v>73</v>
      </c>
      <c r="AN34" s="59"/>
      <c r="AO34" s="59" t="s">
        <v>73</v>
      </c>
      <c r="AP34" s="59"/>
      <c r="AQ34" s="59" t="s">
        <v>73</v>
      </c>
      <c r="AR34" s="59"/>
      <c r="AS34" s="59" t="s">
        <v>72</v>
      </c>
      <c r="AT34" s="59"/>
      <c r="AU34" s="59"/>
      <c r="AV34" s="59"/>
      <c r="AW34" s="59"/>
      <c r="AX34" s="59"/>
      <c r="AY34" s="60" t="str">
        <f>IF('Cálculo MP'!K44="","",'Cálculo MP'!K44)</f>
        <v/>
      </c>
      <c r="AZ34" s="60" t="str">
        <f>IF('Cálculo MP'!L44="","",'Cálculo MP'!L44)</f>
        <v/>
      </c>
      <c r="BA34" s="60" t="str">
        <f>IF('Cálculo MP'!M44="","",'Cálculo MP'!M44)</f>
        <v/>
      </c>
      <c r="BB34" s="60" t="str">
        <f>IF('Cálculo MP'!N44="","",'Cálculo MP'!N44)</f>
        <v/>
      </c>
      <c r="BC34" s="60" t="str">
        <f>IF('Cálculo MP'!O44="","",'Cálculo MP'!O44)</f>
        <v/>
      </c>
      <c r="BD34" s="60" t="str">
        <f>IF('Cálculo MP'!P44="","",'Cálculo MP'!P44)</f>
        <v/>
      </c>
      <c r="BE34" s="60" t="str">
        <f>IF('Cálculo MP'!Q44="","",'Cálculo MP'!Q44)</f>
        <v/>
      </c>
      <c r="BF34" s="60" t="str">
        <f>IF('Cálculo MP'!R44="","",'Cálculo MP'!R44)</f>
        <v/>
      </c>
      <c r="BG34" s="60" t="str">
        <f>IF('Cálculo MP'!S44="","",'Cálculo MP'!S44)</f>
        <v/>
      </c>
      <c r="BH34" s="61"/>
      <c r="BI34" s="61"/>
      <c r="BJ34" s="61"/>
      <c r="BK34" s="61"/>
      <c r="BL34" s="61"/>
      <c r="BM34" s="61"/>
      <c r="BN34" s="61"/>
      <c r="BO34" s="61"/>
    </row>
    <row r="35" spans="1:67" ht="19.5" customHeight="1" x14ac:dyDescent="0.15">
      <c r="A35" s="123" t="s">
        <v>1856</v>
      </c>
      <c r="B35" s="122" t="s">
        <v>1854</v>
      </c>
      <c r="C35" s="49"/>
      <c r="D35" s="48" t="s">
        <v>73</v>
      </c>
      <c r="E35" s="49"/>
      <c r="F35" s="50"/>
      <c r="G35" s="62"/>
      <c r="H35" s="48" t="s">
        <v>72</v>
      </c>
      <c r="I35" s="52">
        <v>1</v>
      </c>
      <c r="J35" s="52"/>
      <c r="K35" s="52" t="s">
        <v>73</v>
      </c>
      <c r="L35" s="52" t="s">
        <v>74</v>
      </c>
      <c r="M35" s="53" t="s">
        <v>942</v>
      </c>
      <c r="N35" s="58" t="s">
        <v>73</v>
      </c>
      <c r="O35" s="48" t="s">
        <v>72</v>
      </c>
      <c r="P35" s="48" t="s">
        <v>73</v>
      </c>
      <c r="Q35" s="54" t="s">
        <v>73</v>
      </c>
      <c r="R35" s="55" t="s">
        <v>73</v>
      </c>
      <c r="S35" s="48" t="s">
        <v>73</v>
      </c>
      <c r="T35" s="130"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8" t="str" cm="1">
        <f t="array" ref="U35">IF(SUMPRODUCT(--((CAT_Procesos!$E$2:$E$1581=O35)*(CAT_Procesos!$F$2:$F$1581=_xlfn.TEXTJOIN(" + ",TRUE,IF((TRIM(P35:S35)="")+(LOWER(TRIM(P35:S35))="(seleccione)"),"",PROPER(TRIM(P35:S35)))))*(CAT_Procesos!$D$2:$D$1581=IFERROR(VLOOKUP(N35&amp;"*",CAT_Procesos!$D:$D,1,FALSE),""))))=0,"Combinación no existente",IF(SUMPRODUCT(((CAT_Procesos!$E$2:$E$1581=O35)*(CAT_Procesos!$F$2:$F$1581=_xlfn.TEXTJOIN(" + ",TRUE,IF((TRIM(P35:S35)="")+(LOWER(TRIM(P35:S35))="(seleccione)"),"",PROPER(TRIM(P35:S35)))))*(CAT_Procesos!$D$2:$D$1581=IFERROR(VLOOKUP(N35&amp;"*",CAT_Procesos!$D:$D,1,FALSE),"")))*(CAT_Procesos!$G$2:$G$1581=INDEX(CAT_Procesos!$G$2:$G$1581,MATCH(1,(CAT_Procesos!$E$2:$E$1581=O35)*(CAT_Procesos!$F$2:$F$1581=_xlfn.TEXTJOIN(" + ",TRUE,IF((TRIM(P35:S35)="")+(LOWER(TRIM(P35:S35))="(seleccione)"),"",PROPER(TRIM(P35:S35)))))*(CAT_Procesos!$D$2:$D$1581=IFERROR(VLOOKUP(N35&amp;"*",CAT_Procesos!$D:$D,1,FALSE),"")),0))))=SUMPRODUCT(--((CAT_Procesos!$E$2:$E$1581=O35)*(CAT_Procesos!$F$2:$F$1581=_xlfn.TEXTJOIN(" + ",TRUE,IF((TRIM(P35:S35)="")+(LOWER(TRIM(P35:S35))="(seleccione)"),"",PROPER(TRIM(P35:S35)))))*(CAT_Procesos!$D$2:$D$1581=IFERROR(VLOOKUP(N35&amp;"*",CAT_Procesos!$D:$D,1,FALSE),"")))),INDEX(CAT_Procesos!$G$2:$G$1581,MATCH(1,(CAT_Procesos!$E$2:$E$1581=O35)*(CAT_Procesos!$F$2:$F$1581=_xlfn.TEXTJOIN(" + ",TRUE,IF((TRIM(P35:S35)="")+(LOWER(TRIM(P35:S35))="(seleccione)"),"",PROPER(TRIM(P35:S35)))))*(CAT_Procesos!$D$2:$D$1581=IFERROR(VLOOKUP(N35&amp;"*",CAT_Procesos!$D:$D,1,FALSE),"")),0)),"(seleccione)"))</f>
        <v>Combinación no existente</v>
      </c>
      <c r="V35" s="55" t="s">
        <v>73</v>
      </c>
      <c r="W35" s="56" t="s">
        <v>73</v>
      </c>
      <c r="X35" s="57" t="str">
        <f t="shared" si="0"/>
        <v/>
      </c>
      <c r="Y35" s="58" t="s">
        <v>73</v>
      </c>
      <c r="Z35" s="57" t="str">
        <f t="shared" si="1"/>
        <v/>
      </c>
      <c r="AA35" s="58" t="s">
        <v>73</v>
      </c>
      <c r="AB35" s="57" t="str">
        <f t="shared" si="2"/>
        <v/>
      </c>
      <c r="AC35" s="58" t="s">
        <v>73</v>
      </c>
      <c r="AD35" s="57" t="str">
        <f t="shared" si="3"/>
        <v/>
      </c>
      <c r="AE35" s="59"/>
      <c r="AF35" s="59"/>
      <c r="AG35" s="59"/>
      <c r="AH35" s="59"/>
      <c r="AI35" s="59" t="s">
        <v>73</v>
      </c>
      <c r="AJ35" s="59"/>
      <c r="AK35" s="59" t="s">
        <v>73</v>
      </c>
      <c r="AL35" s="59"/>
      <c r="AM35" s="59" t="s">
        <v>73</v>
      </c>
      <c r="AN35" s="59"/>
      <c r="AO35" s="59" t="s">
        <v>73</v>
      </c>
      <c r="AP35" s="59"/>
      <c r="AQ35" s="59" t="s">
        <v>73</v>
      </c>
      <c r="AR35" s="59"/>
      <c r="AS35" s="59" t="s">
        <v>72</v>
      </c>
      <c r="AT35" s="59"/>
      <c r="AU35" s="59"/>
      <c r="AV35" s="59"/>
      <c r="AW35" s="59"/>
      <c r="AX35" s="59"/>
      <c r="AY35" s="60" t="str">
        <f>IF('Cálculo MP'!K45="","",'Cálculo MP'!K45)</f>
        <v/>
      </c>
      <c r="AZ35" s="60" t="str">
        <f>IF('Cálculo MP'!L45="","",'Cálculo MP'!L45)</f>
        <v/>
      </c>
      <c r="BA35" s="60" t="str">
        <f>IF('Cálculo MP'!M45="","",'Cálculo MP'!M45)</f>
        <v/>
      </c>
      <c r="BB35" s="60" t="str">
        <f>IF('Cálculo MP'!N45="","",'Cálculo MP'!N45)</f>
        <v/>
      </c>
      <c r="BC35" s="60" t="str">
        <f>IF('Cálculo MP'!O45="","",'Cálculo MP'!O45)</f>
        <v/>
      </c>
      <c r="BD35" s="60" t="str">
        <f>IF('Cálculo MP'!P45="","",'Cálculo MP'!P45)</f>
        <v/>
      </c>
      <c r="BE35" s="60" t="str">
        <f>IF('Cálculo MP'!Q45="","",'Cálculo MP'!Q45)</f>
        <v/>
      </c>
      <c r="BF35" s="60" t="str">
        <f>IF('Cálculo MP'!R45="","",'Cálculo MP'!R45)</f>
        <v/>
      </c>
      <c r="BG35" s="60" t="str">
        <f>IF('Cálculo MP'!S45="","",'Cálculo MP'!S45)</f>
        <v/>
      </c>
      <c r="BH35" s="61"/>
      <c r="BI35" s="61"/>
      <c r="BJ35" s="61"/>
      <c r="BK35" s="61"/>
      <c r="BL35" s="61"/>
      <c r="BM35" s="61"/>
      <c r="BN35" s="61"/>
      <c r="BO35" s="61"/>
    </row>
    <row r="36" spans="1:67" ht="19.5" customHeight="1" x14ac:dyDescent="0.15">
      <c r="A36" s="123" t="s">
        <v>1856</v>
      </c>
      <c r="B36" s="122" t="s">
        <v>1854</v>
      </c>
      <c r="C36" s="49"/>
      <c r="D36" s="48" t="s">
        <v>73</v>
      </c>
      <c r="E36" s="49"/>
      <c r="F36" s="50"/>
      <c r="G36" s="62"/>
      <c r="H36" s="48" t="s">
        <v>72</v>
      </c>
      <c r="I36" s="52">
        <v>1</v>
      </c>
      <c r="J36" s="52"/>
      <c r="K36" s="52" t="s">
        <v>73</v>
      </c>
      <c r="L36" s="52" t="s">
        <v>74</v>
      </c>
      <c r="M36" s="53" t="s">
        <v>942</v>
      </c>
      <c r="N36" s="58" t="s">
        <v>73</v>
      </c>
      <c r="O36" s="48" t="s">
        <v>72</v>
      </c>
      <c r="P36" s="48" t="s">
        <v>73</v>
      </c>
      <c r="Q36" s="54" t="s">
        <v>73</v>
      </c>
      <c r="R36" s="55" t="s">
        <v>73</v>
      </c>
      <c r="S36" s="48" t="s">
        <v>73</v>
      </c>
      <c r="T36" s="130"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8" t="str" cm="1">
        <f t="array" ref="U36">IF(SUMPRODUCT(--((CAT_Procesos!$E$2:$E$1581=O36)*(CAT_Procesos!$F$2:$F$1581=_xlfn.TEXTJOIN(" + ",TRUE,IF((TRIM(P36:S36)="")+(LOWER(TRIM(P36:S36))="(seleccione)"),"",PROPER(TRIM(P36:S36)))))*(CAT_Procesos!$D$2:$D$1581=IFERROR(VLOOKUP(N36&amp;"*",CAT_Procesos!$D:$D,1,FALSE),""))))=0,"Combinación no existente",IF(SUMPRODUCT(((CAT_Procesos!$E$2:$E$1581=O36)*(CAT_Procesos!$F$2:$F$1581=_xlfn.TEXTJOIN(" + ",TRUE,IF((TRIM(P36:S36)="")+(LOWER(TRIM(P36:S36))="(seleccione)"),"",PROPER(TRIM(P36:S36)))))*(CAT_Procesos!$D$2:$D$1581=IFERROR(VLOOKUP(N36&amp;"*",CAT_Procesos!$D:$D,1,FALSE),"")))*(CAT_Procesos!$G$2:$G$1581=INDEX(CAT_Procesos!$G$2:$G$1581,MATCH(1,(CAT_Procesos!$E$2:$E$1581=O36)*(CAT_Procesos!$F$2:$F$1581=_xlfn.TEXTJOIN(" + ",TRUE,IF((TRIM(P36:S36)="")+(LOWER(TRIM(P36:S36))="(seleccione)"),"",PROPER(TRIM(P36:S36)))))*(CAT_Procesos!$D$2:$D$1581=IFERROR(VLOOKUP(N36&amp;"*",CAT_Procesos!$D:$D,1,FALSE),"")),0))))=SUMPRODUCT(--((CAT_Procesos!$E$2:$E$1581=O36)*(CAT_Procesos!$F$2:$F$1581=_xlfn.TEXTJOIN(" + ",TRUE,IF((TRIM(P36:S36)="")+(LOWER(TRIM(P36:S36))="(seleccione)"),"",PROPER(TRIM(P36:S36)))))*(CAT_Procesos!$D$2:$D$1581=IFERROR(VLOOKUP(N36&amp;"*",CAT_Procesos!$D:$D,1,FALSE),"")))),INDEX(CAT_Procesos!$G$2:$G$1581,MATCH(1,(CAT_Procesos!$E$2:$E$1581=O36)*(CAT_Procesos!$F$2:$F$1581=_xlfn.TEXTJOIN(" + ",TRUE,IF((TRIM(P36:S36)="")+(LOWER(TRIM(P36:S36))="(seleccione)"),"",PROPER(TRIM(P36:S36)))))*(CAT_Procesos!$D$2:$D$1581=IFERROR(VLOOKUP(N36&amp;"*",CAT_Procesos!$D:$D,1,FALSE),"")),0)),"(seleccione)"))</f>
        <v>Combinación no existente</v>
      </c>
      <c r="V36" s="55" t="s">
        <v>73</v>
      </c>
      <c r="W36" s="56" t="s">
        <v>73</v>
      </c>
      <c r="X36" s="57" t="str">
        <f t="shared" si="0"/>
        <v/>
      </c>
      <c r="Y36" s="58" t="s">
        <v>73</v>
      </c>
      <c r="Z36" s="57" t="str">
        <f t="shared" si="1"/>
        <v/>
      </c>
      <c r="AA36" s="58" t="s">
        <v>73</v>
      </c>
      <c r="AB36" s="57" t="str">
        <f t="shared" si="2"/>
        <v/>
      </c>
      <c r="AC36" s="58" t="s">
        <v>73</v>
      </c>
      <c r="AD36" s="57" t="str">
        <f t="shared" si="3"/>
        <v/>
      </c>
      <c r="AE36" s="59"/>
      <c r="AF36" s="59"/>
      <c r="AG36" s="59"/>
      <c r="AH36" s="59"/>
      <c r="AI36" s="59" t="s">
        <v>73</v>
      </c>
      <c r="AJ36" s="59"/>
      <c r="AK36" s="59" t="s">
        <v>73</v>
      </c>
      <c r="AL36" s="59"/>
      <c r="AM36" s="59" t="s">
        <v>73</v>
      </c>
      <c r="AN36" s="59"/>
      <c r="AO36" s="59" t="s">
        <v>73</v>
      </c>
      <c r="AP36" s="59"/>
      <c r="AQ36" s="59" t="s">
        <v>73</v>
      </c>
      <c r="AR36" s="59"/>
      <c r="AS36" s="59" t="s">
        <v>72</v>
      </c>
      <c r="AT36" s="59"/>
      <c r="AU36" s="59"/>
      <c r="AV36" s="59"/>
      <c r="AW36" s="59"/>
      <c r="AX36" s="59"/>
      <c r="AY36" s="60" t="str">
        <f>IF('Cálculo MP'!K46="","",'Cálculo MP'!K46)</f>
        <v/>
      </c>
      <c r="AZ36" s="60" t="str">
        <f>IF('Cálculo MP'!L46="","",'Cálculo MP'!L46)</f>
        <v/>
      </c>
      <c r="BA36" s="60" t="str">
        <f>IF('Cálculo MP'!M46="","",'Cálculo MP'!M46)</f>
        <v/>
      </c>
      <c r="BB36" s="60" t="str">
        <f>IF('Cálculo MP'!N46="","",'Cálculo MP'!N46)</f>
        <v/>
      </c>
      <c r="BC36" s="60" t="str">
        <f>IF('Cálculo MP'!O46="","",'Cálculo MP'!O46)</f>
        <v/>
      </c>
      <c r="BD36" s="60" t="str">
        <f>IF('Cálculo MP'!P46="","",'Cálculo MP'!P46)</f>
        <v/>
      </c>
      <c r="BE36" s="60" t="str">
        <f>IF('Cálculo MP'!Q46="","",'Cálculo MP'!Q46)</f>
        <v/>
      </c>
      <c r="BF36" s="60" t="str">
        <f>IF('Cálculo MP'!R46="","",'Cálculo MP'!R46)</f>
        <v/>
      </c>
      <c r="BG36" s="60" t="str">
        <f>IF('Cálculo MP'!S46="","",'Cálculo MP'!S46)</f>
        <v/>
      </c>
      <c r="BH36" s="61"/>
      <c r="BI36" s="61"/>
      <c r="BJ36" s="61"/>
      <c r="BK36" s="61"/>
      <c r="BL36" s="61"/>
      <c r="BM36" s="61"/>
      <c r="BN36" s="61"/>
      <c r="BO36" s="61"/>
    </row>
    <row r="37" spans="1:67" ht="19.5" customHeight="1" x14ac:dyDescent="0.15">
      <c r="A37" s="123" t="s">
        <v>1856</v>
      </c>
      <c r="B37" s="122" t="s">
        <v>1854</v>
      </c>
      <c r="C37" s="49"/>
      <c r="D37" s="48" t="s">
        <v>73</v>
      </c>
      <c r="E37" s="49"/>
      <c r="F37" s="50"/>
      <c r="G37" s="62"/>
      <c r="H37" s="48" t="s">
        <v>72</v>
      </c>
      <c r="I37" s="52">
        <v>1</v>
      </c>
      <c r="J37" s="52"/>
      <c r="K37" s="52" t="s">
        <v>73</v>
      </c>
      <c r="L37" s="52" t="s">
        <v>74</v>
      </c>
      <c r="M37" s="53" t="s">
        <v>942</v>
      </c>
      <c r="N37" s="58" t="s">
        <v>73</v>
      </c>
      <c r="O37" s="48" t="s">
        <v>72</v>
      </c>
      <c r="P37" s="48" t="s">
        <v>73</v>
      </c>
      <c r="Q37" s="54" t="s">
        <v>73</v>
      </c>
      <c r="R37" s="55" t="s">
        <v>73</v>
      </c>
      <c r="S37" s="48" t="s">
        <v>73</v>
      </c>
      <c r="T37" s="130"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8" t="str" cm="1">
        <f t="array" ref="U37">IF(SUMPRODUCT(--((CAT_Procesos!$E$2:$E$1581=O37)*(CAT_Procesos!$F$2:$F$1581=_xlfn.TEXTJOIN(" + ",TRUE,IF((TRIM(P37:S37)="")+(LOWER(TRIM(P37:S37))="(seleccione)"),"",PROPER(TRIM(P37:S37)))))*(CAT_Procesos!$D$2:$D$1581=IFERROR(VLOOKUP(N37&amp;"*",CAT_Procesos!$D:$D,1,FALSE),""))))=0,"Combinación no existente",IF(SUMPRODUCT(((CAT_Procesos!$E$2:$E$1581=O37)*(CAT_Procesos!$F$2:$F$1581=_xlfn.TEXTJOIN(" + ",TRUE,IF((TRIM(P37:S37)="")+(LOWER(TRIM(P37:S37))="(seleccione)"),"",PROPER(TRIM(P37:S37)))))*(CAT_Procesos!$D$2:$D$1581=IFERROR(VLOOKUP(N37&amp;"*",CAT_Procesos!$D:$D,1,FALSE),"")))*(CAT_Procesos!$G$2:$G$1581=INDEX(CAT_Procesos!$G$2:$G$1581,MATCH(1,(CAT_Procesos!$E$2:$E$1581=O37)*(CAT_Procesos!$F$2:$F$1581=_xlfn.TEXTJOIN(" + ",TRUE,IF((TRIM(P37:S37)="")+(LOWER(TRIM(P37:S37))="(seleccione)"),"",PROPER(TRIM(P37:S37)))))*(CAT_Procesos!$D$2:$D$1581=IFERROR(VLOOKUP(N37&amp;"*",CAT_Procesos!$D:$D,1,FALSE),"")),0))))=SUMPRODUCT(--((CAT_Procesos!$E$2:$E$1581=O37)*(CAT_Procesos!$F$2:$F$1581=_xlfn.TEXTJOIN(" + ",TRUE,IF((TRIM(P37:S37)="")+(LOWER(TRIM(P37:S37))="(seleccione)"),"",PROPER(TRIM(P37:S37)))))*(CAT_Procesos!$D$2:$D$1581=IFERROR(VLOOKUP(N37&amp;"*",CAT_Procesos!$D:$D,1,FALSE),"")))),INDEX(CAT_Procesos!$G$2:$G$1581,MATCH(1,(CAT_Procesos!$E$2:$E$1581=O37)*(CAT_Procesos!$F$2:$F$1581=_xlfn.TEXTJOIN(" + ",TRUE,IF((TRIM(P37:S37)="")+(LOWER(TRIM(P37:S37))="(seleccione)"),"",PROPER(TRIM(P37:S37)))))*(CAT_Procesos!$D$2:$D$1581=IFERROR(VLOOKUP(N37&amp;"*",CAT_Procesos!$D:$D,1,FALSE),"")),0)),"(seleccione)"))</f>
        <v>Combinación no existente</v>
      </c>
      <c r="V37" s="55" t="s">
        <v>73</v>
      </c>
      <c r="W37" s="56" t="s">
        <v>73</v>
      </c>
      <c r="X37" s="57" t="str">
        <f t="shared" si="0"/>
        <v/>
      </c>
      <c r="Y37" s="58" t="s">
        <v>73</v>
      </c>
      <c r="Z37" s="57" t="str">
        <f t="shared" si="1"/>
        <v/>
      </c>
      <c r="AA37" s="58" t="s">
        <v>73</v>
      </c>
      <c r="AB37" s="57" t="str">
        <f t="shared" si="2"/>
        <v/>
      </c>
      <c r="AC37" s="58" t="s">
        <v>73</v>
      </c>
      <c r="AD37" s="57" t="str">
        <f t="shared" si="3"/>
        <v/>
      </c>
      <c r="AE37" s="59"/>
      <c r="AF37" s="59"/>
      <c r="AG37" s="59"/>
      <c r="AH37" s="59"/>
      <c r="AI37" s="59" t="s">
        <v>73</v>
      </c>
      <c r="AJ37" s="59"/>
      <c r="AK37" s="59" t="s">
        <v>73</v>
      </c>
      <c r="AL37" s="59"/>
      <c r="AM37" s="59" t="s">
        <v>73</v>
      </c>
      <c r="AN37" s="59"/>
      <c r="AO37" s="59" t="s">
        <v>73</v>
      </c>
      <c r="AP37" s="59"/>
      <c r="AQ37" s="59" t="s">
        <v>73</v>
      </c>
      <c r="AR37" s="59"/>
      <c r="AS37" s="59" t="s">
        <v>72</v>
      </c>
      <c r="AT37" s="59"/>
      <c r="AU37" s="59"/>
      <c r="AV37" s="59"/>
      <c r="AW37" s="59"/>
      <c r="AX37" s="59"/>
      <c r="AY37" s="60" t="str">
        <f>IF('Cálculo MP'!K47="","",'Cálculo MP'!K47)</f>
        <v/>
      </c>
      <c r="AZ37" s="60" t="str">
        <f>IF('Cálculo MP'!L47="","",'Cálculo MP'!L47)</f>
        <v/>
      </c>
      <c r="BA37" s="60" t="str">
        <f>IF('Cálculo MP'!M47="","",'Cálculo MP'!M47)</f>
        <v/>
      </c>
      <c r="BB37" s="60" t="str">
        <f>IF('Cálculo MP'!N47="","",'Cálculo MP'!N47)</f>
        <v/>
      </c>
      <c r="BC37" s="60" t="str">
        <f>IF('Cálculo MP'!O47="","",'Cálculo MP'!O47)</f>
        <v/>
      </c>
      <c r="BD37" s="60" t="str">
        <f>IF('Cálculo MP'!P47="","",'Cálculo MP'!P47)</f>
        <v/>
      </c>
      <c r="BE37" s="60" t="str">
        <f>IF('Cálculo MP'!Q47="","",'Cálculo MP'!Q47)</f>
        <v/>
      </c>
      <c r="BF37" s="60" t="str">
        <f>IF('Cálculo MP'!R47="","",'Cálculo MP'!R47)</f>
        <v/>
      </c>
      <c r="BG37" s="60" t="str">
        <f>IF('Cálculo MP'!S47="","",'Cálculo MP'!S47)</f>
        <v/>
      </c>
      <c r="BH37" s="61"/>
      <c r="BI37" s="61"/>
      <c r="BJ37" s="61"/>
      <c r="BK37" s="61"/>
      <c r="BL37" s="61"/>
      <c r="BM37" s="61"/>
      <c r="BN37" s="61"/>
      <c r="BO37" s="61"/>
    </row>
    <row r="38" spans="1:67" ht="19.5" customHeight="1" x14ac:dyDescent="0.15">
      <c r="A38" s="123" t="s">
        <v>1856</v>
      </c>
      <c r="B38" s="122" t="s">
        <v>1854</v>
      </c>
      <c r="C38" s="49"/>
      <c r="D38" s="48" t="s">
        <v>73</v>
      </c>
      <c r="E38" s="49"/>
      <c r="F38" s="50"/>
      <c r="G38" s="62"/>
      <c r="H38" s="48" t="s">
        <v>72</v>
      </c>
      <c r="I38" s="52">
        <v>1</v>
      </c>
      <c r="J38" s="52"/>
      <c r="K38" s="52" t="s">
        <v>73</v>
      </c>
      <c r="L38" s="52" t="s">
        <v>74</v>
      </c>
      <c r="M38" s="53" t="s">
        <v>942</v>
      </c>
      <c r="N38" s="58" t="s">
        <v>73</v>
      </c>
      <c r="O38" s="48" t="s">
        <v>72</v>
      </c>
      <c r="P38" s="48" t="s">
        <v>73</v>
      </c>
      <c r="Q38" s="54" t="s">
        <v>73</v>
      </c>
      <c r="R38" s="55" t="s">
        <v>73</v>
      </c>
      <c r="S38" s="48" t="s">
        <v>73</v>
      </c>
      <c r="T38" s="130"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8" t="str" cm="1">
        <f t="array" ref="U38">IF(SUMPRODUCT(--((CAT_Procesos!$E$2:$E$1581=O38)*(CAT_Procesos!$F$2:$F$1581=_xlfn.TEXTJOIN(" + ",TRUE,IF((TRIM(P38:S38)="")+(LOWER(TRIM(P38:S38))="(seleccione)"),"",PROPER(TRIM(P38:S38)))))*(CAT_Procesos!$D$2:$D$1581=IFERROR(VLOOKUP(N38&amp;"*",CAT_Procesos!$D:$D,1,FALSE),""))))=0,"Combinación no existente",IF(SUMPRODUCT(((CAT_Procesos!$E$2:$E$1581=O38)*(CAT_Procesos!$F$2:$F$1581=_xlfn.TEXTJOIN(" + ",TRUE,IF((TRIM(P38:S38)="")+(LOWER(TRIM(P38:S38))="(seleccione)"),"",PROPER(TRIM(P38:S38)))))*(CAT_Procesos!$D$2:$D$1581=IFERROR(VLOOKUP(N38&amp;"*",CAT_Procesos!$D:$D,1,FALSE),"")))*(CAT_Procesos!$G$2:$G$1581=INDEX(CAT_Procesos!$G$2:$G$1581,MATCH(1,(CAT_Procesos!$E$2:$E$1581=O38)*(CAT_Procesos!$F$2:$F$1581=_xlfn.TEXTJOIN(" + ",TRUE,IF((TRIM(P38:S38)="")+(LOWER(TRIM(P38:S38))="(seleccione)"),"",PROPER(TRIM(P38:S38)))))*(CAT_Procesos!$D$2:$D$1581=IFERROR(VLOOKUP(N38&amp;"*",CAT_Procesos!$D:$D,1,FALSE),"")),0))))=SUMPRODUCT(--((CAT_Procesos!$E$2:$E$1581=O38)*(CAT_Procesos!$F$2:$F$1581=_xlfn.TEXTJOIN(" + ",TRUE,IF((TRIM(P38:S38)="")+(LOWER(TRIM(P38:S38))="(seleccione)"),"",PROPER(TRIM(P38:S38)))))*(CAT_Procesos!$D$2:$D$1581=IFERROR(VLOOKUP(N38&amp;"*",CAT_Procesos!$D:$D,1,FALSE),"")))),INDEX(CAT_Procesos!$G$2:$G$1581,MATCH(1,(CAT_Procesos!$E$2:$E$1581=O38)*(CAT_Procesos!$F$2:$F$1581=_xlfn.TEXTJOIN(" + ",TRUE,IF((TRIM(P38:S38)="")+(LOWER(TRIM(P38:S38))="(seleccione)"),"",PROPER(TRIM(P38:S38)))))*(CAT_Procesos!$D$2:$D$1581=IFERROR(VLOOKUP(N38&amp;"*",CAT_Procesos!$D:$D,1,FALSE),"")),0)),"(seleccione)"))</f>
        <v>Combinación no existente</v>
      </c>
      <c r="V38" s="55" t="s">
        <v>73</v>
      </c>
      <c r="W38" s="56" t="s">
        <v>73</v>
      </c>
      <c r="X38" s="57" t="str">
        <f t="shared" si="0"/>
        <v/>
      </c>
      <c r="Y38" s="58" t="s">
        <v>73</v>
      </c>
      <c r="Z38" s="57" t="str">
        <f t="shared" si="1"/>
        <v/>
      </c>
      <c r="AA38" s="58" t="s">
        <v>73</v>
      </c>
      <c r="AB38" s="57" t="str">
        <f t="shared" si="2"/>
        <v/>
      </c>
      <c r="AC38" s="58" t="s">
        <v>73</v>
      </c>
      <c r="AD38" s="57" t="str">
        <f t="shared" si="3"/>
        <v/>
      </c>
      <c r="AE38" s="59"/>
      <c r="AF38" s="59"/>
      <c r="AG38" s="59"/>
      <c r="AH38" s="59"/>
      <c r="AI38" s="59" t="s">
        <v>73</v>
      </c>
      <c r="AJ38" s="59"/>
      <c r="AK38" s="59" t="s">
        <v>73</v>
      </c>
      <c r="AL38" s="59"/>
      <c r="AM38" s="59" t="s">
        <v>73</v>
      </c>
      <c r="AN38" s="59"/>
      <c r="AO38" s="59" t="s">
        <v>73</v>
      </c>
      <c r="AP38" s="59"/>
      <c r="AQ38" s="59" t="s">
        <v>73</v>
      </c>
      <c r="AR38" s="59"/>
      <c r="AS38" s="59" t="s">
        <v>72</v>
      </c>
      <c r="AT38" s="59"/>
      <c r="AU38" s="59"/>
      <c r="AV38" s="59"/>
      <c r="AW38" s="59"/>
      <c r="AX38" s="59"/>
      <c r="AY38" s="60" t="str">
        <f>IF('Cálculo MP'!K48="","",'Cálculo MP'!K48)</f>
        <v/>
      </c>
      <c r="AZ38" s="60" t="str">
        <f>IF('Cálculo MP'!L48="","",'Cálculo MP'!L48)</f>
        <v/>
      </c>
      <c r="BA38" s="60" t="str">
        <f>IF('Cálculo MP'!M48="","",'Cálculo MP'!M48)</f>
        <v/>
      </c>
      <c r="BB38" s="60" t="str">
        <f>IF('Cálculo MP'!N48="","",'Cálculo MP'!N48)</f>
        <v/>
      </c>
      <c r="BC38" s="60" t="str">
        <f>IF('Cálculo MP'!O48="","",'Cálculo MP'!O48)</f>
        <v/>
      </c>
      <c r="BD38" s="60" t="str">
        <f>IF('Cálculo MP'!P48="","",'Cálculo MP'!P48)</f>
        <v/>
      </c>
      <c r="BE38" s="60" t="str">
        <f>IF('Cálculo MP'!Q48="","",'Cálculo MP'!Q48)</f>
        <v/>
      </c>
      <c r="BF38" s="60" t="str">
        <f>IF('Cálculo MP'!R48="","",'Cálculo MP'!R48)</f>
        <v/>
      </c>
      <c r="BG38" s="60" t="str">
        <f>IF('Cálculo MP'!S48="","",'Cálculo MP'!S48)</f>
        <v/>
      </c>
      <c r="BH38" s="61"/>
      <c r="BI38" s="61"/>
      <c r="BJ38" s="61"/>
      <c r="BK38" s="61"/>
      <c r="BL38" s="61"/>
      <c r="BM38" s="61"/>
      <c r="BN38" s="61"/>
      <c r="BO38" s="61"/>
    </row>
    <row r="39" spans="1:67" ht="19.5" customHeight="1" x14ac:dyDescent="0.15">
      <c r="A39" s="123" t="s">
        <v>1856</v>
      </c>
      <c r="B39" s="122" t="s">
        <v>1854</v>
      </c>
      <c r="C39" s="49"/>
      <c r="D39" s="48" t="s">
        <v>73</v>
      </c>
      <c r="E39" s="49"/>
      <c r="F39" s="50"/>
      <c r="G39" s="62"/>
      <c r="H39" s="48" t="s">
        <v>72</v>
      </c>
      <c r="I39" s="52">
        <v>1</v>
      </c>
      <c r="J39" s="52"/>
      <c r="K39" s="52" t="s">
        <v>73</v>
      </c>
      <c r="L39" s="52" t="s">
        <v>74</v>
      </c>
      <c r="M39" s="53" t="s">
        <v>942</v>
      </c>
      <c r="N39" s="58" t="s">
        <v>73</v>
      </c>
      <c r="O39" s="48" t="s">
        <v>72</v>
      </c>
      <c r="P39" s="48" t="s">
        <v>73</v>
      </c>
      <c r="Q39" s="54" t="s">
        <v>73</v>
      </c>
      <c r="R39" s="55" t="s">
        <v>73</v>
      </c>
      <c r="S39" s="48" t="s">
        <v>73</v>
      </c>
      <c r="T39" s="130"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8" t="str" cm="1">
        <f t="array" ref="U39">IF(SUMPRODUCT(--((CAT_Procesos!$E$2:$E$1581=O39)*(CAT_Procesos!$F$2:$F$1581=_xlfn.TEXTJOIN(" + ",TRUE,IF((TRIM(P39:S39)="")+(LOWER(TRIM(P39:S39))="(seleccione)"),"",PROPER(TRIM(P39:S39)))))*(CAT_Procesos!$D$2:$D$1581=IFERROR(VLOOKUP(N39&amp;"*",CAT_Procesos!$D:$D,1,FALSE),""))))=0,"Combinación no existente",IF(SUMPRODUCT(((CAT_Procesos!$E$2:$E$1581=O39)*(CAT_Procesos!$F$2:$F$1581=_xlfn.TEXTJOIN(" + ",TRUE,IF((TRIM(P39:S39)="")+(LOWER(TRIM(P39:S39))="(seleccione)"),"",PROPER(TRIM(P39:S39)))))*(CAT_Procesos!$D$2:$D$1581=IFERROR(VLOOKUP(N39&amp;"*",CAT_Procesos!$D:$D,1,FALSE),"")))*(CAT_Procesos!$G$2:$G$1581=INDEX(CAT_Procesos!$G$2:$G$1581,MATCH(1,(CAT_Procesos!$E$2:$E$1581=O39)*(CAT_Procesos!$F$2:$F$1581=_xlfn.TEXTJOIN(" + ",TRUE,IF((TRIM(P39:S39)="")+(LOWER(TRIM(P39:S39))="(seleccione)"),"",PROPER(TRIM(P39:S39)))))*(CAT_Procesos!$D$2:$D$1581=IFERROR(VLOOKUP(N39&amp;"*",CAT_Procesos!$D:$D,1,FALSE),"")),0))))=SUMPRODUCT(--((CAT_Procesos!$E$2:$E$1581=O39)*(CAT_Procesos!$F$2:$F$1581=_xlfn.TEXTJOIN(" + ",TRUE,IF((TRIM(P39:S39)="")+(LOWER(TRIM(P39:S39))="(seleccione)"),"",PROPER(TRIM(P39:S39)))))*(CAT_Procesos!$D$2:$D$1581=IFERROR(VLOOKUP(N39&amp;"*",CAT_Procesos!$D:$D,1,FALSE),"")))),INDEX(CAT_Procesos!$G$2:$G$1581,MATCH(1,(CAT_Procesos!$E$2:$E$1581=O39)*(CAT_Procesos!$F$2:$F$1581=_xlfn.TEXTJOIN(" + ",TRUE,IF((TRIM(P39:S39)="")+(LOWER(TRIM(P39:S39))="(seleccione)"),"",PROPER(TRIM(P39:S39)))))*(CAT_Procesos!$D$2:$D$1581=IFERROR(VLOOKUP(N39&amp;"*",CAT_Procesos!$D:$D,1,FALSE),"")),0)),"(seleccione)"))</f>
        <v>Combinación no existente</v>
      </c>
      <c r="V39" s="55" t="s">
        <v>73</v>
      </c>
      <c r="W39" s="56" t="s">
        <v>73</v>
      </c>
      <c r="X39" s="57" t="str">
        <f t="shared" si="0"/>
        <v/>
      </c>
      <c r="Y39" s="58" t="s">
        <v>73</v>
      </c>
      <c r="Z39" s="57" t="str">
        <f t="shared" si="1"/>
        <v/>
      </c>
      <c r="AA39" s="58" t="s">
        <v>73</v>
      </c>
      <c r="AB39" s="57" t="str">
        <f t="shared" si="2"/>
        <v/>
      </c>
      <c r="AC39" s="58" t="s">
        <v>73</v>
      </c>
      <c r="AD39" s="57" t="str">
        <f t="shared" si="3"/>
        <v/>
      </c>
      <c r="AE39" s="59"/>
      <c r="AF39" s="59"/>
      <c r="AG39" s="59"/>
      <c r="AH39" s="59"/>
      <c r="AI39" s="59" t="s">
        <v>73</v>
      </c>
      <c r="AJ39" s="59"/>
      <c r="AK39" s="59" t="s">
        <v>73</v>
      </c>
      <c r="AL39" s="59"/>
      <c r="AM39" s="59" t="s">
        <v>73</v>
      </c>
      <c r="AN39" s="59"/>
      <c r="AO39" s="59" t="s">
        <v>73</v>
      </c>
      <c r="AP39" s="59"/>
      <c r="AQ39" s="59" t="s">
        <v>73</v>
      </c>
      <c r="AR39" s="59"/>
      <c r="AS39" s="59" t="s">
        <v>72</v>
      </c>
      <c r="AT39" s="59"/>
      <c r="AU39" s="59"/>
      <c r="AV39" s="59"/>
      <c r="AW39" s="59"/>
      <c r="AX39" s="59"/>
      <c r="AY39" s="60" t="str">
        <f>IF('Cálculo MP'!K49="","",'Cálculo MP'!K49)</f>
        <v/>
      </c>
      <c r="AZ39" s="60" t="str">
        <f>IF('Cálculo MP'!L49="","",'Cálculo MP'!L49)</f>
        <v/>
      </c>
      <c r="BA39" s="60" t="str">
        <f>IF('Cálculo MP'!M49="","",'Cálculo MP'!M49)</f>
        <v/>
      </c>
      <c r="BB39" s="60" t="str">
        <f>IF('Cálculo MP'!N49="","",'Cálculo MP'!N49)</f>
        <v/>
      </c>
      <c r="BC39" s="60" t="str">
        <f>IF('Cálculo MP'!O49="","",'Cálculo MP'!O49)</f>
        <v/>
      </c>
      <c r="BD39" s="60" t="str">
        <f>IF('Cálculo MP'!P49="","",'Cálculo MP'!P49)</f>
        <v/>
      </c>
      <c r="BE39" s="60" t="str">
        <f>IF('Cálculo MP'!Q49="","",'Cálculo MP'!Q49)</f>
        <v/>
      </c>
      <c r="BF39" s="60" t="str">
        <f>IF('Cálculo MP'!R49="","",'Cálculo MP'!R49)</f>
        <v/>
      </c>
      <c r="BG39" s="60" t="str">
        <f>IF('Cálculo MP'!S49="","",'Cálculo MP'!S49)</f>
        <v/>
      </c>
      <c r="BH39" s="61"/>
      <c r="BI39" s="61"/>
      <c r="BJ39" s="61"/>
      <c r="BK39" s="61"/>
      <c r="BL39" s="61"/>
      <c r="BM39" s="61"/>
      <c r="BN39" s="61"/>
      <c r="BO39" s="61"/>
    </row>
    <row r="40" spans="1:67" ht="19.5" customHeight="1" x14ac:dyDescent="0.15">
      <c r="A40" s="123" t="s">
        <v>1856</v>
      </c>
      <c r="B40" s="122" t="s">
        <v>1854</v>
      </c>
      <c r="C40" s="49"/>
      <c r="D40" s="48" t="s">
        <v>73</v>
      </c>
      <c r="E40" s="49"/>
      <c r="F40" s="50"/>
      <c r="G40" s="62"/>
      <c r="H40" s="48" t="s">
        <v>72</v>
      </c>
      <c r="I40" s="52">
        <v>1</v>
      </c>
      <c r="J40" s="52"/>
      <c r="K40" s="52" t="s">
        <v>73</v>
      </c>
      <c r="L40" s="52" t="s">
        <v>74</v>
      </c>
      <c r="M40" s="53" t="s">
        <v>942</v>
      </c>
      <c r="N40" s="58" t="s">
        <v>73</v>
      </c>
      <c r="O40" s="48" t="s">
        <v>72</v>
      </c>
      <c r="P40" s="48" t="s">
        <v>73</v>
      </c>
      <c r="Q40" s="54" t="s">
        <v>73</v>
      </c>
      <c r="R40" s="55" t="s">
        <v>73</v>
      </c>
      <c r="S40" s="48" t="s">
        <v>73</v>
      </c>
      <c r="T40" s="130"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8" t="str" cm="1">
        <f t="array" ref="U40">IF(SUMPRODUCT(--((CAT_Procesos!$E$2:$E$1581=O40)*(CAT_Procesos!$F$2:$F$1581=_xlfn.TEXTJOIN(" + ",TRUE,IF((TRIM(P40:S40)="")+(LOWER(TRIM(P40:S40))="(seleccione)"),"",PROPER(TRIM(P40:S40)))))*(CAT_Procesos!$D$2:$D$1581=IFERROR(VLOOKUP(N40&amp;"*",CAT_Procesos!$D:$D,1,FALSE),""))))=0,"Combinación no existente",IF(SUMPRODUCT(((CAT_Procesos!$E$2:$E$1581=O40)*(CAT_Procesos!$F$2:$F$1581=_xlfn.TEXTJOIN(" + ",TRUE,IF((TRIM(P40:S40)="")+(LOWER(TRIM(P40:S40))="(seleccione)"),"",PROPER(TRIM(P40:S40)))))*(CAT_Procesos!$D$2:$D$1581=IFERROR(VLOOKUP(N40&amp;"*",CAT_Procesos!$D:$D,1,FALSE),"")))*(CAT_Procesos!$G$2:$G$1581=INDEX(CAT_Procesos!$G$2:$G$1581,MATCH(1,(CAT_Procesos!$E$2:$E$1581=O40)*(CAT_Procesos!$F$2:$F$1581=_xlfn.TEXTJOIN(" + ",TRUE,IF((TRIM(P40:S40)="")+(LOWER(TRIM(P40:S40))="(seleccione)"),"",PROPER(TRIM(P40:S40)))))*(CAT_Procesos!$D$2:$D$1581=IFERROR(VLOOKUP(N40&amp;"*",CAT_Procesos!$D:$D,1,FALSE),"")),0))))=SUMPRODUCT(--((CAT_Procesos!$E$2:$E$1581=O40)*(CAT_Procesos!$F$2:$F$1581=_xlfn.TEXTJOIN(" + ",TRUE,IF((TRIM(P40:S40)="")+(LOWER(TRIM(P40:S40))="(seleccione)"),"",PROPER(TRIM(P40:S40)))))*(CAT_Procesos!$D$2:$D$1581=IFERROR(VLOOKUP(N40&amp;"*",CAT_Procesos!$D:$D,1,FALSE),"")))),INDEX(CAT_Procesos!$G$2:$G$1581,MATCH(1,(CAT_Procesos!$E$2:$E$1581=O40)*(CAT_Procesos!$F$2:$F$1581=_xlfn.TEXTJOIN(" + ",TRUE,IF((TRIM(P40:S40)="")+(LOWER(TRIM(P40:S40))="(seleccione)"),"",PROPER(TRIM(P40:S40)))))*(CAT_Procesos!$D$2:$D$1581=IFERROR(VLOOKUP(N40&amp;"*",CAT_Procesos!$D:$D,1,FALSE),"")),0)),"(seleccione)"))</f>
        <v>Combinación no existente</v>
      </c>
      <c r="V40" s="55" t="s">
        <v>73</v>
      </c>
      <c r="W40" s="56" t="s">
        <v>73</v>
      </c>
      <c r="X40" s="57" t="str">
        <f t="shared" si="0"/>
        <v/>
      </c>
      <c r="Y40" s="58" t="s">
        <v>73</v>
      </c>
      <c r="Z40" s="57" t="str">
        <f t="shared" si="1"/>
        <v/>
      </c>
      <c r="AA40" s="58" t="s">
        <v>73</v>
      </c>
      <c r="AB40" s="57" t="str">
        <f t="shared" si="2"/>
        <v/>
      </c>
      <c r="AC40" s="58" t="s">
        <v>73</v>
      </c>
      <c r="AD40" s="57" t="str">
        <f t="shared" si="3"/>
        <v/>
      </c>
      <c r="AE40" s="59"/>
      <c r="AF40" s="59"/>
      <c r="AG40" s="59"/>
      <c r="AH40" s="59"/>
      <c r="AI40" s="59" t="s">
        <v>73</v>
      </c>
      <c r="AJ40" s="59"/>
      <c r="AK40" s="59" t="s">
        <v>73</v>
      </c>
      <c r="AL40" s="59"/>
      <c r="AM40" s="59" t="s">
        <v>73</v>
      </c>
      <c r="AN40" s="59"/>
      <c r="AO40" s="59" t="s">
        <v>73</v>
      </c>
      <c r="AP40" s="59"/>
      <c r="AQ40" s="59" t="s">
        <v>73</v>
      </c>
      <c r="AR40" s="59"/>
      <c r="AS40" s="59" t="s">
        <v>72</v>
      </c>
      <c r="AT40" s="59"/>
      <c r="AU40" s="59"/>
      <c r="AV40" s="59"/>
      <c r="AW40" s="59"/>
      <c r="AX40" s="59"/>
      <c r="AY40" s="60" t="str">
        <f>IF('Cálculo MP'!K50="","",'Cálculo MP'!K50)</f>
        <v/>
      </c>
      <c r="AZ40" s="60" t="str">
        <f>IF('Cálculo MP'!L50="","",'Cálculo MP'!L50)</f>
        <v/>
      </c>
      <c r="BA40" s="60" t="str">
        <f>IF('Cálculo MP'!M50="","",'Cálculo MP'!M50)</f>
        <v/>
      </c>
      <c r="BB40" s="60" t="str">
        <f>IF('Cálculo MP'!N50="","",'Cálculo MP'!N50)</f>
        <v/>
      </c>
      <c r="BC40" s="60" t="str">
        <f>IF('Cálculo MP'!O50="","",'Cálculo MP'!O50)</f>
        <v/>
      </c>
      <c r="BD40" s="60" t="str">
        <f>IF('Cálculo MP'!P50="","",'Cálculo MP'!P50)</f>
        <v/>
      </c>
      <c r="BE40" s="60" t="str">
        <f>IF('Cálculo MP'!Q50="","",'Cálculo MP'!Q50)</f>
        <v/>
      </c>
      <c r="BF40" s="60" t="str">
        <f>IF('Cálculo MP'!R50="","",'Cálculo MP'!R50)</f>
        <v/>
      </c>
      <c r="BG40" s="60" t="str">
        <f>IF('Cálculo MP'!S50="","",'Cálculo MP'!S50)</f>
        <v/>
      </c>
      <c r="BH40" s="61"/>
      <c r="BI40" s="61"/>
      <c r="BJ40" s="61"/>
      <c r="BK40" s="61"/>
      <c r="BL40" s="61"/>
      <c r="BM40" s="61"/>
      <c r="BN40" s="61"/>
      <c r="BO40" s="61"/>
    </row>
    <row r="41" spans="1:67" ht="19.5" customHeight="1" x14ac:dyDescent="0.15">
      <c r="A41" s="123" t="s">
        <v>1856</v>
      </c>
      <c r="B41" s="122" t="s">
        <v>1854</v>
      </c>
      <c r="C41" s="49"/>
      <c r="D41" s="48" t="s">
        <v>73</v>
      </c>
      <c r="E41" s="49"/>
      <c r="F41" s="50"/>
      <c r="G41" s="62"/>
      <c r="H41" s="48" t="s">
        <v>72</v>
      </c>
      <c r="I41" s="52">
        <v>1</v>
      </c>
      <c r="J41" s="52"/>
      <c r="K41" s="52" t="s">
        <v>73</v>
      </c>
      <c r="L41" s="52" t="s">
        <v>74</v>
      </c>
      <c r="M41" s="53" t="s">
        <v>942</v>
      </c>
      <c r="N41" s="58" t="s">
        <v>73</v>
      </c>
      <c r="O41" s="48" t="s">
        <v>72</v>
      </c>
      <c r="P41" s="48" t="s">
        <v>73</v>
      </c>
      <c r="Q41" s="54" t="s">
        <v>73</v>
      </c>
      <c r="R41" s="55" t="s">
        <v>73</v>
      </c>
      <c r="S41" s="48" t="s">
        <v>73</v>
      </c>
      <c r="T41" s="130"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8" t="str" cm="1">
        <f t="array" ref="U41">IF(SUMPRODUCT(--((CAT_Procesos!$E$2:$E$1581=O41)*(CAT_Procesos!$F$2:$F$1581=_xlfn.TEXTJOIN(" + ",TRUE,IF((TRIM(P41:S41)="")+(LOWER(TRIM(P41:S41))="(seleccione)"),"",PROPER(TRIM(P41:S41)))))*(CAT_Procesos!$D$2:$D$1581=IFERROR(VLOOKUP(N41&amp;"*",CAT_Procesos!$D:$D,1,FALSE),""))))=0,"Combinación no existente",IF(SUMPRODUCT(((CAT_Procesos!$E$2:$E$1581=O41)*(CAT_Procesos!$F$2:$F$1581=_xlfn.TEXTJOIN(" + ",TRUE,IF((TRIM(P41:S41)="")+(LOWER(TRIM(P41:S41))="(seleccione)"),"",PROPER(TRIM(P41:S41)))))*(CAT_Procesos!$D$2:$D$1581=IFERROR(VLOOKUP(N41&amp;"*",CAT_Procesos!$D:$D,1,FALSE),"")))*(CAT_Procesos!$G$2:$G$1581=INDEX(CAT_Procesos!$G$2:$G$1581,MATCH(1,(CAT_Procesos!$E$2:$E$1581=O41)*(CAT_Procesos!$F$2:$F$1581=_xlfn.TEXTJOIN(" + ",TRUE,IF((TRIM(P41:S41)="")+(LOWER(TRIM(P41:S41))="(seleccione)"),"",PROPER(TRIM(P41:S41)))))*(CAT_Procesos!$D$2:$D$1581=IFERROR(VLOOKUP(N41&amp;"*",CAT_Procesos!$D:$D,1,FALSE),"")),0))))=SUMPRODUCT(--((CAT_Procesos!$E$2:$E$1581=O41)*(CAT_Procesos!$F$2:$F$1581=_xlfn.TEXTJOIN(" + ",TRUE,IF((TRIM(P41:S41)="")+(LOWER(TRIM(P41:S41))="(seleccione)"),"",PROPER(TRIM(P41:S41)))))*(CAT_Procesos!$D$2:$D$1581=IFERROR(VLOOKUP(N41&amp;"*",CAT_Procesos!$D:$D,1,FALSE),"")))),INDEX(CAT_Procesos!$G$2:$G$1581,MATCH(1,(CAT_Procesos!$E$2:$E$1581=O41)*(CAT_Procesos!$F$2:$F$1581=_xlfn.TEXTJOIN(" + ",TRUE,IF((TRIM(P41:S41)="")+(LOWER(TRIM(P41:S41))="(seleccione)"),"",PROPER(TRIM(P41:S41)))))*(CAT_Procesos!$D$2:$D$1581=IFERROR(VLOOKUP(N41&amp;"*",CAT_Procesos!$D:$D,1,FALSE),"")),0)),"(seleccione)"))</f>
        <v>Combinación no existente</v>
      </c>
      <c r="V41" s="55" t="s">
        <v>73</v>
      </c>
      <c r="W41" s="56" t="s">
        <v>73</v>
      </c>
      <c r="X41" s="57" t="str">
        <f t="shared" si="0"/>
        <v/>
      </c>
      <c r="Y41" s="58" t="s">
        <v>73</v>
      </c>
      <c r="Z41" s="57" t="str">
        <f t="shared" si="1"/>
        <v/>
      </c>
      <c r="AA41" s="58" t="s">
        <v>73</v>
      </c>
      <c r="AB41" s="57" t="str">
        <f t="shared" si="2"/>
        <v/>
      </c>
      <c r="AC41" s="58" t="s">
        <v>73</v>
      </c>
      <c r="AD41" s="57" t="str">
        <f t="shared" si="3"/>
        <v/>
      </c>
      <c r="AE41" s="59"/>
      <c r="AF41" s="59"/>
      <c r="AG41" s="59"/>
      <c r="AH41" s="59"/>
      <c r="AI41" s="59" t="s">
        <v>73</v>
      </c>
      <c r="AJ41" s="59"/>
      <c r="AK41" s="59" t="s">
        <v>73</v>
      </c>
      <c r="AL41" s="59"/>
      <c r="AM41" s="59" t="s">
        <v>73</v>
      </c>
      <c r="AN41" s="59"/>
      <c r="AO41" s="59" t="s">
        <v>73</v>
      </c>
      <c r="AP41" s="59"/>
      <c r="AQ41" s="59" t="s">
        <v>73</v>
      </c>
      <c r="AR41" s="59"/>
      <c r="AS41" s="59" t="s">
        <v>72</v>
      </c>
      <c r="AT41" s="59"/>
      <c r="AU41" s="59"/>
      <c r="AV41" s="59"/>
      <c r="AW41" s="59"/>
      <c r="AX41" s="59"/>
      <c r="AY41" s="60" t="str">
        <f>IF('Cálculo MP'!K51="","",'Cálculo MP'!K51)</f>
        <v/>
      </c>
      <c r="AZ41" s="60" t="str">
        <f>IF('Cálculo MP'!L51="","",'Cálculo MP'!L51)</f>
        <v/>
      </c>
      <c r="BA41" s="60" t="str">
        <f>IF('Cálculo MP'!M51="","",'Cálculo MP'!M51)</f>
        <v/>
      </c>
      <c r="BB41" s="60" t="str">
        <f>IF('Cálculo MP'!N51="","",'Cálculo MP'!N51)</f>
        <v/>
      </c>
      <c r="BC41" s="60" t="str">
        <f>IF('Cálculo MP'!O51="","",'Cálculo MP'!O51)</f>
        <v/>
      </c>
      <c r="BD41" s="60" t="str">
        <f>IF('Cálculo MP'!P51="","",'Cálculo MP'!P51)</f>
        <v/>
      </c>
      <c r="BE41" s="60" t="str">
        <f>IF('Cálculo MP'!Q51="","",'Cálculo MP'!Q51)</f>
        <v/>
      </c>
      <c r="BF41" s="60" t="str">
        <f>IF('Cálculo MP'!R51="","",'Cálculo MP'!R51)</f>
        <v/>
      </c>
      <c r="BG41" s="60" t="str">
        <f>IF('Cálculo MP'!S51="","",'Cálculo MP'!S51)</f>
        <v/>
      </c>
      <c r="BH41" s="61"/>
      <c r="BI41" s="61"/>
      <c r="BJ41" s="61"/>
      <c r="BK41" s="61"/>
      <c r="BL41" s="61"/>
      <c r="BM41" s="61"/>
      <c r="BN41" s="61"/>
      <c r="BO41" s="61"/>
    </row>
    <row r="42" spans="1:67" ht="19.5" customHeight="1" x14ac:dyDescent="0.15">
      <c r="A42" s="123" t="s">
        <v>1856</v>
      </c>
      <c r="B42" s="122" t="s">
        <v>1854</v>
      </c>
      <c r="C42" s="49"/>
      <c r="D42" s="48" t="s">
        <v>73</v>
      </c>
      <c r="E42" s="49"/>
      <c r="F42" s="50"/>
      <c r="G42" s="62"/>
      <c r="H42" s="48" t="s">
        <v>72</v>
      </c>
      <c r="I42" s="52">
        <v>1</v>
      </c>
      <c r="J42" s="52"/>
      <c r="K42" s="52" t="s">
        <v>73</v>
      </c>
      <c r="L42" s="52" t="s">
        <v>74</v>
      </c>
      <c r="M42" s="53" t="s">
        <v>942</v>
      </c>
      <c r="N42" s="58" t="s">
        <v>73</v>
      </c>
      <c r="O42" s="48" t="s">
        <v>72</v>
      </c>
      <c r="P42" s="48" t="s">
        <v>73</v>
      </c>
      <c r="Q42" s="54" t="s">
        <v>73</v>
      </c>
      <c r="R42" s="55" t="s">
        <v>73</v>
      </c>
      <c r="S42" s="48" t="s">
        <v>73</v>
      </c>
      <c r="T42" s="130"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8" t="str" cm="1">
        <f t="array" ref="U42">IF(SUMPRODUCT(--((CAT_Procesos!$E$2:$E$1581=O42)*(CAT_Procesos!$F$2:$F$1581=_xlfn.TEXTJOIN(" + ",TRUE,IF((TRIM(P42:S42)="")+(LOWER(TRIM(P42:S42))="(seleccione)"),"",PROPER(TRIM(P42:S42)))))*(CAT_Procesos!$D$2:$D$1581=IFERROR(VLOOKUP(N42&amp;"*",CAT_Procesos!$D:$D,1,FALSE),""))))=0,"Combinación no existente",IF(SUMPRODUCT(((CAT_Procesos!$E$2:$E$1581=O42)*(CAT_Procesos!$F$2:$F$1581=_xlfn.TEXTJOIN(" + ",TRUE,IF((TRIM(P42:S42)="")+(LOWER(TRIM(P42:S42))="(seleccione)"),"",PROPER(TRIM(P42:S42)))))*(CAT_Procesos!$D$2:$D$1581=IFERROR(VLOOKUP(N42&amp;"*",CAT_Procesos!$D:$D,1,FALSE),"")))*(CAT_Procesos!$G$2:$G$1581=INDEX(CAT_Procesos!$G$2:$G$1581,MATCH(1,(CAT_Procesos!$E$2:$E$1581=O42)*(CAT_Procesos!$F$2:$F$1581=_xlfn.TEXTJOIN(" + ",TRUE,IF((TRIM(P42:S42)="")+(LOWER(TRIM(P42:S42))="(seleccione)"),"",PROPER(TRIM(P42:S42)))))*(CAT_Procesos!$D$2:$D$1581=IFERROR(VLOOKUP(N42&amp;"*",CAT_Procesos!$D:$D,1,FALSE),"")),0))))=SUMPRODUCT(--((CAT_Procesos!$E$2:$E$1581=O42)*(CAT_Procesos!$F$2:$F$1581=_xlfn.TEXTJOIN(" + ",TRUE,IF((TRIM(P42:S42)="")+(LOWER(TRIM(P42:S42))="(seleccione)"),"",PROPER(TRIM(P42:S42)))))*(CAT_Procesos!$D$2:$D$1581=IFERROR(VLOOKUP(N42&amp;"*",CAT_Procesos!$D:$D,1,FALSE),"")))),INDEX(CAT_Procesos!$G$2:$G$1581,MATCH(1,(CAT_Procesos!$E$2:$E$1581=O42)*(CAT_Procesos!$F$2:$F$1581=_xlfn.TEXTJOIN(" + ",TRUE,IF((TRIM(P42:S42)="")+(LOWER(TRIM(P42:S42))="(seleccione)"),"",PROPER(TRIM(P42:S42)))))*(CAT_Procesos!$D$2:$D$1581=IFERROR(VLOOKUP(N42&amp;"*",CAT_Procesos!$D:$D,1,FALSE),"")),0)),"(seleccione)"))</f>
        <v>Combinación no existente</v>
      </c>
      <c r="V42" s="55" t="s">
        <v>73</v>
      </c>
      <c r="W42" s="56" t="s">
        <v>73</v>
      </c>
      <c r="X42" s="57" t="str">
        <f t="shared" si="0"/>
        <v/>
      </c>
      <c r="Y42" s="58" t="s">
        <v>73</v>
      </c>
      <c r="Z42" s="57" t="str">
        <f t="shared" si="1"/>
        <v/>
      </c>
      <c r="AA42" s="58" t="s">
        <v>73</v>
      </c>
      <c r="AB42" s="57" t="str">
        <f t="shared" si="2"/>
        <v/>
      </c>
      <c r="AC42" s="58" t="s">
        <v>73</v>
      </c>
      <c r="AD42" s="57" t="str">
        <f t="shared" si="3"/>
        <v/>
      </c>
      <c r="AE42" s="59"/>
      <c r="AF42" s="59"/>
      <c r="AG42" s="59"/>
      <c r="AH42" s="59"/>
      <c r="AI42" s="59" t="s">
        <v>73</v>
      </c>
      <c r="AJ42" s="59"/>
      <c r="AK42" s="59" t="s">
        <v>73</v>
      </c>
      <c r="AL42" s="59"/>
      <c r="AM42" s="59" t="s">
        <v>73</v>
      </c>
      <c r="AN42" s="59"/>
      <c r="AO42" s="59" t="s">
        <v>73</v>
      </c>
      <c r="AP42" s="59"/>
      <c r="AQ42" s="59" t="s">
        <v>73</v>
      </c>
      <c r="AR42" s="59"/>
      <c r="AS42" s="59" t="s">
        <v>72</v>
      </c>
      <c r="AT42" s="59"/>
      <c r="AU42" s="59"/>
      <c r="AV42" s="59"/>
      <c r="AW42" s="59"/>
      <c r="AX42" s="59"/>
      <c r="AY42" s="60" t="str">
        <f>IF('Cálculo MP'!K52="","",'Cálculo MP'!K52)</f>
        <v/>
      </c>
      <c r="AZ42" s="60" t="str">
        <f>IF('Cálculo MP'!L52="","",'Cálculo MP'!L52)</f>
        <v/>
      </c>
      <c r="BA42" s="60" t="str">
        <f>IF('Cálculo MP'!M52="","",'Cálculo MP'!M52)</f>
        <v/>
      </c>
      <c r="BB42" s="60" t="str">
        <f>IF('Cálculo MP'!N52="","",'Cálculo MP'!N52)</f>
        <v/>
      </c>
      <c r="BC42" s="60" t="str">
        <f>IF('Cálculo MP'!O52="","",'Cálculo MP'!O52)</f>
        <v/>
      </c>
      <c r="BD42" s="60" t="str">
        <f>IF('Cálculo MP'!P52="","",'Cálculo MP'!P52)</f>
        <v/>
      </c>
      <c r="BE42" s="60" t="str">
        <f>IF('Cálculo MP'!Q52="","",'Cálculo MP'!Q52)</f>
        <v/>
      </c>
      <c r="BF42" s="60" t="str">
        <f>IF('Cálculo MP'!R52="","",'Cálculo MP'!R52)</f>
        <v/>
      </c>
      <c r="BG42" s="60" t="str">
        <f>IF('Cálculo MP'!S52="","",'Cálculo MP'!S52)</f>
        <v/>
      </c>
      <c r="BH42" s="61"/>
      <c r="BI42" s="61"/>
      <c r="BJ42" s="61"/>
      <c r="BK42" s="61"/>
      <c r="BL42" s="61"/>
      <c r="BM42" s="61"/>
      <c r="BN42" s="61"/>
      <c r="BO42" s="61"/>
    </row>
    <row r="43" spans="1:67" ht="19.5" customHeight="1" x14ac:dyDescent="0.15">
      <c r="A43" s="123" t="s">
        <v>1856</v>
      </c>
      <c r="B43" s="122" t="s">
        <v>1854</v>
      </c>
      <c r="C43" s="49"/>
      <c r="D43" s="48" t="s">
        <v>73</v>
      </c>
      <c r="E43" s="49"/>
      <c r="F43" s="50"/>
      <c r="G43" s="62"/>
      <c r="H43" s="48" t="s">
        <v>72</v>
      </c>
      <c r="I43" s="52">
        <v>1</v>
      </c>
      <c r="J43" s="52"/>
      <c r="K43" s="52" t="s">
        <v>73</v>
      </c>
      <c r="L43" s="52" t="s">
        <v>74</v>
      </c>
      <c r="M43" s="53" t="s">
        <v>942</v>
      </c>
      <c r="N43" s="58" t="s">
        <v>73</v>
      </c>
      <c r="O43" s="48" t="s">
        <v>72</v>
      </c>
      <c r="P43" s="48" t="s">
        <v>73</v>
      </c>
      <c r="Q43" s="54" t="s">
        <v>73</v>
      </c>
      <c r="R43" s="55" t="s">
        <v>73</v>
      </c>
      <c r="S43" s="48" t="s">
        <v>73</v>
      </c>
      <c r="T43" s="130"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8" t="str" cm="1">
        <f t="array" ref="U43">IF(SUMPRODUCT(--((CAT_Procesos!$E$2:$E$1581=O43)*(CAT_Procesos!$F$2:$F$1581=_xlfn.TEXTJOIN(" + ",TRUE,IF((TRIM(P43:S43)="")+(LOWER(TRIM(P43:S43))="(seleccione)"),"",PROPER(TRIM(P43:S43)))))*(CAT_Procesos!$D$2:$D$1581=IFERROR(VLOOKUP(N43&amp;"*",CAT_Procesos!$D:$D,1,FALSE),""))))=0,"Combinación no existente",IF(SUMPRODUCT(((CAT_Procesos!$E$2:$E$1581=O43)*(CAT_Procesos!$F$2:$F$1581=_xlfn.TEXTJOIN(" + ",TRUE,IF((TRIM(P43:S43)="")+(LOWER(TRIM(P43:S43))="(seleccione)"),"",PROPER(TRIM(P43:S43)))))*(CAT_Procesos!$D$2:$D$1581=IFERROR(VLOOKUP(N43&amp;"*",CAT_Procesos!$D:$D,1,FALSE),"")))*(CAT_Procesos!$G$2:$G$1581=INDEX(CAT_Procesos!$G$2:$G$1581,MATCH(1,(CAT_Procesos!$E$2:$E$1581=O43)*(CAT_Procesos!$F$2:$F$1581=_xlfn.TEXTJOIN(" + ",TRUE,IF((TRIM(P43:S43)="")+(LOWER(TRIM(P43:S43))="(seleccione)"),"",PROPER(TRIM(P43:S43)))))*(CAT_Procesos!$D$2:$D$1581=IFERROR(VLOOKUP(N43&amp;"*",CAT_Procesos!$D:$D,1,FALSE),"")),0))))=SUMPRODUCT(--((CAT_Procesos!$E$2:$E$1581=O43)*(CAT_Procesos!$F$2:$F$1581=_xlfn.TEXTJOIN(" + ",TRUE,IF((TRIM(P43:S43)="")+(LOWER(TRIM(P43:S43))="(seleccione)"),"",PROPER(TRIM(P43:S43)))))*(CAT_Procesos!$D$2:$D$1581=IFERROR(VLOOKUP(N43&amp;"*",CAT_Procesos!$D:$D,1,FALSE),"")))),INDEX(CAT_Procesos!$G$2:$G$1581,MATCH(1,(CAT_Procesos!$E$2:$E$1581=O43)*(CAT_Procesos!$F$2:$F$1581=_xlfn.TEXTJOIN(" + ",TRUE,IF((TRIM(P43:S43)="")+(LOWER(TRIM(P43:S43))="(seleccione)"),"",PROPER(TRIM(P43:S43)))))*(CAT_Procesos!$D$2:$D$1581=IFERROR(VLOOKUP(N43&amp;"*",CAT_Procesos!$D:$D,1,FALSE),"")),0)),"(seleccione)"))</f>
        <v>Combinación no existente</v>
      </c>
      <c r="V43" s="55" t="s">
        <v>73</v>
      </c>
      <c r="W43" s="56" t="s">
        <v>73</v>
      </c>
      <c r="X43" s="57" t="str">
        <f t="shared" si="0"/>
        <v/>
      </c>
      <c r="Y43" s="58" t="s">
        <v>73</v>
      </c>
      <c r="Z43" s="57" t="str">
        <f t="shared" si="1"/>
        <v/>
      </c>
      <c r="AA43" s="58" t="s">
        <v>73</v>
      </c>
      <c r="AB43" s="57" t="str">
        <f t="shared" si="2"/>
        <v/>
      </c>
      <c r="AC43" s="58" t="s">
        <v>73</v>
      </c>
      <c r="AD43" s="57" t="str">
        <f t="shared" si="3"/>
        <v/>
      </c>
      <c r="AE43" s="59"/>
      <c r="AF43" s="59"/>
      <c r="AG43" s="59"/>
      <c r="AH43" s="59"/>
      <c r="AI43" s="59" t="s">
        <v>73</v>
      </c>
      <c r="AJ43" s="59"/>
      <c r="AK43" s="59" t="s">
        <v>73</v>
      </c>
      <c r="AL43" s="59"/>
      <c r="AM43" s="59" t="s">
        <v>73</v>
      </c>
      <c r="AN43" s="59"/>
      <c r="AO43" s="59" t="s">
        <v>73</v>
      </c>
      <c r="AP43" s="59"/>
      <c r="AQ43" s="59" t="s">
        <v>73</v>
      </c>
      <c r="AR43" s="59"/>
      <c r="AS43" s="59" t="s">
        <v>72</v>
      </c>
      <c r="AT43" s="59"/>
      <c r="AU43" s="59"/>
      <c r="AV43" s="59"/>
      <c r="AW43" s="59"/>
      <c r="AX43" s="59"/>
      <c r="AY43" s="60" t="str">
        <f>IF('Cálculo MP'!K53="","",'Cálculo MP'!K53)</f>
        <v/>
      </c>
      <c r="AZ43" s="60" t="str">
        <f>IF('Cálculo MP'!L53="","",'Cálculo MP'!L53)</f>
        <v/>
      </c>
      <c r="BA43" s="60" t="str">
        <f>IF('Cálculo MP'!M53="","",'Cálculo MP'!M53)</f>
        <v/>
      </c>
      <c r="BB43" s="60" t="str">
        <f>IF('Cálculo MP'!N53="","",'Cálculo MP'!N53)</f>
        <v/>
      </c>
      <c r="BC43" s="60" t="str">
        <f>IF('Cálculo MP'!O53="","",'Cálculo MP'!O53)</f>
        <v/>
      </c>
      <c r="BD43" s="60" t="str">
        <f>IF('Cálculo MP'!P53="","",'Cálculo MP'!P53)</f>
        <v/>
      </c>
      <c r="BE43" s="60" t="str">
        <f>IF('Cálculo MP'!Q53="","",'Cálculo MP'!Q53)</f>
        <v/>
      </c>
      <c r="BF43" s="60" t="str">
        <f>IF('Cálculo MP'!R53="","",'Cálculo MP'!R53)</f>
        <v/>
      </c>
      <c r="BG43" s="60" t="str">
        <f>IF('Cálculo MP'!S53="","",'Cálculo MP'!S53)</f>
        <v/>
      </c>
      <c r="BH43" s="61"/>
      <c r="BI43" s="61"/>
      <c r="BJ43" s="61"/>
      <c r="BK43" s="61"/>
      <c r="BL43" s="61"/>
      <c r="BM43" s="61"/>
      <c r="BN43" s="61"/>
      <c r="BO43" s="61"/>
    </row>
    <row r="44" spans="1:67" ht="19.5" customHeight="1" x14ac:dyDescent="0.15">
      <c r="A44" s="123" t="s">
        <v>1856</v>
      </c>
      <c r="B44" s="122" t="s">
        <v>1854</v>
      </c>
      <c r="C44" s="49"/>
      <c r="D44" s="48" t="s">
        <v>73</v>
      </c>
      <c r="E44" s="49"/>
      <c r="F44" s="50"/>
      <c r="G44" s="62"/>
      <c r="H44" s="48" t="s">
        <v>72</v>
      </c>
      <c r="I44" s="52">
        <v>1</v>
      </c>
      <c r="J44" s="52"/>
      <c r="K44" s="52" t="s">
        <v>73</v>
      </c>
      <c r="L44" s="52" t="s">
        <v>74</v>
      </c>
      <c r="M44" s="53" t="s">
        <v>942</v>
      </c>
      <c r="N44" s="58" t="s">
        <v>73</v>
      </c>
      <c r="O44" s="48" t="s">
        <v>72</v>
      </c>
      <c r="P44" s="48" t="s">
        <v>73</v>
      </c>
      <c r="Q44" s="54" t="s">
        <v>73</v>
      </c>
      <c r="R44" s="55" t="s">
        <v>73</v>
      </c>
      <c r="S44" s="48" t="s">
        <v>73</v>
      </c>
      <c r="T44" s="130"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8" t="str" cm="1">
        <f t="array" ref="U44">IF(SUMPRODUCT(--((CAT_Procesos!$E$2:$E$1581=O44)*(CAT_Procesos!$F$2:$F$1581=_xlfn.TEXTJOIN(" + ",TRUE,IF((TRIM(P44:S44)="")+(LOWER(TRIM(P44:S44))="(seleccione)"),"",PROPER(TRIM(P44:S44)))))*(CAT_Procesos!$D$2:$D$1581=IFERROR(VLOOKUP(N44&amp;"*",CAT_Procesos!$D:$D,1,FALSE),""))))=0,"Combinación no existente",IF(SUMPRODUCT(((CAT_Procesos!$E$2:$E$1581=O44)*(CAT_Procesos!$F$2:$F$1581=_xlfn.TEXTJOIN(" + ",TRUE,IF((TRIM(P44:S44)="")+(LOWER(TRIM(P44:S44))="(seleccione)"),"",PROPER(TRIM(P44:S44)))))*(CAT_Procesos!$D$2:$D$1581=IFERROR(VLOOKUP(N44&amp;"*",CAT_Procesos!$D:$D,1,FALSE),"")))*(CAT_Procesos!$G$2:$G$1581=INDEX(CAT_Procesos!$G$2:$G$1581,MATCH(1,(CAT_Procesos!$E$2:$E$1581=O44)*(CAT_Procesos!$F$2:$F$1581=_xlfn.TEXTJOIN(" + ",TRUE,IF((TRIM(P44:S44)="")+(LOWER(TRIM(P44:S44))="(seleccione)"),"",PROPER(TRIM(P44:S44)))))*(CAT_Procesos!$D$2:$D$1581=IFERROR(VLOOKUP(N44&amp;"*",CAT_Procesos!$D:$D,1,FALSE),"")),0))))=SUMPRODUCT(--((CAT_Procesos!$E$2:$E$1581=O44)*(CAT_Procesos!$F$2:$F$1581=_xlfn.TEXTJOIN(" + ",TRUE,IF((TRIM(P44:S44)="")+(LOWER(TRIM(P44:S44))="(seleccione)"),"",PROPER(TRIM(P44:S44)))))*(CAT_Procesos!$D$2:$D$1581=IFERROR(VLOOKUP(N44&amp;"*",CAT_Procesos!$D:$D,1,FALSE),"")))),INDEX(CAT_Procesos!$G$2:$G$1581,MATCH(1,(CAT_Procesos!$E$2:$E$1581=O44)*(CAT_Procesos!$F$2:$F$1581=_xlfn.TEXTJOIN(" + ",TRUE,IF((TRIM(P44:S44)="")+(LOWER(TRIM(P44:S44))="(seleccione)"),"",PROPER(TRIM(P44:S44)))))*(CAT_Procesos!$D$2:$D$1581=IFERROR(VLOOKUP(N44&amp;"*",CAT_Procesos!$D:$D,1,FALSE),"")),0)),"(seleccione)"))</f>
        <v>Combinación no existente</v>
      </c>
      <c r="V44" s="55" t="s">
        <v>73</v>
      </c>
      <c r="W44" s="56" t="s">
        <v>73</v>
      </c>
      <c r="X44" s="57" t="str">
        <f t="shared" si="0"/>
        <v/>
      </c>
      <c r="Y44" s="58" t="s">
        <v>73</v>
      </c>
      <c r="Z44" s="57" t="str">
        <f t="shared" si="1"/>
        <v/>
      </c>
      <c r="AA44" s="58" t="s">
        <v>73</v>
      </c>
      <c r="AB44" s="57" t="str">
        <f t="shared" si="2"/>
        <v/>
      </c>
      <c r="AC44" s="58" t="s">
        <v>73</v>
      </c>
      <c r="AD44" s="57" t="str">
        <f t="shared" si="3"/>
        <v/>
      </c>
      <c r="AE44" s="59"/>
      <c r="AF44" s="59"/>
      <c r="AG44" s="59"/>
      <c r="AH44" s="59"/>
      <c r="AI44" s="59" t="s">
        <v>73</v>
      </c>
      <c r="AJ44" s="59"/>
      <c r="AK44" s="59" t="s">
        <v>73</v>
      </c>
      <c r="AL44" s="59"/>
      <c r="AM44" s="59" t="s">
        <v>73</v>
      </c>
      <c r="AN44" s="59"/>
      <c r="AO44" s="59" t="s">
        <v>73</v>
      </c>
      <c r="AP44" s="59"/>
      <c r="AQ44" s="59" t="s">
        <v>73</v>
      </c>
      <c r="AR44" s="59"/>
      <c r="AS44" s="59" t="s">
        <v>72</v>
      </c>
      <c r="AT44" s="59"/>
      <c r="AU44" s="59"/>
      <c r="AV44" s="59"/>
      <c r="AW44" s="59"/>
      <c r="AX44" s="59"/>
      <c r="AY44" s="60" t="str">
        <f>IF('Cálculo MP'!K54="","",'Cálculo MP'!K54)</f>
        <v/>
      </c>
      <c r="AZ44" s="60" t="str">
        <f>IF('Cálculo MP'!L54="","",'Cálculo MP'!L54)</f>
        <v/>
      </c>
      <c r="BA44" s="60" t="str">
        <f>IF('Cálculo MP'!M54="","",'Cálculo MP'!M54)</f>
        <v/>
      </c>
      <c r="BB44" s="60" t="str">
        <f>IF('Cálculo MP'!N54="","",'Cálculo MP'!N54)</f>
        <v/>
      </c>
      <c r="BC44" s="60" t="str">
        <f>IF('Cálculo MP'!O54="","",'Cálculo MP'!O54)</f>
        <v/>
      </c>
      <c r="BD44" s="60" t="str">
        <f>IF('Cálculo MP'!P54="","",'Cálculo MP'!P54)</f>
        <v/>
      </c>
      <c r="BE44" s="60" t="str">
        <f>IF('Cálculo MP'!Q54="","",'Cálculo MP'!Q54)</f>
        <v/>
      </c>
      <c r="BF44" s="60" t="str">
        <f>IF('Cálculo MP'!R54="","",'Cálculo MP'!R54)</f>
        <v/>
      </c>
      <c r="BG44" s="60" t="str">
        <f>IF('Cálculo MP'!S54="","",'Cálculo MP'!S54)</f>
        <v/>
      </c>
      <c r="BH44" s="61"/>
      <c r="BI44" s="61"/>
      <c r="BJ44" s="61"/>
      <c r="BK44" s="61"/>
      <c r="BL44" s="61"/>
      <c r="BM44" s="61"/>
      <c r="BN44" s="61"/>
      <c r="BO44" s="61"/>
    </row>
    <row r="45" spans="1:67" ht="19.5" customHeight="1" x14ac:dyDescent="0.15">
      <c r="A45" s="123" t="s">
        <v>1856</v>
      </c>
      <c r="B45" s="122" t="s">
        <v>1854</v>
      </c>
      <c r="C45" s="49"/>
      <c r="D45" s="48" t="s">
        <v>73</v>
      </c>
      <c r="E45" s="49"/>
      <c r="F45" s="50"/>
      <c r="G45" s="62"/>
      <c r="H45" s="48" t="s">
        <v>72</v>
      </c>
      <c r="I45" s="52">
        <v>1</v>
      </c>
      <c r="J45" s="52"/>
      <c r="K45" s="52" t="s">
        <v>73</v>
      </c>
      <c r="L45" s="52" t="s">
        <v>74</v>
      </c>
      <c r="M45" s="53" t="s">
        <v>942</v>
      </c>
      <c r="N45" s="58" t="s">
        <v>73</v>
      </c>
      <c r="O45" s="48" t="s">
        <v>72</v>
      </c>
      <c r="P45" s="48" t="s">
        <v>73</v>
      </c>
      <c r="Q45" s="54" t="s">
        <v>73</v>
      </c>
      <c r="R45" s="55" t="s">
        <v>73</v>
      </c>
      <c r="S45" s="48" t="s">
        <v>73</v>
      </c>
      <c r="T45" s="130"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8" t="str" cm="1">
        <f t="array" ref="U45">IF(SUMPRODUCT(--((CAT_Procesos!$E$2:$E$1581=O45)*(CAT_Procesos!$F$2:$F$1581=_xlfn.TEXTJOIN(" + ",TRUE,IF((TRIM(P45:S45)="")+(LOWER(TRIM(P45:S45))="(seleccione)"),"",PROPER(TRIM(P45:S45)))))*(CAT_Procesos!$D$2:$D$1581=IFERROR(VLOOKUP(N45&amp;"*",CAT_Procesos!$D:$D,1,FALSE),""))))=0,"Combinación no existente",IF(SUMPRODUCT(((CAT_Procesos!$E$2:$E$1581=O45)*(CAT_Procesos!$F$2:$F$1581=_xlfn.TEXTJOIN(" + ",TRUE,IF((TRIM(P45:S45)="")+(LOWER(TRIM(P45:S45))="(seleccione)"),"",PROPER(TRIM(P45:S45)))))*(CAT_Procesos!$D$2:$D$1581=IFERROR(VLOOKUP(N45&amp;"*",CAT_Procesos!$D:$D,1,FALSE),"")))*(CAT_Procesos!$G$2:$G$1581=INDEX(CAT_Procesos!$G$2:$G$1581,MATCH(1,(CAT_Procesos!$E$2:$E$1581=O45)*(CAT_Procesos!$F$2:$F$1581=_xlfn.TEXTJOIN(" + ",TRUE,IF((TRIM(P45:S45)="")+(LOWER(TRIM(P45:S45))="(seleccione)"),"",PROPER(TRIM(P45:S45)))))*(CAT_Procesos!$D$2:$D$1581=IFERROR(VLOOKUP(N45&amp;"*",CAT_Procesos!$D:$D,1,FALSE),"")),0))))=SUMPRODUCT(--((CAT_Procesos!$E$2:$E$1581=O45)*(CAT_Procesos!$F$2:$F$1581=_xlfn.TEXTJOIN(" + ",TRUE,IF((TRIM(P45:S45)="")+(LOWER(TRIM(P45:S45))="(seleccione)"),"",PROPER(TRIM(P45:S45)))))*(CAT_Procesos!$D$2:$D$1581=IFERROR(VLOOKUP(N45&amp;"*",CAT_Procesos!$D:$D,1,FALSE),"")))),INDEX(CAT_Procesos!$G$2:$G$1581,MATCH(1,(CAT_Procesos!$E$2:$E$1581=O45)*(CAT_Procesos!$F$2:$F$1581=_xlfn.TEXTJOIN(" + ",TRUE,IF((TRIM(P45:S45)="")+(LOWER(TRIM(P45:S45))="(seleccione)"),"",PROPER(TRIM(P45:S45)))))*(CAT_Procesos!$D$2:$D$1581=IFERROR(VLOOKUP(N45&amp;"*",CAT_Procesos!$D:$D,1,FALSE),"")),0)),"(seleccione)"))</f>
        <v>Combinación no existente</v>
      </c>
      <c r="V45" s="55" t="s">
        <v>73</v>
      </c>
      <c r="W45" s="56" t="s">
        <v>73</v>
      </c>
      <c r="X45" s="57" t="str">
        <f t="shared" si="0"/>
        <v/>
      </c>
      <c r="Y45" s="58" t="s">
        <v>73</v>
      </c>
      <c r="Z45" s="57" t="str">
        <f t="shared" si="1"/>
        <v/>
      </c>
      <c r="AA45" s="58" t="s">
        <v>73</v>
      </c>
      <c r="AB45" s="57" t="str">
        <f t="shared" si="2"/>
        <v/>
      </c>
      <c r="AC45" s="58" t="s">
        <v>73</v>
      </c>
      <c r="AD45" s="57" t="str">
        <f t="shared" si="3"/>
        <v/>
      </c>
      <c r="AE45" s="59"/>
      <c r="AF45" s="59"/>
      <c r="AG45" s="59"/>
      <c r="AH45" s="59"/>
      <c r="AI45" s="59" t="s">
        <v>73</v>
      </c>
      <c r="AJ45" s="59"/>
      <c r="AK45" s="59" t="s">
        <v>73</v>
      </c>
      <c r="AL45" s="59"/>
      <c r="AM45" s="59" t="s">
        <v>73</v>
      </c>
      <c r="AN45" s="59"/>
      <c r="AO45" s="59" t="s">
        <v>73</v>
      </c>
      <c r="AP45" s="59"/>
      <c r="AQ45" s="59" t="s">
        <v>73</v>
      </c>
      <c r="AR45" s="59"/>
      <c r="AS45" s="59" t="s">
        <v>72</v>
      </c>
      <c r="AT45" s="59"/>
      <c r="AU45" s="59"/>
      <c r="AV45" s="59"/>
      <c r="AW45" s="59"/>
      <c r="AX45" s="59"/>
      <c r="AY45" s="60" t="str">
        <f>IF('Cálculo MP'!K55="","",'Cálculo MP'!K55)</f>
        <v/>
      </c>
      <c r="AZ45" s="60" t="str">
        <f>IF('Cálculo MP'!L55="","",'Cálculo MP'!L55)</f>
        <v/>
      </c>
      <c r="BA45" s="60" t="str">
        <f>IF('Cálculo MP'!M55="","",'Cálculo MP'!M55)</f>
        <v/>
      </c>
      <c r="BB45" s="60" t="str">
        <f>IF('Cálculo MP'!N55="","",'Cálculo MP'!N55)</f>
        <v/>
      </c>
      <c r="BC45" s="60" t="str">
        <f>IF('Cálculo MP'!O55="","",'Cálculo MP'!O55)</f>
        <v/>
      </c>
      <c r="BD45" s="60" t="str">
        <f>IF('Cálculo MP'!P55="","",'Cálculo MP'!P55)</f>
        <v/>
      </c>
      <c r="BE45" s="60" t="str">
        <f>IF('Cálculo MP'!Q55="","",'Cálculo MP'!Q55)</f>
        <v/>
      </c>
      <c r="BF45" s="60" t="str">
        <f>IF('Cálculo MP'!R55="","",'Cálculo MP'!R55)</f>
        <v/>
      </c>
      <c r="BG45" s="60" t="str">
        <f>IF('Cálculo MP'!S55="","",'Cálculo MP'!S55)</f>
        <v/>
      </c>
      <c r="BH45" s="61"/>
      <c r="BI45" s="61"/>
      <c r="BJ45" s="61"/>
      <c r="BK45" s="61"/>
      <c r="BL45" s="61"/>
      <c r="BM45" s="61"/>
      <c r="BN45" s="61"/>
      <c r="BO45" s="61"/>
    </row>
    <row r="46" spans="1:67" ht="19.5" customHeight="1" x14ac:dyDescent="0.15">
      <c r="A46" s="123" t="s">
        <v>1856</v>
      </c>
      <c r="B46" s="122" t="s">
        <v>1854</v>
      </c>
      <c r="C46" s="49"/>
      <c r="D46" s="48" t="s">
        <v>73</v>
      </c>
      <c r="E46" s="49"/>
      <c r="F46" s="50"/>
      <c r="G46" s="62"/>
      <c r="H46" s="48" t="s">
        <v>72</v>
      </c>
      <c r="I46" s="52">
        <v>1</v>
      </c>
      <c r="J46" s="52"/>
      <c r="K46" s="52" t="s">
        <v>73</v>
      </c>
      <c r="L46" s="52" t="s">
        <v>74</v>
      </c>
      <c r="M46" s="53" t="s">
        <v>942</v>
      </c>
      <c r="N46" s="58" t="s">
        <v>73</v>
      </c>
      <c r="O46" s="48" t="s">
        <v>72</v>
      </c>
      <c r="P46" s="48" t="s">
        <v>73</v>
      </c>
      <c r="Q46" s="54" t="s">
        <v>73</v>
      </c>
      <c r="R46" s="55" t="s">
        <v>73</v>
      </c>
      <c r="S46" s="48" t="s">
        <v>73</v>
      </c>
      <c r="T46" s="130"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8" t="str" cm="1">
        <f t="array" ref="U46">IF(SUMPRODUCT(--((CAT_Procesos!$E$2:$E$1581=O46)*(CAT_Procesos!$F$2:$F$1581=_xlfn.TEXTJOIN(" + ",TRUE,IF((TRIM(P46:S46)="")+(LOWER(TRIM(P46:S46))="(seleccione)"),"",PROPER(TRIM(P46:S46)))))*(CAT_Procesos!$D$2:$D$1581=IFERROR(VLOOKUP(N46&amp;"*",CAT_Procesos!$D:$D,1,FALSE),""))))=0,"Combinación no existente",IF(SUMPRODUCT(((CAT_Procesos!$E$2:$E$1581=O46)*(CAT_Procesos!$F$2:$F$1581=_xlfn.TEXTJOIN(" + ",TRUE,IF((TRIM(P46:S46)="")+(LOWER(TRIM(P46:S46))="(seleccione)"),"",PROPER(TRIM(P46:S46)))))*(CAT_Procesos!$D$2:$D$1581=IFERROR(VLOOKUP(N46&amp;"*",CAT_Procesos!$D:$D,1,FALSE),"")))*(CAT_Procesos!$G$2:$G$1581=INDEX(CAT_Procesos!$G$2:$G$1581,MATCH(1,(CAT_Procesos!$E$2:$E$1581=O46)*(CAT_Procesos!$F$2:$F$1581=_xlfn.TEXTJOIN(" + ",TRUE,IF((TRIM(P46:S46)="")+(LOWER(TRIM(P46:S46))="(seleccione)"),"",PROPER(TRIM(P46:S46)))))*(CAT_Procesos!$D$2:$D$1581=IFERROR(VLOOKUP(N46&amp;"*",CAT_Procesos!$D:$D,1,FALSE),"")),0))))=SUMPRODUCT(--((CAT_Procesos!$E$2:$E$1581=O46)*(CAT_Procesos!$F$2:$F$1581=_xlfn.TEXTJOIN(" + ",TRUE,IF((TRIM(P46:S46)="")+(LOWER(TRIM(P46:S46))="(seleccione)"),"",PROPER(TRIM(P46:S46)))))*(CAT_Procesos!$D$2:$D$1581=IFERROR(VLOOKUP(N46&amp;"*",CAT_Procesos!$D:$D,1,FALSE),"")))),INDEX(CAT_Procesos!$G$2:$G$1581,MATCH(1,(CAT_Procesos!$E$2:$E$1581=O46)*(CAT_Procesos!$F$2:$F$1581=_xlfn.TEXTJOIN(" + ",TRUE,IF((TRIM(P46:S46)="")+(LOWER(TRIM(P46:S46))="(seleccione)"),"",PROPER(TRIM(P46:S46)))))*(CAT_Procesos!$D$2:$D$1581=IFERROR(VLOOKUP(N46&amp;"*",CAT_Procesos!$D:$D,1,FALSE),"")),0)),"(seleccione)"))</f>
        <v>Combinación no existente</v>
      </c>
      <c r="V46" s="55" t="s">
        <v>73</v>
      </c>
      <c r="W46" s="56" t="s">
        <v>73</v>
      </c>
      <c r="X46" s="57" t="str">
        <f t="shared" si="0"/>
        <v/>
      </c>
      <c r="Y46" s="58" t="s">
        <v>73</v>
      </c>
      <c r="Z46" s="57" t="str">
        <f t="shared" si="1"/>
        <v/>
      </c>
      <c r="AA46" s="58" t="s">
        <v>73</v>
      </c>
      <c r="AB46" s="57" t="str">
        <f t="shared" si="2"/>
        <v/>
      </c>
      <c r="AC46" s="58" t="s">
        <v>73</v>
      </c>
      <c r="AD46" s="57" t="str">
        <f t="shared" si="3"/>
        <v/>
      </c>
      <c r="AE46" s="59"/>
      <c r="AF46" s="59"/>
      <c r="AG46" s="59"/>
      <c r="AH46" s="59"/>
      <c r="AI46" s="59" t="s">
        <v>73</v>
      </c>
      <c r="AJ46" s="59"/>
      <c r="AK46" s="59" t="s">
        <v>73</v>
      </c>
      <c r="AL46" s="59"/>
      <c r="AM46" s="59" t="s">
        <v>73</v>
      </c>
      <c r="AN46" s="59"/>
      <c r="AO46" s="59" t="s">
        <v>73</v>
      </c>
      <c r="AP46" s="59"/>
      <c r="AQ46" s="59" t="s">
        <v>73</v>
      </c>
      <c r="AR46" s="59"/>
      <c r="AS46" s="59" t="s">
        <v>72</v>
      </c>
      <c r="AT46" s="59"/>
      <c r="AU46" s="59"/>
      <c r="AV46" s="59"/>
      <c r="AW46" s="59"/>
      <c r="AX46" s="59"/>
      <c r="AY46" s="60" t="str">
        <f>IF('Cálculo MP'!K56="","",'Cálculo MP'!K56)</f>
        <v/>
      </c>
      <c r="AZ46" s="60" t="str">
        <f>IF('Cálculo MP'!L56="","",'Cálculo MP'!L56)</f>
        <v/>
      </c>
      <c r="BA46" s="60" t="str">
        <f>IF('Cálculo MP'!M56="","",'Cálculo MP'!M56)</f>
        <v/>
      </c>
      <c r="BB46" s="60" t="str">
        <f>IF('Cálculo MP'!N56="","",'Cálculo MP'!N56)</f>
        <v/>
      </c>
      <c r="BC46" s="60" t="str">
        <f>IF('Cálculo MP'!O56="","",'Cálculo MP'!O56)</f>
        <v/>
      </c>
      <c r="BD46" s="60" t="str">
        <f>IF('Cálculo MP'!P56="","",'Cálculo MP'!P56)</f>
        <v/>
      </c>
      <c r="BE46" s="60" t="str">
        <f>IF('Cálculo MP'!Q56="","",'Cálculo MP'!Q56)</f>
        <v/>
      </c>
      <c r="BF46" s="60" t="str">
        <f>IF('Cálculo MP'!R56="","",'Cálculo MP'!R56)</f>
        <v/>
      </c>
      <c r="BG46" s="60" t="str">
        <f>IF('Cálculo MP'!S56="","",'Cálculo MP'!S56)</f>
        <v/>
      </c>
      <c r="BH46" s="61"/>
      <c r="BI46" s="61"/>
      <c r="BJ46" s="61"/>
      <c r="BK46" s="61"/>
      <c r="BL46" s="61"/>
      <c r="BM46" s="61"/>
      <c r="BN46" s="61"/>
      <c r="BO46" s="61"/>
    </row>
    <row r="47" spans="1:67" ht="19.5" customHeight="1" x14ac:dyDescent="0.15">
      <c r="A47" s="123" t="s">
        <v>1856</v>
      </c>
      <c r="B47" s="122" t="s">
        <v>1854</v>
      </c>
      <c r="C47" s="49"/>
      <c r="D47" s="48" t="s">
        <v>73</v>
      </c>
      <c r="E47" s="49"/>
      <c r="F47" s="50"/>
      <c r="G47" s="62"/>
      <c r="H47" s="48" t="s">
        <v>72</v>
      </c>
      <c r="I47" s="52">
        <v>1</v>
      </c>
      <c r="J47" s="52"/>
      <c r="K47" s="52" t="s">
        <v>73</v>
      </c>
      <c r="L47" s="52" t="s">
        <v>74</v>
      </c>
      <c r="M47" s="53" t="s">
        <v>942</v>
      </c>
      <c r="N47" s="58" t="s">
        <v>73</v>
      </c>
      <c r="O47" s="48" t="s">
        <v>72</v>
      </c>
      <c r="P47" s="48" t="s">
        <v>73</v>
      </c>
      <c r="Q47" s="54" t="s">
        <v>73</v>
      </c>
      <c r="R47" s="55" t="s">
        <v>73</v>
      </c>
      <c r="S47" s="48" t="s">
        <v>73</v>
      </c>
      <c r="T47" s="130"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8" t="str" cm="1">
        <f t="array" ref="U47">IF(SUMPRODUCT(--((CAT_Procesos!$E$2:$E$1581=O47)*(CAT_Procesos!$F$2:$F$1581=_xlfn.TEXTJOIN(" + ",TRUE,IF((TRIM(P47:S47)="")+(LOWER(TRIM(P47:S47))="(seleccione)"),"",PROPER(TRIM(P47:S47)))))*(CAT_Procesos!$D$2:$D$1581=IFERROR(VLOOKUP(N47&amp;"*",CAT_Procesos!$D:$D,1,FALSE),""))))=0,"Combinación no existente",IF(SUMPRODUCT(((CAT_Procesos!$E$2:$E$1581=O47)*(CAT_Procesos!$F$2:$F$1581=_xlfn.TEXTJOIN(" + ",TRUE,IF((TRIM(P47:S47)="")+(LOWER(TRIM(P47:S47))="(seleccione)"),"",PROPER(TRIM(P47:S47)))))*(CAT_Procesos!$D$2:$D$1581=IFERROR(VLOOKUP(N47&amp;"*",CAT_Procesos!$D:$D,1,FALSE),"")))*(CAT_Procesos!$G$2:$G$1581=INDEX(CAT_Procesos!$G$2:$G$1581,MATCH(1,(CAT_Procesos!$E$2:$E$1581=O47)*(CAT_Procesos!$F$2:$F$1581=_xlfn.TEXTJOIN(" + ",TRUE,IF((TRIM(P47:S47)="")+(LOWER(TRIM(P47:S47))="(seleccione)"),"",PROPER(TRIM(P47:S47)))))*(CAT_Procesos!$D$2:$D$1581=IFERROR(VLOOKUP(N47&amp;"*",CAT_Procesos!$D:$D,1,FALSE),"")),0))))=SUMPRODUCT(--((CAT_Procesos!$E$2:$E$1581=O47)*(CAT_Procesos!$F$2:$F$1581=_xlfn.TEXTJOIN(" + ",TRUE,IF((TRIM(P47:S47)="")+(LOWER(TRIM(P47:S47))="(seleccione)"),"",PROPER(TRIM(P47:S47)))))*(CAT_Procesos!$D$2:$D$1581=IFERROR(VLOOKUP(N47&amp;"*",CAT_Procesos!$D:$D,1,FALSE),"")))),INDEX(CAT_Procesos!$G$2:$G$1581,MATCH(1,(CAT_Procesos!$E$2:$E$1581=O47)*(CAT_Procesos!$F$2:$F$1581=_xlfn.TEXTJOIN(" + ",TRUE,IF((TRIM(P47:S47)="")+(LOWER(TRIM(P47:S47))="(seleccione)"),"",PROPER(TRIM(P47:S47)))))*(CAT_Procesos!$D$2:$D$1581=IFERROR(VLOOKUP(N47&amp;"*",CAT_Procesos!$D:$D,1,FALSE),"")),0)),"(seleccione)"))</f>
        <v>Combinación no existente</v>
      </c>
      <c r="V47" s="55" t="s">
        <v>73</v>
      </c>
      <c r="W47" s="56" t="s">
        <v>73</v>
      </c>
      <c r="X47" s="57" t="str">
        <f t="shared" si="0"/>
        <v/>
      </c>
      <c r="Y47" s="58" t="s">
        <v>73</v>
      </c>
      <c r="Z47" s="57" t="str">
        <f t="shared" si="1"/>
        <v/>
      </c>
      <c r="AA47" s="58" t="s">
        <v>73</v>
      </c>
      <c r="AB47" s="57" t="str">
        <f t="shared" si="2"/>
        <v/>
      </c>
      <c r="AC47" s="58" t="s">
        <v>73</v>
      </c>
      <c r="AD47" s="57" t="str">
        <f t="shared" si="3"/>
        <v/>
      </c>
      <c r="AE47" s="59"/>
      <c r="AF47" s="59"/>
      <c r="AG47" s="59"/>
      <c r="AH47" s="59"/>
      <c r="AI47" s="59" t="s">
        <v>73</v>
      </c>
      <c r="AJ47" s="59"/>
      <c r="AK47" s="59" t="s">
        <v>73</v>
      </c>
      <c r="AL47" s="59"/>
      <c r="AM47" s="59" t="s">
        <v>73</v>
      </c>
      <c r="AN47" s="59"/>
      <c r="AO47" s="59" t="s">
        <v>73</v>
      </c>
      <c r="AP47" s="59"/>
      <c r="AQ47" s="59" t="s">
        <v>73</v>
      </c>
      <c r="AR47" s="59"/>
      <c r="AS47" s="59" t="s">
        <v>72</v>
      </c>
      <c r="AT47" s="59"/>
      <c r="AU47" s="59"/>
      <c r="AV47" s="59"/>
      <c r="AW47" s="59"/>
      <c r="AX47" s="59"/>
      <c r="AY47" s="60" t="str">
        <f>IF('Cálculo MP'!K57="","",'Cálculo MP'!K57)</f>
        <v/>
      </c>
      <c r="AZ47" s="60" t="str">
        <f>IF('Cálculo MP'!L57="","",'Cálculo MP'!L57)</f>
        <v/>
      </c>
      <c r="BA47" s="60" t="str">
        <f>IF('Cálculo MP'!M57="","",'Cálculo MP'!M57)</f>
        <v/>
      </c>
      <c r="BB47" s="60" t="str">
        <f>IF('Cálculo MP'!N57="","",'Cálculo MP'!N57)</f>
        <v/>
      </c>
      <c r="BC47" s="60" t="str">
        <f>IF('Cálculo MP'!O57="","",'Cálculo MP'!O57)</f>
        <v/>
      </c>
      <c r="BD47" s="60" t="str">
        <f>IF('Cálculo MP'!P57="","",'Cálculo MP'!P57)</f>
        <v/>
      </c>
      <c r="BE47" s="60" t="str">
        <f>IF('Cálculo MP'!Q57="","",'Cálculo MP'!Q57)</f>
        <v/>
      </c>
      <c r="BF47" s="60" t="str">
        <f>IF('Cálculo MP'!R57="","",'Cálculo MP'!R57)</f>
        <v/>
      </c>
      <c r="BG47" s="60" t="str">
        <f>IF('Cálculo MP'!S57="","",'Cálculo MP'!S57)</f>
        <v/>
      </c>
      <c r="BH47" s="61"/>
      <c r="BI47" s="61"/>
      <c r="BJ47" s="61"/>
      <c r="BK47" s="61"/>
      <c r="BL47" s="61"/>
      <c r="BM47" s="61"/>
      <c r="BN47" s="61"/>
      <c r="BO47" s="61"/>
    </row>
    <row r="48" spans="1:67" ht="19.5" customHeight="1" x14ac:dyDescent="0.15">
      <c r="A48" s="123" t="s">
        <v>1856</v>
      </c>
      <c r="B48" s="122" t="s">
        <v>1854</v>
      </c>
      <c r="C48" s="49"/>
      <c r="D48" s="48" t="s">
        <v>73</v>
      </c>
      <c r="E48" s="49"/>
      <c r="F48" s="50"/>
      <c r="G48" s="62"/>
      <c r="H48" s="48" t="s">
        <v>72</v>
      </c>
      <c r="I48" s="52">
        <v>1</v>
      </c>
      <c r="J48" s="52"/>
      <c r="K48" s="52" t="s">
        <v>73</v>
      </c>
      <c r="L48" s="52" t="s">
        <v>74</v>
      </c>
      <c r="M48" s="53" t="s">
        <v>942</v>
      </c>
      <c r="N48" s="58" t="s">
        <v>73</v>
      </c>
      <c r="O48" s="48" t="s">
        <v>72</v>
      </c>
      <c r="P48" s="48" t="s">
        <v>73</v>
      </c>
      <c r="Q48" s="54" t="s">
        <v>73</v>
      </c>
      <c r="R48" s="55" t="s">
        <v>73</v>
      </c>
      <c r="S48" s="48" t="s">
        <v>73</v>
      </c>
      <c r="T48" s="130"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8" t="str" cm="1">
        <f t="array" ref="U48">IF(SUMPRODUCT(--((CAT_Procesos!$E$2:$E$1581=O48)*(CAT_Procesos!$F$2:$F$1581=_xlfn.TEXTJOIN(" + ",TRUE,IF((TRIM(P48:S48)="")+(LOWER(TRIM(P48:S48))="(seleccione)"),"",PROPER(TRIM(P48:S48)))))*(CAT_Procesos!$D$2:$D$1581=IFERROR(VLOOKUP(N48&amp;"*",CAT_Procesos!$D:$D,1,FALSE),""))))=0,"Combinación no existente",IF(SUMPRODUCT(((CAT_Procesos!$E$2:$E$1581=O48)*(CAT_Procesos!$F$2:$F$1581=_xlfn.TEXTJOIN(" + ",TRUE,IF((TRIM(P48:S48)="")+(LOWER(TRIM(P48:S48))="(seleccione)"),"",PROPER(TRIM(P48:S48)))))*(CAT_Procesos!$D$2:$D$1581=IFERROR(VLOOKUP(N48&amp;"*",CAT_Procesos!$D:$D,1,FALSE),"")))*(CAT_Procesos!$G$2:$G$1581=INDEX(CAT_Procesos!$G$2:$G$1581,MATCH(1,(CAT_Procesos!$E$2:$E$1581=O48)*(CAT_Procesos!$F$2:$F$1581=_xlfn.TEXTJOIN(" + ",TRUE,IF((TRIM(P48:S48)="")+(LOWER(TRIM(P48:S48))="(seleccione)"),"",PROPER(TRIM(P48:S48)))))*(CAT_Procesos!$D$2:$D$1581=IFERROR(VLOOKUP(N48&amp;"*",CAT_Procesos!$D:$D,1,FALSE),"")),0))))=SUMPRODUCT(--((CAT_Procesos!$E$2:$E$1581=O48)*(CAT_Procesos!$F$2:$F$1581=_xlfn.TEXTJOIN(" + ",TRUE,IF((TRIM(P48:S48)="")+(LOWER(TRIM(P48:S48))="(seleccione)"),"",PROPER(TRIM(P48:S48)))))*(CAT_Procesos!$D$2:$D$1581=IFERROR(VLOOKUP(N48&amp;"*",CAT_Procesos!$D:$D,1,FALSE),"")))),INDEX(CAT_Procesos!$G$2:$G$1581,MATCH(1,(CAT_Procesos!$E$2:$E$1581=O48)*(CAT_Procesos!$F$2:$F$1581=_xlfn.TEXTJOIN(" + ",TRUE,IF((TRIM(P48:S48)="")+(LOWER(TRIM(P48:S48))="(seleccione)"),"",PROPER(TRIM(P48:S48)))))*(CAT_Procesos!$D$2:$D$1581=IFERROR(VLOOKUP(N48&amp;"*",CAT_Procesos!$D:$D,1,FALSE),"")),0)),"(seleccione)"))</f>
        <v>Combinación no existente</v>
      </c>
      <c r="V48" s="55" t="s">
        <v>73</v>
      </c>
      <c r="W48" s="56" t="s">
        <v>73</v>
      </c>
      <c r="X48" s="57" t="str">
        <f t="shared" si="0"/>
        <v/>
      </c>
      <c r="Y48" s="58" t="s">
        <v>73</v>
      </c>
      <c r="Z48" s="57" t="str">
        <f t="shared" si="1"/>
        <v/>
      </c>
      <c r="AA48" s="58" t="s">
        <v>73</v>
      </c>
      <c r="AB48" s="57" t="str">
        <f t="shared" si="2"/>
        <v/>
      </c>
      <c r="AC48" s="58" t="s">
        <v>73</v>
      </c>
      <c r="AD48" s="57" t="str">
        <f t="shared" si="3"/>
        <v/>
      </c>
      <c r="AE48" s="59"/>
      <c r="AF48" s="59"/>
      <c r="AG48" s="59"/>
      <c r="AH48" s="59"/>
      <c r="AI48" s="59" t="s">
        <v>73</v>
      </c>
      <c r="AJ48" s="59"/>
      <c r="AK48" s="59" t="s">
        <v>73</v>
      </c>
      <c r="AL48" s="59"/>
      <c r="AM48" s="59" t="s">
        <v>73</v>
      </c>
      <c r="AN48" s="59"/>
      <c r="AO48" s="59" t="s">
        <v>73</v>
      </c>
      <c r="AP48" s="59"/>
      <c r="AQ48" s="59" t="s">
        <v>73</v>
      </c>
      <c r="AR48" s="59"/>
      <c r="AS48" s="59" t="s">
        <v>72</v>
      </c>
      <c r="AT48" s="59"/>
      <c r="AU48" s="59"/>
      <c r="AV48" s="59"/>
      <c r="AW48" s="59"/>
      <c r="AX48" s="59"/>
      <c r="AY48" s="60" t="str">
        <f>IF('Cálculo MP'!K58="","",'Cálculo MP'!K58)</f>
        <v/>
      </c>
      <c r="AZ48" s="60" t="str">
        <f>IF('Cálculo MP'!L58="","",'Cálculo MP'!L58)</f>
        <v/>
      </c>
      <c r="BA48" s="60" t="str">
        <f>IF('Cálculo MP'!M58="","",'Cálculo MP'!M58)</f>
        <v/>
      </c>
      <c r="BB48" s="60" t="str">
        <f>IF('Cálculo MP'!N58="","",'Cálculo MP'!N58)</f>
        <v/>
      </c>
      <c r="BC48" s="60" t="str">
        <f>IF('Cálculo MP'!O58="","",'Cálculo MP'!O58)</f>
        <v/>
      </c>
      <c r="BD48" s="60" t="str">
        <f>IF('Cálculo MP'!P58="","",'Cálculo MP'!P58)</f>
        <v/>
      </c>
      <c r="BE48" s="60" t="str">
        <f>IF('Cálculo MP'!Q58="","",'Cálculo MP'!Q58)</f>
        <v/>
      </c>
      <c r="BF48" s="60" t="str">
        <f>IF('Cálculo MP'!R58="","",'Cálculo MP'!R58)</f>
        <v/>
      </c>
      <c r="BG48" s="60" t="str">
        <f>IF('Cálculo MP'!S58="","",'Cálculo MP'!S58)</f>
        <v/>
      </c>
      <c r="BH48" s="61"/>
      <c r="BI48" s="61"/>
      <c r="BJ48" s="61"/>
      <c r="BK48" s="61"/>
      <c r="BL48" s="61"/>
      <c r="BM48" s="61"/>
      <c r="BN48" s="61"/>
      <c r="BO48" s="61"/>
    </row>
    <row r="49" spans="1:67" ht="19.5" customHeight="1" x14ac:dyDescent="0.15">
      <c r="A49" s="123" t="s">
        <v>1856</v>
      </c>
      <c r="B49" s="122" t="s">
        <v>1854</v>
      </c>
      <c r="C49" s="49"/>
      <c r="D49" s="48" t="s">
        <v>73</v>
      </c>
      <c r="E49" s="49"/>
      <c r="F49" s="50"/>
      <c r="G49" s="62"/>
      <c r="H49" s="48" t="s">
        <v>72</v>
      </c>
      <c r="I49" s="52">
        <v>1</v>
      </c>
      <c r="J49" s="52"/>
      <c r="K49" s="52" t="s">
        <v>73</v>
      </c>
      <c r="L49" s="52" t="s">
        <v>74</v>
      </c>
      <c r="M49" s="53" t="s">
        <v>942</v>
      </c>
      <c r="N49" s="58" t="s">
        <v>73</v>
      </c>
      <c r="O49" s="48" t="s">
        <v>72</v>
      </c>
      <c r="P49" s="48" t="s">
        <v>73</v>
      </c>
      <c r="Q49" s="54" t="s">
        <v>73</v>
      </c>
      <c r="R49" s="55" t="s">
        <v>73</v>
      </c>
      <c r="S49" s="48" t="s">
        <v>73</v>
      </c>
      <c r="T49" s="130"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8" t="str" cm="1">
        <f t="array" ref="U49">IF(SUMPRODUCT(--((CAT_Procesos!$E$2:$E$1581=O49)*(CAT_Procesos!$F$2:$F$1581=_xlfn.TEXTJOIN(" + ",TRUE,IF((TRIM(P49:S49)="")+(LOWER(TRIM(P49:S49))="(seleccione)"),"",PROPER(TRIM(P49:S49)))))*(CAT_Procesos!$D$2:$D$1581=IFERROR(VLOOKUP(N49&amp;"*",CAT_Procesos!$D:$D,1,FALSE),""))))=0,"Combinación no existente",IF(SUMPRODUCT(((CAT_Procesos!$E$2:$E$1581=O49)*(CAT_Procesos!$F$2:$F$1581=_xlfn.TEXTJOIN(" + ",TRUE,IF((TRIM(P49:S49)="")+(LOWER(TRIM(P49:S49))="(seleccione)"),"",PROPER(TRIM(P49:S49)))))*(CAT_Procesos!$D$2:$D$1581=IFERROR(VLOOKUP(N49&amp;"*",CAT_Procesos!$D:$D,1,FALSE),"")))*(CAT_Procesos!$G$2:$G$1581=INDEX(CAT_Procesos!$G$2:$G$1581,MATCH(1,(CAT_Procesos!$E$2:$E$1581=O49)*(CAT_Procesos!$F$2:$F$1581=_xlfn.TEXTJOIN(" + ",TRUE,IF((TRIM(P49:S49)="")+(LOWER(TRIM(P49:S49))="(seleccione)"),"",PROPER(TRIM(P49:S49)))))*(CAT_Procesos!$D$2:$D$1581=IFERROR(VLOOKUP(N49&amp;"*",CAT_Procesos!$D:$D,1,FALSE),"")),0))))=SUMPRODUCT(--((CAT_Procesos!$E$2:$E$1581=O49)*(CAT_Procesos!$F$2:$F$1581=_xlfn.TEXTJOIN(" + ",TRUE,IF((TRIM(P49:S49)="")+(LOWER(TRIM(P49:S49))="(seleccione)"),"",PROPER(TRIM(P49:S49)))))*(CAT_Procesos!$D$2:$D$1581=IFERROR(VLOOKUP(N49&amp;"*",CAT_Procesos!$D:$D,1,FALSE),"")))),INDEX(CAT_Procesos!$G$2:$G$1581,MATCH(1,(CAT_Procesos!$E$2:$E$1581=O49)*(CAT_Procesos!$F$2:$F$1581=_xlfn.TEXTJOIN(" + ",TRUE,IF((TRIM(P49:S49)="")+(LOWER(TRIM(P49:S49))="(seleccione)"),"",PROPER(TRIM(P49:S49)))))*(CAT_Procesos!$D$2:$D$1581=IFERROR(VLOOKUP(N49&amp;"*",CAT_Procesos!$D:$D,1,FALSE),"")),0)),"(seleccione)"))</f>
        <v>Combinación no existente</v>
      </c>
      <c r="V49" s="55" t="s">
        <v>73</v>
      </c>
      <c r="W49" s="56" t="s">
        <v>73</v>
      </c>
      <c r="X49" s="57" t="str">
        <f t="shared" si="0"/>
        <v/>
      </c>
      <c r="Y49" s="58" t="s">
        <v>73</v>
      </c>
      <c r="Z49" s="57" t="str">
        <f t="shared" si="1"/>
        <v/>
      </c>
      <c r="AA49" s="58" t="s">
        <v>73</v>
      </c>
      <c r="AB49" s="57" t="str">
        <f t="shared" si="2"/>
        <v/>
      </c>
      <c r="AC49" s="58" t="s">
        <v>73</v>
      </c>
      <c r="AD49" s="57" t="str">
        <f t="shared" si="3"/>
        <v/>
      </c>
      <c r="AE49" s="59"/>
      <c r="AF49" s="59"/>
      <c r="AG49" s="59"/>
      <c r="AH49" s="59"/>
      <c r="AI49" s="59" t="s">
        <v>73</v>
      </c>
      <c r="AJ49" s="59"/>
      <c r="AK49" s="59" t="s">
        <v>73</v>
      </c>
      <c r="AL49" s="59"/>
      <c r="AM49" s="59" t="s">
        <v>73</v>
      </c>
      <c r="AN49" s="59"/>
      <c r="AO49" s="59" t="s">
        <v>73</v>
      </c>
      <c r="AP49" s="59"/>
      <c r="AQ49" s="59" t="s">
        <v>73</v>
      </c>
      <c r="AR49" s="59"/>
      <c r="AS49" s="59" t="s">
        <v>72</v>
      </c>
      <c r="AT49" s="59"/>
      <c r="AU49" s="59"/>
      <c r="AV49" s="59"/>
      <c r="AW49" s="59"/>
      <c r="AX49" s="59"/>
      <c r="AY49" s="60" t="str">
        <f>IF('Cálculo MP'!K59="","",'Cálculo MP'!K59)</f>
        <v/>
      </c>
      <c r="AZ49" s="60" t="str">
        <f>IF('Cálculo MP'!L59="","",'Cálculo MP'!L59)</f>
        <v/>
      </c>
      <c r="BA49" s="60" t="str">
        <f>IF('Cálculo MP'!M59="","",'Cálculo MP'!M59)</f>
        <v/>
      </c>
      <c r="BB49" s="60" t="str">
        <f>IF('Cálculo MP'!N59="","",'Cálculo MP'!N59)</f>
        <v/>
      </c>
      <c r="BC49" s="60" t="str">
        <f>IF('Cálculo MP'!O59="","",'Cálculo MP'!O59)</f>
        <v/>
      </c>
      <c r="BD49" s="60" t="str">
        <f>IF('Cálculo MP'!P59="","",'Cálculo MP'!P59)</f>
        <v/>
      </c>
      <c r="BE49" s="60" t="str">
        <f>IF('Cálculo MP'!Q59="","",'Cálculo MP'!Q59)</f>
        <v/>
      </c>
      <c r="BF49" s="60" t="str">
        <f>IF('Cálculo MP'!R59="","",'Cálculo MP'!R59)</f>
        <v/>
      </c>
      <c r="BG49" s="60" t="str">
        <f>IF('Cálculo MP'!S59="","",'Cálculo MP'!S59)</f>
        <v/>
      </c>
      <c r="BH49" s="61"/>
      <c r="BI49" s="61"/>
      <c r="BJ49" s="61"/>
      <c r="BK49" s="61"/>
      <c r="BL49" s="61"/>
      <c r="BM49" s="61"/>
      <c r="BN49" s="61"/>
      <c r="BO49" s="61"/>
    </row>
    <row r="50" spans="1:67" ht="19.5" customHeight="1" x14ac:dyDescent="0.15">
      <c r="A50" s="123" t="s">
        <v>1856</v>
      </c>
      <c r="B50" s="122" t="s">
        <v>1854</v>
      </c>
      <c r="C50" s="49"/>
      <c r="D50" s="48" t="s">
        <v>73</v>
      </c>
      <c r="E50" s="49"/>
      <c r="F50" s="50"/>
      <c r="G50" s="62"/>
      <c r="H50" s="48" t="s">
        <v>72</v>
      </c>
      <c r="I50" s="52">
        <v>1</v>
      </c>
      <c r="J50" s="52"/>
      <c r="K50" s="52" t="s">
        <v>73</v>
      </c>
      <c r="L50" s="52" t="s">
        <v>74</v>
      </c>
      <c r="M50" s="53" t="s">
        <v>942</v>
      </c>
      <c r="N50" s="58" t="s">
        <v>73</v>
      </c>
      <c r="O50" s="48" t="s">
        <v>72</v>
      </c>
      <c r="P50" s="48" t="s">
        <v>73</v>
      </c>
      <c r="Q50" s="54" t="s">
        <v>73</v>
      </c>
      <c r="R50" s="55" t="s">
        <v>73</v>
      </c>
      <c r="S50" s="48" t="s">
        <v>73</v>
      </c>
      <c r="T50" s="130"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8" t="str" cm="1">
        <f t="array" ref="U50">IF(SUMPRODUCT(--((CAT_Procesos!$E$2:$E$1581=O50)*(CAT_Procesos!$F$2:$F$1581=_xlfn.TEXTJOIN(" + ",TRUE,IF((TRIM(P50:S50)="")+(LOWER(TRIM(P50:S50))="(seleccione)"),"",PROPER(TRIM(P50:S50)))))*(CAT_Procesos!$D$2:$D$1581=IFERROR(VLOOKUP(N50&amp;"*",CAT_Procesos!$D:$D,1,FALSE),""))))=0,"Combinación no existente",IF(SUMPRODUCT(((CAT_Procesos!$E$2:$E$1581=O50)*(CAT_Procesos!$F$2:$F$1581=_xlfn.TEXTJOIN(" + ",TRUE,IF((TRIM(P50:S50)="")+(LOWER(TRIM(P50:S50))="(seleccione)"),"",PROPER(TRIM(P50:S50)))))*(CAT_Procesos!$D$2:$D$1581=IFERROR(VLOOKUP(N50&amp;"*",CAT_Procesos!$D:$D,1,FALSE),"")))*(CAT_Procesos!$G$2:$G$1581=INDEX(CAT_Procesos!$G$2:$G$1581,MATCH(1,(CAT_Procesos!$E$2:$E$1581=O50)*(CAT_Procesos!$F$2:$F$1581=_xlfn.TEXTJOIN(" + ",TRUE,IF((TRIM(P50:S50)="")+(LOWER(TRIM(P50:S50))="(seleccione)"),"",PROPER(TRIM(P50:S50)))))*(CAT_Procesos!$D$2:$D$1581=IFERROR(VLOOKUP(N50&amp;"*",CAT_Procesos!$D:$D,1,FALSE),"")),0))))=SUMPRODUCT(--((CAT_Procesos!$E$2:$E$1581=O50)*(CAT_Procesos!$F$2:$F$1581=_xlfn.TEXTJOIN(" + ",TRUE,IF((TRIM(P50:S50)="")+(LOWER(TRIM(P50:S50))="(seleccione)"),"",PROPER(TRIM(P50:S50)))))*(CAT_Procesos!$D$2:$D$1581=IFERROR(VLOOKUP(N50&amp;"*",CAT_Procesos!$D:$D,1,FALSE),"")))),INDEX(CAT_Procesos!$G$2:$G$1581,MATCH(1,(CAT_Procesos!$E$2:$E$1581=O50)*(CAT_Procesos!$F$2:$F$1581=_xlfn.TEXTJOIN(" + ",TRUE,IF((TRIM(P50:S50)="")+(LOWER(TRIM(P50:S50))="(seleccione)"),"",PROPER(TRIM(P50:S50)))))*(CAT_Procesos!$D$2:$D$1581=IFERROR(VLOOKUP(N50&amp;"*",CAT_Procesos!$D:$D,1,FALSE),"")),0)),"(seleccione)"))</f>
        <v>Combinación no existente</v>
      </c>
      <c r="V50" s="55" t="s">
        <v>73</v>
      </c>
      <c r="W50" s="56" t="s">
        <v>73</v>
      </c>
      <c r="X50" s="57" t="str">
        <f t="shared" si="0"/>
        <v/>
      </c>
      <c r="Y50" s="58" t="s">
        <v>73</v>
      </c>
      <c r="Z50" s="57" t="str">
        <f t="shared" si="1"/>
        <v/>
      </c>
      <c r="AA50" s="58" t="s">
        <v>73</v>
      </c>
      <c r="AB50" s="57" t="str">
        <f t="shared" si="2"/>
        <v/>
      </c>
      <c r="AC50" s="58" t="s">
        <v>73</v>
      </c>
      <c r="AD50" s="57" t="str">
        <f t="shared" si="3"/>
        <v/>
      </c>
      <c r="AE50" s="59"/>
      <c r="AF50" s="59"/>
      <c r="AG50" s="59"/>
      <c r="AH50" s="59"/>
      <c r="AI50" s="59" t="s">
        <v>73</v>
      </c>
      <c r="AJ50" s="59"/>
      <c r="AK50" s="59" t="s">
        <v>73</v>
      </c>
      <c r="AL50" s="59"/>
      <c r="AM50" s="59" t="s">
        <v>73</v>
      </c>
      <c r="AN50" s="59"/>
      <c r="AO50" s="59" t="s">
        <v>73</v>
      </c>
      <c r="AP50" s="59"/>
      <c r="AQ50" s="59" t="s">
        <v>73</v>
      </c>
      <c r="AR50" s="59"/>
      <c r="AS50" s="59" t="s">
        <v>72</v>
      </c>
      <c r="AT50" s="59"/>
      <c r="AU50" s="59"/>
      <c r="AV50" s="59"/>
      <c r="AW50" s="59"/>
      <c r="AX50" s="59"/>
      <c r="AY50" s="60" t="str">
        <f>IF('Cálculo MP'!K60="","",'Cálculo MP'!K60)</f>
        <v/>
      </c>
      <c r="AZ50" s="60" t="str">
        <f>IF('Cálculo MP'!L60="","",'Cálculo MP'!L60)</f>
        <v/>
      </c>
      <c r="BA50" s="60" t="str">
        <f>IF('Cálculo MP'!M60="","",'Cálculo MP'!M60)</f>
        <v/>
      </c>
      <c r="BB50" s="60" t="str">
        <f>IF('Cálculo MP'!N60="","",'Cálculo MP'!N60)</f>
        <v/>
      </c>
      <c r="BC50" s="60" t="str">
        <f>IF('Cálculo MP'!O60="","",'Cálculo MP'!O60)</f>
        <v/>
      </c>
      <c r="BD50" s="60" t="str">
        <f>IF('Cálculo MP'!P60="","",'Cálculo MP'!P60)</f>
        <v/>
      </c>
      <c r="BE50" s="60" t="str">
        <f>IF('Cálculo MP'!Q60="","",'Cálculo MP'!Q60)</f>
        <v/>
      </c>
      <c r="BF50" s="60" t="str">
        <f>IF('Cálculo MP'!R60="","",'Cálculo MP'!R60)</f>
        <v/>
      </c>
      <c r="BG50" s="60" t="str">
        <f>IF('Cálculo MP'!S60="","",'Cálculo MP'!S60)</f>
        <v/>
      </c>
      <c r="BH50" s="61"/>
      <c r="BI50" s="61"/>
      <c r="BJ50" s="61"/>
      <c r="BK50" s="61"/>
      <c r="BL50" s="61"/>
      <c r="BM50" s="61"/>
      <c r="BN50" s="61"/>
      <c r="BO50" s="61"/>
    </row>
    <row r="51" spans="1:67" ht="19.5" customHeight="1" x14ac:dyDescent="0.15">
      <c r="A51" s="123" t="s">
        <v>1856</v>
      </c>
      <c r="B51" s="122" t="s">
        <v>1854</v>
      </c>
      <c r="C51" s="49"/>
      <c r="D51" s="48" t="s">
        <v>73</v>
      </c>
      <c r="E51" s="49"/>
      <c r="F51" s="50"/>
      <c r="G51" s="62"/>
      <c r="H51" s="48" t="s">
        <v>72</v>
      </c>
      <c r="I51" s="52">
        <v>1</v>
      </c>
      <c r="J51" s="52"/>
      <c r="K51" s="52" t="s">
        <v>73</v>
      </c>
      <c r="L51" s="52" t="s">
        <v>74</v>
      </c>
      <c r="M51" s="53" t="s">
        <v>942</v>
      </c>
      <c r="N51" s="58" t="s">
        <v>73</v>
      </c>
      <c r="O51" s="48" t="s">
        <v>72</v>
      </c>
      <c r="P51" s="48" t="s">
        <v>73</v>
      </c>
      <c r="Q51" s="54" t="s">
        <v>73</v>
      </c>
      <c r="R51" s="55" t="s">
        <v>73</v>
      </c>
      <c r="S51" s="48" t="s">
        <v>73</v>
      </c>
      <c r="T51" s="130"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8" t="str" cm="1">
        <f t="array" ref="U51">IF(SUMPRODUCT(--((CAT_Procesos!$E$2:$E$1581=O51)*(CAT_Procesos!$F$2:$F$1581=_xlfn.TEXTJOIN(" + ",TRUE,IF((TRIM(P51:S51)="")+(LOWER(TRIM(P51:S51))="(seleccione)"),"",PROPER(TRIM(P51:S51)))))*(CAT_Procesos!$D$2:$D$1581=IFERROR(VLOOKUP(N51&amp;"*",CAT_Procesos!$D:$D,1,FALSE),""))))=0,"Combinación no existente",IF(SUMPRODUCT(((CAT_Procesos!$E$2:$E$1581=O51)*(CAT_Procesos!$F$2:$F$1581=_xlfn.TEXTJOIN(" + ",TRUE,IF((TRIM(P51:S51)="")+(LOWER(TRIM(P51:S51))="(seleccione)"),"",PROPER(TRIM(P51:S51)))))*(CAT_Procesos!$D$2:$D$1581=IFERROR(VLOOKUP(N51&amp;"*",CAT_Procesos!$D:$D,1,FALSE),"")))*(CAT_Procesos!$G$2:$G$1581=INDEX(CAT_Procesos!$G$2:$G$1581,MATCH(1,(CAT_Procesos!$E$2:$E$1581=O51)*(CAT_Procesos!$F$2:$F$1581=_xlfn.TEXTJOIN(" + ",TRUE,IF((TRIM(P51:S51)="")+(LOWER(TRIM(P51:S51))="(seleccione)"),"",PROPER(TRIM(P51:S51)))))*(CAT_Procesos!$D$2:$D$1581=IFERROR(VLOOKUP(N51&amp;"*",CAT_Procesos!$D:$D,1,FALSE),"")),0))))=SUMPRODUCT(--((CAT_Procesos!$E$2:$E$1581=O51)*(CAT_Procesos!$F$2:$F$1581=_xlfn.TEXTJOIN(" + ",TRUE,IF((TRIM(P51:S51)="")+(LOWER(TRIM(P51:S51))="(seleccione)"),"",PROPER(TRIM(P51:S51)))))*(CAT_Procesos!$D$2:$D$1581=IFERROR(VLOOKUP(N51&amp;"*",CAT_Procesos!$D:$D,1,FALSE),"")))),INDEX(CAT_Procesos!$G$2:$G$1581,MATCH(1,(CAT_Procesos!$E$2:$E$1581=O51)*(CAT_Procesos!$F$2:$F$1581=_xlfn.TEXTJOIN(" + ",TRUE,IF((TRIM(P51:S51)="")+(LOWER(TRIM(P51:S51))="(seleccione)"),"",PROPER(TRIM(P51:S51)))))*(CAT_Procesos!$D$2:$D$1581=IFERROR(VLOOKUP(N51&amp;"*",CAT_Procesos!$D:$D,1,FALSE),"")),0)),"(seleccione)"))</f>
        <v>Combinación no existente</v>
      </c>
      <c r="V51" s="55" t="s">
        <v>73</v>
      </c>
      <c r="W51" s="56" t="s">
        <v>73</v>
      </c>
      <c r="X51" s="57" t="str">
        <f t="shared" si="0"/>
        <v/>
      </c>
      <c r="Y51" s="58" t="s">
        <v>73</v>
      </c>
      <c r="Z51" s="57" t="str">
        <f t="shared" si="1"/>
        <v/>
      </c>
      <c r="AA51" s="58" t="s">
        <v>73</v>
      </c>
      <c r="AB51" s="57" t="str">
        <f t="shared" si="2"/>
        <v/>
      </c>
      <c r="AC51" s="58" t="s">
        <v>73</v>
      </c>
      <c r="AD51" s="57" t="str">
        <f t="shared" si="3"/>
        <v/>
      </c>
      <c r="AE51" s="59"/>
      <c r="AF51" s="59"/>
      <c r="AG51" s="59"/>
      <c r="AH51" s="59"/>
      <c r="AI51" s="59" t="s">
        <v>73</v>
      </c>
      <c r="AJ51" s="59"/>
      <c r="AK51" s="59" t="s">
        <v>73</v>
      </c>
      <c r="AL51" s="59"/>
      <c r="AM51" s="59" t="s">
        <v>73</v>
      </c>
      <c r="AN51" s="59"/>
      <c r="AO51" s="59" t="s">
        <v>73</v>
      </c>
      <c r="AP51" s="59"/>
      <c r="AQ51" s="59" t="s">
        <v>73</v>
      </c>
      <c r="AR51" s="59"/>
      <c r="AS51" s="59" t="s">
        <v>72</v>
      </c>
      <c r="AT51" s="59"/>
      <c r="AU51" s="59"/>
      <c r="AV51" s="59"/>
      <c r="AW51" s="59"/>
      <c r="AX51" s="59"/>
      <c r="AY51" s="60" t="str">
        <f>IF('Cálculo MP'!K61="","",'Cálculo MP'!K61)</f>
        <v/>
      </c>
      <c r="AZ51" s="60" t="str">
        <f>IF('Cálculo MP'!L61="","",'Cálculo MP'!L61)</f>
        <v/>
      </c>
      <c r="BA51" s="60" t="str">
        <f>IF('Cálculo MP'!M61="","",'Cálculo MP'!M61)</f>
        <v/>
      </c>
      <c r="BB51" s="60" t="str">
        <f>IF('Cálculo MP'!N61="","",'Cálculo MP'!N61)</f>
        <v/>
      </c>
      <c r="BC51" s="60" t="str">
        <f>IF('Cálculo MP'!O61="","",'Cálculo MP'!O61)</f>
        <v/>
      </c>
      <c r="BD51" s="60" t="str">
        <f>IF('Cálculo MP'!P61="","",'Cálculo MP'!P61)</f>
        <v/>
      </c>
      <c r="BE51" s="60" t="str">
        <f>IF('Cálculo MP'!Q61="","",'Cálculo MP'!Q61)</f>
        <v/>
      </c>
      <c r="BF51" s="60" t="str">
        <f>IF('Cálculo MP'!R61="","",'Cálculo MP'!R61)</f>
        <v/>
      </c>
      <c r="BG51" s="60" t="str">
        <f>IF('Cálculo MP'!S61="","",'Cálculo MP'!S61)</f>
        <v/>
      </c>
      <c r="BH51" s="61"/>
      <c r="BI51" s="61"/>
      <c r="BJ51" s="61"/>
      <c r="BK51" s="61"/>
      <c r="BL51" s="61"/>
      <c r="BM51" s="61"/>
      <c r="BN51" s="61"/>
      <c r="BO51" s="61"/>
    </row>
    <row r="52" spans="1:67" ht="19.5" customHeight="1" x14ac:dyDescent="0.15">
      <c r="A52" s="123" t="s">
        <v>1856</v>
      </c>
      <c r="B52" s="122" t="s">
        <v>1854</v>
      </c>
      <c r="C52" s="49"/>
      <c r="D52" s="48" t="s">
        <v>73</v>
      </c>
      <c r="E52" s="49"/>
      <c r="F52" s="50"/>
      <c r="G52" s="62"/>
      <c r="H52" s="48" t="s">
        <v>72</v>
      </c>
      <c r="I52" s="52">
        <v>1</v>
      </c>
      <c r="J52" s="52"/>
      <c r="K52" s="52" t="s">
        <v>73</v>
      </c>
      <c r="L52" s="52" t="s">
        <v>74</v>
      </c>
      <c r="M52" s="53" t="s">
        <v>942</v>
      </c>
      <c r="N52" s="58" t="s">
        <v>73</v>
      </c>
      <c r="O52" s="48" t="s">
        <v>72</v>
      </c>
      <c r="P52" s="48" t="s">
        <v>73</v>
      </c>
      <c r="Q52" s="54" t="s">
        <v>73</v>
      </c>
      <c r="R52" s="55" t="s">
        <v>73</v>
      </c>
      <c r="S52" s="48" t="s">
        <v>73</v>
      </c>
      <c r="T52" s="130"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8" t="str" cm="1">
        <f t="array" ref="U52">IF(SUMPRODUCT(--((CAT_Procesos!$E$2:$E$1581=O52)*(CAT_Procesos!$F$2:$F$1581=_xlfn.TEXTJOIN(" + ",TRUE,IF((TRIM(P52:S52)="")+(LOWER(TRIM(P52:S52))="(seleccione)"),"",PROPER(TRIM(P52:S52)))))*(CAT_Procesos!$D$2:$D$1581=IFERROR(VLOOKUP(N52&amp;"*",CAT_Procesos!$D:$D,1,FALSE),""))))=0,"Combinación no existente",IF(SUMPRODUCT(((CAT_Procesos!$E$2:$E$1581=O52)*(CAT_Procesos!$F$2:$F$1581=_xlfn.TEXTJOIN(" + ",TRUE,IF((TRIM(P52:S52)="")+(LOWER(TRIM(P52:S52))="(seleccione)"),"",PROPER(TRIM(P52:S52)))))*(CAT_Procesos!$D$2:$D$1581=IFERROR(VLOOKUP(N52&amp;"*",CAT_Procesos!$D:$D,1,FALSE),"")))*(CAT_Procesos!$G$2:$G$1581=INDEX(CAT_Procesos!$G$2:$G$1581,MATCH(1,(CAT_Procesos!$E$2:$E$1581=O52)*(CAT_Procesos!$F$2:$F$1581=_xlfn.TEXTJOIN(" + ",TRUE,IF((TRIM(P52:S52)="")+(LOWER(TRIM(P52:S52))="(seleccione)"),"",PROPER(TRIM(P52:S52)))))*(CAT_Procesos!$D$2:$D$1581=IFERROR(VLOOKUP(N52&amp;"*",CAT_Procesos!$D:$D,1,FALSE),"")),0))))=SUMPRODUCT(--((CAT_Procesos!$E$2:$E$1581=O52)*(CAT_Procesos!$F$2:$F$1581=_xlfn.TEXTJOIN(" + ",TRUE,IF((TRIM(P52:S52)="")+(LOWER(TRIM(P52:S52))="(seleccione)"),"",PROPER(TRIM(P52:S52)))))*(CAT_Procesos!$D$2:$D$1581=IFERROR(VLOOKUP(N52&amp;"*",CAT_Procesos!$D:$D,1,FALSE),"")))),INDEX(CAT_Procesos!$G$2:$G$1581,MATCH(1,(CAT_Procesos!$E$2:$E$1581=O52)*(CAT_Procesos!$F$2:$F$1581=_xlfn.TEXTJOIN(" + ",TRUE,IF((TRIM(P52:S52)="")+(LOWER(TRIM(P52:S52))="(seleccione)"),"",PROPER(TRIM(P52:S52)))))*(CAT_Procesos!$D$2:$D$1581=IFERROR(VLOOKUP(N52&amp;"*",CAT_Procesos!$D:$D,1,FALSE),"")),0)),"(seleccione)"))</f>
        <v>Combinación no existente</v>
      </c>
      <c r="V52" s="55" t="s">
        <v>73</v>
      </c>
      <c r="W52" s="56" t="s">
        <v>73</v>
      </c>
      <c r="X52" s="57" t="str">
        <f t="shared" si="0"/>
        <v/>
      </c>
      <c r="Y52" s="58" t="s">
        <v>73</v>
      </c>
      <c r="Z52" s="57" t="str">
        <f t="shared" si="1"/>
        <v/>
      </c>
      <c r="AA52" s="58" t="s">
        <v>73</v>
      </c>
      <c r="AB52" s="57" t="str">
        <f t="shared" si="2"/>
        <v/>
      </c>
      <c r="AC52" s="58" t="s">
        <v>73</v>
      </c>
      <c r="AD52" s="57" t="str">
        <f t="shared" si="3"/>
        <v/>
      </c>
      <c r="AE52" s="59"/>
      <c r="AF52" s="59"/>
      <c r="AG52" s="59"/>
      <c r="AH52" s="59"/>
      <c r="AI52" s="59" t="s">
        <v>73</v>
      </c>
      <c r="AJ52" s="59"/>
      <c r="AK52" s="59" t="s">
        <v>73</v>
      </c>
      <c r="AL52" s="59"/>
      <c r="AM52" s="59" t="s">
        <v>73</v>
      </c>
      <c r="AN52" s="59"/>
      <c r="AO52" s="59" t="s">
        <v>73</v>
      </c>
      <c r="AP52" s="59"/>
      <c r="AQ52" s="59" t="s">
        <v>73</v>
      </c>
      <c r="AR52" s="59"/>
      <c r="AS52" s="59" t="s">
        <v>72</v>
      </c>
      <c r="AT52" s="59"/>
      <c r="AU52" s="59"/>
      <c r="AV52" s="59"/>
      <c r="AW52" s="59"/>
      <c r="AX52" s="59"/>
      <c r="AY52" s="60" t="str">
        <f>IF('Cálculo MP'!K62="","",'Cálculo MP'!K62)</f>
        <v/>
      </c>
      <c r="AZ52" s="60" t="str">
        <f>IF('Cálculo MP'!L62="","",'Cálculo MP'!L62)</f>
        <v/>
      </c>
      <c r="BA52" s="60" t="str">
        <f>IF('Cálculo MP'!M62="","",'Cálculo MP'!M62)</f>
        <v/>
      </c>
      <c r="BB52" s="60" t="str">
        <f>IF('Cálculo MP'!N62="","",'Cálculo MP'!N62)</f>
        <v/>
      </c>
      <c r="BC52" s="60" t="str">
        <f>IF('Cálculo MP'!O62="","",'Cálculo MP'!O62)</f>
        <v/>
      </c>
      <c r="BD52" s="60" t="str">
        <f>IF('Cálculo MP'!P62="","",'Cálculo MP'!P62)</f>
        <v/>
      </c>
      <c r="BE52" s="60" t="str">
        <f>IF('Cálculo MP'!Q62="","",'Cálculo MP'!Q62)</f>
        <v/>
      </c>
      <c r="BF52" s="60" t="str">
        <f>IF('Cálculo MP'!R62="","",'Cálculo MP'!R62)</f>
        <v/>
      </c>
      <c r="BG52" s="60" t="str">
        <f>IF('Cálculo MP'!S62="","",'Cálculo MP'!S62)</f>
        <v/>
      </c>
      <c r="BH52" s="61"/>
      <c r="BI52" s="61"/>
      <c r="BJ52" s="61"/>
      <c r="BK52" s="61"/>
      <c r="BL52" s="61"/>
      <c r="BM52" s="61"/>
      <c r="BN52" s="61"/>
      <c r="BO52" s="61"/>
    </row>
    <row r="53" spans="1:67" ht="19.5" customHeight="1" x14ac:dyDescent="0.15">
      <c r="A53" s="123" t="s">
        <v>1856</v>
      </c>
      <c r="B53" s="122" t="s">
        <v>1854</v>
      </c>
      <c r="C53" s="49"/>
      <c r="D53" s="48" t="s">
        <v>73</v>
      </c>
      <c r="E53" s="49"/>
      <c r="F53" s="50"/>
      <c r="G53" s="62"/>
      <c r="H53" s="48" t="s">
        <v>72</v>
      </c>
      <c r="I53" s="52">
        <v>1</v>
      </c>
      <c r="J53" s="52"/>
      <c r="K53" s="52" t="s">
        <v>73</v>
      </c>
      <c r="L53" s="52" t="s">
        <v>74</v>
      </c>
      <c r="M53" s="53" t="s">
        <v>942</v>
      </c>
      <c r="N53" s="58" t="s">
        <v>73</v>
      </c>
      <c r="O53" s="48" t="s">
        <v>72</v>
      </c>
      <c r="P53" s="48" t="s">
        <v>73</v>
      </c>
      <c r="Q53" s="54" t="s">
        <v>73</v>
      </c>
      <c r="R53" s="55" t="s">
        <v>73</v>
      </c>
      <c r="S53" s="48" t="s">
        <v>73</v>
      </c>
      <c r="T53" s="130"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8" t="str" cm="1">
        <f t="array" ref="U53">IF(SUMPRODUCT(--((CAT_Procesos!$E$2:$E$1581=O53)*(CAT_Procesos!$F$2:$F$1581=_xlfn.TEXTJOIN(" + ",TRUE,IF((TRIM(P53:S53)="")+(LOWER(TRIM(P53:S53))="(seleccione)"),"",PROPER(TRIM(P53:S53)))))*(CAT_Procesos!$D$2:$D$1581=IFERROR(VLOOKUP(N53&amp;"*",CAT_Procesos!$D:$D,1,FALSE),""))))=0,"Combinación no existente",IF(SUMPRODUCT(((CAT_Procesos!$E$2:$E$1581=O53)*(CAT_Procesos!$F$2:$F$1581=_xlfn.TEXTJOIN(" + ",TRUE,IF((TRIM(P53:S53)="")+(LOWER(TRIM(P53:S53))="(seleccione)"),"",PROPER(TRIM(P53:S53)))))*(CAT_Procesos!$D$2:$D$1581=IFERROR(VLOOKUP(N53&amp;"*",CAT_Procesos!$D:$D,1,FALSE),"")))*(CAT_Procesos!$G$2:$G$1581=INDEX(CAT_Procesos!$G$2:$G$1581,MATCH(1,(CAT_Procesos!$E$2:$E$1581=O53)*(CAT_Procesos!$F$2:$F$1581=_xlfn.TEXTJOIN(" + ",TRUE,IF((TRIM(P53:S53)="")+(LOWER(TRIM(P53:S53))="(seleccione)"),"",PROPER(TRIM(P53:S53)))))*(CAT_Procesos!$D$2:$D$1581=IFERROR(VLOOKUP(N53&amp;"*",CAT_Procesos!$D:$D,1,FALSE),"")),0))))=SUMPRODUCT(--((CAT_Procesos!$E$2:$E$1581=O53)*(CAT_Procesos!$F$2:$F$1581=_xlfn.TEXTJOIN(" + ",TRUE,IF((TRIM(P53:S53)="")+(LOWER(TRIM(P53:S53))="(seleccione)"),"",PROPER(TRIM(P53:S53)))))*(CAT_Procesos!$D$2:$D$1581=IFERROR(VLOOKUP(N53&amp;"*",CAT_Procesos!$D:$D,1,FALSE),"")))),INDEX(CAT_Procesos!$G$2:$G$1581,MATCH(1,(CAT_Procesos!$E$2:$E$1581=O53)*(CAT_Procesos!$F$2:$F$1581=_xlfn.TEXTJOIN(" + ",TRUE,IF((TRIM(P53:S53)="")+(LOWER(TRIM(P53:S53))="(seleccione)"),"",PROPER(TRIM(P53:S53)))))*(CAT_Procesos!$D$2:$D$1581=IFERROR(VLOOKUP(N53&amp;"*",CAT_Procesos!$D:$D,1,FALSE),"")),0)),"(seleccione)"))</f>
        <v>Combinación no existente</v>
      </c>
      <c r="V53" s="55" t="s">
        <v>73</v>
      </c>
      <c r="W53" s="56" t="s">
        <v>73</v>
      </c>
      <c r="X53" s="57" t="str">
        <f t="shared" si="0"/>
        <v/>
      </c>
      <c r="Y53" s="58" t="s">
        <v>73</v>
      </c>
      <c r="Z53" s="57" t="str">
        <f t="shared" si="1"/>
        <v/>
      </c>
      <c r="AA53" s="58" t="s">
        <v>73</v>
      </c>
      <c r="AB53" s="57" t="str">
        <f t="shared" si="2"/>
        <v/>
      </c>
      <c r="AC53" s="58" t="s">
        <v>73</v>
      </c>
      <c r="AD53" s="57" t="str">
        <f t="shared" si="3"/>
        <v/>
      </c>
      <c r="AE53" s="59"/>
      <c r="AF53" s="59"/>
      <c r="AG53" s="59"/>
      <c r="AH53" s="59"/>
      <c r="AI53" s="59" t="s">
        <v>73</v>
      </c>
      <c r="AJ53" s="59"/>
      <c r="AK53" s="59" t="s">
        <v>73</v>
      </c>
      <c r="AL53" s="59"/>
      <c r="AM53" s="59" t="s">
        <v>73</v>
      </c>
      <c r="AN53" s="59"/>
      <c r="AO53" s="59" t="s">
        <v>73</v>
      </c>
      <c r="AP53" s="59"/>
      <c r="AQ53" s="59" t="s">
        <v>73</v>
      </c>
      <c r="AR53" s="59"/>
      <c r="AS53" s="59" t="s">
        <v>72</v>
      </c>
      <c r="AT53" s="59"/>
      <c r="AU53" s="59"/>
      <c r="AV53" s="59"/>
      <c r="AW53" s="59"/>
      <c r="AX53" s="59"/>
      <c r="AY53" s="60" t="str">
        <f>IF('Cálculo MP'!K63="","",'Cálculo MP'!K63)</f>
        <v/>
      </c>
      <c r="AZ53" s="60" t="str">
        <f>IF('Cálculo MP'!L63="","",'Cálculo MP'!L63)</f>
        <v/>
      </c>
      <c r="BA53" s="60" t="str">
        <f>IF('Cálculo MP'!M63="","",'Cálculo MP'!M63)</f>
        <v/>
      </c>
      <c r="BB53" s="60" t="str">
        <f>IF('Cálculo MP'!N63="","",'Cálculo MP'!N63)</f>
        <v/>
      </c>
      <c r="BC53" s="60" t="str">
        <f>IF('Cálculo MP'!O63="","",'Cálculo MP'!O63)</f>
        <v/>
      </c>
      <c r="BD53" s="60" t="str">
        <f>IF('Cálculo MP'!P63="","",'Cálculo MP'!P63)</f>
        <v/>
      </c>
      <c r="BE53" s="60" t="str">
        <f>IF('Cálculo MP'!Q63="","",'Cálculo MP'!Q63)</f>
        <v/>
      </c>
      <c r="BF53" s="60" t="str">
        <f>IF('Cálculo MP'!R63="","",'Cálculo MP'!R63)</f>
        <v/>
      </c>
      <c r="BG53" s="60" t="str">
        <f>IF('Cálculo MP'!S63="","",'Cálculo MP'!S63)</f>
        <v/>
      </c>
      <c r="BH53" s="61"/>
      <c r="BI53" s="61"/>
      <c r="BJ53" s="61"/>
      <c r="BK53" s="61"/>
      <c r="BL53" s="61"/>
      <c r="BM53" s="61"/>
      <c r="BN53" s="61"/>
      <c r="BO53" s="61"/>
    </row>
    <row r="54" spans="1:67" ht="19.5" customHeight="1" x14ac:dyDescent="0.15">
      <c r="A54" s="123" t="s">
        <v>1856</v>
      </c>
      <c r="B54" s="122" t="s">
        <v>1854</v>
      </c>
      <c r="C54" s="49"/>
      <c r="D54" s="48" t="s">
        <v>73</v>
      </c>
      <c r="E54" s="49"/>
      <c r="F54" s="50"/>
      <c r="G54" s="62"/>
      <c r="H54" s="48" t="s">
        <v>72</v>
      </c>
      <c r="I54" s="52">
        <v>1</v>
      </c>
      <c r="J54" s="52"/>
      <c r="K54" s="52" t="s">
        <v>73</v>
      </c>
      <c r="L54" s="52" t="s">
        <v>74</v>
      </c>
      <c r="M54" s="53" t="s">
        <v>942</v>
      </c>
      <c r="N54" s="58" t="s">
        <v>73</v>
      </c>
      <c r="O54" s="48" t="s">
        <v>72</v>
      </c>
      <c r="P54" s="48" t="s">
        <v>73</v>
      </c>
      <c r="Q54" s="54" t="s">
        <v>73</v>
      </c>
      <c r="R54" s="55" t="s">
        <v>73</v>
      </c>
      <c r="S54" s="48" t="s">
        <v>73</v>
      </c>
      <c r="T54" s="130"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8" t="str" cm="1">
        <f t="array" ref="U54">IF(SUMPRODUCT(--((CAT_Procesos!$E$2:$E$1581=O54)*(CAT_Procesos!$F$2:$F$1581=_xlfn.TEXTJOIN(" + ",TRUE,IF((TRIM(P54:S54)="")+(LOWER(TRIM(P54:S54))="(seleccione)"),"",PROPER(TRIM(P54:S54)))))*(CAT_Procesos!$D$2:$D$1581=IFERROR(VLOOKUP(N54&amp;"*",CAT_Procesos!$D:$D,1,FALSE),""))))=0,"Combinación no existente",IF(SUMPRODUCT(((CAT_Procesos!$E$2:$E$1581=O54)*(CAT_Procesos!$F$2:$F$1581=_xlfn.TEXTJOIN(" + ",TRUE,IF((TRIM(P54:S54)="")+(LOWER(TRIM(P54:S54))="(seleccione)"),"",PROPER(TRIM(P54:S54)))))*(CAT_Procesos!$D$2:$D$1581=IFERROR(VLOOKUP(N54&amp;"*",CAT_Procesos!$D:$D,1,FALSE),"")))*(CAT_Procesos!$G$2:$G$1581=INDEX(CAT_Procesos!$G$2:$G$1581,MATCH(1,(CAT_Procesos!$E$2:$E$1581=O54)*(CAT_Procesos!$F$2:$F$1581=_xlfn.TEXTJOIN(" + ",TRUE,IF((TRIM(P54:S54)="")+(LOWER(TRIM(P54:S54))="(seleccione)"),"",PROPER(TRIM(P54:S54)))))*(CAT_Procesos!$D$2:$D$1581=IFERROR(VLOOKUP(N54&amp;"*",CAT_Procesos!$D:$D,1,FALSE),"")),0))))=SUMPRODUCT(--((CAT_Procesos!$E$2:$E$1581=O54)*(CAT_Procesos!$F$2:$F$1581=_xlfn.TEXTJOIN(" + ",TRUE,IF((TRIM(P54:S54)="")+(LOWER(TRIM(P54:S54))="(seleccione)"),"",PROPER(TRIM(P54:S54)))))*(CAT_Procesos!$D$2:$D$1581=IFERROR(VLOOKUP(N54&amp;"*",CAT_Procesos!$D:$D,1,FALSE),"")))),INDEX(CAT_Procesos!$G$2:$G$1581,MATCH(1,(CAT_Procesos!$E$2:$E$1581=O54)*(CAT_Procesos!$F$2:$F$1581=_xlfn.TEXTJOIN(" + ",TRUE,IF((TRIM(P54:S54)="")+(LOWER(TRIM(P54:S54))="(seleccione)"),"",PROPER(TRIM(P54:S54)))))*(CAT_Procesos!$D$2:$D$1581=IFERROR(VLOOKUP(N54&amp;"*",CAT_Procesos!$D:$D,1,FALSE),"")),0)),"(seleccione)"))</f>
        <v>Combinación no existente</v>
      </c>
      <c r="V54" s="55" t="s">
        <v>73</v>
      </c>
      <c r="W54" s="56" t="s">
        <v>73</v>
      </c>
      <c r="X54" s="57" t="str">
        <f t="shared" si="0"/>
        <v/>
      </c>
      <c r="Y54" s="58" t="s">
        <v>73</v>
      </c>
      <c r="Z54" s="57" t="str">
        <f t="shared" si="1"/>
        <v/>
      </c>
      <c r="AA54" s="58" t="s">
        <v>73</v>
      </c>
      <c r="AB54" s="57" t="str">
        <f t="shared" si="2"/>
        <v/>
      </c>
      <c r="AC54" s="58" t="s">
        <v>73</v>
      </c>
      <c r="AD54" s="57" t="str">
        <f t="shared" si="3"/>
        <v/>
      </c>
      <c r="AE54" s="59"/>
      <c r="AF54" s="59"/>
      <c r="AG54" s="59"/>
      <c r="AH54" s="59"/>
      <c r="AI54" s="59" t="s">
        <v>73</v>
      </c>
      <c r="AJ54" s="59"/>
      <c r="AK54" s="59" t="s">
        <v>73</v>
      </c>
      <c r="AL54" s="59"/>
      <c r="AM54" s="59" t="s">
        <v>73</v>
      </c>
      <c r="AN54" s="59"/>
      <c r="AO54" s="59" t="s">
        <v>73</v>
      </c>
      <c r="AP54" s="59"/>
      <c r="AQ54" s="59" t="s">
        <v>73</v>
      </c>
      <c r="AR54" s="59"/>
      <c r="AS54" s="59" t="s">
        <v>72</v>
      </c>
      <c r="AT54" s="59"/>
      <c r="AU54" s="59"/>
      <c r="AV54" s="59"/>
      <c r="AW54" s="59"/>
      <c r="AX54" s="59"/>
      <c r="AY54" s="60" t="str">
        <f>IF('Cálculo MP'!K64="","",'Cálculo MP'!K64)</f>
        <v/>
      </c>
      <c r="AZ54" s="60" t="str">
        <f>IF('Cálculo MP'!L64="","",'Cálculo MP'!L64)</f>
        <v/>
      </c>
      <c r="BA54" s="60" t="str">
        <f>IF('Cálculo MP'!M64="","",'Cálculo MP'!M64)</f>
        <v/>
      </c>
      <c r="BB54" s="60" t="str">
        <f>IF('Cálculo MP'!N64="","",'Cálculo MP'!N64)</f>
        <v/>
      </c>
      <c r="BC54" s="60" t="str">
        <f>IF('Cálculo MP'!O64="","",'Cálculo MP'!O64)</f>
        <v/>
      </c>
      <c r="BD54" s="60" t="str">
        <f>IF('Cálculo MP'!P64="","",'Cálculo MP'!P64)</f>
        <v/>
      </c>
      <c r="BE54" s="60" t="str">
        <f>IF('Cálculo MP'!Q64="","",'Cálculo MP'!Q64)</f>
        <v/>
      </c>
      <c r="BF54" s="60" t="str">
        <f>IF('Cálculo MP'!R64="","",'Cálculo MP'!R64)</f>
        <v/>
      </c>
      <c r="BG54" s="60" t="str">
        <f>IF('Cálculo MP'!S64="","",'Cálculo MP'!S64)</f>
        <v/>
      </c>
      <c r="BH54" s="61"/>
      <c r="BI54" s="61"/>
      <c r="BJ54" s="61"/>
      <c r="BK54" s="61"/>
      <c r="BL54" s="61"/>
      <c r="BM54" s="61"/>
      <c r="BN54" s="61"/>
      <c r="BO54" s="61"/>
    </row>
    <row r="55" spans="1:67" ht="19.5" customHeight="1" x14ac:dyDescent="0.15">
      <c r="A55" s="123" t="s">
        <v>1856</v>
      </c>
      <c r="B55" s="122" t="s">
        <v>1854</v>
      </c>
      <c r="C55" s="49"/>
      <c r="D55" s="48" t="s">
        <v>73</v>
      </c>
      <c r="E55" s="49"/>
      <c r="F55" s="50"/>
      <c r="G55" s="62"/>
      <c r="H55" s="48" t="s">
        <v>72</v>
      </c>
      <c r="I55" s="52">
        <v>1</v>
      </c>
      <c r="J55" s="52"/>
      <c r="K55" s="52" t="s">
        <v>73</v>
      </c>
      <c r="L55" s="52" t="s">
        <v>74</v>
      </c>
      <c r="M55" s="53" t="s">
        <v>942</v>
      </c>
      <c r="N55" s="58" t="s">
        <v>73</v>
      </c>
      <c r="O55" s="48" t="s">
        <v>72</v>
      </c>
      <c r="P55" s="48" t="s">
        <v>73</v>
      </c>
      <c r="Q55" s="54" t="s">
        <v>73</v>
      </c>
      <c r="R55" s="55" t="s">
        <v>73</v>
      </c>
      <c r="S55" s="48" t="s">
        <v>73</v>
      </c>
      <c r="T55" s="130"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8" t="str" cm="1">
        <f t="array" ref="U55">IF(SUMPRODUCT(--((CAT_Procesos!$E$2:$E$1581=O55)*(CAT_Procesos!$F$2:$F$1581=_xlfn.TEXTJOIN(" + ",TRUE,IF((TRIM(P55:S55)="")+(LOWER(TRIM(P55:S55))="(seleccione)"),"",PROPER(TRIM(P55:S55)))))*(CAT_Procesos!$D$2:$D$1581=IFERROR(VLOOKUP(N55&amp;"*",CAT_Procesos!$D:$D,1,FALSE),""))))=0,"Combinación no existente",IF(SUMPRODUCT(((CAT_Procesos!$E$2:$E$1581=O55)*(CAT_Procesos!$F$2:$F$1581=_xlfn.TEXTJOIN(" + ",TRUE,IF((TRIM(P55:S55)="")+(LOWER(TRIM(P55:S55))="(seleccione)"),"",PROPER(TRIM(P55:S55)))))*(CAT_Procesos!$D$2:$D$1581=IFERROR(VLOOKUP(N55&amp;"*",CAT_Procesos!$D:$D,1,FALSE),"")))*(CAT_Procesos!$G$2:$G$1581=INDEX(CAT_Procesos!$G$2:$G$1581,MATCH(1,(CAT_Procesos!$E$2:$E$1581=O55)*(CAT_Procesos!$F$2:$F$1581=_xlfn.TEXTJOIN(" + ",TRUE,IF((TRIM(P55:S55)="")+(LOWER(TRIM(P55:S55))="(seleccione)"),"",PROPER(TRIM(P55:S55)))))*(CAT_Procesos!$D$2:$D$1581=IFERROR(VLOOKUP(N55&amp;"*",CAT_Procesos!$D:$D,1,FALSE),"")),0))))=SUMPRODUCT(--((CAT_Procesos!$E$2:$E$1581=O55)*(CAT_Procesos!$F$2:$F$1581=_xlfn.TEXTJOIN(" + ",TRUE,IF((TRIM(P55:S55)="")+(LOWER(TRIM(P55:S55))="(seleccione)"),"",PROPER(TRIM(P55:S55)))))*(CAT_Procesos!$D$2:$D$1581=IFERROR(VLOOKUP(N55&amp;"*",CAT_Procesos!$D:$D,1,FALSE),"")))),INDEX(CAT_Procesos!$G$2:$G$1581,MATCH(1,(CAT_Procesos!$E$2:$E$1581=O55)*(CAT_Procesos!$F$2:$F$1581=_xlfn.TEXTJOIN(" + ",TRUE,IF((TRIM(P55:S55)="")+(LOWER(TRIM(P55:S55))="(seleccione)"),"",PROPER(TRIM(P55:S55)))))*(CAT_Procesos!$D$2:$D$1581=IFERROR(VLOOKUP(N55&amp;"*",CAT_Procesos!$D:$D,1,FALSE),"")),0)),"(seleccione)"))</f>
        <v>Combinación no existente</v>
      </c>
      <c r="V55" s="55" t="s">
        <v>73</v>
      </c>
      <c r="W55" s="56" t="s">
        <v>73</v>
      </c>
      <c r="X55" s="57" t="str">
        <f t="shared" si="0"/>
        <v/>
      </c>
      <c r="Y55" s="58" t="s">
        <v>73</v>
      </c>
      <c r="Z55" s="57" t="str">
        <f t="shared" si="1"/>
        <v/>
      </c>
      <c r="AA55" s="58" t="s">
        <v>73</v>
      </c>
      <c r="AB55" s="57" t="str">
        <f t="shared" si="2"/>
        <v/>
      </c>
      <c r="AC55" s="58" t="s">
        <v>73</v>
      </c>
      <c r="AD55" s="57" t="str">
        <f t="shared" si="3"/>
        <v/>
      </c>
      <c r="AE55" s="59"/>
      <c r="AF55" s="59"/>
      <c r="AG55" s="59"/>
      <c r="AH55" s="59"/>
      <c r="AI55" s="59" t="s">
        <v>73</v>
      </c>
      <c r="AJ55" s="59"/>
      <c r="AK55" s="59" t="s">
        <v>73</v>
      </c>
      <c r="AL55" s="59"/>
      <c r="AM55" s="59" t="s">
        <v>73</v>
      </c>
      <c r="AN55" s="59"/>
      <c r="AO55" s="59" t="s">
        <v>73</v>
      </c>
      <c r="AP55" s="59"/>
      <c r="AQ55" s="59" t="s">
        <v>73</v>
      </c>
      <c r="AR55" s="59"/>
      <c r="AS55" s="59" t="s">
        <v>72</v>
      </c>
      <c r="AT55" s="59"/>
      <c r="AU55" s="59"/>
      <c r="AV55" s="59"/>
      <c r="AW55" s="59"/>
      <c r="AX55" s="59"/>
      <c r="AY55" s="60" t="str">
        <f>IF('Cálculo MP'!K65="","",'Cálculo MP'!K65)</f>
        <v/>
      </c>
      <c r="AZ55" s="60" t="str">
        <f>IF('Cálculo MP'!L65="","",'Cálculo MP'!L65)</f>
        <v/>
      </c>
      <c r="BA55" s="60" t="str">
        <f>IF('Cálculo MP'!M65="","",'Cálculo MP'!M65)</f>
        <v/>
      </c>
      <c r="BB55" s="60" t="str">
        <f>IF('Cálculo MP'!N65="","",'Cálculo MP'!N65)</f>
        <v/>
      </c>
      <c r="BC55" s="60" t="str">
        <f>IF('Cálculo MP'!O65="","",'Cálculo MP'!O65)</f>
        <v/>
      </c>
      <c r="BD55" s="60" t="str">
        <f>IF('Cálculo MP'!P65="","",'Cálculo MP'!P65)</f>
        <v/>
      </c>
      <c r="BE55" s="60" t="str">
        <f>IF('Cálculo MP'!Q65="","",'Cálculo MP'!Q65)</f>
        <v/>
      </c>
      <c r="BF55" s="60" t="str">
        <f>IF('Cálculo MP'!R65="","",'Cálculo MP'!R65)</f>
        <v/>
      </c>
      <c r="BG55" s="60" t="str">
        <f>IF('Cálculo MP'!S65="","",'Cálculo MP'!S65)</f>
        <v/>
      </c>
      <c r="BH55" s="61"/>
      <c r="BI55" s="61"/>
      <c r="BJ55" s="61"/>
      <c r="BK55" s="61"/>
      <c r="BL55" s="61"/>
      <c r="BM55" s="61"/>
      <c r="BN55" s="61"/>
      <c r="BO55" s="61"/>
    </row>
    <row r="56" spans="1:67" ht="19.5" customHeight="1" x14ac:dyDescent="0.15">
      <c r="A56" s="123" t="s">
        <v>1856</v>
      </c>
      <c r="B56" s="122" t="s">
        <v>1854</v>
      </c>
      <c r="C56" s="49"/>
      <c r="D56" s="48" t="s">
        <v>73</v>
      </c>
      <c r="E56" s="49"/>
      <c r="F56" s="50"/>
      <c r="G56" s="62"/>
      <c r="H56" s="48" t="s">
        <v>72</v>
      </c>
      <c r="I56" s="52">
        <v>1</v>
      </c>
      <c r="J56" s="52"/>
      <c r="K56" s="52" t="s">
        <v>73</v>
      </c>
      <c r="L56" s="52" t="s">
        <v>74</v>
      </c>
      <c r="M56" s="53" t="s">
        <v>942</v>
      </c>
      <c r="N56" s="58" t="s">
        <v>73</v>
      </c>
      <c r="O56" s="48" t="s">
        <v>72</v>
      </c>
      <c r="P56" s="48" t="s">
        <v>73</v>
      </c>
      <c r="Q56" s="54" t="s">
        <v>73</v>
      </c>
      <c r="R56" s="55" t="s">
        <v>73</v>
      </c>
      <c r="S56" s="48" t="s">
        <v>73</v>
      </c>
      <c r="T56" s="130"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8" t="str" cm="1">
        <f t="array" ref="U56">IF(SUMPRODUCT(--((CAT_Procesos!$E$2:$E$1581=O56)*(CAT_Procesos!$F$2:$F$1581=_xlfn.TEXTJOIN(" + ",TRUE,IF((TRIM(P56:S56)="")+(LOWER(TRIM(P56:S56))="(seleccione)"),"",PROPER(TRIM(P56:S56)))))*(CAT_Procesos!$D$2:$D$1581=IFERROR(VLOOKUP(N56&amp;"*",CAT_Procesos!$D:$D,1,FALSE),""))))=0,"Combinación no existente",IF(SUMPRODUCT(((CAT_Procesos!$E$2:$E$1581=O56)*(CAT_Procesos!$F$2:$F$1581=_xlfn.TEXTJOIN(" + ",TRUE,IF((TRIM(P56:S56)="")+(LOWER(TRIM(P56:S56))="(seleccione)"),"",PROPER(TRIM(P56:S56)))))*(CAT_Procesos!$D$2:$D$1581=IFERROR(VLOOKUP(N56&amp;"*",CAT_Procesos!$D:$D,1,FALSE),"")))*(CAT_Procesos!$G$2:$G$1581=INDEX(CAT_Procesos!$G$2:$G$1581,MATCH(1,(CAT_Procesos!$E$2:$E$1581=O56)*(CAT_Procesos!$F$2:$F$1581=_xlfn.TEXTJOIN(" + ",TRUE,IF((TRIM(P56:S56)="")+(LOWER(TRIM(P56:S56))="(seleccione)"),"",PROPER(TRIM(P56:S56)))))*(CAT_Procesos!$D$2:$D$1581=IFERROR(VLOOKUP(N56&amp;"*",CAT_Procesos!$D:$D,1,FALSE),"")),0))))=SUMPRODUCT(--((CAT_Procesos!$E$2:$E$1581=O56)*(CAT_Procesos!$F$2:$F$1581=_xlfn.TEXTJOIN(" + ",TRUE,IF((TRIM(P56:S56)="")+(LOWER(TRIM(P56:S56))="(seleccione)"),"",PROPER(TRIM(P56:S56)))))*(CAT_Procesos!$D$2:$D$1581=IFERROR(VLOOKUP(N56&amp;"*",CAT_Procesos!$D:$D,1,FALSE),"")))),INDEX(CAT_Procesos!$G$2:$G$1581,MATCH(1,(CAT_Procesos!$E$2:$E$1581=O56)*(CAT_Procesos!$F$2:$F$1581=_xlfn.TEXTJOIN(" + ",TRUE,IF((TRIM(P56:S56)="")+(LOWER(TRIM(P56:S56))="(seleccione)"),"",PROPER(TRIM(P56:S56)))))*(CAT_Procesos!$D$2:$D$1581=IFERROR(VLOOKUP(N56&amp;"*",CAT_Procesos!$D:$D,1,FALSE),"")),0)),"(seleccione)"))</f>
        <v>Combinación no existente</v>
      </c>
      <c r="V56" s="55" t="s">
        <v>73</v>
      </c>
      <c r="W56" s="56" t="s">
        <v>73</v>
      </c>
      <c r="X56" s="57" t="str">
        <f t="shared" si="0"/>
        <v/>
      </c>
      <c r="Y56" s="58" t="s">
        <v>73</v>
      </c>
      <c r="Z56" s="57" t="str">
        <f t="shared" si="1"/>
        <v/>
      </c>
      <c r="AA56" s="58" t="s">
        <v>73</v>
      </c>
      <c r="AB56" s="57" t="str">
        <f t="shared" si="2"/>
        <v/>
      </c>
      <c r="AC56" s="58" t="s">
        <v>73</v>
      </c>
      <c r="AD56" s="57" t="str">
        <f t="shared" si="3"/>
        <v/>
      </c>
      <c r="AE56" s="59"/>
      <c r="AF56" s="59"/>
      <c r="AG56" s="59"/>
      <c r="AH56" s="59"/>
      <c r="AI56" s="59" t="s">
        <v>73</v>
      </c>
      <c r="AJ56" s="59"/>
      <c r="AK56" s="59" t="s">
        <v>73</v>
      </c>
      <c r="AL56" s="59"/>
      <c r="AM56" s="59" t="s">
        <v>73</v>
      </c>
      <c r="AN56" s="59"/>
      <c r="AO56" s="59" t="s">
        <v>73</v>
      </c>
      <c r="AP56" s="59"/>
      <c r="AQ56" s="59" t="s">
        <v>73</v>
      </c>
      <c r="AR56" s="59"/>
      <c r="AS56" s="59" t="s">
        <v>72</v>
      </c>
      <c r="AT56" s="59"/>
      <c r="AU56" s="59"/>
      <c r="AV56" s="59"/>
      <c r="AW56" s="59"/>
      <c r="AX56" s="59"/>
      <c r="AY56" s="60" t="str">
        <f>IF('Cálculo MP'!K66="","",'Cálculo MP'!K66)</f>
        <v/>
      </c>
      <c r="AZ56" s="60" t="str">
        <f>IF('Cálculo MP'!L66="","",'Cálculo MP'!L66)</f>
        <v/>
      </c>
      <c r="BA56" s="60" t="str">
        <f>IF('Cálculo MP'!M66="","",'Cálculo MP'!M66)</f>
        <v/>
      </c>
      <c r="BB56" s="60" t="str">
        <f>IF('Cálculo MP'!N66="","",'Cálculo MP'!N66)</f>
        <v/>
      </c>
      <c r="BC56" s="60" t="str">
        <f>IF('Cálculo MP'!O66="","",'Cálculo MP'!O66)</f>
        <v/>
      </c>
      <c r="BD56" s="60" t="str">
        <f>IF('Cálculo MP'!P66="","",'Cálculo MP'!P66)</f>
        <v/>
      </c>
      <c r="BE56" s="60" t="str">
        <f>IF('Cálculo MP'!Q66="","",'Cálculo MP'!Q66)</f>
        <v/>
      </c>
      <c r="BF56" s="60" t="str">
        <f>IF('Cálculo MP'!R66="","",'Cálculo MP'!R66)</f>
        <v/>
      </c>
      <c r="BG56" s="60" t="str">
        <f>IF('Cálculo MP'!S66="","",'Cálculo MP'!S66)</f>
        <v/>
      </c>
      <c r="BH56" s="61"/>
      <c r="BI56" s="61"/>
      <c r="BJ56" s="61"/>
      <c r="BK56" s="61"/>
      <c r="BL56" s="61"/>
      <c r="BM56" s="61"/>
      <c r="BN56" s="61"/>
      <c r="BO56" s="61"/>
    </row>
    <row r="57" spans="1:67" ht="19.5" customHeight="1" x14ac:dyDescent="0.15">
      <c r="A57" s="123" t="s">
        <v>1856</v>
      </c>
      <c r="B57" s="122" t="s">
        <v>1854</v>
      </c>
      <c r="C57" s="49"/>
      <c r="D57" s="48" t="s">
        <v>73</v>
      </c>
      <c r="E57" s="49"/>
      <c r="F57" s="50"/>
      <c r="G57" s="62"/>
      <c r="H57" s="48" t="s">
        <v>72</v>
      </c>
      <c r="I57" s="52">
        <v>1</v>
      </c>
      <c r="J57" s="52"/>
      <c r="K57" s="52" t="s">
        <v>73</v>
      </c>
      <c r="L57" s="52" t="s">
        <v>74</v>
      </c>
      <c r="M57" s="53" t="s">
        <v>942</v>
      </c>
      <c r="N57" s="58" t="s">
        <v>73</v>
      </c>
      <c r="O57" s="48" t="s">
        <v>72</v>
      </c>
      <c r="P57" s="48" t="s">
        <v>73</v>
      </c>
      <c r="Q57" s="54" t="s">
        <v>73</v>
      </c>
      <c r="R57" s="55" t="s">
        <v>73</v>
      </c>
      <c r="S57" s="48" t="s">
        <v>73</v>
      </c>
      <c r="T57" s="130"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8" t="str" cm="1">
        <f t="array" ref="U57">IF(SUMPRODUCT(--((CAT_Procesos!$E$2:$E$1581=O57)*(CAT_Procesos!$F$2:$F$1581=_xlfn.TEXTJOIN(" + ",TRUE,IF((TRIM(P57:S57)="")+(LOWER(TRIM(P57:S57))="(seleccione)"),"",PROPER(TRIM(P57:S57)))))*(CAT_Procesos!$D$2:$D$1581=IFERROR(VLOOKUP(N57&amp;"*",CAT_Procesos!$D:$D,1,FALSE),""))))=0,"Combinación no existente",IF(SUMPRODUCT(((CAT_Procesos!$E$2:$E$1581=O57)*(CAT_Procesos!$F$2:$F$1581=_xlfn.TEXTJOIN(" + ",TRUE,IF((TRIM(P57:S57)="")+(LOWER(TRIM(P57:S57))="(seleccione)"),"",PROPER(TRIM(P57:S57)))))*(CAT_Procesos!$D$2:$D$1581=IFERROR(VLOOKUP(N57&amp;"*",CAT_Procesos!$D:$D,1,FALSE),"")))*(CAT_Procesos!$G$2:$G$1581=INDEX(CAT_Procesos!$G$2:$G$1581,MATCH(1,(CAT_Procesos!$E$2:$E$1581=O57)*(CAT_Procesos!$F$2:$F$1581=_xlfn.TEXTJOIN(" + ",TRUE,IF((TRIM(P57:S57)="")+(LOWER(TRIM(P57:S57))="(seleccione)"),"",PROPER(TRIM(P57:S57)))))*(CAT_Procesos!$D$2:$D$1581=IFERROR(VLOOKUP(N57&amp;"*",CAT_Procesos!$D:$D,1,FALSE),"")),0))))=SUMPRODUCT(--((CAT_Procesos!$E$2:$E$1581=O57)*(CAT_Procesos!$F$2:$F$1581=_xlfn.TEXTJOIN(" + ",TRUE,IF((TRIM(P57:S57)="")+(LOWER(TRIM(P57:S57))="(seleccione)"),"",PROPER(TRIM(P57:S57)))))*(CAT_Procesos!$D$2:$D$1581=IFERROR(VLOOKUP(N57&amp;"*",CAT_Procesos!$D:$D,1,FALSE),"")))),INDEX(CAT_Procesos!$G$2:$G$1581,MATCH(1,(CAT_Procesos!$E$2:$E$1581=O57)*(CAT_Procesos!$F$2:$F$1581=_xlfn.TEXTJOIN(" + ",TRUE,IF((TRIM(P57:S57)="")+(LOWER(TRIM(P57:S57))="(seleccione)"),"",PROPER(TRIM(P57:S57)))))*(CAT_Procesos!$D$2:$D$1581=IFERROR(VLOOKUP(N57&amp;"*",CAT_Procesos!$D:$D,1,FALSE),"")),0)),"(seleccione)"))</f>
        <v>Combinación no existente</v>
      </c>
      <c r="V57" s="55" t="s">
        <v>73</v>
      </c>
      <c r="W57" s="56" t="s">
        <v>73</v>
      </c>
      <c r="X57" s="57" t="str">
        <f t="shared" si="0"/>
        <v/>
      </c>
      <c r="Y57" s="58" t="s">
        <v>73</v>
      </c>
      <c r="Z57" s="57" t="str">
        <f t="shared" si="1"/>
        <v/>
      </c>
      <c r="AA57" s="58" t="s">
        <v>73</v>
      </c>
      <c r="AB57" s="57" t="str">
        <f t="shared" si="2"/>
        <v/>
      </c>
      <c r="AC57" s="58" t="s">
        <v>73</v>
      </c>
      <c r="AD57" s="57" t="str">
        <f t="shared" si="3"/>
        <v/>
      </c>
      <c r="AE57" s="59"/>
      <c r="AF57" s="59"/>
      <c r="AG57" s="59"/>
      <c r="AH57" s="59"/>
      <c r="AI57" s="59" t="s">
        <v>73</v>
      </c>
      <c r="AJ57" s="59"/>
      <c r="AK57" s="59" t="s">
        <v>73</v>
      </c>
      <c r="AL57" s="59"/>
      <c r="AM57" s="59" t="s">
        <v>73</v>
      </c>
      <c r="AN57" s="59"/>
      <c r="AO57" s="59" t="s">
        <v>73</v>
      </c>
      <c r="AP57" s="59"/>
      <c r="AQ57" s="59" t="s">
        <v>73</v>
      </c>
      <c r="AR57" s="59"/>
      <c r="AS57" s="59" t="s">
        <v>72</v>
      </c>
      <c r="AT57" s="59"/>
      <c r="AU57" s="59"/>
      <c r="AV57" s="59"/>
      <c r="AW57" s="59"/>
      <c r="AX57" s="59"/>
      <c r="AY57" s="60" t="str">
        <f>IF('Cálculo MP'!K67="","",'Cálculo MP'!K67)</f>
        <v/>
      </c>
      <c r="AZ57" s="60" t="str">
        <f>IF('Cálculo MP'!L67="","",'Cálculo MP'!L67)</f>
        <v/>
      </c>
      <c r="BA57" s="60" t="str">
        <f>IF('Cálculo MP'!M67="","",'Cálculo MP'!M67)</f>
        <v/>
      </c>
      <c r="BB57" s="60" t="str">
        <f>IF('Cálculo MP'!N67="","",'Cálculo MP'!N67)</f>
        <v/>
      </c>
      <c r="BC57" s="60" t="str">
        <f>IF('Cálculo MP'!O67="","",'Cálculo MP'!O67)</f>
        <v/>
      </c>
      <c r="BD57" s="60" t="str">
        <f>IF('Cálculo MP'!P67="","",'Cálculo MP'!P67)</f>
        <v/>
      </c>
      <c r="BE57" s="60" t="str">
        <f>IF('Cálculo MP'!Q67="","",'Cálculo MP'!Q67)</f>
        <v/>
      </c>
      <c r="BF57" s="60" t="str">
        <f>IF('Cálculo MP'!R67="","",'Cálculo MP'!R67)</f>
        <v/>
      </c>
      <c r="BG57" s="60" t="str">
        <f>IF('Cálculo MP'!S67="","",'Cálculo MP'!S67)</f>
        <v/>
      </c>
      <c r="BH57" s="61"/>
      <c r="BI57" s="61"/>
      <c r="BJ57" s="61"/>
      <c r="BK57" s="61"/>
      <c r="BL57" s="61"/>
      <c r="BM57" s="61"/>
      <c r="BN57" s="61"/>
      <c r="BO57" s="61"/>
    </row>
    <row r="58" spans="1:67" ht="19.5" customHeight="1" x14ac:dyDescent="0.15">
      <c r="A58" s="123" t="s">
        <v>1856</v>
      </c>
      <c r="B58" s="122" t="s">
        <v>1854</v>
      </c>
      <c r="C58" s="49"/>
      <c r="D58" s="48" t="s">
        <v>73</v>
      </c>
      <c r="E58" s="49"/>
      <c r="F58" s="50"/>
      <c r="G58" s="62"/>
      <c r="H58" s="48" t="s">
        <v>72</v>
      </c>
      <c r="I58" s="52">
        <v>1</v>
      </c>
      <c r="J58" s="52"/>
      <c r="K58" s="52" t="s">
        <v>73</v>
      </c>
      <c r="L58" s="52" t="s">
        <v>74</v>
      </c>
      <c r="M58" s="53" t="s">
        <v>942</v>
      </c>
      <c r="N58" s="58" t="s">
        <v>73</v>
      </c>
      <c r="O58" s="48" t="s">
        <v>72</v>
      </c>
      <c r="P58" s="48" t="s">
        <v>73</v>
      </c>
      <c r="Q58" s="54" t="s">
        <v>73</v>
      </c>
      <c r="R58" s="55" t="s">
        <v>73</v>
      </c>
      <c r="S58" s="48" t="s">
        <v>73</v>
      </c>
      <c r="T58" s="130"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8" t="str" cm="1">
        <f t="array" ref="U58">IF(SUMPRODUCT(--((CAT_Procesos!$E$2:$E$1581=O58)*(CAT_Procesos!$F$2:$F$1581=_xlfn.TEXTJOIN(" + ",TRUE,IF((TRIM(P58:S58)="")+(LOWER(TRIM(P58:S58))="(seleccione)"),"",PROPER(TRIM(P58:S58)))))*(CAT_Procesos!$D$2:$D$1581=IFERROR(VLOOKUP(N58&amp;"*",CAT_Procesos!$D:$D,1,FALSE),""))))=0,"Combinación no existente",IF(SUMPRODUCT(((CAT_Procesos!$E$2:$E$1581=O58)*(CAT_Procesos!$F$2:$F$1581=_xlfn.TEXTJOIN(" + ",TRUE,IF((TRIM(P58:S58)="")+(LOWER(TRIM(P58:S58))="(seleccione)"),"",PROPER(TRIM(P58:S58)))))*(CAT_Procesos!$D$2:$D$1581=IFERROR(VLOOKUP(N58&amp;"*",CAT_Procesos!$D:$D,1,FALSE),"")))*(CAT_Procesos!$G$2:$G$1581=INDEX(CAT_Procesos!$G$2:$G$1581,MATCH(1,(CAT_Procesos!$E$2:$E$1581=O58)*(CAT_Procesos!$F$2:$F$1581=_xlfn.TEXTJOIN(" + ",TRUE,IF((TRIM(P58:S58)="")+(LOWER(TRIM(P58:S58))="(seleccione)"),"",PROPER(TRIM(P58:S58)))))*(CAT_Procesos!$D$2:$D$1581=IFERROR(VLOOKUP(N58&amp;"*",CAT_Procesos!$D:$D,1,FALSE),"")),0))))=SUMPRODUCT(--((CAT_Procesos!$E$2:$E$1581=O58)*(CAT_Procesos!$F$2:$F$1581=_xlfn.TEXTJOIN(" + ",TRUE,IF((TRIM(P58:S58)="")+(LOWER(TRIM(P58:S58))="(seleccione)"),"",PROPER(TRIM(P58:S58)))))*(CAT_Procesos!$D$2:$D$1581=IFERROR(VLOOKUP(N58&amp;"*",CAT_Procesos!$D:$D,1,FALSE),"")))),INDEX(CAT_Procesos!$G$2:$G$1581,MATCH(1,(CAT_Procesos!$E$2:$E$1581=O58)*(CAT_Procesos!$F$2:$F$1581=_xlfn.TEXTJOIN(" + ",TRUE,IF((TRIM(P58:S58)="")+(LOWER(TRIM(P58:S58))="(seleccione)"),"",PROPER(TRIM(P58:S58)))))*(CAT_Procesos!$D$2:$D$1581=IFERROR(VLOOKUP(N58&amp;"*",CAT_Procesos!$D:$D,1,FALSE),"")),0)),"(seleccione)"))</f>
        <v>Combinación no existente</v>
      </c>
      <c r="V58" s="55" t="s">
        <v>73</v>
      </c>
      <c r="W58" s="56" t="s">
        <v>73</v>
      </c>
      <c r="X58" s="57" t="str">
        <f t="shared" si="0"/>
        <v/>
      </c>
      <c r="Y58" s="58" t="s">
        <v>73</v>
      </c>
      <c r="Z58" s="57" t="str">
        <f t="shared" si="1"/>
        <v/>
      </c>
      <c r="AA58" s="58" t="s">
        <v>73</v>
      </c>
      <c r="AB58" s="57" t="str">
        <f t="shared" si="2"/>
        <v/>
      </c>
      <c r="AC58" s="58" t="s">
        <v>73</v>
      </c>
      <c r="AD58" s="57" t="str">
        <f t="shared" si="3"/>
        <v/>
      </c>
      <c r="AE58" s="59"/>
      <c r="AF58" s="59"/>
      <c r="AG58" s="59"/>
      <c r="AH58" s="59"/>
      <c r="AI58" s="59" t="s">
        <v>73</v>
      </c>
      <c r="AJ58" s="59"/>
      <c r="AK58" s="59" t="s">
        <v>73</v>
      </c>
      <c r="AL58" s="59"/>
      <c r="AM58" s="59" t="s">
        <v>73</v>
      </c>
      <c r="AN58" s="59"/>
      <c r="AO58" s="59" t="s">
        <v>73</v>
      </c>
      <c r="AP58" s="59"/>
      <c r="AQ58" s="59" t="s">
        <v>73</v>
      </c>
      <c r="AR58" s="59"/>
      <c r="AS58" s="59" t="s">
        <v>72</v>
      </c>
      <c r="AT58" s="59"/>
      <c r="AU58" s="59"/>
      <c r="AV58" s="59"/>
      <c r="AW58" s="59"/>
      <c r="AX58" s="59"/>
      <c r="AY58" s="60" t="str">
        <f>IF('Cálculo MP'!K68="","",'Cálculo MP'!K68)</f>
        <v/>
      </c>
      <c r="AZ58" s="60" t="str">
        <f>IF('Cálculo MP'!L68="","",'Cálculo MP'!L68)</f>
        <v/>
      </c>
      <c r="BA58" s="60" t="str">
        <f>IF('Cálculo MP'!M68="","",'Cálculo MP'!M68)</f>
        <v/>
      </c>
      <c r="BB58" s="60" t="str">
        <f>IF('Cálculo MP'!N68="","",'Cálculo MP'!N68)</f>
        <v/>
      </c>
      <c r="BC58" s="60" t="str">
        <f>IF('Cálculo MP'!O68="","",'Cálculo MP'!O68)</f>
        <v/>
      </c>
      <c r="BD58" s="60" t="str">
        <f>IF('Cálculo MP'!P68="","",'Cálculo MP'!P68)</f>
        <v/>
      </c>
      <c r="BE58" s="60" t="str">
        <f>IF('Cálculo MP'!Q68="","",'Cálculo MP'!Q68)</f>
        <v/>
      </c>
      <c r="BF58" s="60" t="str">
        <f>IF('Cálculo MP'!R68="","",'Cálculo MP'!R68)</f>
        <v/>
      </c>
      <c r="BG58" s="60" t="str">
        <f>IF('Cálculo MP'!S68="","",'Cálculo MP'!S68)</f>
        <v/>
      </c>
      <c r="BH58" s="61"/>
      <c r="BI58" s="61"/>
      <c r="BJ58" s="61"/>
      <c r="BK58" s="61"/>
      <c r="BL58" s="61"/>
      <c r="BM58" s="61"/>
      <c r="BN58" s="61"/>
      <c r="BO58" s="61"/>
    </row>
    <row r="59" spans="1:67" ht="19.5" customHeight="1" x14ac:dyDescent="0.15">
      <c r="A59" s="123" t="s">
        <v>1856</v>
      </c>
      <c r="B59" s="122" t="s">
        <v>1854</v>
      </c>
      <c r="C59" s="49"/>
      <c r="D59" s="48" t="s">
        <v>73</v>
      </c>
      <c r="E59" s="49"/>
      <c r="F59" s="50"/>
      <c r="G59" s="62"/>
      <c r="H59" s="48" t="s">
        <v>72</v>
      </c>
      <c r="I59" s="52">
        <v>1</v>
      </c>
      <c r="J59" s="52"/>
      <c r="K59" s="52" t="s">
        <v>73</v>
      </c>
      <c r="L59" s="52" t="s">
        <v>74</v>
      </c>
      <c r="M59" s="53" t="s">
        <v>942</v>
      </c>
      <c r="N59" s="58" t="s">
        <v>73</v>
      </c>
      <c r="O59" s="48" t="s">
        <v>72</v>
      </c>
      <c r="P59" s="48" t="s">
        <v>73</v>
      </c>
      <c r="Q59" s="54" t="s">
        <v>73</v>
      </c>
      <c r="R59" s="55" t="s">
        <v>73</v>
      </c>
      <c r="S59" s="48" t="s">
        <v>73</v>
      </c>
      <c r="T59" s="130"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8" t="str" cm="1">
        <f t="array" ref="U59">IF(SUMPRODUCT(--((CAT_Procesos!$E$2:$E$1581=O59)*(CAT_Procesos!$F$2:$F$1581=_xlfn.TEXTJOIN(" + ",TRUE,IF((TRIM(P59:S59)="")+(LOWER(TRIM(P59:S59))="(seleccione)"),"",PROPER(TRIM(P59:S59)))))*(CAT_Procesos!$D$2:$D$1581=IFERROR(VLOOKUP(N59&amp;"*",CAT_Procesos!$D:$D,1,FALSE),""))))=0,"Combinación no existente",IF(SUMPRODUCT(((CAT_Procesos!$E$2:$E$1581=O59)*(CAT_Procesos!$F$2:$F$1581=_xlfn.TEXTJOIN(" + ",TRUE,IF((TRIM(P59:S59)="")+(LOWER(TRIM(P59:S59))="(seleccione)"),"",PROPER(TRIM(P59:S59)))))*(CAT_Procesos!$D$2:$D$1581=IFERROR(VLOOKUP(N59&amp;"*",CAT_Procesos!$D:$D,1,FALSE),"")))*(CAT_Procesos!$G$2:$G$1581=INDEX(CAT_Procesos!$G$2:$G$1581,MATCH(1,(CAT_Procesos!$E$2:$E$1581=O59)*(CAT_Procesos!$F$2:$F$1581=_xlfn.TEXTJOIN(" + ",TRUE,IF((TRIM(P59:S59)="")+(LOWER(TRIM(P59:S59))="(seleccione)"),"",PROPER(TRIM(P59:S59)))))*(CAT_Procesos!$D$2:$D$1581=IFERROR(VLOOKUP(N59&amp;"*",CAT_Procesos!$D:$D,1,FALSE),"")),0))))=SUMPRODUCT(--((CAT_Procesos!$E$2:$E$1581=O59)*(CAT_Procesos!$F$2:$F$1581=_xlfn.TEXTJOIN(" + ",TRUE,IF((TRIM(P59:S59)="")+(LOWER(TRIM(P59:S59))="(seleccione)"),"",PROPER(TRIM(P59:S59)))))*(CAT_Procesos!$D$2:$D$1581=IFERROR(VLOOKUP(N59&amp;"*",CAT_Procesos!$D:$D,1,FALSE),"")))),INDEX(CAT_Procesos!$G$2:$G$1581,MATCH(1,(CAT_Procesos!$E$2:$E$1581=O59)*(CAT_Procesos!$F$2:$F$1581=_xlfn.TEXTJOIN(" + ",TRUE,IF((TRIM(P59:S59)="")+(LOWER(TRIM(P59:S59))="(seleccione)"),"",PROPER(TRIM(P59:S59)))))*(CAT_Procesos!$D$2:$D$1581=IFERROR(VLOOKUP(N59&amp;"*",CAT_Procesos!$D:$D,1,FALSE),"")),0)),"(seleccione)"))</f>
        <v>Combinación no existente</v>
      </c>
      <c r="V59" s="55" t="s">
        <v>73</v>
      </c>
      <c r="W59" s="56" t="s">
        <v>73</v>
      </c>
      <c r="X59" s="57" t="str">
        <f t="shared" si="0"/>
        <v/>
      </c>
      <c r="Y59" s="58" t="s">
        <v>73</v>
      </c>
      <c r="Z59" s="57" t="str">
        <f t="shared" si="1"/>
        <v/>
      </c>
      <c r="AA59" s="58" t="s">
        <v>73</v>
      </c>
      <c r="AB59" s="57" t="str">
        <f t="shared" si="2"/>
        <v/>
      </c>
      <c r="AC59" s="58" t="s">
        <v>73</v>
      </c>
      <c r="AD59" s="57" t="str">
        <f t="shared" si="3"/>
        <v/>
      </c>
      <c r="AE59" s="59"/>
      <c r="AF59" s="59"/>
      <c r="AG59" s="59"/>
      <c r="AH59" s="59"/>
      <c r="AI59" s="59" t="s">
        <v>73</v>
      </c>
      <c r="AJ59" s="59"/>
      <c r="AK59" s="59" t="s">
        <v>73</v>
      </c>
      <c r="AL59" s="59"/>
      <c r="AM59" s="59" t="s">
        <v>73</v>
      </c>
      <c r="AN59" s="59"/>
      <c r="AO59" s="59" t="s">
        <v>73</v>
      </c>
      <c r="AP59" s="59"/>
      <c r="AQ59" s="59" t="s">
        <v>73</v>
      </c>
      <c r="AR59" s="59"/>
      <c r="AS59" s="59" t="s">
        <v>72</v>
      </c>
      <c r="AT59" s="59"/>
      <c r="AU59" s="59"/>
      <c r="AV59" s="59"/>
      <c r="AW59" s="59"/>
      <c r="AX59" s="59"/>
      <c r="AY59" s="60" t="str">
        <f>IF('Cálculo MP'!K69="","",'Cálculo MP'!K69)</f>
        <v/>
      </c>
      <c r="AZ59" s="60" t="str">
        <f>IF('Cálculo MP'!L69="","",'Cálculo MP'!L69)</f>
        <v/>
      </c>
      <c r="BA59" s="60" t="str">
        <f>IF('Cálculo MP'!M69="","",'Cálculo MP'!M69)</f>
        <v/>
      </c>
      <c r="BB59" s="60" t="str">
        <f>IF('Cálculo MP'!N69="","",'Cálculo MP'!N69)</f>
        <v/>
      </c>
      <c r="BC59" s="60" t="str">
        <f>IF('Cálculo MP'!O69="","",'Cálculo MP'!O69)</f>
        <v/>
      </c>
      <c r="BD59" s="60" t="str">
        <f>IF('Cálculo MP'!P69="","",'Cálculo MP'!P69)</f>
        <v/>
      </c>
      <c r="BE59" s="60" t="str">
        <f>IF('Cálculo MP'!Q69="","",'Cálculo MP'!Q69)</f>
        <v/>
      </c>
      <c r="BF59" s="60" t="str">
        <f>IF('Cálculo MP'!R69="","",'Cálculo MP'!R69)</f>
        <v/>
      </c>
      <c r="BG59" s="60" t="str">
        <f>IF('Cálculo MP'!S69="","",'Cálculo MP'!S69)</f>
        <v/>
      </c>
      <c r="BH59" s="61"/>
      <c r="BI59" s="61"/>
      <c r="BJ59" s="61"/>
      <c r="BK59" s="61"/>
      <c r="BL59" s="61"/>
      <c r="BM59" s="61"/>
      <c r="BN59" s="61"/>
      <c r="BO59" s="61"/>
    </row>
    <row r="60" spans="1:67" ht="19.5" customHeight="1" x14ac:dyDescent="0.15">
      <c r="A60" s="123" t="s">
        <v>1856</v>
      </c>
      <c r="B60" s="122" t="s">
        <v>1854</v>
      </c>
      <c r="C60" s="49"/>
      <c r="D60" s="48" t="s">
        <v>73</v>
      </c>
      <c r="E60" s="49"/>
      <c r="F60" s="50"/>
      <c r="G60" s="62"/>
      <c r="H60" s="48" t="s">
        <v>72</v>
      </c>
      <c r="I60" s="52">
        <v>1</v>
      </c>
      <c r="J60" s="52"/>
      <c r="K60" s="52" t="s">
        <v>73</v>
      </c>
      <c r="L60" s="52" t="s">
        <v>74</v>
      </c>
      <c r="M60" s="53" t="s">
        <v>942</v>
      </c>
      <c r="N60" s="58" t="s">
        <v>73</v>
      </c>
      <c r="O60" s="48" t="s">
        <v>72</v>
      </c>
      <c r="P60" s="48" t="s">
        <v>73</v>
      </c>
      <c r="Q60" s="54" t="s">
        <v>73</v>
      </c>
      <c r="R60" s="55" t="s">
        <v>73</v>
      </c>
      <c r="S60" s="48" t="s">
        <v>73</v>
      </c>
      <c r="T60" s="130"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8" t="str" cm="1">
        <f t="array" ref="U60">IF(SUMPRODUCT(--((CAT_Procesos!$E$2:$E$1581=O60)*(CAT_Procesos!$F$2:$F$1581=_xlfn.TEXTJOIN(" + ",TRUE,IF((TRIM(P60:S60)="")+(LOWER(TRIM(P60:S60))="(seleccione)"),"",PROPER(TRIM(P60:S60)))))*(CAT_Procesos!$D$2:$D$1581=IFERROR(VLOOKUP(N60&amp;"*",CAT_Procesos!$D:$D,1,FALSE),""))))=0,"Combinación no existente",IF(SUMPRODUCT(((CAT_Procesos!$E$2:$E$1581=O60)*(CAT_Procesos!$F$2:$F$1581=_xlfn.TEXTJOIN(" + ",TRUE,IF((TRIM(P60:S60)="")+(LOWER(TRIM(P60:S60))="(seleccione)"),"",PROPER(TRIM(P60:S60)))))*(CAT_Procesos!$D$2:$D$1581=IFERROR(VLOOKUP(N60&amp;"*",CAT_Procesos!$D:$D,1,FALSE),"")))*(CAT_Procesos!$G$2:$G$1581=INDEX(CAT_Procesos!$G$2:$G$1581,MATCH(1,(CAT_Procesos!$E$2:$E$1581=O60)*(CAT_Procesos!$F$2:$F$1581=_xlfn.TEXTJOIN(" + ",TRUE,IF((TRIM(P60:S60)="")+(LOWER(TRIM(P60:S60))="(seleccione)"),"",PROPER(TRIM(P60:S60)))))*(CAT_Procesos!$D$2:$D$1581=IFERROR(VLOOKUP(N60&amp;"*",CAT_Procesos!$D:$D,1,FALSE),"")),0))))=SUMPRODUCT(--((CAT_Procesos!$E$2:$E$1581=O60)*(CAT_Procesos!$F$2:$F$1581=_xlfn.TEXTJOIN(" + ",TRUE,IF((TRIM(P60:S60)="")+(LOWER(TRIM(P60:S60))="(seleccione)"),"",PROPER(TRIM(P60:S60)))))*(CAT_Procesos!$D$2:$D$1581=IFERROR(VLOOKUP(N60&amp;"*",CAT_Procesos!$D:$D,1,FALSE),"")))),INDEX(CAT_Procesos!$G$2:$G$1581,MATCH(1,(CAT_Procesos!$E$2:$E$1581=O60)*(CAT_Procesos!$F$2:$F$1581=_xlfn.TEXTJOIN(" + ",TRUE,IF((TRIM(P60:S60)="")+(LOWER(TRIM(P60:S60))="(seleccione)"),"",PROPER(TRIM(P60:S60)))))*(CAT_Procesos!$D$2:$D$1581=IFERROR(VLOOKUP(N60&amp;"*",CAT_Procesos!$D:$D,1,FALSE),"")),0)),"(seleccione)"))</f>
        <v>Combinación no existente</v>
      </c>
      <c r="V60" s="55" t="s">
        <v>73</v>
      </c>
      <c r="W60" s="56" t="s">
        <v>73</v>
      </c>
      <c r="X60" s="57" t="str">
        <f t="shared" si="0"/>
        <v/>
      </c>
      <c r="Y60" s="58" t="s">
        <v>73</v>
      </c>
      <c r="Z60" s="57" t="str">
        <f t="shared" si="1"/>
        <v/>
      </c>
      <c r="AA60" s="58" t="s">
        <v>73</v>
      </c>
      <c r="AB60" s="57" t="str">
        <f t="shared" si="2"/>
        <v/>
      </c>
      <c r="AC60" s="58" t="s">
        <v>73</v>
      </c>
      <c r="AD60" s="57" t="str">
        <f t="shared" si="3"/>
        <v/>
      </c>
      <c r="AE60" s="59"/>
      <c r="AF60" s="59"/>
      <c r="AG60" s="59"/>
      <c r="AH60" s="59"/>
      <c r="AI60" s="59" t="s">
        <v>73</v>
      </c>
      <c r="AJ60" s="59"/>
      <c r="AK60" s="59" t="s">
        <v>73</v>
      </c>
      <c r="AL60" s="59"/>
      <c r="AM60" s="59" t="s">
        <v>73</v>
      </c>
      <c r="AN60" s="59"/>
      <c r="AO60" s="59" t="s">
        <v>73</v>
      </c>
      <c r="AP60" s="59"/>
      <c r="AQ60" s="59" t="s">
        <v>73</v>
      </c>
      <c r="AR60" s="59"/>
      <c r="AS60" s="59" t="s">
        <v>72</v>
      </c>
      <c r="AT60" s="59"/>
      <c r="AU60" s="59"/>
      <c r="AV60" s="59"/>
      <c r="AW60" s="59"/>
      <c r="AX60" s="59"/>
      <c r="AY60" s="60" t="str">
        <f>IF('Cálculo MP'!K70="","",'Cálculo MP'!K70)</f>
        <v/>
      </c>
      <c r="AZ60" s="60" t="str">
        <f>IF('Cálculo MP'!L70="","",'Cálculo MP'!L70)</f>
        <v/>
      </c>
      <c r="BA60" s="60" t="str">
        <f>IF('Cálculo MP'!M70="","",'Cálculo MP'!M70)</f>
        <v/>
      </c>
      <c r="BB60" s="60" t="str">
        <f>IF('Cálculo MP'!N70="","",'Cálculo MP'!N70)</f>
        <v/>
      </c>
      <c r="BC60" s="60" t="str">
        <f>IF('Cálculo MP'!O70="","",'Cálculo MP'!O70)</f>
        <v/>
      </c>
      <c r="BD60" s="60" t="str">
        <f>IF('Cálculo MP'!P70="","",'Cálculo MP'!P70)</f>
        <v/>
      </c>
      <c r="BE60" s="60" t="str">
        <f>IF('Cálculo MP'!Q70="","",'Cálculo MP'!Q70)</f>
        <v/>
      </c>
      <c r="BF60" s="60" t="str">
        <f>IF('Cálculo MP'!R70="","",'Cálculo MP'!R70)</f>
        <v/>
      </c>
      <c r="BG60" s="60" t="str">
        <f>IF('Cálculo MP'!S70="","",'Cálculo MP'!S70)</f>
        <v/>
      </c>
      <c r="BH60" s="59"/>
      <c r="BI60" s="59"/>
      <c r="BJ60" s="59"/>
      <c r="BK60" s="59"/>
      <c r="BL60" s="59"/>
      <c r="BM60" s="59"/>
      <c r="BN60" s="59"/>
      <c r="BO60" s="59"/>
    </row>
    <row r="61" spans="1:67" ht="19.5" customHeight="1" x14ac:dyDescent="0.15">
      <c r="A61" s="123" t="s">
        <v>1856</v>
      </c>
      <c r="B61" s="122" t="s">
        <v>1854</v>
      </c>
      <c r="C61" s="49"/>
      <c r="D61" s="48" t="s">
        <v>73</v>
      </c>
      <c r="E61" s="49"/>
      <c r="F61" s="50"/>
      <c r="G61" s="62"/>
      <c r="H61" s="48" t="s">
        <v>72</v>
      </c>
      <c r="I61" s="52">
        <v>1</v>
      </c>
      <c r="J61" s="52"/>
      <c r="K61" s="52" t="s">
        <v>73</v>
      </c>
      <c r="L61" s="52" t="s">
        <v>74</v>
      </c>
      <c r="M61" s="53" t="s">
        <v>942</v>
      </c>
      <c r="N61" s="58" t="s">
        <v>73</v>
      </c>
      <c r="O61" s="48" t="s">
        <v>72</v>
      </c>
      <c r="P61" s="48" t="s">
        <v>73</v>
      </c>
      <c r="Q61" s="54" t="s">
        <v>73</v>
      </c>
      <c r="R61" s="55" t="s">
        <v>73</v>
      </c>
      <c r="S61" s="48" t="s">
        <v>73</v>
      </c>
      <c r="T61" s="130"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8" t="str" cm="1">
        <f t="array" ref="U61">IF(SUMPRODUCT(--((CAT_Procesos!$E$2:$E$1581=O61)*(CAT_Procesos!$F$2:$F$1581=_xlfn.TEXTJOIN(" + ",TRUE,IF((TRIM(P61:S61)="")+(LOWER(TRIM(P61:S61))="(seleccione)"),"",PROPER(TRIM(P61:S61)))))*(CAT_Procesos!$D$2:$D$1581=IFERROR(VLOOKUP(N61&amp;"*",CAT_Procesos!$D:$D,1,FALSE),""))))=0,"Combinación no existente",IF(SUMPRODUCT(((CAT_Procesos!$E$2:$E$1581=O61)*(CAT_Procesos!$F$2:$F$1581=_xlfn.TEXTJOIN(" + ",TRUE,IF((TRIM(P61:S61)="")+(LOWER(TRIM(P61:S61))="(seleccione)"),"",PROPER(TRIM(P61:S61)))))*(CAT_Procesos!$D$2:$D$1581=IFERROR(VLOOKUP(N61&amp;"*",CAT_Procesos!$D:$D,1,FALSE),"")))*(CAT_Procesos!$G$2:$G$1581=INDEX(CAT_Procesos!$G$2:$G$1581,MATCH(1,(CAT_Procesos!$E$2:$E$1581=O61)*(CAT_Procesos!$F$2:$F$1581=_xlfn.TEXTJOIN(" + ",TRUE,IF((TRIM(P61:S61)="")+(LOWER(TRIM(P61:S61))="(seleccione)"),"",PROPER(TRIM(P61:S61)))))*(CAT_Procesos!$D$2:$D$1581=IFERROR(VLOOKUP(N61&amp;"*",CAT_Procesos!$D:$D,1,FALSE),"")),0))))=SUMPRODUCT(--((CAT_Procesos!$E$2:$E$1581=O61)*(CAT_Procesos!$F$2:$F$1581=_xlfn.TEXTJOIN(" + ",TRUE,IF((TRIM(P61:S61)="")+(LOWER(TRIM(P61:S61))="(seleccione)"),"",PROPER(TRIM(P61:S61)))))*(CAT_Procesos!$D$2:$D$1581=IFERROR(VLOOKUP(N61&amp;"*",CAT_Procesos!$D:$D,1,FALSE),"")))),INDEX(CAT_Procesos!$G$2:$G$1581,MATCH(1,(CAT_Procesos!$E$2:$E$1581=O61)*(CAT_Procesos!$F$2:$F$1581=_xlfn.TEXTJOIN(" + ",TRUE,IF((TRIM(P61:S61)="")+(LOWER(TRIM(P61:S61))="(seleccione)"),"",PROPER(TRIM(P61:S61)))))*(CAT_Procesos!$D$2:$D$1581=IFERROR(VLOOKUP(N61&amp;"*",CAT_Procesos!$D:$D,1,FALSE),"")),0)),"(seleccione)"))</f>
        <v>Combinación no existente</v>
      </c>
      <c r="V61" s="55" t="s">
        <v>73</v>
      </c>
      <c r="W61" s="56" t="s">
        <v>73</v>
      </c>
      <c r="X61" s="57" t="str">
        <f t="shared" si="0"/>
        <v/>
      </c>
      <c r="Y61" s="58" t="s">
        <v>73</v>
      </c>
      <c r="Z61" s="57" t="str">
        <f t="shared" si="1"/>
        <v/>
      </c>
      <c r="AA61" s="58" t="s">
        <v>73</v>
      </c>
      <c r="AB61" s="57" t="str">
        <f t="shared" si="2"/>
        <v/>
      </c>
      <c r="AC61" s="58" t="s">
        <v>73</v>
      </c>
      <c r="AD61" s="57" t="str">
        <f t="shared" si="3"/>
        <v/>
      </c>
      <c r="AE61" s="59"/>
      <c r="AF61" s="59"/>
      <c r="AG61" s="59"/>
      <c r="AH61" s="59"/>
      <c r="AI61" s="59" t="s">
        <v>73</v>
      </c>
      <c r="AJ61" s="59"/>
      <c r="AK61" s="59" t="s">
        <v>73</v>
      </c>
      <c r="AL61" s="59"/>
      <c r="AM61" s="59" t="s">
        <v>73</v>
      </c>
      <c r="AN61" s="59"/>
      <c r="AO61" s="59" t="s">
        <v>73</v>
      </c>
      <c r="AP61" s="59"/>
      <c r="AQ61" s="59" t="s">
        <v>73</v>
      </c>
      <c r="AR61" s="59"/>
      <c r="AS61" s="59" t="s">
        <v>72</v>
      </c>
      <c r="AT61" s="59"/>
      <c r="AU61" s="59"/>
      <c r="AV61" s="59"/>
      <c r="AW61" s="59"/>
      <c r="AX61" s="59"/>
      <c r="AY61" s="60" t="str">
        <f>IF('Cálculo MP'!K71="","",'Cálculo MP'!K71)</f>
        <v/>
      </c>
      <c r="AZ61" s="60" t="str">
        <f>IF('Cálculo MP'!L71="","",'Cálculo MP'!L71)</f>
        <v/>
      </c>
      <c r="BA61" s="60" t="str">
        <f>IF('Cálculo MP'!M71="","",'Cálculo MP'!M71)</f>
        <v/>
      </c>
      <c r="BB61" s="60" t="str">
        <f>IF('Cálculo MP'!N71="","",'Cálculo MP'!N71)</f>
        <v/>
      </c>
      <c r="BC61" s="60" t="str">
        <f>IF('Cálculo MP'!O71="","",'Cálculo MP'!O71)</f>
        <v/>
      </c>
      <c r="BD61" s="60" t="str">
        <f>IF('Cálculo MP'!P71="","",'Cálculo MP'!P71)</f>
        <v/>
      </c>
      <c r="BE61" s="60" t="str">
        <f>IF('Cálculo MP'!Q71="","",'Cálculo MP'!Q71)</f>
        <v/>
      </c>
      <c r="BF61" s="60" t="str">
        <f>IF('Cálculo MP'!R71="","",'Cálculo MP'!R71)</f>
        <v/>
      </c>
      <c r="BG61" s="60" t="str">
        <f>IF('Cálculo MP'!S71="","",'Cálculo MP'!S71)</f>
        <v/>
      </c>
      <c r="BH61" s="59"/>
      <c r="BI61" s="59"/>
      <c r="BJ61" s="59"/>
      <c r="BK61" s="59"/>
      <c r="BL61" s="59"/>
      <c r="BM61" s="59"/>
      <c r="BN61" s="59"/>
      <c r="BO61" s="59"/>
    </row>
    <row r="62" spans="1:67" ht="19.5" customHeight="1" x14ac:dyDescent="0.15">
      <c r="A62" s="123" t="s">
        <v>1856</v>
      </c>
      <c r="B62" s="122" t="s">
        <v>1854</v>
      </c>
      <c r="C62" s="49"/>
      <c r="D62" s="48" t="s">
        <v>73</v>
      </c>
      <c r="E62" s="49"/>
      <c r="F62" s="50"/>
      <c r="G62" s="62"/>
      <c r="H62" s="48" t="s">
        <v>72</v>
      </c>
      <c r="I62" s="52">
        <v>1</v>
      </c>
      <c r="J62" s="52"/>
      <c r="K62" s="52" t="s">
        <v>73</v>
      </c>
      <c r="L62" s="52" t="s">
        <v>74</v>
      </c>
      <c r="M62" s="53" t="s">
        <v>942</v>
      </c>
      <c r="N62" s="58" t="s">
        <v>73</v>
      </c>
      <c r="O62" s="48" t="s">
        <v>72</v>
      </c>
      <c r="P62" s="48" t="s">
        <v>73</v>
      </c>
      <c r="Q62" s="54" t="s">
        <v>73</v>
      </c>
      <c r="R62" s="55" t="s">
        <v>73</v>
      </c>
      <c r="S62" s="48" t="s">
        <v>73</v>
      </c>
      <c r="T62" s="130"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8" t="str" cm="1">
        <f t="array" ref="U62">IF(SUMPRODUCT(--((CAT_Procesos!$E$2:$E$1581=O62)*(CAT_Procesos!$F$2:$F$1581=_xlfn.TEXTJOIN(" + ",TRUE,IF((TRIM(P62:S62)="")+(LOWER(TRIM(P62:S62))="(seleccione)"),"",PROPER(TRIM(P62:S62)))))*(CAT_Procesos!$D$2:$D$1581=IFERROR(VLOOKUP(N62&amp;"*",CAT_Procesos!$D:$D,1,FALSE),""))))=0,"Combinación no existente",IF(SUMPRODUCT(((CAT_Procesos!$E$2:$E$1581=O62)*(CAT_Procesos!$F$2:$F$1581=_xlfn.TEXTJOIN(" + ",TRUE,IF((TRIM(P62:S62)="")+(LOWER(TRIM(P62:S62))="(seleccione)"),"",PROPER(TRIM(P62:S62)))))*(CAT_Procesos!$D$2:$D$1581=IFERROR(VLOOKUP(N62&amp;"*",CAT_Procesos!$D:$D,1,FALSE),"")))*(CAT_Procesos!$G$2:$G$1581=INDEX(CAT_Procesos!$G$2:$G$1581,MATCH(1,(CAT_Procesos!$E$2:$E$1581=O62)*(CAT_Procesos!$F$2:$F$1581=_xlfn.TEXTJOIN(" + ",TRUE,IF((TRIM(P62:S62)="")+(LOWER(TRIM(P62:S62))="(seleccione)"),"",PROPER(TRIM(P62:S62)))))*(CAT_Procesos!$D$2:$D$1581=IFERROR(VLOOKUP(N62&amp;"*",CAT_Procesos!$D:$D,1,FALSE),"")),0))))=SUMPRODUCT(--((CAT_Procesos!$E$2:$E$1581=O62)*(CAT_Procesos!$F$2:$F$1581=_xlfn.TEXTJOIN(" + ",TRUE,IF((TRIM(P62:S62)="")+(LOWER(TRIM(P62:S62))="(seleccione)"),"",PROPER(TRIM(P62:S62)))))*(CAT_Procesos!$D$2:$D$1581=IFERROR(VLOOKUP(N62&amp;"*",CAT_Procesos!$D:$D,1,FALSE),"")))),INDEX(CAT_Procesos!$G$2:$G$1581,MATCH(1,(CAT_Procesos!$E$2:$E$1581=O62)*(CAT_Procesos!$F$2:$F$1581=_xlfn.TEXTJOIN(" + ",TRUE,IF((TRIM(P62:S62)="")+(LOWER(TRIM(P62:S62))="(seleccione)"),"",PROPER(TRIM(P62:S62)))))*(CAT_Procesos!$D$2:$D$1581=IFERROR(VLOOKUP(N62&amp;"*",CAT_Procesos!$D:$D,1,FALSE),"")),0)),"(seleccione)"))</f>
        <v>Combinación no existente</v>
      </c>
      <c r="V62" s="55" t="s">
        <v>73</v>
      </c>
      <c r="W62" s="56" t="s">
        <v>73</v>
      </c>
      <c r="X62" s="57" t="str">
        <f t="shared" si="0"/>
        <v/>
      </c>
      <c r="Y62" s="58" t="s">
        <v>73</v>
      </c>
      <c r="Z62" s="57" t="str">
        <f t="shared" si="1"/>
        <v/>
      </c>
      <c r="AA62" s="58" t="s">
        <v>73</v>
      </c>
      <c r="AB62" s="57" t="str">
        <f t="shared" si="2"/>
        <v/>
      </c>
      <c r="AC62" s="58" t="s">
        <v>73</v>
      </c>
      <c r="AD62" s="57" t="str">
        <f t="shared" si="3"/>
        <v/>
      </c>
      <c r="AE62" s="59"/>
      <c r="AF62" s="59"/>
      <c r="AG62" s="59"/>
      <c r="AH62" s="59"/>
      <c r="AI62" s="59" t="s">
        <v>73</v>
      </c>
      <c r="AJ62" s="59"/>
      <c r="AK62" s="59" t="s">
        <v>73</v>
      </c>
      <c r="AL62" s="59"/>
      <c r="AM62" s="59" t="s">
        <v>73</v>
      </c>
      <c r="AN62" s="59"/>
      <c r="AO62" s="59" t="s">
        <v>73</v>
      </c>
      <c r="AP62" s="59"/>
      <c r="AQ62" s="59" t="s">
        <v>73</v>
      </c>
      <c r="AR62" s="59"/>
      <c r="AS62" s="59" t="s">
        <v>72</v>
      </c>
      <c r="AT62" s="59"/>
      <c r="AU62" s="59"/>
      <c r="AV62" s="59"/>
      <c r="AW62" s="59"/>
      <c r="AX62" s="59"/>
      <c r="AY62" s="60" t="str">
        <f>IF('Cálculo MP'!K72="","",'Cálculo MP'!K72)</f>
        <v/>
      </c>
      <c r="AZ62" s="60" t="str">
        <f>IF('Cálculo MP'!L72="","",'Cálculo MP'!L72)</f>
        <v/>
      </c>
      <c r="BA62" s="60" t="str">
        <f>IF('Cálculo MP'!M72="","",'Cálculo MP'!M72)</f>
        <v/>
      </c>
      <c r="BB62" s="60" t="str">
        <f>IF('Cálculo MP'!N72="","",'Cálculo MP'!N72)</f>
        <v/>
      </c>
      <c r="BC62" s="60" t="str">
        <f>IF('Cálculo MP'!O72="","",'Cálculo MP'!O72)</f>
        <v/>
      </c>
      <c r="BD62" s="60" t="str">
        <f>IF('Cálculo MP'!P72="","",'Cálculo MP'!P72)</f>
        <v/>
      </c>
      <c r="BE62" s="60" t="str">
        <f>IF('Cálculo MP'!Q72="","",'Cálculo MP'!Q72)</f>
        <v/>
      </c>
      <c r="BF62" s="60" t="str">
        <f>IF('Cálculo MP'!R72="","",'Cálculo MP'!R72)</f>
        <v/>
      </c>
      <c r="BG62" s="60" t="str">
        <f>IF('Cálculo MP'!S72="","",'Cálculo MP'!S72)</f>
        <v/>
      </c>
      <c r="BH62" s="59"/>
      <c r="BI62" s="59"/>
      <c r="BJ62" s="59"/>
      <c r="BK62" s="59"/>
      <c r="BL62" s="59"/>
      <c r="BM62" s="59"/>
      <c r="BN62" s="59"/>
      <c r="BO62" s="59"/>
    </row>
    <row r="63" spans="1:67" ht="19.5" customHeight="1" x14ac:dyDescent="0.15">
      <c r="A63" s="123" t="s">
        <v>1856</v>
      </c>
      <c r="B63" s="122" t="s">
        <v>1854</v>
      </c>
      <c r="C63" s="49"/>
      <c r="D63" s="48" t="s">
        <v>73</v>
      </c>
      <c r="E63" s="49"/>
      <c r="F63" s="50"/>
      <c r="G63" s="62"/>
      <c r="H63" s="48" t="s">
        <v>72</v>
      </c>
      <c r="I63" s="52">
        <v>1</v>
      </c>
      <c r="J63" s="52"/>
      <c r="K63" s="52" t="s">
        <v>73</v>
      </c>
      <c r="L63" s="52" t="s">
        <v>74</v>
      </c>
      <c r="M63" s="53" t="s">
        <v>942</v>
      </c>
      <c r="N63" s="58" t="s">
        <v>73</v>
      </c>
      <c r="O63" s="48" t="s">
        <v>72</v>
      </c>
      <c r="P63" s="48" t="s">
        <v>73</v>
      </c>
      <c r="Q63" s="54" t="s">
        <v>73</v>
      </c>
      <c r="R63" s="55" t="s">
        <v>73</v>
      </c>
      <c r="S63" s="48" t="s">
        <v>73</v>
      </c>
      <c r="T63" s="130"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8" t="str" cm="1">
        <f t="array" ref="U63">IF(SUMPRODUCT(--((CAT_Procesos!$E$2:$E$1581=O63)*(CAT_Procesos!$F$2:$F$1581=_xlfn.TEXTJOIN(" + ",TRUE,IF((TRIM(P63:S63)="")+(LOWER(TRIM(P63:S63))="(seleccione)"),"",PROPER(TRIM(P63:S63)))))*(CAT_Procesos!$D$2:$D$1581=IFERROR(VLOOKUP(N63&amp;"*",CAT_Procesos!$D:$D,1,FALSE),""))))=0,"Combinación no existente",IF(SUMPRODUCT(((CAT_Procesos!$E$2:$E$1581=O63)*(CAT_Procesos!$F$2:$F$1581=_xlfn.TEXTJOIN(" + ",TRUE,IF((TRIM(P63:S63)="")+(LOWER(TRIM(P63:S63))="(seleccione)"),"",PROPER(TRIM(P63:S63)))))*(CAT_Procesos!$D$2:$D$1581=IFERROR(VLOOKUP(N63&amp;"*",CAT_Procesos!$D:$D,1,FALSE),"")))*(CAT_Procesos!$G$2:$G$1581=INDEX(CAT_Procesos!$G$2:$G$1581,MATCH(1,(CAT_Procesos!$E$2:$E$1581=O63)*(CAT_Procesos!$F$2:$F$1581=_xlfn.TEXTJOIN(" + ",TRUE,IF((TRIM(P63:S63)="")+(LOWER(TRIM(P63:S63))="(seleccione)"),"",PROPER(TRIM(P63:S63)))))*(CAT_Procesos!$D$2:$D$1581=IFERROR(VLOOKUP(N63&amp;"*",CAT_Procesos!$D:$D,1,FALSE),"")),0))))=SUMPRODUCT(--((CAT_Procesos!$E$2:$E$1581=O63)*(CAT_Procesos!$F$2:$F$1581=_xlfn.TEXTJOIN(" + ",TRUE,IF((TRIM(P63:S63)="")+(LOWER(TRIM(P63:S63))="(seleccione)"),"",PROPER(TRIM(P63:S63)))))*(CAT_Procesos!$D$2:$D$1581=IFERROR(VLOOKUP(N63&amp;"*",CAT_Procesos!$D:$D,1,FALSE),"")))),INDEX(CAT_Procesos!$G$2:$G$1581,MATCH(1,(CAT_Procesos!$E$2:$E$1581=O63)*(CAT_Procesos!$F$2:$F$1581=_xlfn.TEXTJOIN(" + ",TRUE,IF((TRIM(P63:S63)="")+(LOWER(TRIM(P63:S63))="(seleccione)"),"",PROPER(TRIM(P63:S63)))))*(CAT_Procesos!$D$2:$D$1581=IFERROR(VLOOKUP(N63&amp;"*",CAT_Procesos!$D:$D,1,FALSE),"")),0)),"(seleccione)"))</f>
        <v>Combinación no existente</v>
      </c>
      <c r="V63" s="55" t="s">
        <v>73</v>
      </c>
      <c r="W63" s="56" t="s">
        <v>73</v>
      </c>
      <c r="X63" s="57" t="str">
        <f t="shared" si="0"/>
        <v/>
      </c>
      <c r="Y63" s="58" t="s">
        <v>73</v>
      </c>
      <c r="Z63" s="57" t="str">
        <f t="shared" si="1"/>
        <v/>
      </c>
      <c r="AA63" s="58" t="s">
        <v>73</v>
      </c>
      <c r="AB63" s="57" t="str">
        <f t="shared" si="2"/>
        <v/>
      </c>
      <c r="AC63" s="58" t="s">
        <v>73</v>
      </c>
      <c r="AD63" s="57" t="str">
        <f t="shared" si="3"/>
        <v/>
      </c>
      <c r="AE63" s="59"/>
      <c r="AF63" s="59"/>
      <c r="AG63" s="59"/>
      <c r="AH63" s="59"/>
      <c r="AI63" s="59" t="s">
        <v>73</v>
      </c>
      <c r="AJ63" s="59"/>
      <c r="AK63" s="59" t="s">
        <v>73</v>
      </c>
      <c r="AL63" s="59"/>
      <c r="AM63" s="59" t="s">
        <v>73</v>
      </c>
      <c r="AN63" s="59"/>
      <c r="AO63" s="59" t="s">
        <v>73</v>
      </c>
      <c r="AP63" s="59"/>
      <c r="AQ63" s="59" t="s">
        <v>73</v>
      </c>
      <c r="AR63" s="59"/>
      <c r="AS63" s="59" t="s">
        <v>72</v>
      </c>
      <c r="AT63" s="59"/>
      <c r="AU63" s="59"/>
      <c r="AV63" s="59"/>
      <c r="AW63" s="59"/>
      <c r="AX63" s="59"/>
      <c r="AY63" s="60" t="str">
        <f>IF('Cálculo MP'!K73="","",'Cálculo MP'!K73)</f>
        <v/>
      </c>
      <c r="AZ63" s="60" t="str">
        <f>IF('Cálculo MP'!L73="","",'Cálculo MP'!L73)</f>
        <v/>
      </c>
      <c r="BA63" s="60" t="str">
        <f>IF('Cálculo MP'!M73="","",'Cálculo MP'!M73)</f>
        <v/>
      </c>
      <c r="BB63" s="60" t="str">
        <f>IF('Cálculo MP'!N73="","",'Cálculo MP'!N73)</f>
        <v/>
      </c>
      <c r="BC63" s="60" t="str">
        <f>IF('Cálculo MP'!O73="","",'Cálculo MP'!O73)</f>
        <v/>
      </c>
      <c r="BD63" s="60" t="str">
        <f>IF('Cálculo MP'!P73="","",'Cálculo MP'!P73)</f>
        <v/>
      </c>
      <c r="BE63" s="60" t="str">
        <f>IF('Cálculo MP'!Q73="","",'Cálculo MP'!Q73)</f>
        <v/>
      </c>
      <c r="BF63" s="60" t="str">
        <f>IF('Cálculo MP'!R73="","",'Cálculo MP'!R73)</f>
        <v/>
      </c>
      <c r="BG63" s="60" t="str">
        <f>IF('Cálculo MP'!S73="","",'Cálculo MP'!S73)</f>
        <v/>
      </c>
      <c r="BH63" s="59"/>
      <c r="BI63" s="59"/>
      <c r="BJ63" s="59"/>
      <c r="BK63" s="59"/>
      <c r="BL63" s="59"/>
      <c r="BM63" s="59"/>
      <c r="BN63" s="59"/>
      <c r="BO63" s="59"/>
    </row>
    <row r="64" spans="1:67" ht="19.5" customHeight="1" x14ac:dyDescent="0.15">
      <c r="A64" s="123" t="s">
        <v>1856</v>
      </c>
      <c r="B64" s="122" t="s">
        <v>1854</v>
      </c>
      <c r="C64" s="49"/>
      <c r="D64" s="48" t="s">
        <v>73</v>
      </c>
      <c r="E64" s="49"/>
      <c r="F64" s="50"/>
      <c r="G64" s="62"/>
      <c r="H64" s="48" t="s">
        <v>72</v>
      </c>
      <c r="I64" s="52">
        <v>1</v>
      </c>
      <c r="J64" s="52"/>
      <c r="K64" s="52" t="s">
        <v>73</v>
      </c>
      <c r="L64" s="52" t="s">
        <v>74</v>
      </c>
      <c r="M64" s="53" t="s">
        <v>942</v>
      </c>
      <c r="N64" s="58" t="s">
        <v>73</v>
      </c>
      <c r="O64" s="48" t="s">
        <v>72</v>
      </c>
      <c r="P64" s="48" t="s">
        <v>73</v>
      </c>
      <c r="Q64" s="54" t="s">
        <v>73</v>
      </c>
      <c r="R64" s="55" t="s">
        <v>73</v>
      </c>
      <c r="S64" s="48" t="s">
        <v>73</v>
      </c>
      <c r="T64" s="130"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8" t="str" cm="1">
        <f t="array" ref="U64">IF(SUMPRODUCT(--((CAT_Procesos!$E$2:$E$1581=O64)*(CAT_Procesos!$F$2:$F$1581=_xlfn.TEXTJOIN(" + ",TRUE,IF((TRIM(P64:S64)="")+(LOWER(TRIM(P64:S64))="(seleccione)"),"",PROPER(TRIM(P64:S64)))))*(CAT_Procesos!$D$2:$D$1581=IFERROR(VLOOKUP(N64&amp;"*",CAT_Procesos!$D:$D,1,FALSE),""))))=0,"Combinación no existente",IF(SUMPRODUCT(((CAT_Procesos!$E$2:$E$1581=O64)*(CAT_Procesos!$F$2:$F$1581=_xlfn.TEXTJOIN(" + ",TRUE,IF((TRIM(P64:S64)="")+(LOWER(TRIM(P64:S64))="(seleccione)"),"",PROPER(TRIM(P64:S64)))))*(CAT_Procesos!$D$2:$D$1581=IFERROR(VLOOKUP(N64&amp;"*",CAT_Procesos!$D:$D,1,FALSE),"")))*(CAT_Procesos!$G$2:$G$1581=INDEX(CAT_Procesos!$G$2:$G$1581,MATCH(1,(CAT_Procesos!$E$2:$E$1581=O64)*(CAT_Procesos!$F$2:$F$1581=_xlfn.TEXTJOIN(" + ",TRUE,IF((TRIM(P64:S64)="")+(LOWER(TRIM(P64:S64))="(seleccione)"),"",PROPER(TRIM(P64:S64)))))*(CAT_Procesos!$D$2:$D$1581=IFERROR(VLOOKUP(N64&amp;"*",CAT_Procesos!$D:$D,1,FALSE),"")),0))))=SUMPRODUCT(--((CAT_Procesos!$E$2:$E$1581=O64)*(CAT_Procesos!$F$2:$F$1581=_xlfn.TEXTJOIN(" + ",TRUE,IF((TRIM(P64:S64)="")+(LOWER(TRIM(P64:S64))="(seleccione)"),"",PROPER(TRIM(P64:S64)))))*(CAT_Procesos!$D$2:$D$1581=IFERROR(VLOOKUP(N64&amp;"*",CAT_Procesos!$D:$D,1,FALSE),"")))),INDEX(CAT_Procesos!$G$2:$G$1581,MATCH(1,(CAT_Procesos!$E$2:$E$1581=O64)*(CAT_Procesos!$F$2:$F$1581=_xlfn.TEXTJOIN(" + ",TRUE,IF((TRIM(P64:S64)="")+(LOWER(TRIM(P64:S64))="(seleccione)"),"",PROPER(TRIM(P64:S64)))))*(CAT_Procesos!$D$2:$D$1581=IFERROR(VLOOKUP(N64&amp;"*",CAT_Procesos!$D:$D,1,FALSE),"")),0)),"(seleccione)"))</f>
        <v>Combinación no existente</v>
      </c>
      <c r="V64" s="55" t="s">
        <v>73</v>
      </c>
      <c r="W64" s="56" t="s">
        <v>73</v>
      </c>
      <c r="X64" s="57" t="str">
        <f t="shared" si="0"/>
        <v/>
      </c>
      <c r="Y64" s="58" t="s">
        <v>73</v>
      </c>
      <c r="Z64" s="57" t="str">
        <f t="shared" si="1"/>
        <v/>
      </c>
      <c r="AA64" s="58" t="s">
        <v>73</v>
      </c>
      <c r="AB64" s="57" t="str">
        <f t="shared" si="2"/>
        <v/>
      </c>
      <c r="AC64" s="58" t="s">
        <v>73</v>
      </c>
      <c r="AD64" s="57" t="str">
        <f t="shared" si="3"/>
        <v/>
      </c>
      <c r="AE64" s="59"/>
      <c r="AF64" s="59"/>
      <c r="AG64" s="59"/>
      <c r="AH64" s="59"/>
      <c r="AI64" s="59" t="s">
        <v>73</v>
      </c>
      <c r="AJ64" s="59"/>
      <c r="AK64" s="59" t="s">
        <v>73</v>
      </c>
      <c r="AL64" s="59"/>
      <c r="AM64" s="59" t="s">
        <v>73</v>
      </c>
      <c r="AN64" s="59"/>
      <c r="AO64" s="59" t="s">
        <v>73</v>
      </c>
      <c r="AP64" s="59"/>
      <c r="AQ64" s="59" t="s">
        <v>73</v>
      </c>
      <c r="AR64" s="59"/>
      <c r="AS64" s="59" t="s">
        <v>72</v>
      </c>
      <c r="AT64" s="59"/>
      <c r="AU64" s="59"/>
      <c r="AV64" s="59"/>
      <c r="AW64" s="59"/>
      <c r="AX64" s="59"/>
      <c r="AY64" s="60" t="str">
        <f>IF('Cálculo MP'!K74="","",'Cálculo MP'!K74)</f>
        <v/>
      </c>
      <c r="AZ64" s="60" t="str">
        <f>IF('Cálculo MP'!L74="","",'Cálculo MP'!L74)</f>
        <v/>
      </c>
      <c r="BA64" s="60" t="str">
        <f>IF('Cálculo MP'!M74="","",'Cálculo MP'!M74)</f>
        <v/>
      </c>
      <c r="BB64" s="60" t="str">
        <f>IF('Cálculo MP'!N74="","",'Cálculo MP'!N74)</f>
        <v/>
      </c>
      <c r="BC64" s="60" t="str">
        <f>IF('Cálculo MP'!O74="","",'Cálculo MP'!O74)</f>
        <v/>
      </c>
      <c r="BD64" s="60" t="str">
        <f>IF('Cálculo MP'!P74="","",'Cálculo MP'!P74)</f>
        <v/>
      </c>
      <c r="BE64" s="60" t="str">
        <f>IF('Cálculo MP'!Q74="","",'Cálculo MP'!Q74)</f>
        <v/>
      </c>
      <c r="BF64" s="60" t="str">
        <f>IF('Cálculo MP'!R74="","",'Cálculo MP'!R74)</f>
        <v/>
      </c>
      <c r="BG64" s="60" t="str">
        <f>IF('Cálculo MP'!S74="","",'Cálculo MP'!S74)</f>
        <v/>
      </c>
      <c r="BH64" s="59"/>
      <c r="BI64" s="59"/>
      <c r="BJ64" s="59"/>
      <c r="BK64" s="59"/>
      <c r="BL64" s="59"/>
      <c r="BM64" s="59"/>
      <c r="BN64" s="59"/>
      <c r="BO64" s="59"/>
    </row>
    <row r="65" spans="1:67" ht="19.5" customHeight="1" x14ac:dyDescent="0.15">
      <c r="A65" s="123" t="s">
        <v>1856</v>
      </c>
      <c r="B65" s="122" t="s">
        <v>1854</v>
      </c>
      <c r="C65" s="49"/>
      <c r="D65" s="48" t="s">
        <v>73</v>
      </c>
      <c r="E65" s="49"/>
      <c r="F65" s="50"/>
      <c r="G65" s="62"/>
      <c r="H65" s="48" t="s">
        <v>72</v>
      </c>
      <c r="I65" s="52">
        <v>1</v>
      </c>
      <c r="J65" s="52"/>
      <c r="K65" s="52" t="s">
        <v>73</v>
      </c>
      <c r="L65" s="52" t="s">
        <v>74</v>
      </c>
      <c r="M65" s="53" t="s">
        <v>942</v>
      </c>
      <c r="N65" s="58" t="s">
        <v>73</v>
      </c>
      <c r="O65" s="48" t="s">
        <v>72</v>
      </c>
      <c r="P65" s="48" t="s">
        <v>73</v>
      </c>
      <c r="Q65" s="54" t="s">
        <v>73</v>
      </c>
      <c r="R65" s="55" t="s">
        <v>73</v>
      </c>
      <c r="S65" s="48" t="s">
        <v>73</v>
      </c>
      <c r="T65" s="130"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8" t="str" cm="1">
        <f t="array" ref="U65">IF(SUMPRODUCT(--((CAT_Procesos!$E$2:$E$1581=O65)*(CAT_Procesos!$F$2:$F$1581=_xlfn.TEXTJOIN(" + ",TRUE,IF((TRIM(P65:S65)="")+(LOWER(TRIM(P65:S65))="(seleccione)"),"",PROPER(TRIM(P65:S65)))))*(CAT_Procesos!$D$2:$D$1581=IFERROR(VLOOKUP(N65&amp;"*",CAT_Procesos!$D:$D,1,FALSE),""))))=0,"Combinación no existente",IF(SUMPRODUCT(((CAT_Procesos!$E$2:$E$1581=O65)*(CAT_Procesos!$F$2:$F$1581=_xlfn.TEXTJOIN(" + ",TRUE,IF((TRIM(P65:S65)="")+(LOWER(TRIM(P65:S65))="(seleccione)"),"",PROPER(TRIM(P65:S65)))))*(CAT_Procesos!$D$2:$D$1581=IFERROR(VLOOKUP(N65&amp;"*",CAT_Procesos!$D:$D,1,FALSE),"")))*(CAT_Procesos!$G$2:$G$1581=INDEX(CAT_Procesos!$G$2:$G$1581,MATCH(1,(CAT_Procesos!$E$2:$E$1581=O65)*(CAT_Procesos!$F$2:$F$1581=_xlfn.TEXTJOIN(" + ",TRUE,IF((TRIM(P65:S65)="")+(LOWER(TRIM(P65:S65))="(seleccione)"),"",PROPER(TRIM(P65:S65)))))*(CAT_Procesos!$D$2:$D$1581=IFERROR(VLOOKUP(N65&amp;"*",CAT_Procesos!$D:$D,1,FALSE),"")),0))))=SUMPRODUCT(--((CAT_Procesos!$E$2:$E$1581=O65)*(CAT_Procesos!$F$2:$F$1581=_xlfn.TEXTJOIN(" + ",TRUE,IF((TRIM(P65:S65)="")+(LOWER(TRIM(P65:S65))="(seleccione)"),"",PROPER(TRIM(P65:S65)))))*(CAT_Procesos!$D$2:$D$1581=IFERROR(VLOOKUP(N65&amp;"*",CAT_Procesos!$D:$D,1,FALSE),"")))),INDEX(CAT_Procesos!$G$2:$G$1581,MATCH(1,(CAT_Procesos!$E$2:$E$1581=O65)*(CAT_Procesos!$F$2:$F$1581=_xlfn.TEXTJOIN(" + ",TRUE,IF((TRIM(P65:S65)="")+(LOWER(TRIM(P65:S65))="(seleccione)"),"",PROPER(TRIM(P65:S65)))))*(CAT_Procesos!$D$2:$D$1581=IFERROR(VLOOKUP(N65&amp;"*",CAT_Procesos!$D:$D,1,FALSE),"")),0)),"(seleccione)"))</f>
        <v>Combinación no existente</v>
      </c>
      <c r="V65" s="55" t="s">
        <v>73</v>
      </c>
      <c r="W65" s="56" t="s">
        <v>73</v>
      </c>
      <c r="X65" s="57" t="str">
        <f t="shared" si="0"/>
        <v/>
      </c>
      <c r="Y65" s="58" t="s">
        <v>73</v>
      </c>
      <c r="Z65" s="57" t="str">
        <f t="shared" si="1"/>
        <v/>
      </c>
      <c r="AA65" s="58" t="s">
        <v>73</v>
      </c>
      <c r="AB65" s="57" t="str">
        <f t="shared" si="2"/>
        <v/>
      </c>
      <c r="AC65" s="58" t="s">
        <v>73</v>
      </c>
      <c r="AD65" s="57" t="str">
        <f t="shared" si="3"/>
        <v/>
      </c>
      <c r="AE65" s="59"/>
      <c r="AF65" s="59"/>
      <c r="AG65" s="59"/>
      <c r="AH65" s="59"/>
      <c r="AI65" s="59" t="s">
        <v>73</v>
      </c>
      <c r="AJ65" s="59"/>
      <c r="AK65" s="59" t="s">
        <v>73</v>
      </c>
      <c r="AL65" s="59"/>
      <c r="AM65" s="59" t="s">
        <v>73</v>
      </c>
      <c r="AN65" s="59"/>
      <c r="AO65" s="59" t="s">
        <v>73</v>
      </c>
      <c r="AP65" s="59"/>
      <c r="AQ65" s="59" t="s">
        <v>73</v>
      </c>
      <c r="AR65" s="59"/>
      <c r="AS65" s="59" t="s">
        <v>72</v>
      </c>
      <c r="AT65" s="59"/>
      <c r="AU65" s="59"/>
      <c r="AV65" s="59"/>
      <c r="AW65" s="59"/>
      <c r="AX65" s="59"/>
      <c r="AY65" s="60" t="str">
        <f>IF('Cálculo MP'!K75="","",'Cálculo MP'!K75)</f>
        <v/>
      </c>
      <c r="AZ65" s="60" t="str">
        <f>IF('Cálculo MP'!L75="","",'Cálculo MP'!L75)</f>
        <v/>
      </c>
      <c r="BA65" s="60" t="str">
        <f>IF('Cálculo MP'!M75="","",'Cálculo MP'!M75)</f>
        <v/>
      </c>
      <c r="BB65" s="60" t="str">
        <f>IF('Cálculo MP'!N75="","",'Cálculo MP'!N75)</f>
        <v/>
      </c>
      <c r="BC65" s="60" t="str">
        <f>IF('Cálculo MP'!O75="","",'Cálculo MP'!O75)</f>
        <v/>
      </c>
      <c r="BD65" s="60" t="str">
        <f>IF('Cálculo MP'!P75="","",'Cálculo MP'!P75)</f>
        <v/>
      </c>
      <c r="BE65" s="60" t="str">
        <f>IF('Cálculo MP'!Q75="","",'Cálculo MP'!Q75)</f>
        <v/>
      </c>
      <c r="BF65" s="60" t="str">
        <f>IF('Cálculo MP'!R75="","",'Cálculo MP'!R75)</f>
        <v/>
      </c>
      <c r="BG65" s="60" t="str">
        <f>IF('Cálculo MP'!S75="","",'Cálculo MP'!S75)</f>
        <v/>
      </c>
      <c r="BH65" s="59"/>
      <c r="BI65" s="59"/>
      <c r="BJ65" s="59"/>
      <c r="BK65" s="59"/>
      <c r="BL65" s="59"/>
      <c r="BM65" s="59"/>
      <c r="BN65" s="59"/>
      <c r="BO65" s="59"/>
    </row>
    <row r="66" spans="1:67" ht="19.5" customHeight="1" x14ac:dyDescent="0.15">
      <c r="A66" s="123" t="s">
        <v>1856</v>
      </c>
      <c r="B66" s="122" t="s">
        <v>1854</v>
      </c>
      <c r="C66" s="49"/>
      <c r="D66" s="48" t="s">
        <v>73</v>
      </c>
      <c r="E66" s="49"/>
      <c r="F66" s="50"/>
      <c r="G66" s="62"/>
      <c r="H66" s="48" t="s">
        <v>72</v>
      </c>
      <c r="I66" s="52">
        <v>1</v>
      </c>
      <c r="J66" s="52"/>
      <c r="K66" s="52" t="s">
        <v>73</v>
      </c>
      <c r="L66" s="52" t="s">
        <v>74</v>
      </c>
      <c r="M66" s="53" t="s">
        <v>942</v>
      </c>
      <c r="N66" s="58" t="s">
        <v>73</v>
      </c>
      <c r="O66" s="48" t="s">
        <v>72</v>
      </c>
      <c r="P66" s="48" t="s">
        <v>73</v>
      </c>
      <c r="Q66" s="54" t="s">
        <v>73</v>
      </c>
      <c r="R66" s="55" t="s">
        <v>73</v>
      </c>
      <c r="S66" s="48" t="s">
        <v>73</v>
      </c>
      <c r="T66" s="130"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8" t="str" cm="1">
        <f t="array" ref="U66">IF(SUMPRODUCT(--((CAT_Procesos!$E$2:$E$1581=O66)*(CAT_Procesos!$F$2:$F$1581=_xlfn.TEXTJOIN(" + ",TRUE,IF((TRIM(P66:S66)="")+(LOWER(TRIM(P66:S66))="(seleccione)"),"",PROPER(TRIM(P66:S66)))))*(CAT_Procesos!$D$2:$D$1581=IFERROR(VLOOKUP(N66&amp;"*",CAT_Procesos!$D:$D,1,FALSE),""))))=0,"Combinación no existente",IF(SUMPRODUCT(((CAT_Procesos!$E$2:$E$1581=O66)*(CAT_Procesos!$F$2:$F$1581=_xlfn.TEXTJOIN(" + ",TRUE,IF((TRIM(P66:S66)="")+(LOWER(TRIM(P66:S66))="(seleccione)"),"",PROPER(TRIM(P66:S66)))))*(CAT_Procesos!$D$2:$D$1581=IFERROR(VLOOKUP(N66&amp;"*",CAT_Procesos!$D:$D,1,FALSE),"")))*(CAT_Procesos!$G$2:$G$1581=INDEX(CAT_Procesos!$G$2:$G$1581,MATCH(1,(CAT_Procesos!$E$2:$E$1581=O66)*(CAT_Procesos!$F$2:$F$1581=_xlfn.TEXTJOIN(" + ",TRUE,IF((TRIM(P66:S66)="")+(LOWER(TRIM(P66:S66))="(seleccione)"),"",PROPER(TRIM(P66:S66)))))*(CAT_Procesos!$D$2:$D$1581=IFERROR(VLOOKUP(N66&amp;"*",CAT_Procesos!$D:$D,1,FALSE),"")),0))))=SUMPRODUCT(--((CAT_Procesos!$E$2:$E$1581=O66)*(CAT_Procesos!$F$2:$F$1581=_xlfn.TEXTJOIN(" + ",TRUE,IF((TRIM(P66:S66)="")+(LOWER(TRIM(P66:S66))="(seleccione)"),"",PROPER(TRIM(P66:S66)))))*(CAT_Procesos!$D$2:$D$1581=IFERROR(VLOOKUP(N66&amp;"*",CAT_Procesos!$D:$D,1,FALSE),"")))),INDEX(CAT_Procesos!$G$2:$G$1581,MATCH(1,(CAT_Procesos!$E$2:$E$1581=O66)*(CAT_Procesos!$F$2:$F$1581=_xlfn.TEXTJOIN(" + ",TRUE,IF((TRIM(P66:S66)="")+(LOWER(TRIM(P66:S66))="(seleccione)"),"",PROPER(TRIM(P66:S66)))))*(CAT_Procesos!$D$2:$D$1581=IFERROR(VLOOKUP(N66&amp;"*",CAT_Procesos!$D:$D,1,FALSE),"")),0)),"(seleccione)"))</f>
        <v>Combinación no existente</v>
      </c>
      <c r="V66" s="55" t="s">
        <v>73</v>
      </c>
      <c r="W66" s="56" t="s">
        <v>73</v>
      </c>
      <c r="X66" s="57" t="str">
        <f t="shared" si="0"/>
        <v/>
      </c>
      <c r="Y66" s="58" t="s">
        <v>73</v>
      </c>
      <c r="Z66" s="57" t="str">
        <f t="shared" si="1"/>
        <v/>
      </c>
      <c r="AA66" s="58" t="s">
        <v>73</v>
      </c>
      <c r="AB66" s="57" t="str">
        <f t="shared" si="2"/>
        <v/>
      </c>
      <c r="AC66" s="58" t="s">
        <v>73</v>
      </c>
      <c r="AD66" s="57" t="str">
        <f t="shared" si="3"/>
        <v/>
      </c>
      <c r="AE66" s="59"/>
      <c r="AF66" s="59"/>
      <c r="AG66" s="59"/>
      <c r="AH66" s="59"/>
      <c r="AI66" s="59" t="s">
        <v>73</v>
      </c>
      <c r="AJ66" s="59"/>
      <c r="AK66" s="59" t="s">
        <v>73</v>
      </c>
      <c r="AL66" s="59"/>
      <c r="AM66" s="59" t="s">
        <v>73</v>
      </c>
      <c r="AN66" s="59"/>
      <c r="AO66" s="59" t="s">
        <v>73</v>
      </c>
      <c r="AP66" s="59"/>
      <c r="AQ66" s="59" t="s">
        <v>73</v>
      </c>
      <c r="AR66" s="59"/>
      <c r="AS66" s="59" t="s">
        <v>72</v>
      </c>
      <c r="AT66" s="59"/>
      <c r="AU66" s="59"/>
      <c r="AV66" s="59"/>
      <c r="AW66" s="59"/>
      <c r="AX66" s="59"/>
      <c r="AY66" s="60" t="str">
        <f>IF('Cálculo MP'!K76="","",'Cálculo MP'!K76)</f>
        <v/>
      </c>
      <c r="AZ66" s="60" t="str">
        <f>IF('Cálculo MP'!L76="","",'Cálculo MP'!L76)</f>
        <v/>
      </c>
      <c r="BA66" s="60" t="str">
        <f>IF('Cálculo MP'!M76="","",'Cálculo MP'!M76)</f>
        <v/>
      </c>
      <c r="BB66" s="60" t="str">
        <f>IF('Cálculo MP'!N76="","",'Cálculo MP'!N76)</f>
        <v/>
      </c>
      <c r="BC66" s="60" t="str">
        <f>IF('Cálculo MP'!O76="","",'Cálculo MP'!O76)</f>
        <v/>
      </c>
      <c r="BD66" s="60" t="str">
        <f>IF('Cálculo MP'!P76="","",'Cálculo MP'!P76)</f>
        <v/>
      </c>
      <c r="BE66" s="60" t="str">
        <f>IF('Cálculo MP'!Q76="","",'Cálculo MP'!Q76)</f>
        <v/>
      </c>
      <c r="BF66" s="60" t="str">
        <f>IF('Cálculo MP'!R76="","",'Cálculo MP'!R76)</f>
        <v/>
      </c>
      <c r="BG66" s="60" t="str">
        <f>IF('Cálculo MP'!S76="","",'Cálculo MP'!S76)</f>
        <v/>
      </c>
      <c r="BH66" s="59"/>
      <c r="BI66" s="59"/>
      <c r="BJ66" s="59"/>
      <c r="BK66" s="59"/>
      <c r="BL66" s="59"/>
      <c r="BM66" s="59"/>
      <c r="BN66" s="59"/>
      <c r="BO66" s="59"/>
    </row>
    <row r="67" spans="1:67" ht="19.5" customHeight="1" x14ac:dyDescent="0.15">
      <c r="A67" s="123" t="s">
        <v>1856</v>
      </c>
      <c r="B67" s="122" t="s">
        <v>1854</v>
      </c>
      <c r="C67" s="49"/>
      <c r="D67" s="48" t="s">
        <v>73</v>
      </c>
      <c r="E67" s="49"/>
      <c r="F67" s="50"/>
      <c r="G67" s="62"/>
      <c r="H67" s="48" t="s">
        <v>72</v>
      </c>
      <c r="I67" s="52">
        <v>1</v>
      </c>
      <c r="J67" s="52"/>
      <c r="K67" s="52" t="s">
        <v>73</v>
      </c>
      <c r="L67" s="52" t="s">
        <v>74</v>
      </c>
      <c r="M67" s="53" t="s">
        <v>942</v>
      </c>
      <c r="N67" s="58" t="s">
        <v>73</v>
      </c>
      <c r="O67" s="48" t="s">
        <v>72</v>
      </c>
      <c r="P67" s="48" t="s">
        <v>73</v>
      </c>
      <c r="Q67" s="54" t="s">
        <v>73</v>
      </c>
      <c r="R67" s="55" t="s">
        <v>73</v>
      </c>
      <c r="S67" s="48" t="s">
        <v>73</v>
      </c>
      <c r="T67" s="130"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8" t="str" cm="1">
        <f t="array" ref="U67">IF(SUMPRODUCT(--((CAT_Procesos!$E$2:$E$1581=O67)*(CAT_Procesos!$F$2:$F$1581=_xlfn.TEXTJOIN(" + ",TRUE,IF((TRIM(P67:S67)="")+(LOWER(TRIM(P67:S67))="(seleccione)"),"",PROPER(TRIM(P67:S67)))))*(CAT_Procesos!$D$2:$D$1581=IFERROR(VLOOKUP(N67&amp;"*",CAT_Procesos!$D:$D,1,FALSE),""))))=0,"Combinación no existente",IF(SUMPRODUCT(((CAT_Procesos!$E$2:$E$1581=O67)*(CAT_Procesos!$F$2:$F$1581=_xlfn.TEXTJOIN(" + ",TRUE,IF((TRIM(P67:S67)="")+(LOWER(TRIM(P67:S67))="(seleccione)"),"",PROPER(TRIM(P67:S67)))))*(CAT_Procesos!$D$2:$D$1581=IFERROR(VLOOKUP(N67&amp;"*",CAT_Procesos!$D:$D,1,FALSE),"")))*(CAT_Procesos!$G$2:$G$1581=INDEX(CAT_Procesos!$G$2:$G$1581,MATCH(1,(CAT_Procesos!$E$2:$E$1581=O67)*(CAT_Procesos!$F$2:$F$1581=_xlfn.TEXTJOIN(" + ",TRUE,IF((TRIM(P67:S67)="")+(LOWER(TRIM(P67:S67))="(seleccione)"),"",PROPER(TRIM(P67:S67)))))*(CAT_Procesos!$D$2:$D$1581=IFERROR(VLOOKUP(N67&amp;"*",CAT_Procesos!$D:$D,1,FALSE),"")),0))))=SUMPRODUCT(--((CAT_Procesos!$E$2:$E$1581=O67)*(CAT_Procesos!$F$2:$F$1581=_xlfn.TEXTJOIN(" + ",TRUE,IF((TRIM(P67:S67)="")+(LOWER(TRIM(P67:S67))="(seleccione)"),"",PROPER(TRIM(P67:S67)))))*(CAT_Procesos!$D$2:$D$1581=IFERROR(VLOOKUP(N67&amp;"*",CAT_Procesos!$D:$D,1,FALSE),"")))),INDEX(CAT_Procesos!$G$2:$G$1581,MATCH(1,(CAT_Procesos!$E$2:$E$1581=O67)*(CAT_Procesos!$F$2:$F$1581=_xlfn.TEXTJOIN(" + ",TRUE,IF((TRIM(P67:S67)="")+(LOWER(TRIM(P67:S67))="(seleccione)"),"",PROPER(TRIM(P67:S67)))))*(CAT_Procesos!$D$2:$D$1581=IFERROR(VLOOKUP(N67&amp;"*",CAT_Procesos!$D:$D,1,FALSE),"")),0)),"(seleccione)"))</f>
        <v>Combinación no existente</v>
      </c>
      <c r="V67" s="55" t="s">
        <v>73</v>
      </c>
      <c r="W67" s="56" t="s">
        <v>73</v>
      </c>
      <c r="X67" s="57" t="str">
        <f t="shared" si="0"/>
        <v/>
      </c>
      <c r="Y67" s="58" t="s">
        <v>73</v>
      </c>
      <c r="Z67" s="57" t="str">
        <f t="shared" si="1"/>
        <v/>
      </c>
      <c r="AA67" s="58" t="s">
        <v>73</v>
      </c>
      <c r="AB67" s="57" t="str">
        <f t="shared" si="2"/>
        <v/>
      </c>
      <c r="AC67" s="58" t="s">
        <v>73</v>
      </c>
      <c r="AD67" s="57" t="str">
        <f t="shared" si="3"/>
        <v/>
      </c>
      <c r="AE67" s="59"/>
      <c r="AF67" s="59"/>
      <c r="AG67" s="59"/>
      <c r="AH67" s="59"/>
      <c r="AI67" s="59" t="s">
        <v>73</v>
      </c>
      <c r="AJ67" s="59"/>
      <c r="AK67" s="59" t="s">
        <v>73</v>
      </c>
      <c r="AL67" s="59"/>
      <c r="AM67" s="59" t="s">
        <v>73</v>
      </c>
      <c r="AN67" s="59"/>
      <c r="AO67" s="59" t="s">
        <v>73</v>
      </c>
      <c r="AP67" s="59"/>
      <c r="AQ67" s="59" t="s">
        <v>73</v>
      </c>
      <c r="AR67" s="59"/>
      <c r="AS67" s="59" t="s">
        <v>72</v>
      </c>
      <c r="AT67" s="59"/>
      <c r="AU67" s="59"/>
      <c r="AV67" s="59"/>
      <c r="AW67" s="59"/>
      <c r="AX67" s="59"/>
      <c r="AY67" s="60" t="str">
        <f>IF('Cálculo MP'!K77="","",'Cálculo MP'!K77)</f>
        <v/>
      </c>
      <c r="AZ67" s="60" t="str">
        <f>IF('Cálculo MP'!L77="","",'Cálculo MP'!L77)</f>
        <v/>
      </c>
      <c r="BA67" s="60" t="str">
        <f>IF('Cálculo MP'!M77="","",'Cálculo MP'!M77)</f>
        <v/>
      </c>
      <c r="BB67" s="60" t="str">
        <f>IF('Cálculo MP'!N77="","",'Cálculo MP'!N77)</f>
        <v/>
      </c>
      <c r="BC67" s="60" t="str">
        <f>IF('Cálculo MP'!O77="","",'Cálculo MP'!O77)</f>
        <v/>
      </c>
      <c r="BD67" s="60" t="str">
        <f>IF('Cálculo MP'!P77="","",'Cálculo MP'!P77)</f>
        <v/>
      </c>
      <c r="BE67" s="60" t="str">
        <f>IF('Cálculo MP'!Q77="","",'Cálculo MP'!Q77)</f>
        <v/>
      </c>
      <c r="BF67" s="60" t="str">
        <f>IF('Cálculo MP'!R77="","",'Cálculo MP'!R77)</f>
        <v/>
      </c>
      <c r="BG67" s="60" t="str">
        <f>IF('Cálculo MP'!S77="","",'Cálculo MP'!S77)</f>
        <v/>
      </c>
      <c r="BH67" s="59"/>
      <c r="BI67" s="59"/>
      <c r="BJ67" s="59"/>
      <c r="BK67" s="59"/>
      <c r="BL67" s="59"/>
      <c r="BM67" s="59"/>
      <c r="BN67" s="59"/>
      <c r="BO67" s="59"/>
    </row>
    <row r="68" spans="1:67" ht="19.5" customHeight="1" x14ac:dyDescent="0.15">
      <c r="A68" s="123" t="s">
        <v>1856</v>
      </c>
      <c r="B68" s="122" t="s">
        <v>1854</v>
      </c>
      <c r="C68" s="49"/>
      <c r="D68" s="48" t="s">
        <v>73</v>
      </c>
      <c r="E68" s="49"/>
      <c r="F68" s="50"/>
      <c r="G68" s="62"/>
      <c r="H68" s="48" t="s">
        <v>72</v>
      </c>
      <c r="I68" s="52">
        <v>1</v>
      </c>
      <c r="J68" s="52"/>
      <c r="K68" s="52" t="s">
        <v>73</v>
      </c>
      <c r="L68" s="52" t="s">
        <v>74</v>
      </c>
      <c r="M68" s="53" t="s">
        <v>942</v>
      </c>
      <c r="N68" s="58" t="s">
        <v>73</v>
      </c>
      <c r="O68" s="48" t="s">
        <v>72</v>
      </c>
      <c r="P68" s="48" t="s">
        <v>73</v>
      </c>
      <c r="Q68" s="54" t="s">
        <v>73</v>
      </c>
      <c r="R68" s="55" t="s">
        <v>73</v>
      </c>
      <c r="S68" s="48" t="s">
        <v>73</v>
      </c>
      <c r="T68" s="130"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8" t="str" cm="1">
        <f t="array" ref="U68">IF(SUMPRODUCT(--((CAT_Procesos!$E$2:$E$1581=O68)*(CAT_Procesos!$F$2:$F$1581=_xlfn.TEXTJOIN(" + ",TRUE,IF((TRIM(P68:S68)="")+(LOWER(TRIM(P68:S68))="(seleccione)"),"",PROPER(TRIM(P68:S68)))))*(CAT_Procesos!$D$2:$D$1581=IFERROR(VLOOKUP(N68&amp;"*",CAT_Procesos!$D:$D,1,FALSE),""))))=0,"Combinación no existente",IF(SUMPRODUCT(((CAT_Procesos!$E$2:$E$1581=O68)*(CAT_Procesos!$F$2:$F$1581=_xlfn.TEXTJOIN(" + ",TRUE,IF((TRIM(P68:S68)="")+(LOWER(TRIM(P68:S68))="(seleccione)"),"",PROPER(TRIM(P68:S68)))))*(CAT_Procesos!$D$2:$D$1581=IFERROR(VLOOKUP(N68&amp;"*",CAT_Procesos!$D:$D,1,FALSE),"")))*(CAT_Procesos!$G$2:$G$1581=INDEX(CAT_Procesos!$G$2:$G$1581,MATCH(1,(CAT_Procesos!$E$2:$E$1581=O68)*(CAT_Procesos!$F$2:$F$1581=_xlfn.TEXTJOIN(" + ",TRUE,IF((TRIM(P68:S68)="")+(LOWER(TRIM(P68:S68))="(seleccione)"),"",PROPER(TRIM(P68:S68)))))*(CAT_Procesos!$D$2:$D$1581=IFERROR(VLOOKUP(N68&amp;"*",CAT_Procesos!$D:$D,1,FALSE),"")),0))))=SUMPRODUCT(--((CAT_Procesos!$E$2:$E$1581=O68)*(CAT_Procesos!$F$2:$F$1581=_xlfn.TEXTJOIN(" + ",TRUE,IF((TRIM(P68:S68)="")+(LOWER(TRIM(P68:S68))="(seleccione)"),"",PROPER(TRIM(P68:S68)))))*(CAT_Procesos!$D$2:$D$1581=IFERROR(VLOOKUP(N68&amp;"*",CAT_Procesos!$D:$D,1,FALSE),"")))),INDEX(CAT_Procesos!$G$2:$G$1581,MATCH(1,(CAT_Procesos!$E$2:$E$1581=O68)*(CAT_Procesos!$F$2:$F$1581=_xlfn.TEXTJOIN(" + ",TRUE,IF((TRIM(P68:S68)="")+(LOWER(TRIM(P68:S68))="(seleccione)"),"",PROPER(TRIM(P68:S68)))))*(CAT_Procesos!$D$2:$D$1581=IFERROR(VLOOKUP(N68&amp;"*",CAT_Procesos!$D:$D,1,FALSE),"")),0)),"(seleccione)"))</f>
        <v>Combinación no existente</v>
      </c>
      <c r="V68" s="55" t="s">
        <v>73</v>
      </c>
      <c r="W68" s="56" t="s">
        <v>73</v>
      </c>
      <c r="X68" s="57" t="str">
        <f t="shared" si="0"/>
        <v/>
      </c>
      <c r="Y68" s="58" t="s">
        <v>73</v>
      </c>
      <c r="Z68" s="57" t="str">
        <f t="shared" si="1"/>
        <v/>
      </c>
      <c r="AA68" s="58" t="s">
        <v>73</v>
      </c>
      <c r="AB68" s="57" t="str">
        <f t="shared" si="2"/>
        <v/>
      </c>
      <c r="AC68" s="58" t="s">
        <v>73</v>
      </c>
      <c r="AD68" s="57" t="str">
        <f t="shared" si="3"/>
        <v/>
      </c>
      <c r="AE68" s="59"/>
      <c r="AF68" s="59"/>
      <c r="AG68" s="59"/>
      <c r="AH68" s="59"/>
      <c r="AI68" s="59" t="s">
        <v>73</v>
      </c>
      <c r="AJ68" s="59"/>
      <c r="AK68" s="59" t="s">
        <v>73</v>
      </c>
      <c r="AL68" s="59"/>
      <c r="AM68" s="59" t="s">
        <v>73</v>
      </c>
      <c r="AN68" s="59"/>
      <c r="AO68" s="59" t="s">
        <v>73</v>
      </c>
      <c r="AP68" s="59"/>
      <c r="AQ68" s="59" t="s">
        <v>73</v>
      </c>
      <c r="AR68" s="59"/>
      <c r="AS68" s="59" t="s">
        <v>72</v>
      </c>
      <c r="AT68" s="59"/>
      <c r="AU68" s="59"/>
      <c r="AV68" s="59"/>
      <c r="AW68" s="59"/>
      <c r="AX68" s="59"/>
      <c r="AY68" s="60" t="str">
        <f>IF('Cálculo MP'!K78="","",'Cálculo MP'!K78)</f>
        <v/>
      </c>
      <c r="AZ68" s="60" t="str">
        <f>IF('Cálculo MP'!L78="","",'Cálculo MP'!L78)</f>
        <v/>
      </c>
      <c r="BA68" s="60" t="str">
        <f>IF('Cálculo MP'!M78="","",'Cálculo MP'!M78)</f>
        <v/>
      </c>
      <c r="BB68" s="60" t="str">
        <f>IF('Cálculo MP'!N78="","",'Cálculo MP'!N78)</f>
        <v/>
      </c>
      <c r="BC68" s="60" t="str">
        <f>IF('Cálculo MP'!O78="","",'Cálculo MP'!O78)</f>
        <v/>
      </c>
      <c r="BD68" s="60" t="str">
        <f>IF('Cálculo MP'!P78="","",'Cálculo MP'!P78)</f>
        <v/>
      </c>
      <c r="BE68" s="60" t="str">
        <f>IF('Cálculo MP'!Q78="","",'Cálculo MP'!Q78)</f>
        <v/>
      </c>
      <c r="BF68" s="60" t="str">
        <f>IF('Cálculo MP'!R78="","",'Cálculo MP'!R78)</f>
        <v/>
      </c>
      <c r="BG68" s="60" t="str">
        <f>IF('Cálculo MP'!S78="","",'Cálculo MP'!S78)</f>
        <v/>
      </c>
      <c r="BH68" s="59"/>
      <c r="BI68" s="59"/>
      <c r="BJ68" s="59"/>
      <c r="BK68" s="59"/>
      <c r="BL68" s="59"/>
      <c r="BM68" s="59"/>
      <c r="BN68" s="59"/>
      <c r="BO68" s="59"/>
    </row>
    <row r="69" spans="1:67" ht="19.5" customHeight="1" x14ac:dyDescent="0.15">
      <c r="A69" s="123" t="s">
        <v>1856</v>
      </c>
      <c r="B69" s="122" t="s">
        <v>1854</v>
      </c>
      <c r="C69" s="49"/>
      <c r="D69" s="48" t="s">
        <v>73</v>
      </c>
      <c r="E69" s="49"/>
      <c r="F69" s="50"/>
      <c r="G69" s="62"/>
      <c r="H69" s="48" t="s">
        <v>72</v>
      </c>
      <c r="I69" s="52">
        <v>1</v>
      </c>
      <c r="J69" s="52"/>
      <c r="K69" s="52" t="s">
        <v>73</v>
      </c>
      <c r="L69" s="52" t="s">
        <v>74</v>
      </c>
      <c r="M69" s="53" t="s">
        <v>942</v>
      </c>
      <c r="N69" s="58" t="s">
        <v>73</v>
      </c>
      <c r="O69" s="48" t="s">
        <v>72</v>
      </c>
      <c r="P69" s="48" t="s">
        <v>73</v>
      </c>
      <c r="Q69" s="54" t="s">
        <v>73</v>
      </c>
      <c r="R69" s="55" t="s">
        <v>73</v>
      </c>
      <c r="S69" s="48" t="s">
        <v>73</v>
      </c>
      <c r="T69" s="130"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8" t="str" cm="1">
        <f t="array" ref="U69">IF(SUMPRODUCT(--((CAT_Procesos!$E$2:$E$1581=O69)*(CAT_Procesos!$F$2:$F$1581=_xlfn.TEXTJOIN(" + ",TRUE,IF((TRIM(P69:S69)="")+(LOWER(TRIM(P69:S69))="(seleccione)"),"",PROPER(TRIM(P69:S69)))))*(CAT_Procesos!$D$2:$D$1581=IFERROR(VLOOKUP(N69&amp;"*",CAT_Procesos!$D:$D,1,FALSE),""))))=0,"Combinación no existente",IF(SUMPRODUCT(((CAT_Procesos!$E$2:$E$1581=O69)*(CAT_Procesos!$F$2:$F$1581=_xlfn.TEXTJOIN(" + ",TRUE,IF((TRIM(P69:S69)="")+(LOWER(TRIM(P69:S69))="(seleccione)"),"",PROPER(TRIM(P69:S69)))))*(CAT_Procesos!$D$2:$D$1581=IFERROR(VLOOKUP(N69&amp;"*",CAT_Procesos!$D:$D,1,FALSE),"")))*(CAT_Procesos!$G$2:$G$1581=INDEX(CAT_Procesos!$G$2:$G$1581,MATCH(1,(CAT_Procesos!$E$2:$E$1581=O69)*(CAT_Procesos!$F$2:$F$1581=_xlfn.TEXTJOIN(" + ",TRUE,IF((TRIM(P69:S69)="")+(LOWER(TRIM(P69:S69))="(seleccione)"),"",PROPER(TRIM(P69:S69)))))*(CAT_Procesos!$D$2:$D$1581=IFERROR(VLOOKUP(N69&amp;"*",CAT_Procesos!$D:$D,1,FALSE),"")),0))))=SUMPRODUCT(--((CAT_Procesos!$E$2:$E$1581=O69)*(CAT_Procesos!$F$2:$F$1581=_xlfn.TEXTJOIN(" + ",TRUE,IF((TRIM(P69:S69)="")+(LOWER(TRIM(P69:S69))="(seleccione)"),"",PROPER(TRIM(P69:S69)))))*(CAT_Procesos!$D$2:$D$1581=IFERROR(VLOOKUP(N69&amp;"*",CAT_Procesos!$D:$D,1,FALSE),"")))),INDEX(CAT_Procesos!$G$2:$G$1581,MATCH(1,(CAT_Procesos!$E$2:$E$1581=O69)*(CAT_Procesos!$F$2:$F$1581=_xlfn.TEXTJOIN(" + ",TRUE,IF((TRIM(P69:S69)="")+(LOWER(TRIM(P69:S69))="(seleccione)"),"",PROPER(TRIM(P69:S69)))))*(CAT_Procesos!$D$2:$D$1581=IFERROR(VLOOKUP(N69&amp;"*",CAT_Procesos!$D:$D,1,FALSE),"")),0)),"(seleccione)"))</f>
        <v>Combinación no existente</v>
      </c>
      <c r="V69" s="55" t="s">
        <v>73</v>
      </c>
      <c r="W69" s="56" t="s">
        <v>73</v>
      </c>
      <c r="X69" s="57" t="str">
        <f t="shared" si="0"/>
        <v/>
      </c>
      <c r="Y69" s="58" t="s">
        <v>73</v>
      </c>
      <c r="Z69" s="57" t="str">
        <f t="shared" si="1"/>
        <v/>
      </c>
      <c r="AA69" s="58" t="s">
        <v>73</v>
      </c>
      <c r="AB69" s="57" t="str">
        <f t="shared" si="2"/>
        <v/>
      </c>
      <c r="AC69" s="58" t="s">
        <v>73</v>
      </c>
      <c r="AD69" s="57" t="str">
        <f t="shared" si="3"/>
        <v/>
      </c>
      <c r="AE69" s="59"/>
      <c r="AF69" s="59"/>
      <c r="AG69" s="59"/>
      <c r="AH69" s="59"/>
      <c r="AI69" s="59" t="s">
        <v>73</v>
      </c>
      <c r="AJ69" s="59"/>
      <c r="AK69" s="59" t="s">
        <v>73</v>
      </c>
      <c r="AL69" s="59"/>
      <c r="AM69" s="59" t="s">
        <v>73</v>
      </c>
      <c r="AN69" s="59"/>
      <c r="AO69" s="59" t="s">
        <v>73</v>
      </c>
      <c r="AP69" s="59"/>
      <c r="AQ69" s="59" t="s">
        <v>73</v>
      </c>
      <c r="AR69" s="59"/>
      <c r="AS69" s="59" t="s">
        <v>72</v>
      </c>
      <c r="AT69" s="59"/>
      <c r="AU69" s="59"/>
      <c r="AV69" s="59"/>
      <c r="AW69" s="59"/>
      <c r="AX69" s="59"/>
      <c r="AY69" s="60" t="str">
        <f>IF('Cálculo MP'!K79="","",'Cálculo MP'!K79)</f>
        <v/>
      </c>
      <c r="AZ69" s="60" t="str">
        <f>IF('Cálculo MP'!L79="","",'Cálculo MP'!L79)</f>
        <v/>
      </c>
      <c r="BA69" s="60" t="str">
        <f>IF('Cálculo MP'!M79="","",'Cálculo MP'!M79)</f>
        <v/>
      </c>
      <c r="BB69" s="60" t="str">
        <f>IF('Cálculo MP'!N79="","",'Cálculo MP'!N79)</f>
        <v/>
      </c>
      <c r="BC69" s="60" t="str">
        <f>IF('Cálculo MP'!O79="","",'Cálculo MP'!O79)</f>
        <v/>
      </c>
      <c r="BD69" s="60" t="str">
        <f>IF('Cálculo MP'!P79="","",'Cálculo MP'!P79)</f>
        <v/>
      </c>
      <c r="BE69" s="60" t="str">
        <f>IF('Cálculo MP'!Q79="","",'Cálculo MP'!Q79)</f>
        <v/>
      </c>
      <c r="BF69" s="60" t="str">
        <f>IF('Cálculo MP'!R79="","",'Cálculo MP'!R79)</f>
        <v/>
      </c>
      <c r="BG69" s="60" t="str">
        <f>IF('Cálculo MP'!S79="","",'Cálculo MP'!S79)</f>
        <v/>
      </c>
      <c r="BH69" s="59"/>
      <c r="BI69" s="59"/>
      <c r="BJ69" s="59"/>
      <c r="BK69" s="59"/>
      <c r="BL69" s="59"/>
      <c r="BM69" s="59"/>
      <c r="BN69" s="59"/>
      <c r="BO69" s="59"/>
    </row>
    <row r="70" spans="1:67" ht="19.5" customHeight="1" x14ac:dyDescent="0.15">
      <c r="A70" s="123" t="s">
        <v>1856</v>
      </c>
      <c r="B70" s="122" t="s">
        <v>1854</v>
      </c>
      <c r="C70" s="49"/>
      <c r="D70" s="48" t="s">
        <v>73</v>
      </c>
      <c r="E70" s="49"/>
      <c r="F70" s="50"/>
      <c r="G70" s="62"/>
      <c r="H70" s="48" t="s">
        <v>72</v>
      </c>
      <c r="I70" s="52">
        <v>1</v>
      </c>
      <c r="J70" s="52"/>
      <c r="K70" s="52" t="s">
        <v>73</v>
      </c>
      <c r="L70" s="52" t="s">
        <v>74</v>
      </c>
      <c r="M70" s="53" t="s">
        <v>942</v>
      </c>
      <c r="N70" s="58" t="s">
        <v>73</v>
      </c>
      <c r="O70" s="48" t="s">
        <v>72</v>
      </c>
      <c r="P70" s="48" t="s">
        <v>73</v>
      </c>
      <c r="Q70" s="54" t="s">
        <v>73</v>
      </c>
      <c r="R70" s="55" t="s">
        <v>73</v>
      </c>
      <c r="S70" s="48" t="s">
        <v>73</v>
      </c>
      <c r="T70" s="130"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8" t="str" cm="1">
        <f t="array" ref="U70">IF(SUMPRODUCT(--((CAT_Procesos!$E$2:$E$1581=O70)*(CAT_Procesos!$F$2:$F$1581=_xlfn.TEXTJOIN(" + ",TRUE,IF((TRIM(P70:S70)="")+(LOWER(TRIM(P70:S70))="(seleccione)"),"",PROPER(TRIM(P70:S70)))))*(CAT_Procesos!$D$2:$D$1581=IFERROR(VLOOKUP(N70&amp;"*",CAT_Procesos!$D:$D,1,FALSE),""))))=0,"Combinación no existente",IF(SUMPRODUCT(((CAT_Procesos!$E$2:$E$1581=O70)*(CAT_Procesos!$F$2:$F$1581=_xlfn.TEXTJOIN(" + ",TRUE,IF((TRIM(P70:S70)="")+(LOWER(TRIM(P70:S70))="(seleccione)"),"",PROPER(TRIM(P70:S70)))))*(CAT_Procesos!$D$2:$D$1581=IFERROR(VLOOKUP(N70&amp;"*",CAT_Procesos!$D:$D,1,FALSE),"")))*(CAT_Procesos!$G$2:$G$1581=INDEX(CAT_Procesos!$G$2:$G$1581,MATCH(1,(CAT_Procesos!$E$2:$E$1581=O70)*(CAT_Procesos!$F$2:$F$1581=_xlfn.TEXTJOIN(" + ",TRUE,IF((TRIM(P70:S70)="")+(LOWER(TRIM(P70:S70))="(seleccione)"),"",PROPER(TRIM(P70:S70)))))*(CAT_Procesos!$D$2:$D$1581=IFERROR(VLOOKUP(N70&amp;"*",CAT_Procesos!$D:$D,1,FALSE),"")),0))))=SUMPRODUCT(--((CAT_Procesos!$E$2:$E$1581=O70)*(CAT_Procesos!$F$2:$F$1581=_xlfn.TEXTJOIN(" + ",TRUE,IF((TRIM(P70:S70)="")+(LOWER(TRIM(P70:S70))="(seleccione)"),"",PROPER(TRIM(P70:S70)))))*(CAT_Procesos!$D$2:$D$1581=IFERROR(VLOOKUP(N70&amp;"*",CAT_Procesos!$D:$D,1,FALSE),"")))),INDEX(CAT_Procesos!$G$2:$G$1581,MATCH(1,(CAT_Procesos!$E$2:$E$1581=O70)*(CAT_Procesos!$F$2:$F$1581=_xlfn.TEXTJOIN(" + ",TRUE,IF((TRIM(P70:S70)="")+(LOWER(TRIM(P70:S70))="(seleccione)"),"",PROPER(TRIM(P70:S70)))))*(CAT_Procesos!$D$2:$D$1581=IFERROR(VLOOKUP(N70&amp;"*",CAT_Procesos!$D:$D,1,FALSE),"")),0)),"(seleccione)"))</f>
        <v>Combinación no existente</v>
      </c>
      <c r="V70" s="55" t="s">
        <v>73</v>
      </c>
      <c r="W70" s="56" t="s">
        <v>73</v>
      </c>
      <c r="X70" s="57" t="str">
        <f t="shared" si="0"/>
        <v/>
      </c>
      <c r="Y70" s="58" t="s">
        <v>73</v>
      </c>
      <c r="Z70" s="57" t="str">
        <f t="shared" si="1"/>
        <v/>
      </c>
      <c r="AA70" s="58" t="s">
        <v>73</v>
      </c>
      <c r="AB70" s="57" t="str">
        <f t="shared" si="2"/>
        <v/>
      </c>
      <c r="AC70" s="58" t="s">
        <v>73</v>
      </c>
      <c r="AD70" s="57" t="str">
        <f t="shared" si="3"/>
        <v/>
      </c>
      <c r="AE70" s="59"/>
      <c r="AF70" s="59"/>
      <c r="AG70" s="59"/>
      <c r="AH70" s="59"/>
      <c r="AI70" s="59" t="s">
        <v>73</v>
      </c>
      <c r="AJ70" s="59"/>
      <c r="AK70" s="59" t="s">
        <v>73</v>
      </c>
      <c r="AL70" s="59"/>
      <c r="AM70" s="59" t="s">
        <v>73</v>
      </c>
      <c r="AN70" s="59"/>
      <c r="AO70" s="59" t="s">
        <v>73</v>
      </c>
      <c r="AP70" s="59"/>
      <c r="AQ70" s="59" t="s">
        <v>73</v>
      </c>
      <c r="AR70" s="59"/>
      <c r="AS70" s="59" t="s">
        <v>72</v>
      </c>
      <c r="AT70" s="59"/>
      <c r="AU70" s="59"/>
      <c r="AV70" s="59"/>
      <c r="AW70" s="59"/>
      <c r="AX70" s="59"/>
      <c r="AY70" s="60" t="str">
        <f>IF('Cálculo MP'!K80="","",'Cálculo MP'!K80)</f>
        <v/>
      </c>
      <c r="AZ70" s="60" t="str">
        <f>IF('Cálculo MP'!L80="","",'Cálculo MP'!L80)</f>
        <v/>
      </c>
      <c r="BA70" s="60" t="str">
        <f>IF('Cálculo MP'!M80="","",'Cálculo MP'!M80)</f>
        <v/>
      </c>
      <c r="BB70" s="60" t="str">
        <f>IF('Cálculo MP'!N80="","",'Cálculo MP'!N80)</f>
        <v/>
      </c>
      <c r="BC70" s="60" t="str">
        <f>IF('Cálculo MP'!O80="","",'Cálculo MP'!O80)</f>
        <v/>
      </c>
      <c r="BD70" s="60" t="str">
        <f>IF('Cálculo MP'!P80="","",'Cálculo MP'!P80)</f>
        <v/>
      </c>
      <c r="BE70" s="60" t="str">
        <f>IF('Cálculo MP'!Q80="","",'Cálculo MP'!Q80)</f>
        <v/>
      </c>
      <c r="BF70" s="60" t="str">
        <f>IF('Cálculo MP'!R80="","",'Cálculo MP'!R80)</f>
        <v/>
      </c>
      <c r="BG70" s="60" t="str">
        <f>IF('Cálculo MP'!S80="","",'Cálculo MP'!S80)</f>
        <v/>
      </c>
      <c r="BH70" s="59"/>
      <c r="BI70" s="59"/>
      <c r="BJ70" s="59"/>
      <c r="BK70" s="59"/>
      <c r="BL70" s="59"/>
      <c r="BM70" s="59"/>
      <c r="BN70" s="59"/>
      <c r="BO70" s="59"/>
    </row>
    <row r="71" spans="1:67" ht="19.5" customHeight="1" x14ac:dyDescent="0.15">
      <c r="A71" s="123" t="s">
        <v>1856</v>
      </c>
      <c r="B71" s="122" t="s">
        <v>1854</v>
      </c>
      <c r="C71" s="49"/>
      <c r="D71" s="48" t="s">
        <v>73</v>
      </c>
      <c r="E71" s="49"/>
      <c r="F71" s="50"/>
      <c r="G71" s="62"/>
      <c r="H71" s="48" t="s">
        <v>72</v>
      </c>
      <c r="I71" s="52">
        <v>1</v>
      </c>
      <c r="J71" s="52"/>
      <c r="K71" s="52" t="s">
        <v>73</v>
      </c>
      <c r="L71" s="52" t="s">
        <v>74</v>
      </c>
      <c r="M71" s="53" t="s">
        <v>942</v>
      </c>
      <c r="N71" s="58" t="s">
        <v>73</v>
      </c>
      <c r="O71" s="48" t="s">
        <v>72</v>
      </c>
      <c r="P71" s="48" t="s">
        <v>73</v>
      </c>
      <c r="Q71" s="54" t="s">
        <v>73</v>
      </c>
      <c r="R71" s="55" t="s">
        <v>73</v>
      </c>
      <c r="S71" s="48" t="s">
        <v>73</v>
      </c>
      <c r="T71" s="130"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8" t="str" cm="1">
        <f t="array" ref="U71">IF(SUMPRODUCT(--((CAT_Procesos!$E$2:$E$1581=O71)*(CAT_Procesos!$F$2:$F$1581=_xlfn.TEXTJOIN(" + ",TRUE,IF((TRIM(P71:S71)="")+(LOWER(TRIM(P71:S71))="(seleccione)"),"",PROPER(TRIM(P71:S71)))))*(CAT_Procesos!$D$2:$D$1581=IFERROR(VLOOKUP(N71&amp;"*",CAT_Procesos!$D:$D,1,FALSE),""))))=0,"Combinación no existente",IF(SUMPRODUCT(((CAT_Procesos!$E$2:$E$1581=O71)*(CAT_Procesos!$F$2:$F$1581=_xlfn.TEXTJOIN(" + ",TRUE,IF((TRIM(P71:S71)="")+(LOWER(TRIM(P71:S71))="(seleccione)"),"",PROPER(TRIM(P71:S71)))))*(CAT_Procesos!$D$2:$D$1581=IFERROR(VLOOKUP(N71&amp;"*",CAT_Procesos!$D:$D,1,FALSE),"")))*(CAT_Procesos!$G$2:$G$1581=INDEX(CAT_Procesos!$G$2:$G$1581,MATCH(1,(CAT_Procesos!$E$2:$E$1581=O71)*(CAT_Procesos!$F$2:$F$1581=_xlfn.TEXTJOIN(" + ",TRUE,IF((TRIM(P71:S71)="")+(LOWER(TRIM(P71:S71))="(seleccione)"),"",PROPER(TRIM(P71:S71)))))*(CAT_Procesos!$D$2:$D$1581=IFERROR(VLOOKUP(N71&amp;"*",CAT_Procesos!$D:$D,1,FALSE),"")),0))))=SUMPRODUCT(--((CAT_Procesos!$E$2:$E$1581=O71)*(CAT_Procesos!$F$2:$F$1581=_xlfn.TEXTJOIN(" + ",TRUE,IF((TRIM(P71:S71)="")+(LOWER(TRIM(P71:S71))="(seleccione)"),"",PROPER(TRIM(P71:S71)))))*(CAT_Procesos!$D$2:$D$1581=IFERROR(VLOOKUP(N71&amp;"*",CAT_Procesos!$D:$D,1,FALSE),"")))),INDEX(CAT_Procesos!$G$2:$G$1581,MATCH(1,(CAT_Procesos!$E$2:$E$1581=O71)*(CAT_Procesos!$F$2:$F$1581=_xlfn.TEXTJOIN(" + ",TRUE,IF((TRIM(P71:S71)="")+(LOWER(TRIM(P71:S71))="(seleccione)"),"",PROPER(TRIM(P71:S71)))))*(CAT_Procesos!$D$2:$D$1581=IFERROR(VLOOKUP(N71&amp;"*",CAT_Procesos!$D:$D,1,FALSE),"")),0)),"(seleccione)"))</f>
        <v>Combinación no existente</v>
      </c>
      <c r="V71" s="55" t="s">
        <v>73</v>
      </c>
      <c r="W71" s="56" t="s">
        <v>73</v>
      </c>
      <c r="X71" s="57" t="str">
        <f t="shared" si="0"/>
        <v/>
      </c>
      <c r="Y71" s="58" t="s">
        <v>73</v>
      </c>
      <c r="Z71" s="57" t="str">
        <f t="shared" si="1"/>
        <v/>
      </c>
      <c r="AA71" s="58" t="s">
        <v>73</v>
      </c>
      <c r="AB71" s="57" t="str">
        <f t="shared" si="2"/>
        <v/>
      </c>
      <c r="AC71" s="58" t="s">
        <v>73</v>
      </c>
      <c r="AD71" s="57" t="str">
        <f t="shared" si="3"/>
        <v/>
      </c>
      <c r="AE71" s="59"/>
      <c r="AF71" s="59"/>
      <c r="AG71" s="59"/>
      <c r="AH71" s="59"/>
      <c r="AI71" s="59" t="s">
        <v>73</v>
      </c>
      <c r="AJ71" s="59"/>
      <c r="AK71" s="59" t="s">
        <v>73</v>
      </c>
      <c r="AL71" s="59"/>
      <c r="AM71" s="59" t="s">
        <v>73</v>
      </c>
      <c r="AN71" s="59"/>
      <c r="AO71" s="59" t="s">
        <v>73</v>
      </c>
      <c r="AP71" s="59"/>
      <c r="AQ71" s="59" t="s">
        <v>73</v>
      </c>
      <c r="AR71" s="59"/>
      <c r="AS71" s="59" t="s">
        <v>72</v>
      </c>
      <c r="AT71" s="59"/>
      <c r="AU71" s="59"/>
      <c r="AV71" s="59"/>
      <c r="AW71" s="59"/>
      <c r="AX71" s="59"/>
      <c r="AY71" s="60" t="str">
        <f>IF('Cálculo MP'!K81="","",'Cálculo MP'!K81)</f>
        <v/>
      </c>
      <c r="AZ71" s="60" t="str">
        <f>IF('Cálculo MP'!L81="","",'Cálculo MP'!L81)</f>
        <v/>
      </c>
      <c r="BA71" s="60" t="str">
        <f>IF('Cálculo MP'!M81="","",'Cálculo MP'!M81)</f>
        <v/>
      </c>
      <c r="BB71" s="60" t="str">
        <f>IF('Cálculo MP'!N81="","",'Cálculo MP'!N81)</f>
        <v/>
      </c>
      <c r="BC71" s="60" t="str">
        <f>IF('Cálculo MP'!O81="","",'Cálculo MP'!O81)</f>
        <v/>
      </c>
      <c r="BD71" s="60" t="str">
        <f>IF('Cálculo MP'!P81="","",'Cálculo MP'!P81)</f>
        <v/>
      </c>
      <c r="BE71" s="60" t="str">
        <f>IF('Cálculo MP'!Q81="","",'Cálculo MP'!Q81)</f>
        <v/>
      </c>
      <c r="BF71" s="60" t="str">
        <f>IF('Cálculo MP'!R81="","",'Cálculo MP'!R81)</f>
        <v/>
      </c>
      <c r="BG71" s="60" t="str">
        <f>IF('Cálculo MP'!S81="","",'Cálculo MP'!S81)</f>
        <v/>
      </c>
      <c r="BH71" s="59"/>
      <c r="BI71" s="59"/>
      <c r="BJ71" s="59"/>
      <c r="BK71" s="59"/>
      <c r="BL71" s="59"/>
      <c r="BM71" s="59"/>
      <c r="BN71" s="59"/>
      <c r="BO71" s="59"/>
    </row>
    <row r="72" spans="1:67" ht="19.5" customHeight="1" x14ac:dyDescent="0.15">
      <c r="A72" s="123" t="s">
        <v>1856</v>
      </c>
      <c r="B72" s="122" t="s">
        <v>1854</v>
      </c>
      <c r="C72" s="49"/>
      <c r="D72" s="48" t="s">
        <v>73</v>
      </c>
      <c r="E72" s="49"/>
      <c r="F72" s="50"/>
      <c r="G72" s="62"/>
      <c r="H72" s="48" t="s">
        <v>72</v>
      </c>
      <c r="I72" s="52">
        <v>1</v>
      </c>
      <c r="J72" s="52"/>
      <c r="K72" s="52" t="s">
        <v>73</v>
      </c>
      <c r="L72" s="52" t="s">
        <v>74</v>
      </c>
      <c r="M72" s="53" t="s">
        <v>942</v>
      </c>
      <c r="N72" s="58" t="s">
        <v>73</v>
      </c>
      <c r="O72" s="48" t="s">
        <v>72</v>
      </c>
      <c r="P72" s="48" t="s">
        <v>73</v>
      </c>
      <c r="Q72" s="54" t="s">
        <v>73</v>
      </c>
      <c r="R72" s="55" t="s">
        <v>73</v>
      </c>
      <c r="S72" s="48" t="s">
        <v>73</v>
      </c>
      <c r="T72" s="130"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8" t="str" cm="1">
        <f t="array" ref="U72">IF(SUMPRODUCT(--((CAT_Procesos!$E$2:$E$1581=O72)*(CAT_Procesos!$F$2:$F$1581=_xlfn.TEXTJOIN(" + ",TRUE,IF((TRIM(P72:S72)="")+(LOWER(TRIM(P72:S72))="(seleccione)"),"",PROPER(TRIM(P72:S72)))))*(CAT_Procesos!$D$2:$D$1581=IFERROR(VLOOKUP(N72&amp;"*",CAT_Procesos!$D:$D,1,FALSE),""))))=0,"Combinación no existente",IF(SUMPRODUCT(((CAT_Procesos!$E$2:$E$1581=O72)*(CAT_Procesos!$F$2:$F$1581=_xlfn.TEXTJOIN(" + ",TRUE,IF((TRIM(P72:S72)="")+(LOWER(TRIM(P72:S72))="(seleccione)"),"",PROPER(TRIM(P72:S72)))))*(CAT_Procesos!$D$2:$D$1581=IFERROR(VLOOKUP(N72&amp;"*",CAT_Procesos!$D:$D,1,FALSE),"")))*(CAT_Procesos!$G$2:$G$1581=INDEX(CAT_Procesos!$G$2:$G$1581,MATCH(1,(CAT_Procesos!$E$2:$E$1581=O72)*(CAT_Procesos!$F$2:$F$1581=_xlfn.TEXTJOIN(" + ",TRUE,IF((TRIM(P72:S72)="")+(LOWER(TRIM(P72:S72))="(seleccione)"),"",PROPER(TRIM(P72:S72)))))*(CAT_Procesos!$D$2:$D$1581=IFERROR(VLOOKUP(N72&amp;"*",CAT_Procesos!$D:$D,1,FALSE),"")),0))))=SUMPRODUCT(--((CAT_Procesos!$E$2:$E$1581=O72)*(CAT_Procesos!$F$2:$F$1581=_xlfn.TEXTJOIN(" + ",TRUE,IF((TRIM(P72:S72)="")+(LOWER(TRIM(P72:S72))="(seleccione)"),"",PROPER(TRIM(P72:S72)))))*(CAT_Procesos!$D$2:$D$1581=IFERROR(VLOOKUP(N72&amp;"*",CAT_Procesos!$D:$D,1,FALSE),"")))),INDEX(CAT_Procesos!$G$2:$G$1581,MATCH(1,(CAT_Procesos!$E$2:$E$1581=O72)*(CAT_Procesos!$F$2:$F$1581=_xlfn.TEXTJOIN(" + ",TRUE,IF((TRIM(P72:S72)="")+(LOWER(TRIM(P72:S72))="(seleccione)"),"",PROPER(TRIM(P72:S72)))))*(CAT_Procesos!$D$2:$D$1581=IFERROR(VLOOKUP(N72&amp;"*",CAT_Procesos!$D:$D,1,FALSE),"")),0)),"(seleccione)"))</f>
        <v>Combinación no existente</v>
      </c>
      <c r="V72" s="55" t="s">
        <v>73</v>
      </c>
      <c r="W72" s="56" t="s">
        <v>73</v>
      </c>
      <c r="X72" s="57" t="str">
        <f t="shared" si="0"/>
        <v/>
      </c>
      <c r="Y72" s="58" t="s">
        <v>73</v>
      </c>
      <c r="Z72" s="57" t="str">
        <f t="shared" si="1"/>
        <v/>
      </c>
      <c r="AA72" s="58" t="s">
        <v>73</v>
      </c>
      <c r="AB72" s="57" t="str">
        <f t="shared" si="2"/>
        <v/>
      </c>
      <c r="AC72" s="58" t="s">
        <v>73</v>
      </c>
      <c r="AD72" s="57" t="str">
        <f t="shared" si="3"/>
        <v/>
      </c>
      <c r="AE72" s="59"/>
      <c r="AF72" s="59"/>
      <c r="AG72" s="59"/>
      <c r="AH72" s="59"/>
      <c r="AI72" s="59" t="s">
        <v>73</v>
      </c>
      <c r="AJ72" s="59"/>
      <c r="AK72" s="59" t="s">
        <v>73</v>
      </c>
      <c r="AL72" s="59"/>
      <c r="AM72" s="59" t="s">
        <v>73</v>
      </c>
      <c r="AN72" s="59"/>
      <c r="AO72" s="59" t="s">
        <v>73</v>
      </c>
      <c r="AP72" s="59"/>
      <c r="AQ72" s="59" t="s">
        <v>73</v>
      </c>
      <c r="AR72" s="59"/>
      <c r="AS72" s="59" t="s">
        <v>72</v>
      </c>
      <c r="AT72" s="59"/>
      <c r="AU72" s="59"/>
      <c r="AV72" s="59"/>
      <c r="AW72" s="59"/>
      <c r="AX72" s="59"/>
      <c r="AY72" s="60" t="str">
        <f>IF('Cálculo MP'!K82="","",'Cálculo MP'!K82)</f>
        <v/>
      </c>
      <c r="AZ72" s="60" t="str">
        <f>IF('Cálculo MP'!L82="","",'Cálculo MP'!L82)</f>
        <v/>
      </c>
      <c r="BA72" s="60" t="str">
        <f>IF('Cálculo MP'!M82="","",'Cálculo MP'!M82)</f>
        <v/>
      </c>
      <c r="BB72" s="60" t="str">
        <f>IF('Cálculo MP'!N82="","",'Cálculo MP'!N82)</f>
        <v/>
      </c>
      <c r="BC72" s="60" t="str">
        <f>IF('Cálculo MP'!O82="","",'Cálculo MP'!O82)</f>
        <v/>
      </c>
      <c r="BD72" s="60" t="str">
        <f>IF('Cálculo MP'!P82="","",'Cálculo MP'!P82)</f>
        <v/>
      </c>
      <c r="BE72" s="60" t="str">
        <f>IF('Cálculo MP'!Q82="","",'Cálculo MP'!Q82)</f>
        <v/>
      </c>
      <c r="BF72" s="60" t="str">
        <f>IF('Cálculo MP'!R82="","",'Cálculo MP'!R82)</f>
        <v/>
      </c>
      <c r="BG72" s="60" t="str">
        <f>IF('Cálculo MP'!S82="","",'Cálculo MP'!S82)</f>
        <v/>
      </c>
      <c r="BH72" s="59"/>
      <c r="BI72" s="59"/>
      <c r="BJ72" s="59"/>
      <c r="BK72" s="59"/>
      <c r="BL72" s="59"/>
      <c r="BM72" s="59"/>
      <c r="BN72" s="59"/>
      <c r="BO72" s="59"/>
    </row>
    <row r="73" spans="1:67" ht="19.5" customHeight="1" x14ac:dyDescent="0.15">
      <c r="A73" s="123" t="s">
        <v>1856</v>
      </c>
      <c r="B73" s="122" t="s">
        <v>1854</v>
      </c>
      <c r="C73" s="49"/>
      <c r="D73" s="48" t="s">
        <v>73</v>
      </c>
      <c r="E73" s="49"/>
      <c r="F73" s="50"/>
      <c r="G73" s="62"/>
      <c r="H73" s="48" t="s">
        <v>72</v>
      </c>
      <c r="I73" s="52">
        <v>1</v>
      </c>
      <c r="J73" s="52"/>
      <c r="K73" s="52" t="s">
        <v>73</v>
      </c>
      <c r="L73" s="52" t="s">
        <v>74</v>
      </c>
      <c r="M73" s="53" t="s">
        <v>942</v>
      </c>
      <c r="N73" s="58" t="s">
        <v>73</v>
      </c>
      <c r="O73" s="48" t="s">
        <v>72</v>
      </c>
      <c r="P73" s="48" t="s">
        <v>73</v>
      </c>
      <c r="Q73" s="54" t="s">
        <v>73</v>
      </c>
      <c r="R73" s="55" t="s">
        <v>73</v>
      </c>
      <c r="S73" s="48" t="s">
        <v>73</v>
      </c>
      <c r="T73" s="130"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8" t="str" cm="1">
        <f t="array" ref="U73">IF(SUMPRODUCT(--((CAT_Procesos!$E$2:$E$1581=O73)*(CAT_Procesos!$F$2:$F$1581=_xlfn.TEXTJOIN(" + ",TRUE,IF((TRIM(P73:S73)="")+(LOWER(TRIM(P73:S73))="(seleccione)"),"",PROPER(TRIM(P73:S73)))))*(CAT_Procesos!$D$2:$D$1581=IFERROR(VLOOKUP(N73&amp;"*",CAT_Procesos!$D:$D,1,FALSE),""))))=0,"Combinación no existente",IF(SUMPRODUCT(((CAT_Procesos!$E$2:$E$1581=O73)*(CAT_Procesos!$F$2:$F$1581=_xlfn.TEXTJOIN(" + ",TRUE,IF((TRIM(P73:S73)="")+(LOWER(TRIM(P73:S73))="(seleccione)"),"",PROPER(TRIM(P73:S73)))))*(CAT_Procesos!$D$2:$D$1581=IFERROR(VLOOKUP(N73&amp;"*",CAT_Procesos!$D:$D,1,FALSE),"")))*(CAT_Procesos!$G$2:$G$1581=INDEX(CAT_Procesos!$G$2:$G$1581,MATCH(1,(CAT_Procesos!$E$2:$E$1581=O73)*(CAT_Procesos!$F$2:$F$1581=_xlfn.TEXTJOIN(" + ",TRUE,IF((TRIM(P73:S73)="")+(LOWER(TRIM(P73:S73))="(seleccione)"),"",PROPER(TRIM(P73:S73)))))*(CAT_Procesos!$D$2:$D$1581=IFERROR(VLOOKUP(N73&amp;"*",CAT_Procesos!$D:$D,1,FALSE),"")),0))))=SUMPRODUCT(--((CAT_Procesos!$E$2:$E$1581=O73)*(CAT_Procesos!$F$2:$F$1581=_xlfn.TEXTJOIN(" + ",TRUE,IF((TRIM(P73:S73)="")+(LOWER(TRIM(P73:S73))="(seleccione)"),"",PROPER(TRIM(P73:S73)))))*(CAT_Procesos!$D$2:$D$1581=IFERROR(VLOOKUP(N73&amp;"*",CAT_Procesos!$D:$D,1,FALSE),"")))),INDEX(CAT_Procesos!$G$2:$G$1581,MATCH(1,(CAT_Procesos!$E$2:$E$1581=O73)*(CAT_Procesos!$F$2:$F$1581=_xlfn.TEXTJOIN(" + ",TRUE,IF((TRIM(P73:S73)="")+(LOWER(TRIM(P73:S73))="(seleccione)"),"",PROPER(TRIM(P73:S73)))))*(CAT_Procesos!$D$2:$D$1581=IFERROR(VLOOKUP(N73&amp;"*",CAT_Procesos!$D:$D,1,FALSE),"")),0)),"(seleccione)"))</f>
        <v>Combinación no existente</v>
      </c>
      <c r="V73" s="55" t="s">
        <v>73</v>
      </c>
      <c r="W73" s="56" t="s">
        <v>73</v>
      </c>
      <c r="X73" s="57" t="str">
        <f t="shared" ref="X73:X136" si="4">IFERROR(((VALUE(TRIM(LEFT(MID(W73,FIND("|",W73)+1,99),FIND("-",MID(W73,FIND("|",W73)+1,99))-1)))+VALUE(TRIM(SUBSTITUTE(SUBSTITUTE(SUBSTITUTE(SUBSTITUTE(SUBSTITUTE(MID(MID(W73,FIND("|",W73)+1,99),FIND("-",MID(W73,FIND("|",W73)+1,99))+1,20),"µm",""),"μm",""),"mils",""),"mil",""),"",""))))/2)*IF(ISNUMBER(SEARCH("mil",MID(W73,FIND("|",W73)+1,99))),25.4,1),"")</f>
        <v/>
      </c>
      <c r="Y73" s="58" t="s">
        <v>73</v>
      </c>
      <c r="Z73" s="57" t="str">
        <f t="shared" ref="Z73:Z136" si="5">IFERROR(((VALUE(TRIM(LEFT(MID(Y73,FIND("|",Y73)+1,99),FIND("-",MID(Y73,FIND("|",Y73)+1,99))-1)))+VALUE(TRIM(SUBSTITUTE(SUBSTITUTE(SUBSTITUTE(SUBSTITUTE(SUBSTITUTE(MID(MID(Y73,FIND("|",Y73)+1,99),FIND("-",MID(Y73,FIND("|",Y73)+1,99))+1,20),"µm",""),"μm",""),"mils",""),"mil",""),"",""))))/2)*IF(ISNUMBER(SEARCH("mil",MID(Y73,FIND("|",Y73)+1,99))),25.4,1),"")</f>
        <v/>
      </c>
      <c r="AA73" s="58" t="s">
        <v>73</v>
      </c>
      <c r="AB73" s="57" t="str">
        <f t="shared" ref="AB73:AB136" si="6">IFERROR(((VALUE(TRIM(LEFT(MID(AA73,FIND("|",AA73)+1,99),FIND("-",MID(AA73,FIND("|",AA73)+1,99))-1)))+VALUE(TRIM(SUBSTITUTE(SUBSTITUTE(SUBSTITUTE(SUBSTITUTE(SUBSTITUTE(MID(MID(AA73,FIND("|",AA73)+1,99),FIND("-",MID(AA73,FIND("|",AA73)+1,99))+1,20),"µm",""),"μm",""),"mils",""),"mil",""),"",""))))/2)*IF(ISNUMBER(SEARCH("mil",MID(AA73,FIND("|",AA73)+1,99))),25.4,1),"")</f>
        <v/>
      </c>
      <c r="AC73" s="58" t="s">
        <v>73</v>
      </c>
      <c r="AD73" s="57" t="str">
        <f t="shared" ref="AD73:AD136" si="7">IFERROR(((VALUE(TRIM(LEFT(MID(AC73,FIND("|",AC73)+1,99),FIND("-",MID(AC73,FIND("|",AC73)+1,99))-1)))+VALUE(TRIM(SUBSTITUTE(SUBSTITUTE(SUBSTITUTE(SUBSTITUTE(SUBSTITUTE(MID(MID(AC73,FIND("|",AC73)+1,99),FIND("-",MID(AC73,FIND("|",AC73)+1,99))+1,20),"µm",""),"μm",""),"mils",""),"mil",""),"",""))))/2)*IF(ISNUMBER(SEARCH("mil",MID(AC73,FIND("|",AC73)+1,99))),25.4,1),"")</f>
        <v/>
      </c>
      <c r="AE73" s="59"/>
      <c r="AF73" s="59"/>
      <c r="AG73" s="59"/>
      <c r="AH73" s="59"/>
      <c r="AI73" s="59" t="s">
        <v>73</v>
      </c>
      <c r="AJ73" s="59"/>
      <c r="AK73" s="59" t="s">
        <v>73</v>
      </c>
      <c r="AL73" s="59"/>
      <c r="AM73" s="59" t="s">
        <v>73</v>
      </c>
      <c r="AN73" s="59"/>
      <c r="AO73" s="59" t="s">
        <v>73</v>
      </c>
      <c r="AP73" s="59"/>
      <c r="AQ73" s="59" t="s">
        <v>73</v>
      </c>
      <c r="AR73" s="59"/>
      <c r="AS73" s="59" t="s">
        <v>72</v>
      </c>
      <c r="AT73" s="59"/>
      <c r="AU73" s="59"/>
      <c r="AV73" s="59"/>
      <c r="AW73" s="59"/>
      <c r="AX73" s="59"/>
      <c r="AY73" s="60" t="str">
        <f>IF('Cálculo MP'!K83="","",'Cálculo MP'!K83)</f>
        <v/>
      </c>
      <c r="AZ73" s="60" t="str">
        <f>IF('Cálculo MP'!L83="","",'Cálculo MP'!L83)</f>
        <v/>
      </c>
      <c r="BA73" s="60" t="str">
        <f>IF('Cálculo MP'!M83="","",'Cálculo MP'!M83)</f>
        <v/>
      </c>
      <c r="BB73" s="60" t="str">
        <f>IF('Cálculo MP'!N83="","",'Cálculo MP'!N83)</f>
        <v/>
      </c>
      <c r="BC73" s="60" t="str">
        <f>IF('Cálculo MP'!O83="","",'Cálculo MP'!O83)</f>
        <v/>
      </c>
      <c r="BD73" s="60" t="str">
        <f>IF('Cálculo MP'!P83="","",'Cálculo MP'!P83)</f>
        <v/>
      </c>
      <c r="BE73" s="60" t="str">
        <f>IF('Cálculo MP'!Q83="","",'Cálculo MP'!Q83)</f>
        <v/>
      </c>
      <c r="BF73" s="60" t="str">
        <f>IF('Cálculo MP'!R83="","",'Cálculo MP'!R83)</f>
        <v/>
      </c>
      <c r="BG73" s="60" t="str">
        <f>IF('Cálculo MP'!S83="","",'Cálculo MP'!S83)</f>
        <v/>
      </c>
      <c r="BH73" s="59"/>
      <c r="BI73" s="59"/>
      <c r="BJ73" s="59"/>
      <c r="BK73" s="59"/>
      <c r="BL73" s="59"/>
      <c r="BM73" s="59"/>
      <c r="BN73" s="59"/>
      <c r="BO73" s="59"/>
    </row>
    <row r="74" spans="1:67" ht="19.5" customHeight="1" x14ac:dyDescent="0.15">
      <c r="A74" s="123" t="s">
        <v>1856</v>
      </c>
      <c r="B74" s="122" t="s">
        <v>1854</v>
      </c>
      <c r="C74" s="49"/>
      <c r="D74" s="48" t="s">
        <v>73</v>
      </c>
      <c r="E74" s="49"/>
      <c r="F74" s="50"/>
      <c r="G74" s="62"/>
      <c r="H74" s="48" t="s">
        <v>72</v>
      </c>
      <c r="I74" s="52">
        <v>1</v>
      </c>
      <c r="J74" s="52"/>
      <c r="K74" s="52" t="s">
        <v>73</v>
      </c>
      <c r="L74" s="52" t="s">
        <v>74</v>
      </c>
      <c r="M74" s="53" t="s">
        <v>942</v>
      </c>
      <c r="N74" s="58" t="s">
        <v>73</v>
      </c>
      <c r="O74" s="48" t="s">
        <v>72</v>
      </c>
      <c r="P74" s="48" t="s">
        <v>73</v>
      </c>
      <c r="Q74" s="54" t="s">
        <v>73</v>
      </c>
      <c r="R74" s="55" t="s">
        <v>73</v>
      </c>
      <c r="S74" s="48" t="s">
        <v>73</v>
      </c>
      <c r="T74" s="130"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8" t="str" cm="1">
        <f t="array" ref="U74">IF(SUMPRODUCT(--((CAT_Procesos!$E$2:$E$1581=O74)*(CAT_Procesos!$F$2:$F$1581=_xlfn.TEXTJOIN(" + ",TRUE,IF((TRIM(P74:S74)="")+(LOWER(TRIM(P74:S74))="(seleccione)"),"",PROPER(TRIM(P74:S74)))))*(CAT_Procesos!$D$2:$D$1581=IFERROR(VLOOKUP(N74&amp;"*",CAT_Procesos!$D:$D,1,FALSE),""))))=0,"Combinación no existente",IF(SUMPRODUCT(((CAT_Procesos!$E$2:$E$1581=O74)*(CAT_Procesos!$F$2:$F$1581=_xlfn.TEXTJOIN(" + ",TRUE,IF((TRIM(P74:S74)="")+(LOWER(TRIM(P74:S74))="(seleccione)"),"",PROPER(TRIM(P74:S74)))))*(CAT_Procesos!$D$2:$D$1581=IFERROR(VLOOKUP(N74&amp;"*",CAT_Procesos!$D:$D,1,FALSE),"")))*(CAT_Procesos!$G$2:$G$1581=INDEX(CAT_Procesos!$G$2:$G$1581,MATCH(1,(CAT_Procesos!$E$2:$E$1581=O74)*(CAT_Procesos!$F$2:$F$1581=_xlfn.TEXTJOIN(" + ",TRUE,IF((TRIM(P74:S74)="")+(LOWER(TRIM(P74:S74))="(seleccione)"),"",PROPER(TRIM(P74:S74)))))*(CAT_Procesos!$D$2:$D$1581=IFERROR(VLOOKUP(N74&amp;"*",CAT_Procesos!$D:$D,1,FALSE),"")),0))))=SUMPRODUCT(--((CAT_Procesos!$E$2:$E$1581=O74)*(CAT_Procesos!$F$2:$F$1581=_xlfn.TEXTJOIN(" + ",TRUE,IF((TRIM(P74:S74)="")+(LOWER(TRIM(P74:S74))="(seleccione)"),"",PROPER(TRIM(P74:S74)))))*(CAT_Procesos!$D$2:$D$1581=IFERROR(VLOOKUP(N74&amp;"*",CAT_Procesos!$D:$D,1,FALSE),"")))),INDEX(CAT_Procesos!$G$2:$G$1581,MATCH(1,(CAT_Procesos!$E$2:$E$1581=O74)*(CAT_Procesos!$F$2:$F$1581=_xlfn.TEXTJOIN(" + ",TRUE,IF((TRIM(P74:S74)="")+(LOWER(TRIM(P74:S74))="(seleccione)"),"",PROPER(TRIM(P74:S74)))))*(CAT_Procesos!$D$2:$D$1581=IFERROR(VLOOKUP(N74&amp;"*",CAT_Procesos!$D:$D,1,FALSE),"")),0)),"(seleccione)"))</f>
        <v>Combinación no existente</v>
      </c>
      <c r="V74" s="55" t="s">
        <v>73</v>
      </c>
      <c r="W74" s="56" t="s">
        <v>73</v>
      </c>
      <c r="X74" s="57" t="str">
        <f t="shared" si="4"/>
        <v/>
      </c>
      <c r="Y74" s="58" t="s">
        <v>73</v>
      </c>
      <c r="Z74" s="57" t="str">
        <f t="shared" si="5"/>
        <v/>
      </c>
      <c r="AA74" s="58" t="s">
        <v>73</v>
      </c>
      <c r="AB74" s="57" t="str">
        <f t="shared" si="6"/>
        <v/>
      </c>
      <c r="AC74" s="58" t="s">
        <v>73</v>
      </c>
      <c r="AD74" s="57" t="str">
        <f t="shared" si="7"/>
        <v/>
      </c>
      <c r="AE74" s="59"/>
      <c r="AF74" s="59"/>
      <c r="AG74" s="59"/>
      <c r="AH74" s="59"/>
      <c r="AI74" s="59" t="s">
        <v>73</v>
      </c>
      <c r="AJ74" s="59"/>
      <c r="AK74" s="59" t="s">
        <v>73</v>
      </c>
      <c r="AL74" s="59"/>
      <c r="AM74" s="59" t="s">
        <v>73</v>
      </c>
      <c r="AN74" s="59"/>
      <c r="AO74" s="59" t="s">
        <v>73</v>
      </c>
      <c r="AP74" s="59"/>
      <c r="AQ74" s="59" t="s">
        <v>73</v>
      </c>
      <c r="AR74" s="59"/>
      <c r="AS74" s="59" t="s">
        <v>72</v>
      </c>
      <c r="AT74" s="59"/>
      <c r="AU74" s="59"/>
      <c r="AV74" s="59"/>
      <c r="AW74" s="59"/>
      <c r="AX74" s="59"/>
      <c r="AY74" s="60" t="str">
        <f>IF('Cálculo MP'!K84="","",'Cálculo MP'!K84)</f>
        <v/>
      </c>
      <c r="AZ74" s="60" t="str">
        <f>IF('Cálculo MP'!L84="","",'Cálculo MP'!L84)</f>
        <v/>
      </c>
      <c r="BA74" s="60" t="str">
        <f>IF('Cálculo MP'!M84="","",'Cálculo MP'!M84)</f>
        <v/>
      </c>
      <c r="BB74" s="60" t="str">
        <f>IF('Cálculo MP'!N84="","",'Cálculo MP'!N84)</f>
        <v/>
      </c>
      <c r="BC74" s="60" t="str">
        <f>IF('Cálculo MP'!O84="","",'Cálculo MP'!O84)</f>
        <v/>
      </c>
      <c r="BD74" s="60" t="str">
        <f>IF('Cálculo MP'!P84="","",'Cálculo MP'!P84)</f>
        <v/>
      </c>
      <c r="BE74" s="60" t="str">
        <f>IF('Cálculo MP'!Q84="","",'Cálculo MP'!Q84)</f>
        <v/>
      </c>
      <c r="BF74" s="60" t="str">
        <f>IF('Cálculo MP'!R84="","",'Cálculo MP'!R84)</f>
        <v/>
      </c>
      <c r="BG74" s="60" t="str">
        <f>IF('Cálculo MP'!S84="","",'Cálculo MP'!S84)</f>
        <v/>
      </c>
      <c r="BH74" s="59"/>
      <c r="BI74" s="59"/>
      <c r="BJ74" s="59"/>
      <c r="BK74" s="59"/>
      <c r="BL74" s="59"/>
      <c r="BM74" s="59"/>
      <c r="BN74" s="59"/>
      <c r="BO74" s="59"/>
    </row>
    <row r="75" spans="1:67" ht="19.5" customHeight="1" x14ac:dyDescent="0.15">
      <c r="A75" s="123" t="s">
        <v>1856</v>
      </c>
      <c r="B75" s="122" t="s">
        <v>1854</v>
      </c>
      <c r="C75" s="49"/>
      <c r="D75" s="48" t="s">
        <v>73</v>
      </c>
      <c r="E75" s="49"/>
      <c r="F75" s="50"/>
      <c r="G75" s="62"/>
      <c r="H75" s="48" t="s">
        <v>72</v>
      </c>
      <c r="I75" s="52">
        <v>1</v>
      </c>
      <c r="J75" s="52"/>
      <c r="K75" s="52" t="s">
        <v>73</v>
      </c>
      <c r="L75" s="52" t="s">
        <v>74</v>
      </c>
      <c r="M75" s="53" t="s">
        <v>942</v>
      </c>
      <c r="N75" s="58" t="s">
        <v>73</v>
      </c>
      <c r="O75" s="48" t="s">
        <v>72</v>
      </c>
      <c r="P75" s="48" t="s">
        <v>73</v>
      </c>
      <c r="Q75" s="54" t="s">
        <v>73</v>
      </c>
      <c r="R75" s="55" t="s">
        <v>73</v>
      </c>
      <c r="S75" s="48" t="s">
        <v>73</v>
      </c>
      <c r="T75" s="130"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8" t="str" cm="1">
        <f t="array" ref="U75">IF(SUMPRODUCT(--((CAT_Procesos!$E$2:$E$1581=O75)*(CAT_Procesos!$F$2:$F$1581=_xlfn.TEXTJOIN(" + ",TRUE,IF((TRIM(P75:S75)="")+(LOWER(TRIM(P75:S75))="(seleccione)"),"",PROPER(TRIM(P75:S75)))))*(CAT_Procesos!$D$2:$D$1581=IFERROR(VLOOKUP(N75&amp;"*",CAT_Procesos!$D:$D,1,FALSE),""))))=0,"Combinación no existente",IF(SUMPRODUCT(((CAT_Procesos!$E$2:$E$1581=O75)*(CAT_Procesos!$F$2:$F$1581=_xlfn.TEXTJOIN(" + ",TRUE,IF((TRIM(P75:S75)="")+(LOWER(TRIM(P75:S75))="(seleccione)"),"",PROPER(TRIM(P75:S75)))))*(CAT_Procesos!$D$2:$D$1581=IFERROR(VLOOKUP(N75&amp;"*",CAT_Procesos!$D:$D,1,FALSE),"")))*(CAT_Procesos!$G$2:$G$1581=INDEX(CAT_Procesos!$G$2:$G$1581,MATCH(1,(CAT_Procesos!$E$2:$E$1581=O75)*(CAT_Procesos!$F$2:$F$1581=_xlfn.TEXTJOIN(" + ",TRUE,IF((TRIM(P75:S75)="")+(LOWER(TRIM(P75:S75))="(seleccione)"),"",PROPER(TRIM(P75:S75)))))*(CAT_Procesos!$D$2:$D$1581=IFERROR(VLOOKUP(N75&amp;"*",CAT_Procesos!$D:$D,1,FALSE),"")),0))))=SUMPRODUCT(--((CAT_Procesos!$E$2:$E$1581=O75)*(CAT_Procesos!$F$2:$F$1581=_xlfn.TEXTJOIN(" + ",TRUE,IF((TRIM(P75:S75)="")+(LOWER(TRIM(P75:S75))="(seleccione)"),"",PROPER(TRIM(P75:S75)))))*(CAT_Procesos!$D$2:$D$1581=IFERROR(VLOOKUP(N75&amp;"*",CAT_Procesos!$D:$D,1,FALSE),"")))),INDEX(CAT_Procesos!$G$2:$G$1581,MATCH(1,(CAT_Procesos!$E$2:$E$1581=O75)*(CAT_Procesos!$F$2:$F$1581=_xlfn.TEXTJOIN(" + ",TRUE,IF((TRIM(P75:S75)="")+(LOWER(TRIM(P75:S75))="(seleccione)"),"",PROPER(TRIM(P75:S75)))))*(CAT_Procesos!$D$2:$D$1581=IFERROR(VLOOKUP(N75&amp;"*",CAT_Procesos!$D:$D,1,FALSE),"")),0)),"(seleccione)"))</f>
        <v>Combinación no existente</v>
      </c>
      <c r="V75" s="55" t="s">
        <v>73</v>
      </c>
      <c r="W75" s="56" t="s">
        <v>73</v>
      </c>
      <c r="X75" s="57" t="str">
        <f t="shared" si="4"/>
        <v/>
      </c>
      <c r="Y75" s="58" t="s">
        <v>73</v>
      </c>
      <c r="Z75" s="57" t="str">
        <f t="shared" si="5"/>
        <v/>
      </c>
      <c r="AA75" s="58" t="s">
        <v>73</v>
      </c>
      <c r="AB75" s="57" t="str">
        <f t="shared" si="6"/>
        <v/>
      </c>
      <c r="AC75" s="58" t="s">
        <v>73</v>
      </c>
      <c r="AD75" s="57" t="str">
        <f t="shared" si="7"/>
        <v/>
      </c>
      <c r="AE75" s="59"/>
      <c r="AF75" s="59"/>
      <c r="AG75" s="59"/>
      <c r="AH75" s="59"/>
      <c r="AI75" s="59" t="s">
        <v>73</v>
      </c>
      <c r="AJ75" s="59"/>
      <c r="AK75" s="59" t="s">
        <v>73</v>
      </c>
      <c r="AL75" s="59"/>
      <c r="AM75" s="59" t="s">
        <v>73</v>
      </c>
      <c r="AN75" s="59"/>
      <c r="AO75" s="59" t="s">
        <v>73</v>
      </c>
      <c r="AP75" s="59"/>
      <c r="AQ75" s="59" t="s">
        <v>73</v>
      </c>
      <c r="AR75" s="59"/>
      <c r="AS75" s="59" t="s">
        <v>72</v>
      </c>
      <c r="AT75" s="59"/>
      <c r="AU75" s="59"/>
      <c r="AV75" s="59"/>
      <c r="AW75" s="59"/>
      <c r="AX75" s="59"/>
      <c r="AY75" s="60" t="str">
        <f>IF('Cálculo MP'!K85="","",'Cálculo MP'!K85)</f>
        <v/>
      </c>
      <c r="AZ75" s="60" t="str">
        <f>IF('Cálculo MP'!L85="","",'Cálculo MP'!L85)</f>
        <v/>
      </c>
      <c r="BA75" s="60" t="str">
        <f>IF('Cálculo MP'!M85="","",'Cálculo MP'!M85)</f>
        <v/>
      </c>
      <c r="BB75" s="60" t="str">
        <f>IF('Cálculo MP'!N85="","",'Cálculo MP'!N85)</f>
        <v/>
      </c>
      <c r="BC75" s="60" t="str">
        <f>IF('Cálculo MP'!O85="","",'Cálculo MP'!O85)</f>
        <v/>
      </c>
      <c r="BD75" s="60" t="str">
        <f>IF('Cálculo MP'!P85="","",'Cálculo MP'!P85)</f>
        <v/>
      </c>
      <c r="BE75" s="60" t="str">
        <f>IF('Cálculo MP'!Q85="","",'Cálculo MP'!Q85)</f>
        <v/>
      </c>
      <c r="BF75" s="60" t="str">
        <f>IF('Cálculo MP'!R85="","",'Cálculo MP'!R85)</f>
        <v/>
      </c>
      <c r="BG75" s="60" t="str">
        <f>IF('Cálculo MP'!S85="","",'Cálculo MP'!S85)</f>
        <v/>
      </c>
      <c r="BH75" s="59"/>
      <c r="BI75" s="59"/>
      <c r="BJ75" s="59"/>
      <c r="BK75" s="59"/>
      <c r="BL75" s="59"/>
      <c r="BM75" s="59"/>
      <c r="BN75" s="59"/>
      <c r="BO75" s="59"/>
    </row>
    <row r="76" spans="1:67" ht="19.5" customHeight="1" x14ac:dyDescent="0.15">
      <c r="A76" s="123" t="s">
        <v>1856</v>
      </c>
      <c r="B76" s="122" t="s">
        <v>1854</v>
      </c>
      <c r="C76" s="49"/>
      <c r="D76" s="48" t="s">
        <v>73</v>
      </c>
      <c r="E76" s="49"/>
      <c r="F76" s="50"/>
      <c r="G76" s="62"/>
      <c r="H76" s="48" t="s">
        <v>72</v>
      </c>
      <c r="I76" s="52">
        <v>1</v>
      </c>
      <c r="J76" s="52"/>
      <c r="K76" s="52" t="s">
        <v>73</v>
      </c>
      <c r="L76" s="52" t="s">
        <v>74</v>
      </c>
      <c r="M76" s="53" t="s">
        <v>942</v>
      </c>
      <c r="N76" s="58" t="s">
        <v>73</v>
      </c>
      <c r="O76" s="48" t="s">
        <v>72</v>
      </c>
      <c r="P76" s="48" t="s">
        <v>73</v>
      </c>
      <c r="Q76" s="54" t="s">
        <v>73</v>
      </c>
      <c r="R76" s="55" t="s">
        <v>73</v>
      </c>
      <c r="S76" s="48" t="s">
        <v>73</v>
      </c>
      <c r="T76" s="130"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8" t="str" cm="1">
        <f t="array" ref="U76">IF(SUMPRODUCT(--((CAT_Procesos!$E$2:$E$1581=O76)*(CAT_Procesos!$F$2:$F$1581=_xlfn.TEXTJOIN(" + ",TRUE,IF((TRIM(P76:S76)="")+(LOWER(TRIM(P76:S76))="(seleccione)"),"",PROPER(TRIM(P76:S76)))))*(CAT_Procesos!$D$2:$D$1581=IFERROR(VLOOKUP(N76&amp;"*",CAT_Procesos!$D:$D,1,FALSE),""))))=0,"Combinación no existente",IF(SUMPRODUCT(((CAT_Procesos!$E$2:$E$1581=O76)*(CAT_Procesos!$F$2:$F$1581=_xlfn.TEXTJOIN(" + ",TRUE,IF((TRIM(P76:S76)="")+(LOWER(TRIM(P76:S76))="(seleccione)"),"",PROPER(TRIM(P76:S76)))))*(CAT_Procesos!$D$2:$D$1581=IFERROR(VLOOKUP(N76&amp;"*",CAT_Procesos!$D:$D,1,FALSE),"")))*(CAT_Procesos!$G$2:$G$1581=INDEX(CAT_Procesos!$G$2:$G$1581,MATCH(1,(CAT_Procesos!$E$2:$E$1581=O76)*(CAT_Procesos!$F$2:$F$1581=_xlfn.TEXTJOIN(" + ",TRUE,IF((TRIM(P76:S76)="")+(LOWER(TRIM(P76:S76))="(seleccione)"),"",PROPER(TRIM(P76:S76)))))*(CAT_Procesos!$D$2:$D$1581=IFERROR(VLOOKUP(N76&amp;"*",CAT_Procesos!$D:$D,1,FALSE),"")),0))))=SUMPRODUCT(--((CAT_Procesos!$E$2:$E$1581=O76)*(CAT_Procesos!$F$2:$F$1581=_xlfn.TEXTJOIN(" + ",TRUE,IF((TRIM(P76:S76)="")+(LOWER(TRIM(P76:S76))="(seleccione)"),"",PROPER(TRIM(P76:S76)))))*(CAT_Procesos!$D$2:$D$1581=IFERROR(VLOOKUP(N76&amp;"*",CAT_Procesos!$D:$D,1,FALSE),"")))),INDEX(CAT_Procesos!$G$2:$G$1581,MATCH(1,(CAT_Procesos!$E$2:$E$1581=O76)*(CAT_Procesos!$F$2:$F$1581=_xlfn.TEXTJOIN(" + ",TRUE,IF((TRIM(P76:S76)="")+(LOWER(TRIM(P76:S76))="(seleccione)"),"",PROPER(TRIM(P76:S76)))))*(CAT_Procesos!$D$2:$D$1581=IFERROR(VLOOKUP(N76&amp;"*",CAT_Procesos!$D:$D,1,FALSE),"")),0)),"(seleccione)"))</f>
        <v>Combinación no existente</v>
      </c>
      <c r="V76" s="55" t="s">
        <v>73</v>
      </c>
      <c r="W76" s="56" t="s">
        <v>73</v>
      </c>
      <c r="X76" s="57" t="str">
        <f t="shared" si="4"/>
        <v/>
      </c>
      <c r="Y76" s="58" t="s">
        <v>73</v>
      </c>
      <c r="Z76" s="57" t="str">
        <f t="shared" si="5"/>
        <v/>
      </c>
      <c r="AA76" s="58" t="s">
        <v>73</v>
      </c>
      <c r="AB76" s="57" t="str">
        <f t="shared" si="6"/>
        <v/>
      </c>
      <c r="AC76" s="58" t="s">
        <v>73</v>
      </c>
      <c r="AD76" s="57" t="str">
        <f t="shared" si="7"/>
        <v/>
      </c>
      <c r="AE76" s="59"/>
      <c r="AF76" s="59"/>
      <c r="AG76" s="59"/>
      <c r="AH76" s="59"/>
      <c r="AI76" s="59" t="s">
        <v>73</v>
      </c>
      <c r="AJ76" s="59"/>
      <c r="AK76" s="59" t="s">
        <v>73</v>
      </c>
      <c r="AL76" s="59"/>
      <c r="AM76" s="59" t="s">
        <v>73</v>
      </c>
      <c r="AN76" s="59"/>
      <c r="AO76" s="59" t="s">
        <v>73</v>
      </c>
      <c r="AP76" s="59"/>
      <c r="AQ76" s="59" t="s">
        <v>73</v>
      </c>
      <c r="AR76" s="59"/>
      <c r="AS76" s="59" t="s">
        <v>72</v>
      </c>
      <c r="AT76" s="59"/>
      <c r="AU76" s="59"/>
      <c r="AV76" s="59"/>
      <c r="AW76" s="59"/>
      <c r="AX76" s="59"/>
      <c r="AY76" s="60" t="str">
        <f>IF('Cálculo MP'!K86="","",'Cálculo MP'!K86)</f>
        <v/>
      </c>
      <c r="AZ76" s="60" t="str">
        <f>IF('Cálculo MP'!L86="","",'Cálculo MP'!L86)</f>
        <v/>
      </c>
      <c r="BA76" s="60" t="str">
        <f>IF('Cálculo MP'!M86="","",'Cálculo MP'!M86)</f>
        <v/>
      </c>
      <c r="BB76" s="60" t="str">
        <f>IF('Cálculo MP'!N86="","",'Cálculo MP'!N86)</f>
        <v/>
      </c>
      <c r="BC76" s="60" t="str">
        <f>IF('Cálculo MP'!O86="","",'Cálculo MP'!O86)</f>
        <v/>
      </c>
      <c r="BD76" s="60" t="str">
        <f>IF('Cálculo MP'!P86="","",'Cálculo MP'!P86)</f>
        <v/>
      </c>
      <c r="BE76" s="60" t="str">
        <f>IF('Cálculo MP'!Q86="","",'Cálculo MP'!Q86)</f>
        <v/>
      </c>
      <c r="BF76" s="60" t="str">
        <f>IF('Cálculo MP'!R86="","",'Cálculo MP'!R86)</f>
        <v/>
      </c>
      <c r="BG76" s="60" t="str">
        <f>IF('Cálculo MP'!S86="","",'Cálculo MP'!S86)</f>
        <v/>
      </c>
      <c r="BH76" s="59"/>
      <c r="BI76" s="59"/>
      <c r="BJ76" s="59"/>
      <c r="BK76" s="59"/>
      <c r="BL76" s="59"/>
      <c r="BM76" s="59"/>
      <c r="BN76" s="59"/>
      <c r="BO76" s="59"/>
    </row>
    <row r="77" spans="1:67" ht="19.5" customHeight="1" x14ac:dyDescent="0.15">
      <c r="A77" s="123" t="s">
        <v>1856</v>
      </c>
      <c r="B77" s="122" t="s">
        <v>1854</v>
      </c>
      <c r="C77" s="49"/>
      <c r="D77" s="48" t="s">
        <v>73</v>
      </c>
      <c r="E77" s="49"/>
      <c r="F77" s="50"/>
      <c r="G77" s="62"/>
      <c r="H77" s="48" t="s">
        <v>72</v>
      </c>
      <c r="I77" s="52">
        <v>1</v>
      </c>
      <c r="J77" s="52"/>
      <c r="K77" s="52" t="s">
        <v>73</v>
      </c>
      <c r="L77" s="52" t="s">
        <v>74</v>
      </c>
      <c r="M77" s="53" t="s">
        <v>942</v>
      </c>
      <c r="N77" s="58" t="s">
        <v>73</v>
      </c>
      <c r="O77" s="48" t="s">
        <v>72</v>
      </c>
      <c r="P77" s="48" t="s">
        <v>73</v>
      </c>
      <c r="Q77" s="54" t="s">
        <v>73</v>
      </c>
      <c r="R77" s="55" t="s">
        <v>73</v>
      </c>
      <c r="S77" s="48" t="s">
        <v>73</v>
      </c>
      <c r="T77" s="130"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8" t="str" cm="1">
        <f t="array" ref="U77">IF(SUMPRODUCT(--((CAT_Procesos!$E$2:$E$1581=O77)*(CAT_Procesos!$F$2:$F$1581=_xlfn.TEXTJOIN(" + ",TRUE,IF((TRIM(P77:S77)="")+(LOWER(TRIM(P77:S77))="(seleccione)"),"",PROPER(TRIM(P77:S77)))))*(CAT_Procesos!$D$2:$D$1581=IFERROR(VLOOKUP(N77&amp;"*",CAT_Procesos!$D:$D,1,FALSE),""))))=0,"Combinación no existente",IF(SUMPRODUCT(((CAT_Procesos!$E$2:$E$1581=O77)*(CAT_Procesos!$F$2:$F$1581=_xlfn.TEXTJOIN(" + ",TRUE,IF((TRIM(P77:S77)="")+(LOWER(TRIM(P77:S77))="(seleccione)"),"",PROPER(TRIM(P77:S77)))))*(CAT_Procesos!$D$2:$D$1581=IFERROR(VLOOKUP(N77&amp;"*",CAT_Procesos!$D:$D,1,FALSE),"")))*(CAT_Procesos!$G$2:$G$1581=INDEX(CAT_Procesos!$G$2:$G$1581,MATCH(1,(CAT_Procesos!$E$2:$E$1581=O77)*(CAT_Procesos!$F$2:$F$1581=_xlfn.TEXTJOIN(" + ",TRUE,IF((TRIM(P77:S77)="")+(LOWER(TRIM(P77:S77))="(seleccione)"),"",PROPER(TRIM(P77:S77)))))*(CAT_Procesos!$D$2:$D$1581=IFERROR(VLOOKUP(N77&amp;"*",CAT_Procesos!$D:$D,1,FALSE),"")),0))))=SUMPRODUCT(--((CAT_Procesos!$E$2:$E$1581=O77)*(CAT_Procesos!$F$2:$F$1581=_xlfn.TEXTJOIN(" + ",TRUE,IF((TRIM(P77:S77)="")+(LOWER(TRIM(P77:S77))="(seleccione)"),"",PROPER(TRIM(P77:S77)))))*(CAT_Procesos!$D$2:$D$1581=IFERROR(VLOOKUP(N77&amp;"*",CAT_Procesos!$D:$D,1,FALSE),"")))),INDEX(CAT_Procesos!$G$2:$G$1581,MATCH(1,(CAT_Procesos!$E$2:$E$1581=O77)*(CAT_Procesos!$F$2:$F$1581=_xlfn.TEXTJOIN(" + ",TRUE,IF((TRIM(P77:S77)="")+(LOWER(TRIM(P77:S77))="(seleccione)"),"",PROPER(TRIM(P77:S77)))))*(CAT_Procesos!$D$2:$D$1581=IFERROR(VLOOKUP(N77&amp;"*",CAT_Procesos!$D:$D,1,FALSE),"")),0)),"(seleccione)"))</f>
        <v>Combinación no existente</v>
      </c>
      <c r="V77" s="55" t="s">
        <v>73</v>
      </c>
      <c r="W77" s="56" t="s">
        <v>73</v>
      </c>
      <c r="X77" s="57" t="str">
        <f t="shared" si="4"/>
        <v/>
      </c>
      <c r="Y77" s="58" t="s">
        <v>73</v>
      </c>
      <c r="Z77" s="57" t="str">
        <f t="shared" si="5"/>
        <v/>
      </c>
      <c r="AA77" s="58" t="s">
        <v>73</v>
      </c>
      <c r="AB77" s="57" t="str">
        <f t="shared" si="6"/>
        <v/>
      </c>
      <c r="AC77" s="58" t="s">
        <v>73</v>
      </c>
      <c r="AD77" s="57" t="str">
        <f t="shared" si="7"/>
        <v/>
      </c>
      <c r="AE77" s="59"/>
      <c r="AF77" s="59"/>
      <c r="AG77" s="59"/>
      <c r="AH77" s="59"/>
      <c r="AI77" s="59" t="s">
        <v>73</v>
      </c>
      <c r="AJ77" s="59"/>
      <c r="AK77" s="59" t="s">
        <v>73</v>
      </c>
      <c r="AL77" s="59"/>
      <c r="AM77" s="59" t="s">
        <v>73</v>
      </c>
      <c r="AN77" s="59"/>
      <c r="AO77" s="59" t="s">
        <v>73</v>
      </c>
      <c r="AP77" s="59"/>
      <c r="AQ77" s="59" t="s">
        <v>73</v>
      </c>
      <c r="AR77" s="59"/>
      <c r="AS77" s="59" t="s">
        <v>72</v>
      </c>
      <c r="AT77" s="59"/>
      <c r="AU77" s="59"/>
      <c r="AV77" s="59"/>
      <c r="AW77" s="59"/>
      <c r="AX77" s="59"/>
      <c r="AY77" s="60" t="str">
        <f>IF('Cálculo MP'!K87="","",'Cálculo MP'!K87)</f>
        <v/>
      </c>
      <c r="AZ77" s="60" t="str">
        <f>IF('Cálculo MP'!L87="","",'Cálculo MP'!L87)</f>
        <v/>
      </c>
      <c r="BA77" s="60" t="str">
        <f>IF('Cálculo MP'!M87="","",'Cálculo MP'!M87)</f>
        <v/>
      </c>
      <c r="BB77" s="60" t="str">
        <f>IF('Cálculo MP'!N87="","",'Cálculo MP'!N87)</f>
        <v/>
      </c>
      <c r="BC77" s="60" t="str">
        <f>IF('Cálculo MP'!O87="","",'Cálculo MP'!O87)</f>
        <v/>
      </c>
      <c r="BD77" s="60" t="str">
        <f>IF('Cálculo MP'!P87="","",'Cálculo MP'!P87)</f>
        <v/>
      </c>
      <c r="BE77" s="60" t="str">
        <f>IF('Cálculo MP'!Q87="","",'Cálculo MP'!Q87)</f>
        <v/>
      </c>
      <c r="BF77" s="60" t="str">
        <f>IF('Cálculo MP'!R87="","",'Cálculo MP'!R87)</f>
        <v/>
      </c>
      <c r="BG77" s="60" t="str">
        <f>IF('Cálculo MP'!S87="","",'Cálculo MP'!S87)</f>
        <v/>
      </c>
      <c r="BH77" s="59"/>
      <c r="BI77" s="59"/>
      <c r="BJ77" s="59"/>
      <c r="BK77" s="59"/>
      <c r="BL77" s="59"/>
      <c r="BM77" s="59"/>
      <c r="BN77" s="59"/>
      <c r="BO77" s="59"/>
    </row>
    <row r="78" spans="1:67" ht="19.5" customHeight="1" x14ac:dyDescent="0.15">
      <c r="A78" s="123" t="s">
        <v>1856</v>
      </c>
      <c r="B78" s="122" t="s">
        <v>1854</v>
      </c>
      <c r="C78" s="49"/>
      <c r="D78" s="48" t="s">
        <v>73</v>
      </c>
      <c r="E78" s="49"/>
      <c r="F78" s="50"/>
      <c r="G78" s="62"/>
      <c r="H78" s="48" t="s">
        <v>72</v>
      </c>
      <c r="I78" s="52">
        <v>1</v>
      </c>
      <c r="J78" s="52"/>
      <c r="K78" s="52" t="s">
        <v>73</v>
      </c>
      <c r="L78" s="52" t="s">
        <v>74</v>
      </c>
      <c r="M78" s="53" t="s">
        <v>942</v>
      </c>
      <c r="N78" s="58" t="s">
        <v>73</v>
      </c>
      <c r="O78" s="48" t="s">
        <v>72</v>
      </c>
      <c r="P78" s="48" t="s">
        <v>73</v>
      </c>
      <c r="Q78" s="54" t="s">
        <v>73</v>
      </c>
      <c r="R78" s="55" t="s">
        <v>73</v>
      </c>
      <c r="S78" s="48" t="s">
        <v>73</v>
      </c>
      <c r="T78" s="130"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8" t="str" cm="1">
        <f t="array" ref="U78">IF(SUMPRODUCT(--((CAT_Procesos!$E$2:$E$1581=O78)*(CAT_Procesos!$F$2:$F$1581=_xlfn.TEXTJOIN(" + ",TRUE,IF((TRIM(P78:S78)="")+(LOWER(TRIM(P78:S78))="(seleccione)"),"",PROPER(TRIM(P78:S78)))))*(CAT_Procesos!$D$2:$D$1581=IFERROR(VLOOKUP(N78&amp;"*",CAT_Procesos!$D:$D,1,FALSE),""))))=0,"Combinación no existente",IF(SUMPRODUCT(((CAT_Procesos!$E$2:$E$1581=O78)*(CAT_Procesos!$F$2:$F$1581=_xlfn.TEXTJOIN(" + ",TRUE,IF((TRIM(P78:S78)="")+(LOWER(TRIM(P78:S78))="(seleccione)"),"",PROPER(TRIM(P78:S78)))))*(CAT_Procesos!$D$2:$D$1581=IFERROR(VLOOKUP(N78&amp;"*",CAT_Procesos!$D:$D,1,FALSE),"")))*(CAT_Procesos!$G$2:$G$1581=INDEX(CAT_Procesos!$G$2:$G$1581,MATCH(1,(CAT_Procesos!$E$2:$E$1581=O78)*(CAT_Procesos!$F$2:$F$1581=_xlfn.TEXTJOIN(" + ",TRUE,IF((TRIM(P78:S78)="")+(LOWER(TRIM(P78:S78))="(seleccione)"),"",PROPER(TRIM(P78:S78)))))*(CAT_Procesos!$D$2:$D$1581=IFERROR(VLOOKUP(N78&amp;"*",CAT_Procesos!$D:$D,1,FALSE),"")),0))))=SUMPRODUCT(--((CAT_Procesos!$E$2:$E$1581=O78)*(CAT_Procesos!$F$2:$F$1581=_xlfn.TEXTJOIN(" + ",TRUE,IF((TRIM(P78:S78)="")+(LOWER(TRIM(P78:S78))="(seleccione)"),"",PROPER(TRIM(P78:S78)))))*(CAT_Procesos!$D$2:$D$1581=IFERROR(VLOOKUP(N78&amp;"*",CAT_Procesos!$D:$D,1,FALSE),"")))),INDEX(CAT_Procesos!$G$2:$G$1581,MATCH(1,(CAT_Procesos!$E$2:$E$1581=O78)*(CAT_Procesos!$F$2:$F$1581=_xlfn.TEXTJOIN(" + ",TRUE,IF((TRIM(P78:S78)="")+(LOWER(TRIM(P78:S78))="(seleccione)"),"",PROPER(TRIM(P78:S78)))))*(CAT_Procesos!$D$2:$D$1581=IFERROR(VLOOKUP(N78&amp;"*",CAT_Procesos!$D:$D,1,FALSE),"")),0)),"(seleccione)"))</f>
        <v>Combinación no existente</v>
      </c>
      <c r="V78" s="55" t="s">
        <v>73</v>
      </c>
      <c r="W78" s="56" t="s">
        <v>73</v>
      </c>
      <c r="X78" s="57" t="str">
        <f t="shared" si="4"/>
        <v/>
      </c>
      <c r="Y78" s="58" t="s">
        <v>73</v>
      </c>
      <c r="Z78" s="57" t="str">
        <f t="shared" si="5"/>
        <v/>
      </c>
      <c r="AA78" s="58" t="s">
        <v>73</v>
      </c>
      <c r="AB78" s="57" t="str">
        <f t="shared" si="6"/>
        <v/>
      </c>
      <c r="AC78" s="58" t="s">
        <v>73</v>
      </c>
      <c r="AD78" s="57" t="str">
        <f t="shared" si="7"/>
        <v/>
      </c>
      <c r="AE78" s="59"/>
      <c r="AF78" s="59"/>
      <c r="AG78" s="59"/>
      <c r="AH78" s="59"/>
      <c r="AI78" s="59" t="s">
        <v>73</v>
      </c>
      <c r="AJ78" s="59"/>
      <c r="AK78" s="59" t="s">
        <v>73</v>
      </c>
      <c r="AL78" s="59"/>
      <c r="AM78" s="59" t="s">
        <v>73</v>
      </c>
      <c r="AN78" s="59"/>
      <c r="AO78" s="59" t="s">
        <v>73</v>
      </c>
      <c r="AP78" s="59"/>
      <c r="AQ78" s="59" t="s">
        <v>73</v>
      </c>
      <c r="AR78" s="59"/>
      <c r="AS78" s="59" t="s">
        <v>72</v>
      </c>
      <c r="AT78" s="59"/>
      <c r="AU78" s="59"/>
      <c r="AV78" s="59"/>
      <c r="AW78" s="59"/>
      <c r="AX78" s="59"/>
      <c r="AY78" s="60" t="str">
        <f>IF('Cálculo MP'!K88="","",'Cálculo MP'!K88)</f>
        <v/>
      </c>
      <c r="AZ78" s="60" t="str">
        <f>IF('Cálculo MP'!L88="","",'Cálculo MP'!L88)</f>
        <v/>
      </c>
      <c r="BA78" s="60" t="str">
        <f>IF('Cálculo MP'!M88="","",'Cálculo MP'!M88)</f>
        <v/>
      </c>
      <c r="BB78" s="60" t="str">
        <f>IF('Cálculo MP'!N88="","",'Cálculo MP'!N88)</f>
        <v/>
      </c>
      <c r="BC78" s="60" t="str">
        <f>IF('Cálculo MP'!O88="","",'Cálculo MP'!O88)</f>
        <v/>
      </c>
      <c r="BD78" s="60" t="str">
        <f>IF('Cálculo MP'!P88="","",'Cálculo MP'!P88)</f>
        <v/>
      </c>
      <c r="BE78" s="60" t="str">
        <f>IF('Cálculo MP'!Q88="","",'Cálculo MP'!Q88)</f>
        <v/>
      </c>
      <c r="BF78" s="60" t="str">
        <f>IF('Cálculo MP'!R88="","",'Cálculo MP'!R88)</f>
        <v/>
      </c>
      <c r="BG78" s="60" t="str">
        <f>IF('Cálculo MP'!S88="","",'Cálculo MP'!S88)</f>
        <v/>
      </c>
      <c r="BH78" s="59"/>
      <c r="BI78" s="59"/>
      <c r="BJ78" s="59"/>
      <c r="BK78" s="59"/>
      <c r="BL78" s="59"/>
      <c r="BM78" s="59"/>
      <c r="BN78" s="59"/>
      <c r="BO78" s="59"/>
    </row>
    <row r="79" spans="1:67" ht="19.5" customHeight="1" x14ac:dyDescent="0.15">
      <c r="A79" s="123" t="s">
        <v>1856</v>
      </c>
      <c r="B79" s="122" t="s">
        <v>1854</v>
      </c>
      <c r="C79" s="49"/>
      <c r="D79" s="48" t="s">
        <v>73</v>
      </c>
      <c r="E79" s="49"/>
      <c r="F79" s="50"/>
      <c r="G79" s="62"/>
      <c r="H79" s="48" t="s">
        <v>72</v>
      </c>
      <c r="I79" s="52">
        <v>1</v>
      </c>
      <c r="J79" s="52"/>
      <c r="K79" s="52" t="s">
        <v>73</v>
      </c>
      <c r="L79" s="52" t="s">
        <v>74</v>
      </c>
      <c r="M79" s="53" t="s">
        <v>942</v>
      </c>
      <c r="N79" s="58" t="s">
        <v>73</v>
      </c>
      <c r="O79" s="48" t="s">
        <v>72</v>
      </c>
      <c r="P79" s="48" t="s">
        <v>73</v>
      </c>
      <c r="Q79" s="54" t="s">
        <v>73</v>
      </c>
      <c r="R79" s="55" t="s">
        <v>73</v>
      </c>
      <c r="S79" s="48" t="s">
        <v>73</v>
      </c>
      <c r="T79" s="130"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8" t="str" cm="1">
        <f t="array" ref="U79">IF(SUMPRODUCT(--((CAT_Procesos!$E$2:$E$1581=O79)*(CAT_Procesos!$F$2:$F$1581=_xlfn.TEXTJOIN(" + ",TRUE,IF((TRIM(P79:S79)="")+(LOWER(TRIM(P79:S79))="(seleccione)"),"",PROPER(TRIM(P79:S79)))))*(CAT_Procesos!$D$2:$D$1581=IFERROR(VLOOKUP(N79&amp;"*",CAT_Procesos!$D:$D,1,FALSE),""))))=0,"Combinación no existente",IF(SUMPRODUCT(((CAT_Procesos!$E$2:$E$1581=O79)*(CAT_Procesos!$F$2:$F$1581=_xlfn.TEXTJOIN(" + ",TRUE,IF((TRIM(P79:S79)="")+(LOWER(TRIM(P79:S79))="(seleccione)"),"",PROPER(TRIM(P79:S79)))))*(CAT_Procesos!$D$2:$D$1581=IFERROR(VLOOKUP(N79&amp;"*",CAT_Procesos!$D:$D,1,FALSE),"")))*(CAT_Procesos!$G$2:$G$1581=INDEX(CAT_Procesos!$G$2:$G$1581,MATCH(1,(CAT_Procesos!$E$2:$E$1581=O79)*(CAT_Procesos!$F$2:$F$1581=_xlfn.TEXTJOIN(" + ",TRUE,IF((TRIM(P79:S79)="")+(LOWER(TRIM(P79:S79))="(seleccione)"),"",PROPER(TRIM(P79:S79)))))*(CAT_Procesos!$D$2:$D$1581=IFERROR(VLOOKUP(N79&amp;"*",CAT_Procesos!$D:$D,1,FALSE),"")),0))))=SUMPRODUCT(--((CAT_Procesos!$E$2:$E$1581=O79)*(CAT_Procesos!$F$2:$F$1581=_xlfn.TEXTJOIN(" + ",TRUE,IF((TRIM(P79:S79)="")+(LOWER(TRIM(P79:S79))="(seleccione)"),"",PROPER(TRIM(P79:S79)))))*(CAT_Procesos!$D$2:$D$1581=IFERROR(VLOOKUP(N79&amp;"*",CAT_Procesos!$D:$D,1,FALSE),"")))),INDEX(CAT_Procesos!$G$2:$G$1581,MATCH(1,(CAT_Procesos!$E$2:$E$1581=O79)*(CAT_Procesos!$F$2:$F$1581=_xlfn.TEXTJOIN(" + ",TRUE,IF((TRIM(P79:S79)="")+(LOWER(TRIM(P79:S79))="(seleccione)"),"",PROPER(TRIM(P79:S79)))))*(CAT_Procesos!$D$2:$D$1581=IFERROR(VLOOKUP(N79&amp;"*",CAT_Procesos!$D:$D,1,FALSE),"")),0)),"(seleccione)"))</f>
        <v>Combinación no existente</v>
      </c>
      <c r="V79" s="55" t="s">
        <v>73</v>
      </c>
      <c r="W79" s="56" t="s">
        <v>73</v>
      </c>
      <c r="X79" s="57" t="str">
        <f t="shared" si="4"/>
        <v/>
      </c>
      <c r="Y79" s="58" t="s">
        <v>73</v>
      </c>
      <c r="Z79" s="57" t="str">
        <f t="shared" si="5"/>
        <v/>
      </c>
      <c r="AA79" s="58" t="s">
        <v>73</v>
      </c>
      <c r="AB79" s="57" t="str">
        <f t="shared" si="6"/>
        <v/>
      </c>
      <c r="AC79" s="58" t="s">
        <v>73</v>
      </c>
      <c r="AD79" s="57" t="str">
        <f t="shared" si="7"/>
        <v/>
      </c>
      <c r="AE79" s="59"/>
      <c r="AF79" s="59"/>
      <c r="AG79" s="59"/>
      <c r="AH79" s="59"/>
      <c r="AI79" s="59" t="s">
        <v>73</v>
      </c>
      <c r="AJ79" s="59"/>
      <c r="AK79" s="59" t="s">
        <v>73</v>
      </c>
      <c r="AL79" s="59"/>
      <c r="AM79" s="59" t="s">
        <v>73</v>
      </c>
      <c r="AN79" s="59"/>
      <c r="AO79" s="59" t="s">
        <v>73</v>
      </c>
      <c r="AP79" s="59"/>
      <c r="AQ79" s="59" t="s">
        <v>73</v>
      </c>
      <c r="AR79" s="59"/>
      <c r="AS79" s="59" t="s">
        <v>72</v>
      </c>
      <c r="AT79" s="59"/>
      <c r="AU79" s="59"/>
      <c r="AV79" s="59"/>
      <c r="AW79" s="59"/>
      <c r="AX79" s="59"/>
      <c r="AY79" s="60" t="str">
        <f>IF('Cálculo MP'!K89="","",'Cálculo MP'!K89)</f>
        <v/>
      </c>
      <c r="AZ79" s="60" t="str">
        <f>IF('Cálculo MP'!L89="","",'Cálculo MP'!L89)</f>
        <v/>
      </c>
      <c r="BA79" s="60" t="str">
        <f>IF('Cálculo MP'!M89="","",'Cálculo MP'!M89)</f>
        <v/>
      </c>
      <c r="BB79" s="60" t="str">
        <f>IF('Cálculo MP'!N89="","",'Cálculo MP'!N89)</f>
        <v/>
      </c>
      <c r="BC79" s="60" t="str">
        <f>IF('Cálculo MP'!O89="","",'Cálculo MP'!O89)</f>
        <v/>
      </c>
      <c r="BD79" s="60" t="str">
        <f>IF('Cálculo MP'!P89="","",'Cálculo MP'!P89)</f>
        <v/>
      </c>
      <c r="BE79" s="60" t="str">
        <f>IF('Cálculo MP'!Q89="","",'Cálculo MP'!Q89)</f>
        <v/>
      </c>
      <c r="BF79" s="60" t="str">
        <f>IF('Cálculo MP'!R89="","",'Cálculo MP'!R89)</f>
        <v/>
      </c>
      <c r="BG79" s="60" t="str">
        <f>IF('Cálculo MP'!S89="","",'Cálculo MP'!S89)</f>
        <v/>
      </c>
      <c r="BH79" s="59"/>
      <c r="BI79" s="59"/>
      <c r="BJ79" s="59"/>
      <c r="BK79" s="59"/>
      <c r="BL79" s="59"/>
      <c r="BM79" s="59"/>
      <c r="BN79" s="59"/>
      <c r="BO79" s="59"/>
    </row>
    <row r="80" spans="1:67" ht="19.5" customHeight="1" x14ac:dyDescent="0.15">
      <c r="A80" s="123" t="s">
        <v>1856</v>
      </c>
      <c r="B80" s="122" t="s">
        <v>1854</v>
      </c>
      <c r="C80" s="49"/>
      <c r="D80" s="48" t="s">
        <v>73</v>
      </c>
      <c r="E80" s="49"/>
      <c r="F80" s="50"/>
      <c r="G80" s="62"/>
      <c r="H80" s="48" t="s">
        <v>72</v>
      </c>
      <c r="I80" s="52">
        <v>1</v>
      </c>
      <c r="J80" s="52"/>
      <c r="K80" s="52" t="s">
        <v>73</v>
      </c>
      <c r="L80" s="52" t="s">
        <v>74</v>
      </c>
      <c r="M80" s="53" t="s">
        <v>942</v>
      </c>
      <c r="N80" s="58" t="s">
        <v>73</v>
      </c>
      <c r="O80" s="48" t="s">
        <v>72</v>
      </c>
      <c r="P80" s="48" t="s">
        <v>73</v>
      </c>
      <c r="Q80" s="54" t="s">
        <v>73</v>
      </c>
      <c r="R80" s="55" t="s">
        <v>73</v>
      </c>
      <c r="S80" s="48" t="s">
        <v>73</v>
      </c>
      <c r="T80" s="130"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8" t="str" cm="1">
        <f t="array" ref="U80">IF(SUMPRODUCT(--((CAT_Procesos!$E$2:$E$1581=O80)*(CAT_Procesos!$F$2:$F$1581=_xlfn.TEXTJOIN(" + ",TRUE,IF((TRIM(P80:S80)="")+(LOWER(TRIM(P80:S80))="(seleccione)"),"",PROPER(TRIM(P80:S80)))))*(CAT_Procesos!$D$2:$D$1581=IFERROR(VLOOKUP(N80&amp;"*",CAT_Procesos!$D:$D,1,FALSE),""))))=0,"Combinación no existente",IF(SUMPRODUCT(((CAT_Procesos!$E$2:$E$1581=O80)*(CAT_Procesos!$F$2:$F$1581=_xlfn.TEXTJOIN(" + ",TRUE,IF((TRIM(P80:S80)="")+(LOWER(TRIM(P80:S80))="(seleccione)"),"",PROPER(TRIM(P80:S80)))))*(CAT_Procesos!$D$2:$D$1581=IFERROR(VLOOKUP(N80&amp;"*",CAT_Procesos!$D:$D,1,FALSE),"")))*(CAT_Procesos!$G$2:$G$1581=INDEX(CAT_Procesos!$G$2:$G$1581,MATCH(1,(CAT_Procesos!$E$2:$E$1581=O80)*(CAT_Procesos!$F$2:$F$1581=_xlfn.TEXTJOIN(" + ",TRUE,IF((TRIM(P80:S80)="")+(LOWER(TRIM(P80:S80))="(seleccione)"),"",PROPER(TRIM(P80:S80)))))*(CAT_Procesos!$D$2:$D$1581=IFERROR(VLOOKUP(N80&amp;"*",CAT_Procesos!$D:$D,1,FALSE),"")),0))))=SUMPRODUCT(--((CAT_Procesos!$E$2:$E$1581=O80)*(CAT_Procesos!$F$2:$F$1581=_xlfn.TEXTJOIN(" + ",TRUE,IF((TRIM(P80:S80)="")+(LOWER(TRIM(P80:S80))="(seleccione)"),"",PROPER(TRIM(P80:S80)))))*(CAT_Procesos!$D$2:$D$1581=IFERROR(VLOOKUP(N80&amp;"*",CAT_Procesos!$D:$D,1,FALSE),"")))),INDEX(CAT_Procesos!$G$2:$G$1581,MATCH(1,(CAT_Procesos!$E$2:$E$1581=O80)*(CAT_Procesos!$F$2:$F$1581=_xlfn.TEXTJOIN(" + ",TRUE,IF((TRIM(P80:S80)="")+(LOWER(TRIM(P80:S80))="(seleccione)"),"",PROPER(TRIM(P80:S80)))))*(CAT_Procesos!$D$2:$D$1581=IFERROR(VLOOKUP(N80&amp;"*",CAT_Procesos!$D:$D,1,FALSE),"")),0)),"(seleccione)"))</f>
        <v>Combinación no existente</v>
      </c>
      <c r="V80" s="55" t="s">
        <v>73</v>
      </c>
      <c r="W80" s="56" t="s">
        <v>73</v>
      </c>
      <c r="X80" s="57" t="str">
        <f t="shared" si="4"/>
        <v/>
      </c>
      <c r="Y80" s="58" t="s">
        <v>73</v>
      </c>
      <c r="Z80" s="57" t="str">
        <f t="shared" si="5"/>
        <v/>
      </c>
      <c r="AA80" s="58" t="s">
        <v>73</v>
      </c>
      <c r="AB80" s="57" t="str">
        <f t="shared" si="6"/>
        <v/>
      </c>
      <c r="AC80" s="58" t="s">
        <v>73</v>
      </c>
      <c r="AD80" s="57" t="str">
        <f t="shared" si="7"/>
        <v/>
      </c>
      <c r="AE80" s="59"/>
      <c r="AF80" s="59"/>
      <c r="AG80" s="59"/>
      <c r="AH80" s="59"/>
      <c r="AI80" s="59" t="s">
        <v>73</v>
      </c>
      <c r="AJ80" s="59"/>
      <c r="AK80" s="59" t="s">
        <v>73</v>
      </c>
      <c r="AL80" s="59"/>
      <c r="AM80" s="59" t="s">
        <v>73</v>
      </c>
      <c r="AN80" s="59"/>
      <c r="AO80" s="59" t="s">
        <v>73</v>
      </c>
      <c r="AP80" s="59"/>
      <c r="AQ80" s="59" t="s">
        <v>73</v>
      </c>
      <c r="AR80" s="59"/>
      <c r="AS80" s="59" t="s">
        <v>72</v>
      </c>
      <c r="AT80" s="59"/>
      <c r="AU80" s="59"/>
      <c r="AV80" s="59"/>
      <c r="AW80" s="59"/>
      <c r="AX80" s="59"/>
      <c r="AY80" s="60" t="str">
        <f>IF('Cálculo MP'!K90="","",'Cálculo MP'!K90)</f>
        <v/>
      </c>
      <c r="AZ80" s="60" t="str">
        <f>IF('Cálculo MP'!L90="","",'Cálculo MP'!L90)</f>
        <v/>
      </c>
      <c r="BA80" s="60" t="str">
        <f>IF('Cálculo MP'!M90="","",'Cálculo MP'!M90)</f>
        <v/>
      </c>
      <c r="BB80" s="60" t="str">
        <f>IF('Cálculo MP'!N90="","",'Cálculo MP'!N90)</f>
        <v/>
      </c>
      <c r="BC80" s="60" t="str">
        <f>IF('Cálculo MP'!O90="","",'Cálculo MP'!O90)</f>
        <v/>
      </c>
      <c r="BD80" s="60" t="str">
        <f>IF('Cálculo MP'!P90="","",'Cálculo MP'!P90)</f>
        <v/>
      </c>
      <c r="BE80" s="60" t="str">
        <f>IF('Cálculo MP'!Q90="","",'Cálculo MP'!Q90)</f>
        <v/>
      </c>
      <c r="BF80" s="60" t="str">
        <f>IF('Cálculo MP'!R90="","",'Cálculo MP'!R90)</f>
        <v/>
      </c>
      <c r="BG80" s="60" t="str">
        <f>IF('Cálculo MP'!S90="","",'Cálculo MP'!S90)</f>
        <v/>
      </c>
      <c r="BH80" s="59"/>
      <c r="BI80" s="59"/>
      <c r="BJ80" s="59"/>
      <c r="BK80" s="59"/>
      <c r="BL80" s="59"/>
      <c r="BM80" s="59"/>
      <c r="BN80" s="59"/>
      <c r="BO80" s="59"/>
    </row>
    <row r="81" spans="1:67" ht="19.5" customHeight="1" x14ac:dyDescent="0.15">
      <c r="A81" s="123" t="s">
        <v>1856</v>
      </c>
      <c r="B81" s="122" t="s">
        <v>1854</v>
      </c>
      <c r="C81" s="49"/>
      <c r="D81" s="48" t="s">
        <v>73</v>
      </c>
      <c r="E81" s="49"/>
      <c r="F81" s="50"/>
      <c r="G81" s="62"/>
      <c r="H81" s="48" t="s">
        <v>72</v>
      </c>
      <c r="I81" s="52">
        <v>1</v>
      </c>
      <c r="J81" s="52"/>
      <c r="K81" s="52" t="s">
        <v>73</v>
      </c>
      <c r="L81" s="52" t="s">
        <v>74</v>
      </c>
      <c r="M81" s="53" t="s">
        <v>942</v>
      </c>
      <c r="N81" s="58" t="s">
        <v>73</v>
      </c>
      <c r="O81" s="48" t="s">
        <v>72</v>
      </c>
      <c r="P81" s="48" t="s">
        <v>73</v>
      </c>
      <c r="Q81" s="54" t="s">
        <v>73</v>
      </c>
      <c r="R81" s="55" t="s">
        <v>73</v>
      </c>
      <c r="S81" s="48" t="s">
        <v>73</v>
      </c>
      <c r="T81" s="130"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8" t="str" cm="1">
        <f t="array" ref="U81">IF(SUMPRODUCT(--((CAT_Procesos!$E$2:$E$1581=O81)*(CAT_Procesos!$F$2:$F$1581=_xlfn.TEXTJOIN(" + ",TRUE,IF((TRIM(P81:S81)="")+(LOWER(TRIM(P81:S81))="(seleccione)"),"",PROPER(TRIM(P81:S81)))))*(CAT_Procesos!$D$2:$D$1581=IFERROR(VLOOKUP(N81&amp;"*",CAT_Procesos!$D:$D,1,FALSE),""))))=0,"Combinación no existente",IF(SUMPRODUCT(((CAT_Procesos!$E$2:$E$1581=O81)*(CAT_Procesos!$F$2:$F$1581=_xlfn.TEXTJOIN(" + ",TRUE,IF((TRIM(P81:S81)="")+(LOWER(TRIM(P81:S81))="(seleccione)"),"",PROPER(TRIM(P81:S81)))))*(CAT_Procesos!$D$2:$D$1581=IFERROR(VLOOKUP(N81&amp;"*",CAT_Procesos!$D:$D,1,FALSE),"")))*(CAT_Procesos!$G$2:$G$1581=INDEX(CAT_Procesos!$G$2:$G$1581,MATCH(1,(CAT_Procesos!$E$2:$E$1581=O81)*(CAT_Procesos!$F$2:$F$1581=_xlfn.TEXTJOIN(" + ",TRUE,IF((TRIM(P81:S81)="")+(LOWER(TRIM(P81:S81))="(seleccione)"),"",PROPER(TRIM(P81:S81)))))*(CAT_Procesos!$D$2:$D$1581=IFERROR(VLOOKUP(N81&amp;"*",CAT_Procesos!$D:$D,1,FALSE),"")),0))))=SUMPRODUCT(--((CAT_Procesos!$E$2:$E$1581=O81)*(CAT_Procesos!$F$2:$F$1581=_xlfn.TEXTJOIN(" + ",TRUE,IF((TRIM(P81:S81)="")+(LOWER(TRIM(P81:S81))="(seleccione)"),"",PROPER(TRIM(P81:S81)))))*(CAT_Procesos!$D$2:$D$1581=IFERROR(VLOOKUP(N81&amp;"*",CAT_Procesos!$D:$D,1,FALSE),"")))),INDEX(CAT_Procesos!$G$2:$G$1581,MATCH(1,(CAT_Procesos!$E$2:$E$1581=O81)*(CAT_Procesos!$F$2:$F$1581=_xlfn.TEXTJOIN(" + ",TRUE,IF((TRIM(P81:S81)="")+(LOWER(TRIM(P81:S81))="(seleccione)"),"",PROPER(TRIM(P81:S81)))))*(CAT_Procesos!$D$2:$D$1581=IFERROR(VLOOKUP(N81&amp;"*",CAT_Procesos!$D:$D,1,FALSE),"")),0)),"(seleccione)"))</f>
        <v>Combinación no existente</v>
      </c>
      <c r="V81" s="55" t="s">
        <v>73</v>
      </c>
      <c r="W81" s="56" t="s">
        <v>73</v>
      </c>
      <c r="X81" s="57" t="str">
        <f t="shared" si="4"/>
        <v/>
      </c>
      <c r="Y81" s="58" t="s">
        <v>73</v>
      </c>
      <c r="Z81" s="57" t="str">
        <f t="shared" si="5"/>
        <v/>
      </c>
      <c r="AA81" s="58" t="s">
        <v>73</v>
      </c>
      <c r="AB81" s="57" t="str">
        <f t="shared" si="6"/>
        <v/>
      </c>
      <c r="AC81" s="58" t="s">
        <v>73</v>
      </c>
      <c r="AD81" s="57" t="str">
        <f t="shared" si="7"/>
        <v/>
      </c>
      <c r="AE81" s="59"/>
      <c r="AF81" s="59"/>
      <c r="AG81" s="59"/>
      <c r="AH81" s="59"/>
      <c r="AI81" s="59" t="s">
        <v>73</v>
      </c>
      <c r="AJ81" s="59"/>
      <c r="AK81" s="59" t="s">
        <v>73</v>
      </c>
      <c r="AL81" s="59"/>
      <c r="AM81" s="59" t="s">
        <v>73</v>
      </c>
      <c r="AN81" s="59"/>
      <c r="AO81" s="59" t="s">
        <v>73</v>
      </c>
      <c r="AP81" s="59"/>
      <c r="AQ81" s="59" t="s">
        <v>73</v>
      </c>
      <c r="AR81" s="59"/>
      <c r="AS81" s="59" t="s">
        <v>72</v>
      </c>
      <c r="AT81" s="59"/>
      <c r="AU81" s="59"/>
      <c r="AV81" s="59"/>
      <c r="AW81" s="59"/>
      <c r="AX81" s="59"/>
      <c r="AY81" s="60" t="str">
        <f>IF('Cálculo MP'!K91="","",'Cálculo MP'!K91)</f>
        <v/>
      </c>
      <c r="AZ81" s="60" t="str">
        <f>IF('Cálculo MP'!L91="","",'Cálculo MP'!L91)</f>
        <v/>
      </c>
      <c r="BA81" s="60" t="str">
        <f>IF('Cálculo MP'!M91="","",'Cálculo MP'!M91)</f>
        <v/>
      </c>
      <c r="BB81" s="60" t="str">
        <f>IF('Cálculo MP'!N91="","",'Cálculo MP'!N91)</f>
        <v/>
      </c>
      <c r="BC81" s="60" t="str">
        <f>IF('Cálculo MP'!O91="","",'Cálculo MP'!O91)</f>
        <v/>
      </c>
      <c r="BD81" s="60" t="str">
        <f>IF('Cálculo MP'!P91="","",'Cálculo MP'!P91)</f>
        <v/>
      </c>
      <c r="BE81" s="60" t="str">
        <f>IF('Cálculo MP'!Q91="","",'Cálculo MP'!Q91)</f>
        <v/>
      </c>
      <c r="BF81" s="60" t="str">
        <f>IF('Cálculo MP'!R91="","",'Cálculo MP'!R91)</f>
        <v/>
      </c>
      <c r="BG81" s="60" t="str">
        <f>IF('Cálculo MP'!S91="","",'Cálculo MP'!S91)</f>
        <v/>
      </c>
      <c r="BH81" s="59"/>
      <c r="BI81" s="59"/>
      <c r="BJ81" s="59"/>
      <c r="BK81" s="59"/>
      <c r="BL81" s="59"/>
      <c r="BM81" s="59"/>
      <c r="BN81" s="59"/>
      <c r="BO81" s="59"/>
    </row>
    <row r="82" spans="1:67" ht="19.5" customHeight="1" x14ac:dyDescent="0.15">
      <c r="A82" s="123" t="s">
        <v>1856</v>
      </c>
      <c r="B82" s="122" t="s">
        <v>1854</v>
      </c>
      <c r="C82" s="49"/>
      <c r="D82" s="48" t="s">
        <v>73</v>
      </c>
      <c r="E82" s="49"/>
      <c r="F82" s="50"/>
      <c r="G82" s="62"/>
      <c r="H82" s="48" t="s">
        <v>72</v>
      </c>
      <c r="I82" s="52">
        <v>1</v>
      </c>
      <c r="J82" s="52"/>
      <c r="K82" s="52" t="s">
        <v>73</v>
      </c>
      <c r="L82" s="52" t="s">
        <v>74</v>
      </c>
      <c r="M82" s="53" t="s">
        <v>942</v>
      </c>
      <c r="N82" s="58" t="s">
        <v>73</v>
      </c>
      <c r="O82" s="48" t="s">
        <v>72</v>
      </c>
      <c r="P82" s="48" t="s">
        <v>73</v>
      </c>
      <c r="Q82" s="54" t="s">
        <v>73</v>
      </c>
      <c r="R82" s="55" t="s">
        <v>73</v>
      </c>
      <c r="S82" s="48" t="s">
        <v>73</v>
      </c>
      <c r="T82" s="130"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8" t="str" cm="1">
        <f t="array" ref="U82">IF(SUMPRODUCT(--((CAT_Procesos!$E$2:$E$1581=O82)*(CAT_Procesos!$F$2:$F$1581=_xlfn.TEXTJOIN(" + ",TRUE,IF((TRIM(P82:S82)="")+(LOWER(TRIM(P82:S82))="(seleccione)"),"",PROPER(TRIM(P82:S82)))))*(CAT_Procesos!$D$2:$D$1581=IFERROR(VLOOKUP(N82&amp;"*",CAT_Procesos!$D:$D,1,FALSE),""))))=0,"Combinación no existente",IF(SUMPRODUCT(((CAT_Procesos!$E$2:$E$1581=O82)*(CAT_Procesos!$F$2:$F$1581=_xlfn.TEXTJOIN(" + ",TRUE,IF((TRIM(P82:S82)="")+(LOWER(TRIM(P82:S82))="(seleccione)"),"",PROPER(TRIM(P82:S82)))))*(CAT_Procesos!$D$2:$D$1581=IFERROR(VLOOKUP(N82&amp;"*",CAT_Procesos!$D:$D,1,FALSE),"")))*(CAT_Procesos!$G$2:$G$1581=INDEX(CAT_Procesos!$G$2:$G$1581,MATCH(1,(CAT_Procesos!$E$2:$E$1581=O82)*(CAT_Procesos!$F$2:$F$1581=_xlfn.TEXTJOIN(" + ",TRUE,IF((TRIM(P82:S82)="")+(LOWER(TRIM(P82:S82))="(seleccione)"),"",PROPER(TRIM(P82:S82)))))*(CAT_Procesos!$D$2:$D$1581=IFERROR(VLOOKUP(N82&amp;"*",CAT_Procesos!$D:$D,1,FALSE),"")),0))))=SUMPRODUCT(--((CAT_Procesos!$E$2:$E$1581=O82)*(CAT_Procesos!$F$2:$F$1581=_xlfn.TEXTJOIN(" + ",TRUE,IF((TRIM(P82:S82)="")+(LOWER(TRIM(P82:S82))="(seleccione)"),"",PROPER(TRIM(P82:S82)))))*(CAT_Procesos!$D$2:$D$1581=IFERROR(VLOOKUP(N82&amp;"*",CAT_Procesos!$D:$D,1,FALSE),"")))),INDEX(CAT_Procesos!$G$2:$G$1581,MATCH(1,(CAT_Procesos!$E$2:$E$1581=O82)*(CAT_Procesos!$F$2:$F$1581=_xlfn.TEXTJOIN(" + ",TRUE,IF((TRIM(P82:S82)="")+(LOWER(TRIM(P82:S82))="(seleccione)"),"",PROPER(TRIM(P82:S82)))))*(CAT_Procesos!$D$2:$D$1581=IFERROR(VLOOKUP(N82&amp;"*",CAT_Procesos!$D:$D,1,FALSE),"")),0)),"(seleccione)"))</f>
        <v>Combinación no existente</v>
      </c>
      <c r="V82" s="55" t="s">
        <v>73</v>
      </c>
      <c r="W82" s="56" t="s">
        <v>73</v>
      </c>
      <c r="X82" s="57" t="str">
        <f t="shared" si="4"/>
        <v/>
      </c>
      <c r="Y82" s="58" t="s">
        <v>73</v>
      </c>
      <c r="Z82" s="57" t="str">
        <f t="shared" si="5"/>
        <v/>
      </c>
      <c r="AA82" s="58" t="s">
        <v>73</v>
      </c>
      <c r="AB82" s="57" t="str">
        <f t="shared" si="6"/>
        <v/>
      </c>
      <c r="AC82" s="58" t="s">
        <v>73</v>
      </c>
      <c r="AD82" s="57" t="str">
        <f t="shared" si="7"/>
        <v/>
      </c>
      <c r="AE82" s="59"/>
      <c r="AF82" s="59"/>
      <c r="AG82" s="59"/>
      <c r="AH82" s="59"/>
      <c r="AI82" s="59" t="s">
        <v>73</v>
      </c>
      <c r="AJ82" s="59"/>
      <c r="AK82" s="59" t="s">
        <v>73</v>
      </c>
      <c r="AL82" s="59"/>
      <c r="AM82" s="59" t="s">
        <v>73</v>
      </c>
      <c r="AN82" s="59"/>
      <c r="AO82" s="59" t="s">
        <v>73</v>
      </c>
      <c r="AP82" s="59"/>
      <c r="AQ82" s="59" t="s">
        <v>73</v>
      </c>
      <c r="AR82" s="59"/>
      <c r="AS82" s="59" t="s">
        <v>72</v>
      </c>
      <c r="AT82" s="59"/>
      <c r="AU82" s="59"/>
      <c r="AV82" s="59"/>
      <c r="AW82" s="59"/>
      <c r="AX82" s="59"/>
      <c r="AY82" s="60" t="str">
        <f>IF('Cálculo MP'!K92="","",'Cálculo MP'!K92)</f>
        <v/>
      </c>
      <c r="AZ82" s="60" t="str">
        <f>IF('Cálculo MP'!L92="","",'Cálculo MP'!L92)</f>
        <v/>
      </c>
      <c r="BA82" s="60" t="str">
        <f>IF('Cálculo MP'!M92="","",'Cálculo MP'!M92)</f>
        <v/>
      </c>
      <c r="BB82" s="60" t="str">
        <f>IF('Cálculo MP'!N92="","",'Cálculo MP'!N92)</f>
        <v/>
      </c>
      <c r="BC82" s="60" t="str">
        <f>IF('Cálculo MP'!O92="","",'Cálculo MP'!O92)</f>
        <v/>
      </c>
      <c r="BD82" s="60" t="str">
        <f>IF('Cálculo MP'!P92="","",'Cálculo MP'!P92)</f>
        <v/>
      </c>
      <c r="BE82" s="60" t="str">
        <f>IF('Cálculo MP'!Q92="","",'Cálculo MP'!Q92)</f>
        <v/>
      </c>
      <c r="BF82" s="60" t="str">
        <f>IF('Cálculo MP'!R92="","",'Cálculo MP'!R92)</f>
        <v/>
      </c>
      <c r="BG82" s="60" t="str">
        <f>IF('Cálculo MP'!S92="","",'Cálculo MP'!S92)</f>
        <v/>
      </c>
      <c r="BH82" s="59"/>
      <c r="BI82" s="59"/>
      <c r="BJ82" s="59"/>
      <c r="BK82" s="59"/>
      <c r="BL82" s="59"/>
      <c r="BM82" s="59"/>
      <c r="BN82" s="59"/>
      <c r="BO82" s="59"/>
    </row>
    <row r="83" spans="1:67" ht="19.5" customHeight="1" x14ac:dyDescent="0.15">
      <c r="A83" s="123" t="s">
        <v>1856</v>
      </c>
      <c r="B83" s="122" t="s">
        <v>1854</v>
      </c>
      <c r="C83" s="49"/>
      <c r="D83" s="48" t="s">
        <v>73</v>
      </c>
      <c r="E83" s="49"/>
      <c r="F83" s="50"/>
      <c r="G83" s="62"/>
      <c r="H83" s="48" t="s">
        <v>72</v>
      </c>
      <c r="I83" s="52">
        <v>1</v>
      </c>
      <c r="J83" s="52"/>
      <c r="K83" s="52" t="s">
        <v>73</v>
      </c>
      <c r="L83" s="52" t="s">
        <v>74</v>
      </c>
      <c r="M83" s="53" t="s">
        <v>942</v>
      </c>
      <c r="N83" s="58" t="s">
        <v>73</v>
      </c>
      <c r="O83" s="48" t="s">
        <v>72</v>
      </c>
      <c r="P83" s="48" t="s">
        <v>73</v>
      </c>
      <c r="Q83" s="54" t="s">
        <v>73</v>
      </c>
      <c r="R83" s="55" t="s">
        <v>73</v>
      </c>
      <c r="S83" s="48" t="s">
        <v>73</v>
      </c>
      <c r="T83" s="130"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8" t="str" cm="1">
        <f t="array" ref="U83">IF(SUMPRODUCT(--((CAT_Procesos!$E$2:$E$1581=O83)*(CAT_Procesos!$F$2:$F$1581=_xlfn.TEXTJOIN(" + ",TRUE,IF((TRIM(P83:S83)="")+(LOWER(TRIM(P83:S83))="(seleccione)"),"",PROPER(TRIM(P83:S83)))))*(CAT_Procesos!$D$2:$D$1581=IFERROR(VLOOKUP(N83&amp;"*",CAT_Procesos!$D:$D,1,FALSE),""))))=0,"Combinación no existente",IF(SUMPRODUCT(((CAT_Procesos!$E$2:$E$1581=O83)*(CAT_Procesos!$F$2:$F$1581=_xlfn.TEXTJOIN(" + ",TRUE,IF((TRIM(P83:S83)="")+(LOWER(TRIM(P83:S83))="(seleccione)"),"",PROPER(TRIM(P83:S83)))))*(CAT_Procesos!$D$2:$D$1581=IFERROR(VLOOKUP(N83&amp;"*",CAT_Procesos!$D:$D,1,FALSE),"")))*(CAT_Procesos!$G$2:$G$1581=INDEX(CAT_Procesos!$G$2:$G$1581,MATCH(1,(CAT_Procesos!$E$2:$E$1581=O83)*(CAT_Procesos!$F$2:$F$1581=_xlfn.TEXTJOIN(" + ",TRUE,IF((TRIM(P83:S83)="")+(LOWER(TRIM(P83:S83))="(seleccione)"),"",PROPER(TRIM(P83:S83)))))*(CAT_Procesos!$D$2:$D$1581=IFERROR(VLOOKUP(N83&amp;"*",CAT_Procesos!$D:$D,1,FALSE),"")),0))))=SUMPRODUCT(--((CAT_Procesos!$E$2:$E$1581=O83)*(CAT_Procesos!$F$2:$F$1581=_xlfn.TEXTJOIN(" + ",TRUE,IF((TRIM(P83:S83)="")+(LOWER(TRIM(P83:S83))="(seleccione)"),"",PROPER(TRIM(P83:S83)))))*(CAT_Procesos!$D$2:$D$1581=IFERROR(VLOOKUP(N83&amp;"*",CAT_Procesos!$D:$D,1,FALSE),"")))),INDEX(CAT_Procesos!$G$2:$G$1581,MATCH(1,(CAT_Procesos!$E$2:$E$1581=O83)*(CAT_Procesos!$F$2:$F$1581=_xlfn.TEXTJOIN(" + ",TRUE,IF((TRIM(P83:S83)="")+(LOWER(TRIM(P83:S83))="(seleccione)"),"",PROPER(TRIM(P83:S83)))))*(CAT_Procesos!$D$2:$D$1581=IFERROR(VLOOKUP(N83&amp;"*",CAT_Procesos!$D:$D,1,FALSE),"")),0)),"(seleccione)"))</f>
        <v>Combinación no existente</v>
      </c>
      <c r="V83" s="55" t="s">
        <v>73</v>
      </c>
      <c r="W83" s="56" t="s">
        <v>73</v>
      </c>
      <c r="X83" s="57" t="str">
        <f t="shared" si="4"/>
        <v/>
      </c>
      <c r="Y83" s="58" t="s">
        <v>73</v>
      </c>
      <c r="Z83" s="57" t="str">
        <f t="shared" si="5"/>
        <v/>
      </c>
      <c r="AA83" s="58" t="s">
        <v>73</v>
      </c>
      <c r="AB83" s="57" t="str">
        <f t="shared" si="6"/>
        <v/>
      </c>
      <c r="AC83" s="58" t="s">
        <v>73</v>
      </c>
      <c r="AD83" s="57" t="str">
        <f t="shared" si="7"/>
        <v/>
      </c>
      <c r="AE83" s="59"/>
      <c r="AF83" s="59"/>
      <c r="AG83" s="59"/>
      <c r="AH83" s="59"/>
      <c r="AI83" s="59" t="s">
        <v>73</v>
      </c>
      <c r="AJ83" s="59"/>
      <c r="AK83" s="59" t="s">
        <v>73</v>
      </c>
      <c r="AL83" s="59"/>
      <c r="AM83" s="59" t="s">
        <v>73</v>
      </c>
      <c r="AN83" s="59"/>
      <c r="AO83" s="59" t="s">
        <v>73</v>
      </c>
      <c r="AP83" s="59"/>
      <c r="AQ83" s="59" t="s">
        <v>73</v>
      </c>
      <c r="AR83" s="59"/>
      <c r="AS83" s="59" t="s">
        <v>72</v>
      </c>
      <c r="AT83" s="59"/>
      <c r="AU83" s="59"/>
      <c r="AV83" s="59"/>
      <c r="AW83" s="59"/>
      <c r="AX83" s="59"/>
      <c r="AY83" s="60" t="str">
        <f>IF('Cálculo MP'!K93="","",'Cálculo MP'!K93)</f>
        <v/>
      </c>
      <c r="AZ83" s="60" t="str">
        <f>IF('Cálculo MP'!L93="","",'Cálculo MP'!L93)</f>
        <v/>
      </c>
      <c r="BA83" s="60" t="str">
        <f>IF('Cálculo MP'!M93="","",'Cálculo MP'!M93)</f>
        <v/>
      </c>
      <c r="BB83" s="60" t="str">
        <f>IF('Cálculo MP'!N93="","",'Cálculo MP'!N93)</f>
        <v/>
      </c>
      <c r="BC83" s="60" t="str">
        <f>IF('Cálculo MP'!O93="","",'Cálculo MP'!O93)</f>
        <v/>
      </c>
      <c r="BD83" s="60" t="str">
        <f>IF('Cálculo MP'!P93="","",'Cálculo MP'!P93)</f>
        <v/>
      </c>
      <c r="BE83" s="60" t="str">
        <f>IF('Cálculo MP'!Q93="","",'Cálculo MP'!Q93)</f>
        <v/>
      </c>
      <c r="BF83" s="60" t="str">
        <f>IF('Cálculo MP'!R93="","",'Cálculo MP'!R93)</f>
        <v/>
      </c>
      <c r="BG83" s="60" t="str">
        <f>IF('Cálculo MP'!S93="","",'Cálculo MP'!S93)</f>
        <v/>
      </c>
      <c r="BH83" s="59"/>
      <c r="BI83" s="59"/>
      <c r="BJ83" s="59"/>
      <c r="BK83" s="59"/>
      <c r="BL83" s="59"/>
      <c r="BM83" s="59"/>
      <c r="BN83" s="59"/>
      <c r="BO83" s="59"/>
    </row>
    <row r="84" spans="1:67" ht="19.5" customHeight="1" x14ac:dyDescent="0.15">
      <c r="A84" s="123" t="s">
        <v>1856</v>
      </c>
      <c r="B84" s="122" t="s">
        <v>1854</v>
      </c>
      <c r="C84" s="49"/>
      <c r="D84" s="48" t="s">
        <v>73</v>
      </c>
      <c r="E84" s="49"/>
      <c r="F84" s="50"/>
      <c r="G84" s="62"/>
      <c r="H84" s="48" t="s">
        <v>72</v>
      </c>
      <c r="I84" s="52">
        <v>1</v>
      </c>
      <c r="J84" s="52"/>
      <c r="K84" s="52" t="s">
        <v>73</v>
      </c>
      <c r="L84" s="52" t="s">
        <v>74</v>
      </c>
      <c r="M84" s="53" t="s">
        <v>942</v>
      </c>
      <c r="N84" s="58" t="s">
        <v>73</v>
      </c>
      <c r="O84" s="48" t="s">
        <v>72</v>
      </c>
      <c r="P84" s="48" t="s">
        <v>73</v>
      </c>
      <c r="Q84" s="54" t="s">
        <v>73</v>
      </c>
      <c r="R84" s="55" t="s">
        <v>73</v>
      </c>
      <c r="S84" s="48" t="s">
        <v>73</v>
      </c>
      <c r="T84" s="130"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8" t="str" cm="1">
        <f t="array" ref="U84">IF(SUMPRODUCT(--((CAT_Procesos!$E$2:$E$1581=O84)*(CAT_Procesos!$F$2:$F$1581=_xlfn.TEXTJOIN(" + ",TRUE,IF((TRIM(P84:S84)="")+(LOWER(TRIM(P84:S84))="(seleccione)"),"",PROPER(TRIM(P84:S84)))))*(CAT_Procesos!$D$2:$D$1581=IFERROR(VLOOKUP(N84&amp;"*",CAT_Procesos!$D:$D,1,FALSE),""))))=0,"Combinación no existente",IF(SUMPRODUCT(((CAT_Procesos!$E$2:$E$1581=O84)*(CAT_Procesos!$F$2:$F$1581=_xlfn.TEXTJOIN(" + ",TRUE,IF((TRIM(P84:S84)="")+(LOWER(TRIM(P84:S84))="(seleccione)"),"",PROPER(TRIM(P84:S84)))))*(CAT_Procesos!$D$2:$D$1581=IFERROR(VLOOKUP(N84&amp;"*",CAT_Procesos!$D:$D,1,FALSE),"")))*(CAT_Procesos!$G$2:$G$1581=INDEX(CAT_Procesos!$G$2:$G$1581,MATCH(1,(CAT_Procesos!$E$2:$E$1581=O84)*(CAT_Procesos!$F$2:$F$1581=_xlfn.TEXTJOIN(" + ",TRUE,IF((TRIM(P84:S84)="")+(LOWER(TRIM(P84:S84))="(seleccione)"),"",PROPER(TRIM(P84:S84)))))*(CAT_Procesos!$D$2:$D$1581=IFERROR(VLOOKUP(N84&amp;"*",CAT_Procesos!$D:$D,1,FALSE),"")),0))))=SUMPRODUCT(--((CAT_Procesos!$E$2:$E$1581=O84)*(CAT_Procesos!$F$2:$F$1581=_xlfn.TEXTJOIN(" + ",TRUE,IF((TRIM(P84:S84)="")+(LOWER(TRIM(P84:S84))="(seleccione)"),"",PROPER(TRIM(P84:S84)))))*(CAT_Procesos!$D$2:$D$1581=IFERROR(VLOOKUP(N84&amp;"*",CAT_Procesos!$D:$D,1,FALSE),"")))),INDEX(CAT_Procesos!$G$2:$G$1581,MATCH(1,(CAT_Procesos!$E$2:$E$1581=O84)*(CAT_Procesos!$F$2:$F$1581=_xlfn.TEXTJOIN(" + ",TRUE,IF((TRIM(P84:S84)="")+(LOWER(TRIM(P84:S84))="(seleccione)"),"",PROPER(TRIM(P84:S84)))))*(CAT_Procesos!$D$2:$D$1581=IFERROR(VLOOKUP(N84&amp;"*",CAT_Procesos!$D:$D,1,FALSE),"")),0)),"(seleccione)"))</f>
        <v>Combinación no existente</v>
      </c>
      <c r="V84" s="55" t="s">
        <v>73</v>
      </c>
      <c r="W84" s="56" t="s">
        <v>73</v>
      </c>
      <c r="X84" s="57" t="str">
        <f t="shared" si="4"/>
        <v/>
      </c>
      <c r="Y84" s="58" t="s">
        <v>73</v>
      </c>
      <c r="Z84" s="57" t="str">
        <f t="shared" si="5"/>
        <v/>
      </c>
      <c r="AA84" s="58" t="s">
        <v>73</v>
      </c>
      <c r="AB84" s="57" t="str">
        <f t="shared" si="6"/>
        <v/>
      </c>
      <c r="AC84" s="58" t="s">
        <v>73</v>
      </c>
      <c r="AD84" s="57" t="str">
        <f t="shared" si="7"/>
        <v/>
      </c>
      <c r="AE84" s="59"/>
      <c r="AF84" s="59"/>
      <c r="AG84" s="59"/>
      <c r="AH84" s="59"/>
      <c r="AI84" s="59" t="s">
        <v>73</v>
      </c>
      <c r="AJ84" s="59"/>
      <c r="AK84" s="59" t="s">
        <v>73</v>
      </c>
      <c r="AL84" s="59"/>
      <c r="AM84" s="59" t="s">
        <v>73</v>
      </c>
      <c r="AN84" s="59"/>
      <c r="AO84" s="59" t="s">
        <v>73</v>
      </c>
      <c r="AP84" s="59"/>
      <c r="AQ84" s="59" t="s">
        <v>73</v>
      </c>
      <c r="AR84" s="59"/>
      <c r="AS84" s="59" t="s">
        <v>72</v>
      </c>
      <c r="AT84" s="59"/>
      <c r="AU84" s="59"/>
      <c r="AV84" s="59"/>
      <c r="AW84" s="59"/>
      <c r="AX84" s="59"/>
      <c r="AY84" s="60" t="str">
        <f>IF('Cálculo MP'!K94="","",'Cálculo MP'!K94)</f>
        <v/>
      </c>
      <c r="AZ84" s="60" t="str">
        <f>IF('Cálculo MP'!L94="","",'Cálculo MP'!L94)</f>
        <v/>
      </c>
      <c r="BA84" s="60" t="str">
        <f>IF('Cálculo MP'!M94="","",'Cálculo MP'!M94)</f>
        <v/>
      </c>
      <c r="BB84" s="60" t="str">
        <f>IF('Cálculo MP'!N94="","",'Cálculo MP'!N94)</f>
        <v/>
      </c>
      <c r="BC84" s="60" t="str">
        <f>IF('Cálculo MP'!O94="","",'Cálculo MP'!O94)</f>
        <v/>
      </c>
      <c r="BD84" s="60" t="str">
        <f>IF('Cálculo MP'!P94="","",'Cálculo MP'!P94)</f>
        <v/>
      </c>
      <c r="BE84" s="60" t="str">
        <f>IF('Cálculo MP'!Q94="","",'Cálculo MP'!Q94)</f>
        <v/>
      </c>
      <c r="BF84" s="60" t="str">
        <f>IF('Cálculo MP'!R94="","",'Cálculo MP'!R94)</f>
        <v/>
      </c>
      <c r="BG84" s="60" t="str">
        <f>IF('Cálculo MP'!S94="","",'Cálculo MP'!S94)</f>
        <v/>
      </c>
      <c r="BH84" s="59"/>
      <c r="BI84" s="59"/>
      <c r="BJ84" s="59"/>
      <c r="BK84" s="59"/>
      <c r="BL84" s="59"/>
      <c r="BM84" s="59"/>
      <c r="BN84" s="59"/>
      <c r="BO84" s="59"/>
    </row>
    <row r="85" spans="1:67" ht="19.5" customHeight="1" x14ac:dyDescent="0.15">
      <c r="A85" s="123" t="s">
        <v>1856</v>
      </c>
      <c r="B85" s="122" t="s">
        <v>1854</v>
      </c>
      <c r="C85" s="49"/>
      <c r="D85" s="48" t="s">
        <v>73</v>
      </c>
      <c r="E85" s="49"/>
      <c r="F85" s="50"/>
      <c r="G85" s="62"/>
      <c r="H85" s="48" t="s">
        <v>72</v>
      </c>
      <c r="I85" s="52">
        <v>1</v>
      </c>
      <c r="J85" s="52"/>
      <c r="K85" s="52" t="s">
        <v>73</v>
      </c>
      <c r="L85" s="52" t="s">
        <v>74</v>
      </c>
      <c r="M85" s="53" t="s">
        <v>942</v>
      </c>
      <c r="N85" s="58" t="s">
        <v>73</v>
      </c>
      <c r="O85" s="48" t="s">
        <v>72</v>
      </c>
      <c r="P85" s="48" t="s">
        <v>73</v>
      </c>
      <c r="Q85" s="54" t="s">
        <v>73</v>
      </c>
      <c r="R85" s="55" t="s">
        <v>73</v>
      </c>
      <c r="S85" s="48" t="s">
        <v>73</v>
      </c>
      <c r="T85" s="130"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8" t="str" cm="1">
        <f t="array" ref="U85">IF(SUMPRODUCT(--((CAT_Procesos!$E$2:$E$1581=O85)*(CAT_Procesos!$F$2:$F$1581=_xlfn.TEXTJOIN(" + ",TRUE,IF((TRIM(P85:S85)="")+(LOWER(TRIM(P85:S85))="(seleccione)"),"",PROPER(TRIM(P85:S85)))))*(CAT_Procesos!$D$2:$D$1581=IFERROR(VLOOKUP(N85&amp;"*",CAT_Procesos!$D:$D,1,FALSE),""))))=0,"Combinación no existente",IF(SUMPRODUCT(((CAT_Procesos!$E$2:$E$1581=O85)*(CAT_Procesos!$F$2:$F$1581=_xlfn.TEXTJOIN(" + ",TRUE,IF((TRIM(P85:S85)="")+(LOWER(TRIM(P85:S85))="(seleccione)"),"",PROPER(TRIM(P85:S85)))))*(CAT_Procesos!$D$2:$D$1581=IFERROR(VLOOKUP(N85&amp;"*",CAT_Procesos!$D:$D,1,FALSE),"")))*(CAT_Procesos!$G$2:$G$1581=INDEX(CAT_Procesos!$G$2:$G$1581,MATCH(1,(CAT_Procesos!$E$2:$E$1581=O85)*(CAT_Procesos!$F$2:$F$1581=_xlfn.TEXTJOIN(" + ",TRUE,IF((TRIM(P85:S85)="")+(LOWER(TRIM(P85:S85))="(seleccione)"),"",PROPER(TRIM(P85:S85)))))*(CAT_Procesos!$D$2:$D$1581=IFERROR(VLOOKUP(N85&amp;"*",CAT_Procesos!$D:$D,1,FALSE),"")),0))))=SUMPRODUCT(--((CAT_Procesos!$E$2:$E$1581=O85)*(CAT_Procesos!$F$2:$F$1581=_xlfn.TEXTJOIN(" + ",TRUE,IF((TRIM(P85:S85)="")+(LOWER(TRIM(P85:S85))="(seleccione)"),"",PROPER(TRIM(P85:S85)))))*(CAT_Procesos!$D$2:$D$1581=IFERROR(VLOOKUP(N85&amp;"*",CAT_Procesos!$D:$D,1,FALSE),"")))),INDEX(CAT_Procesos!$G$2:$G$1581,MATCH(1,(CAT_Procesos!$E$2:$E$1581=O85)*(CAT_Procesos!$F$2:$F$1581=_xlfn.TEXTJOIN(" + ",TRUE,IF((TRIM(P85:S85)="")+(LOWER(TRIM(P85:S85))="(seleccione)"),"",PROPER(TRIM(P85:S85)))))*(CAT_Procesos!$D$2:$D$1581=IFERROR(VLOOKUP(N85&amp;"*",CAT_Procesos!$D:$D,1,FALSE),"")),0)),"(seleccione)"))</f>
        <v>Combinación no existente</v>
      </c>
      <c r="V85" s="55" t="s">
        <v>73</v>
      </c>
      <c r="W85" s="56" t="s">
        <v>73</v>
      </c>
      <c r="X85" s="57" t="str">
        <f t="shared" si="4"/>
        <v/>
      </c>
      <c r="Y85" s="58" t="s">
        <v>73</v>
      </c>
      <c r="Z85" s="57" t="str">
        <f t="shared" si="5"/>
        <v/>
      </c>
      <c r="AA85" s="58" t="s">
        <v>73</v>
      </c>
      <c r="AB85" s="57" t="str">
        <f t="shared" si="6"/>
        <v/>
      </c>
      <c r="AC85" s="58" t="s">
        <v>73</v>
      </c>
      <c r="AD85" s="57" t="str">
        <f t="shared" si="7"/>
        <v/>
      </c>
      <c r="AE85" s="59"/>
      <c r="AF85" s="59"/>
      <c r="AG85" s="59"/>
      <c r="AH85" s="59"/>
      <c r="AI85" s="59" t="s">
        <v>73</v>
      </c>
      <c r="AJ85" s="59"/>
      <c r="AK85" s="59" t="s">
        <v>73</v>
      </c>
      <c r="AL85" s="59"/>
      <c r="AM85" s="59" t="s">
        <v>73</v>
      </c>
      <c r="AN85" s="59"/>
      <c r="AO85" s="59" t="s">
        <v>73</v>
      </c>
      <c r="AP85" s="59"/>
      <c r="AQ85" s="59" t="s">
        <v>73</v>
      </c>
      <c r="AR85" s="59"/>
      <c r="AS85" s="59" t="s">
        <v>72</v>
      </c>
      <c r="AT85" s="59"/>
      <c r="AU85" s="59"/>
      <c r="AV85" s="59"/>
      <c r="AW85" s="59"/>
      <c r="AX85" s="59"/>
      <c r="AY85" s="60" t="str">
        <f>IF('Cálculo MP'!K95="","",'Cálculo MP'!K95)</f>
        <v/>
      </c>
      <c r="AZ85" s="60" t="str">
        <f>IF('Cálculo MP'!L95="","",'Cálculo MP'!L95)</f>
        <v/>
      </c>
      <c r="BA85" s="60" t="str">
        <f>IF('Cálculo MP'!M95="","",'Cálculo MP'!M95)</f>
        <v/>
      </c>
      <c r="BB85" s="60" t="str">
        <f>IF('Cálculo MP'!N95="","",'Cálculo MP'!N95)</f>
        <v/>
      </c>
      <c r="BC85" s="60" t="str">
        <f>IF('Cálculo MP'!O95="","",'Cálculo MP'!O95)</f>
        <v/>
      </c>
      <c r="BD85" s="60" t="str">
        <f>IF('Cálculo MP'!P95="","",'Cálculo MP'!P95)</f>
        <v/>
      </c>
      <c r="BE85" s="60" t="str">
        <f>IF('Cálculo MP'!Q95="","",'Cálculo MP'!Q95)</f>
        <v/>
      </c>
      <c r="BF85" s="60" t="str">
        <f>IF('Cálculo MP'!R95="","",'Cálculo MP'!R95)</f>
        <v/>
      </c>
      <c r="BG85" s="60" t="str">
        <f>IF('Cálculo MP'!S95="","",'Cálculo MP'!S95)</f>
        <v/>
      </c>
      <c r="BH85" s="59"/>
      <c r="BI85" s="59"/>
      <c r="BJ85" s="59"/>
      <c r="BK85" s="59"/>
      <c r="BL85" s="59"/>
      <c r="BM85" s="59"/>
      <c r="BN85" s="59"/>
      <c r="BO85" s="59"/>
    </row>
    <row r="86" spans="1:67" ht="19.5" customHeight="1" x14ac:dyDescent="0.15">
      <c r="A86" s="123" t="s">
        <v>1856</v>
      </c>
      <c r="B86" s="122" t="s">
        <v>1854</v>
      </c>
      <c r="C86" s="49"/>
      <c r="D86" s="48" t="s">
        <v>73</v>
      </c>
      <c r="E86" s="49"/>
      <c r="F86" s="50"/>
      <c r="G86" s="62"/>
      <c r="H86" s="48" t="s">
        <v>72</v>
      </c>
      <c r="I86" s="52">
        <v>1</v>
      </c>
      <c r="J86" s="52"/>
      <c r="K86" s="52" t="s">
        <v>73</v>
      </c>
      <c r="L86" s="52" t="s">
        <v>74</v>
      </c>
      <c r="M86" s="53" t="s">
        <v>942</v>
      </c>
      <c r="N86" s="58" t="s">
        <v>73</v>
      </c>
      <c r="O86" s="48" t="s">
        <v>72</v>
      </c>
      <c r="P86" s="48" t="s">
        <v>73</v>
      </c>
      <c r="Q86" s="54" t="s">
        <v>73</v>
      </c>
      <c r="R86" s="55" t="s">
        <v>73</v>
      </c>
      <c r="S86" s="48" t="s">
        <v>73</v>
      </c>
      <c r="T86" s="130"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8" t="str" cm="1">
        <f t="array" ref="U86">IF(SUMPRODUCT(--((CAT_Procesos!$E$2:$E$1581=O86)*(CAT_Procesos!$F$2:$F$1581=_xlfn.TEXTJOIN(" + ",TRUE,IF((TRIM(P86:S86)="")+(LOWER(TRIM(P86:S86))="(seleccione)"),"",PROPER(TRIM(P86:S86)))))*(CAT_Procesos!$D$2:$D$1581=IFERROR(VLOOKUP(N86&amp;"*",CAT_Procesos!$D:$D,1,FALSE),""))))=0,"Combinación no existente",IF(SUMPRODUCT(((CAT_Procesos!$E$2:$E$1581=O86)*(CAT_Procesos!$F$2:$F$1581=_xlfn.TEXTJOIN(" + ",TRUE,IF((TRIM(P86:S86)="")+(LOWER(TRIM(P86:S86))="(seleccione)"),"",PROPER(TRIM(P86:S86)))))*(CAT_Procesos!$D$2:$D$1581=IFERROR(VLOOKUP(N86&amp;"*",CAT_Procesos!$D:$D,1,FALSE),"")))*(CAT_Procesos!$G$2:$G$1581=INDEX(CAT_Procesos!$G$2:$G$1581,MATCH(1,(CAT_Procesos!$E$2:$E$1581=O86)*(CAT_Procesos!$F$2:$F$1581=_xlfn.TEXTJOIN(" + ",TRUE,IF((TRIM(P86:S86)="")+(LOWER(TRIM(P86:S86))="(seleccione)"),"",PROPER(TRIM(P86:S86)))))*(CAT_Procesos!$D$2:$D$1581=IFERROR(VLOOKUP(N86&amp;"*",CAT_Procesos!$D:$D,1,FALSE),"")),0))))=SUMPRODUCT(--((CAT_Procesos!$E$2:$E$1581=O86)*(CAT_Procesos!$F$2:$F$1581=_xlfn.TEXTJOIN(" + ",TRUE,IF((TRIM(P86:S86)="")+(LOWER(TRIM(P86:S86))="(seleccione)"),"",PROPER(TRIM(P86:S86)))))*(CAT_Procesos!$D$2:$D$1581=IFERROR(VLOOKUP(N86&amp;"*",CAT_Procesos!$D:$D,1,FALSE),"")))),INDEX(CAT_Procesos!$G$2:$G$1581,MATCH(1,(CAT_Procesos!$E$2:$E$1581=O86)*(CAT_Procesos!$F$2:$F$1581=_xlfn.TEXTJOIN(" + ",TRUE,IF((TRIM(P86:S86)="")+(LOWER(TRIM(P86:S86))="(seleccione)"),"",PROPER(TRIM(P86:S86)))))*(CAT_Procesos!$D$2:$D$1581=IFERROR(VLOOKUP(N86&amp;"*",CAT_Procesos!$D:$D,1,FALSE),"")),0)),"(seleccione)"))</f>
        <v>Combinación no existente</v>
      </c>
      <c r="V86" s="55" t="s">
        <v>73</v>
      </c>
      <c r="W86" s="56" t="s">
        <v>73</v>
      </c>
      <c r="X86" s="57" t="str">
        <f t="shared" si="4"/>
        <v/>
      </c>
      <c r="Y86" s="58" t="s">
        <v>73</v>
      </c>
      <c r="Z86" s="57" t="str">
        <f t="shared" si="5"/>
        <v/>
      </c>
      <c r="AA86" s="58" t="s">
        <v>73</v>
      </c>
      <c r="AB86" s="57" t="str">
        <f t="shared" si="6"/>
        <v/>
      </c>
      <c r="AC86" s="58" t="s">
        <v>73</v>
      </c>
      <c r="AD86" s="57" t="str">
        <f t="shared" si="7"/>
        <v/>
      </c>
      <c r="AE86" s="59"/>
      <c r="AF86" s="59"/>
      <c r="AG86" s="59"/>
      <c r="AH86" s="59"/>
      <c r="AI86" s="59" t="s">
        <v>73</v>
      </c>
      <c r="AJ86" s="59"/>
      <c r="AK86" s="59" t="s">
        <v>73</v>
      </c>
      <c r="AL86" s="59"/>
      <c r="AM86" s="59" t="s">
        <v>73</v>
      </c>
      <c r="AN86" s="59"/>
      <c r="AO86" s="59" t="s">
        <v>73</v>
      </c>
      <c r="AP86" s="59"/>
      <c r="AQ86" s="59" t="s">
        <v>73</v>
      </c>
      <c r="AR86" s="59"/>
      <c r="AS86" s="59" t="s">
        <v>72</v>
      </c>
      <c r="AT86" s="59"/>
      <c r="AU86" s="59"/>
      <c r="AV86" s="59"/>
      <c r="AW86" s="59"/>
      <c r="AX86" s="59"/>
      <c r="AY86" s="60" t="str">
        <f>IF('Cálculo MP'!K96="","",'Cálculo MP'!K96)</f>
        <v/>
      </c>
      <c r="AZ86" s="60" t="str">
        <f>IF('Cálculo MP'!L96="","",'Cálculo MP'!L96)</f>
        <v/>
      </c>
      <c r="BA86" s="60" t="str">
        <f>IF('Cálculo MP'!M96="","",'Cálculo MP'!M96)</f>
        <v/>
      </c>
      <c r="BB86" s="60" t="str">
        <f>IF('Cálculo MP'!N96="","",'Cálculo MP'!N96)</f>
        <v/>
      </c>
      <c r="BC86" s="60" t="str">
        <f>IF('Cálculo MP'!O96="","",'Cálculo MP'!O96)</f>
        <v/>
      </c>
      <c r="BD86" s="60" t="str">
        <f>IF('Cálculo MP'!P96="","",'Cálculo MP'!P96)</f>
        <v/>
      </c>
      <c r="BE86" s="60" t="str">
        <f>IF('Cálculo MP'!Q96="","",'Cálculo MP'!Q96)</f>
        <v/>
      </c>
      <c r="BF86" s="60" t="str">
        <f>IF('Cálculo MP'!R96="","",'Cálculo MP'!R96)</f>
        <v/>
      </c>
      <c r="BG86" s="60" t="str">
        <f>IF('Cálculo MP'!S96="","",'Cálculo MP'!S96)</f>
        <v/>
      </c>
      <c r="BH86" s="59"/>
      <c r="BI86" s="59"/>
      <c r="BJ86" s="59"/>
      <c r="BK86" s="59"/>
      <c r="BL86" s="59"/>
      <c r="BM86" s="59"/>
      <c r="BN86" s="59"/>
      <c r="BO86" s="59"/>
    </row>
    <row r="87" spans="1:67" ht="19.5" customHeight="1" x14ac:dyDescent="0.15">
      <c r="A87" s="123" t="s">
        <v>1856</v>
      </c>
      <c r="B87" s="122" t="s">
        <v>1854</v>
      </c>
      <c r="C87" s="49"/>
      <c r="D87" s="48" t="s">
        <v>73</v>
      </c>
      <c r="E87" s="49"/>
      <c r="F87" s="50"/>
      <c r="G87" s="62"/>
      <c r="H87" s="48" t="s">
        <v>72</v>
      </c>
      <c r="I87" s="52">
        <v>1</v>
      </c>
      <c r="J87" s="52"/>
      <c r="K87" s="52" t="s">
        <v>73</v>
      </c>
      <c r="L87" s="52" t="s">
        <v>74</v>
      </c>
      <c r="M87" s="53" t="s">
        <v>942</v>
      </c>
      <c r="N87" s="58" t="s">
        <v>73</v>
      </c>
      <c r="O87" s="48" t="s">
        <v>72</v>
      </c>
      <c r="P87" s="48" t="s">
        <v>73</v>
      </c>
      <c r="Q87" s="54" t="s">
        <v>73</v>
      </c>
      <c r="R87" s="55" t="s">
        <v>73</v>
      </c>
      <c r="S87" s="48" t="s">
        <v>73</v>
      </c>
      <c r="T87" s="130"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8" t="str" cm="1">
        <f t="array" ref="U87">IF(SUMPRODUCT(--((CAT_Procesos!$E$2:$E$1581=O87)*(CAT_Procesos!$F$2:$F$1581=_xlfn.TEXTJOIN(" + ",TRUE,IF((TRIM(P87:S87)="")+(LOWER(TRIM(P87:S87))="(seleccione)"),"",PROPER(TRIM(P87:S87)))))*(CAT_Procesos!$D$2:$D$1581=IFERROR(VLOOKUP(N87&amp;"*",CAT_Procesos!$D:$D,1,FALSE),""))))=0,"Combinación no existente",IF(SUMPRODUCT(((CAT_Procesos!$E$2:$E$1581=O87)*(CAT_Procesos!$F$2:$F$1581=_xlfn.TEXTJOIN(" + ",TRUE,IF((TRIM(P87:S87)="")+(LOWER(TRIM(P87:S87))="(seleccione)"),"",PROPER(TRIM(P87:S87)))))*(CAT_Procesos!$D$2:$D$1581=IFERROR(VLOOKUP(N87&amp;"*",CAT_Procesos!$D:$D,1,FALSE),"")))*(CAT_Procesos!$G$2:$G$1581=INDEX(CAT_Procesos!$G$2:$G$1581,MATCH(1,(CAT_Procesos!$E$2:$E$1581=O87)*(CAT_Procesos!$F$2:$F$1581=_xlfn.TEXTJOIN(" + ",TRUE,IF((TRIM(P87:S87)="")+(LOWER(TRIM(P87:S87))="(seleccione)"),"",PROPER(TRIM(P87:S87)))))*(CAT_Procesos!$D$2:$D$1581=IFERROR(VLOOKUP(N87&amp;"*",CAT_Procesos!$D:$D,1,FALSE),"")),0))))=SUMPRODUCT(--((CAT_Procesos!$E$2:$E$1581=O87)*(CAT_Procesos!$F$2:$F$1581=_xlfn.TEXTJOIN(" + ",TRUE,IF((TRIM(P87:S87)="")+(LOWER(TRIM(P87:S87))="(seleccione)"),"",PROPER(TRIM(P87:S87)))))*(CAT_Procesos!$D$2:$D$1581=IFERROR(VLOOKUP(N87&amp;"*",CAT_Procesos!$D:$D,1,FALSE),"")))),INDEX(CAT_Procesos!$G$2:$G$1581,MATCH(1,(CAT_Procesos!$E$2:$E$1581=O87)*(CAT_Procesos!$F$2:$F$1581=_xlfn.TEXTJOIN(" + ",TRUE,IF((TRIM(P87:S87)="")+(LOWER(TRIM(P87:S87))="(seleccione)"),"",PROPER(TRIM(P87:S87)))))*(CAT_Procesos!$D$2:$D$1581=IFERROR(VLOOKUP(N87&amp;"*",CAT_Procesos!$D:$D,1,FALSE),"")),0)),"(seleccione)"))</f>
        <v>Combinación no existente</v>
      </c>
      <c r="V87" s="55" t="s">
        <v>73</v>
      </c>
      <c r="W87" s="56" t="s">
        <v>73</v>
      </c>
      <c r="X87" s="57" t="str">
        <f t="shared" si="4"/>
        <v/>
      </c>
      <c r="Y87" s="58" t="s">
        <v>73</v>
      </c>
      <c r="Z87" s="57" t="str">
        <f t="shared" si="5"/>
        <v/>
      </c>
      <c r="AA87" s="58" t="s">
        <v>73</v>
      </c>
      <c r="AB87" s="57" t="str">
        <f t="shared" si="6"/>
        <v/>
      </c>
      <c r="AC87" s="58" t="s">
        <v>73</v>
      </c>
      <c r="AD87" s="57" t="str">
        <f t="shared" si="7"/>
        <v/>
      </c>
      <c r="AE87" s="59"/>
      <c r="AF87" s="59"/>
      <c r="AG87" s="59"/>
      <c r="AH87" s="59"/>
      <c r="AI87" s="59" t="s">
        <v>73</v>
      </c>
      <c r="AJ87" s="59"/>
      <c r="AK87" s="59" t="s">
        <v>73</v>
      </c>
      <c r="AL87" s="59"/>
      <c r="AM87" s="59" t="s">
        <v>73</v>
      </c>
      <c r="AN87" s="59"/>
      <c r="AO87" s="59" t="s">
        <v>73</v>
      </c>
      <c r="AP87" s="59"/>
      <c r="AQ87" s="59" t="s">
        <v>73</v>
      </c>
      <c r="AR87" s="59"/>
      <c r="AS87" s="59" t="s">
        <v>72</v>
      </c>
      <c r="AT87" s="59"/>
      <c r="AU87" s="59"/>
      <c r="AV87" s="59"/>
      <c r="AW87" s="59"/>
      <c r="AX87" s="59"/>
      <c r="AY87" s="60" t="str">
        <f>IF('Cálculo MP'!K97="","",'Cálculo MP'!K97)</f>
        <v/>
      </c>
      <c r="AZ87" s="60" t="str">
        <f>IF('Cálculo MP'!L97="","",'Cálculo MP'!L97)</f>
        <v/>
      </c>
      <c r="BA87" s="60" t="str">
        <f>IF('Cálculo MP'!M97="","",'Cálculo MP'!M97)</f>
        <v/>
      </c>
      <c r="BB87" s="60" t="str">
        <f>IF('Cálculo MP'!N97="","",'Cálculo MP'!N97)</f>
        <v/>
      </c>
      <c r="BC87" s="60" t="str">
        <f>IF('Cálculo MP'!O97="","",'Cálculo MP'!O97)</f>
        <v/>
      </c>
      <c r="BD87" s="60" t="str">
        <f>IF('Cálculo MP'!P97="","",'Cálculo MP'!P97)</f>
        <v/>
      </c>
      <c r="BE87" s="60" t="str">
        <f>IF('Cálculo MP'!Q97="","",'Cálculo MP'!Q97)</f>
        <v/>
      </c>
      <c r="BF87" s="60" t="str">
        <f>IF('Cálculo MP'!R97="","",'Cálculo MP'!R97)</f>
        <v/>
      </c>
      <c r="BG87" s="60" t="str">
        <f>IF('Cálculo MP'!S97="","",'Cálculo MP'!S97)</f>
        <v/>
      </c>
      <c r="BH87" s="59"/>
      <c r="BI87" s="59"/>
      <c r="BJ87" s="59"/>
      <c r="BK87" s="59"/>
      <c r="BL87" s="59"/>
      <c r="BM87" s="59"/>
      <c r="BN87" s="59"/>
      <c r="BO87" s="59"/>
    </row>
    <row r="88" spans="1:67" ht="19.5" customHeight="1" x14ac:dyDescent="0.15">
      <c r="A88" s="123" t="s">
        <v>1856</v>
      </c>
      <c r="B88" s="122" t="s">
        <v>1854</v>
      </c>
      <c r="C88" s="49"/>
      <c r="D88" s="48" t="s">
        <v>73</v>
      </c>
      <c r="E88" s="49"/>
      <c r="F88" s="50"/>
      <c r="G88" s="62"/>
      <c r="H88" s="48" t="s">
        <v>72</v>
      </c>
      <c r="I88" s="52">
        <v>1</v>
      </c>
      <c r="J88" s="52"/>
      <c r="K88" s="52" t="s">
        <v>73</v>
      </c>
      <c r="L88" s="52" t="s">
        <v>74</v>
      </c>
      <c r="M88" s="53" t="s">
        <v>942</v>
      </c>
      <c r="N88" s="58" t="s">
        <v>73</v>
      </c>
      <c r="O88" s="48" t="s">
        <v>72</v>
      </c>
      <c r="P88" s="48" t="s">
        <v>73</v>
      </c>
      <c r="Q88" s="54" t="s">
        <v>73</v>
      </c>
      <c r="R88" s="55" t="s">
        <v>73</v>
      </c>
      <c r="S88" s="48" t="s">
        <v>73</v>
      </c>
      <c r="T88" s="130"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8" t="str" cm="1">
        <f t="array" ref="U88">IF(SUMPRODUCT(--((CAT_Procesos!$E$2:$E$1581=O88)*(CAT_Procesos!$F$2:$F$1581=_xlfn.TEXTJOIN(" + ",TRUE,IF((TRIM(P88:S88)="")+(LOWER(TRIM(P88:S88))="(seleccione)"),"",PROPER(TRIM(P88:S88)))))*(CAT_Procesos!$D$2:$D$1581=IFERROR(VLOOKUP(N88&amp;"*",CAT_Procesos!$D:$D,1,FALSE),""))))=0,"Combinación no existente",IF(SUMPRODUCT(((CAT_Procesos!$E$2:$E$1581=O88)*(CAT_Procesos!$F$2:$F$1581=_xlfn.TEXTJOIN(" + ",TRUE,IF((TRIM(P88:S88)="")+(LOWER(TRIM(P88:S88))="(seleccione)"),"",PROPER(TRIM(P88:S88)))))*(CAT_Procesos!$D$2:$D$1581=IFERROR(VLOOKUP(N88&amp;"*",CAT_Procesos!$D:$D,1,FALSE),"")))*(CAT_Procesos!$G$2:$G$1581=INDEX(CAT_Procesos!$G$2:$G$1581,MATCH(1,(CAT_Procesos!$E$2:$E$1581=O88)*(CAT_Procesos!$F$2:$F$1581=_xlfn.TEXTJOIN(" + ",TRUE,IF((TRIM(P88:S88)="")+(LOWER(TRIM(P88:S88))="(seleccione)"),"",PROPER(TRIM(P88:S88)))))*(CAT_Procesos!$D$2:$D$1581=IFERROR(VLOOKUP(N88&amp;"*",CAT_Procesos!$D:$D,1,FALSE),"")),0))))=SUMPRODUCT(--((CAT_Procesos!$E$2:$E$1581=O88)*(CAT_Procesos!$F$2:$F$1581=_xlfn.TEXTJOIN(" + ",TRUE,IF((TRIM(P88:S88)="")+(LOWER(TRIM(P88:S88))="(seleccione)"),"",PROPER(TRIM(P88:S88)))))*(CAT_Procesos!$D$2:$D$1581=IFERROR(VLOOKUP(N88&amp;"*",CAT_Procesos!$D:$D,1,FALSE),"")))),INDEX(CAT_Procesos!$G$2:$G$1581,MATCH(1,(CAT_Procesos!$E$2:$E$1581=O88)*(CAT_Procesos!$F$2:$F$1581=_xlfn.TEXTJOIN(" + ",TRUE,IF((TRIM(P88:S88)="")+(LOWER(TRIM(P88:S88))="(seleccione)"),"",PROPER(TRIM(P88:S88)))))*(CAT_Procesos!$D$2:$D$1581=IFERROR(VLOOKUP(N88&amp;"*",CAT_Procesos!$D:$D,1,FALSE),"")),0)),"(seleccione)"))</f>
        <v>Combinación no existente</v>
      </c>
      <c r="V88" s="55" t="s">
        <v>73</v>
      </c>
      <c r="W88" s="56" t="s">
        <v>73</v>
      </c>
      <c r="X88" s="57" t="str">
        <f t="shared" si="4"/>
        <v/>
      </c>
      <c r="Y88" s="58" t="s">
        <v>73</v>
      </c>
      <c r="Z88" s="57" t="str">
        <f t="shared" si="5"/>
        <v/>
      </c>
      <c r="AA88" s="58" t="s">
        <v>73</v>
      </c>
      <c r="AB88" s="57" t="str">
        <f t="shared" si="6"/>
        <v/>
      </c>
      <c r="AC88" s="58" t="s">
        <v>73</v>
      </c>
      <c r="AD88" s="57" t="str">
        <f t="shared" si="7"/>
        <v/>
      </c>
      <c r="AE88" s="59"/>
      <c r="AF88" s="59"/>
      <c r="AG88" s="59"/>
      <c r="AH88" s="59"/>
      <c r="AI88" s="59" t="s">
        <v>73</v>
      </c>
      <c r="AJ88" s="59"/>
      <c r="AK88" s="59" t="s">
        <v>73</v>
      </c>
      <c r="AL88" s="59"/>
      <c r="AM88" s="59" t="s">
        <v>73</v>
      </c>
      <c r="AN88" s="59"/>
      <c r="AO88" s="59" t="s">
        <v>73</v>
      </c>
      <c r="AP88" s="59"/>
      <c r="AQ88" s="59" t="s">
        <v>73</v>
      </c>
      <c r="AR88" s="59"/>
      <c r="AS88" s="59" t="s">
        <v>72</v>
      </c>
      <c r="AT88" s="59"/>
      <c r="AU88" s="59"/>
      <c r="AV88" s="59"/>
      <c r="AW88" s="59"/>
      <c r="AX88" s="59"/>
      <c r="AY88" s="60" t="str">
        <f>IF('Cálculo MP'!K98="","",'Cálculo MP'!K98)</f>
        <v/>
      </c>
      <c r="AZ88" s="60" t="str">
        <f>IF('Cálculo MP'!L98="","",'Cálculo MP'!L98)</f>
        <v/>
      </c>
      <c r="BA88" s="60" t="str">
        <f>IF('Cálculo MP'!M98="","",'Cálculo MP'!M98)</f>
        <v/>
      </c>
      <c r="BB88" s="60" t="str">
        <f>IF('Cálculo MP'!N98="","",'Cálculo MP'!N98)</f>
        <v/>
      </c>
      <c r="BC88" s="60" t="str">
        <f>IF('Cálculo MP'!O98="","",'Cálculo MP'!O98)</f>
        <v/>
      </c>
      <c r="BD88" s="60" t="str">
        <f>IF('Cálculo MP'!P98="","",'Cálculo MP'!P98)</f>
        <v/>
      </c>
      <c r="BE88" s="60" t="str">
        <f>IF('Cálculo MP'!Q98="","",'Cálculo MP'!Q98)</f>
        <v/>
      </c>
      <c r="BF88" s="60" t="str">
        <f>IF('Cálculo MP'!R98="","",'Cálculo MP'!R98)</f>
        <v/>
      </c>
      <c r="BG88" s="60" t="str">
        <f>IF('Cálculo MP'!S98="","",'Cálculo MP'!S98)</f>
        <v/>
      </c>
      <c r="BH88" s="59"/>
      <c r="BI88" s="59"/>
      <c r="BJ88" s="59"/>
      <c r="BK88" s="59"/>
      <c r="BL88" s="59"/>
      <c r="BM88" s="59"/>
      <c r="BN88" s="59"/>
      <c r="BO88" s="59"/>
    </row>
    <row r="89" spans="1:67" ht="19.5" customHeight="1" x14ac:dyDescent="0.15">
      <c r="A89" s="123" t="s">
        <v>1856</v>
      </c>
      <c r="B89" s="122" t="s">
        <v>1854</v>
      </c>
      <c r="C89" s="49"/>
      <c r="D89" s="48" t="s">
        <v>73</v>
      </c>
      <c r="E89" s="49"/>
      <c r="F89" s="50"/>
      <c r="G89" s="62"/>
      <c r="H89" s="48" t="s">
        <v>72</v>
      </c>
      <c r="I89" s="52">
        <v>1</v>
      </c>
      <c r="J89" s="52"/>
      <c r="K89" s="52" t="s">
        <v>73</v>
      </c>
      <c r="L89" s="52" t="s">
        <v>74</v>
      </c>
      <c r="M89" s="53" t="s">
        <v>942</v>
      </c>
      <c r="N89" s="58" t="s">
        <v>73</v>
      </c>
      <c r="O89" s="48" t="s">
        <v>72</v>
      </c>
      <c r="P89" s="48" t="s">
        <v>73</v>
      </c>
      <c r="Q89" s="54" t="s">
        <v>73</v>
      </c>
      <c r="R89" s="55" t="s">
        <v>73</v>
      </c>
      <c r="S89" s="48" t="s">
        <v>73</v>
      </c>
      <c r="T89" s="130"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8" t="str" cm="1">
        <f t="array" ref="U89">IF(SUMPRODUCT(--((CAT_Procesos!$E$2:$E$1581=O89)*(CAT_Procesos!$F$2:$F$1581=_xlfn.TEXTJOIN(" + ",TRUE,IF((TRIM(P89:S89)="")+(LOWER(TRIM(P89:S89))="(seleccione)"),"",PROPER(TRIM(P89:S89)))))*(CAT_Procesos!$D$2:$D$1581=IFERROR(VLOOKUP(N89&amp;"*",CAT_Procesos!$D:$D,1,FALSE),""))))=0,"Combinación no existente",IF(SUMPRODUCT(((CAT_Procesos!$E$2:$E$1581=O89)*(CAT_Procesos!$F$2:$F$1581=_xlfn.TEXTJOIN(" + ",TRUE,IF((TRIM(P89:S89)="")+(LOWER(TRIM(P89:S89))="(seleccione)"),"",PROPER(TRIM(P89:S89)))))*(CAT_Procesos!$D$2:$D$1581=IFERROR(VLOOKUP(N89&amp;"*",CAT_Procesos!$D:$D,1,FALSE),"")))*(CAT_Procesos!$G$2:$G$1581=INDEX(CAT_Procesos!$G$2:$G$1581,MATCH(1,(CAT_Procesos!$E$2:$E$1581=O89)*(CAT_Procesos!$F$2:$F$1581=_xlfn.TEXTJOIN(" + ",TRUE,IF((TRIM(P89:S89)="")+(LOWER(TRIM(P89:S89))="(seleccione)"),"",PROPER(TRIM(P89:S89)))))*(CAT_Procesos!$D$2:$D$1581=IFERROR(VLOOKUP(N89&amp;"*",CAT_Procesos!$D:$D,1,FALSE),"")),0))))=SUMPRODUCT(--((CAT_Procesos!$E$2:$E$1581=O89)*(CAT_Procesos!$F$2:$F$1581=_xlfn.TEXTJOIN(" + ",TRUE,IF((TRIM(P89:S89)="")+(LOWER(TRIM(P89:S89))="(seleccione)"),"",PROPER(TRIM(P89:S89)))))*(CAT_Procesos!$D$2:$D$1581=IFERROR(VLOOKUP(N89&amp;"*",CAT_Procesos!$D:$D,1,FALSE),"")))),INDEX(CAT_Procesos!$G$2:$G$1581,MATCH(1,(CAT_Procesos!$E$2:$E$1581=O89)*(CAT_Procesos!$F$2:$F$1581=_xlfn.TEXTJOIN(" + ",TRUE,IF((TRIM(P89:S89)="")+(LOWER(TRIM(P89:S89))="(seleccione)"),"",PROPER(TRIM(P89:S89)))))*(CAT_Procesos!$D$2:$D$1581=IFERROR(VLOOKUP(N89&amp;"*",CAT_Procesos!$D:$D,1,FALSE),"")),0)),"(seleccione)"))</f>
        <v>Combinación no existente</v>
      </c>
      <c r="V89" s="55" t="s">
        <v>73</v>
      </c>
      <c r="W89" s="56" t="s">
        <v>73</v>
      </c>
      <c r="X89" s="57" t="str">
        <f t="shared" si="4"/>
        <v/>
      </c>
      <c r="Y89" s="58" t="s">
        <v>73</v>
      </c>
      <c r="Z89" s="57" t="str">
        <f t="shared" si="5"/>
        <v/>
      </c>
      <c r="AA89" s="58" t="s">
        <v>73</v>
      </c>
      <c r="AB89" s="57" t="str">
        <f t="shared" si="6"/>
        <v/>
      </c>
      <c r="AC89" s="58" t="s">
        <v>73</v>
      </c>
      <c r="AD89" s="57" t="str">
        <f t="shared" si="7"/>
        <v/>
      </c>
      <c r="AE89" s="59"/>
      <c r="AF89" s="59"/>
      <c r="AG89" s="59"/>
      <c r="AH89" s="59"/>
      <c r="AI89" s="59" t="s">
        <v>73</v>
      </c>
      <c r="AJ89" s="59"/>
      <c r="AK89" s="59" t="s">
        <v>73</v>
      </c>
      <c r="AL89" s="59"/>
      <c r="AM89" s="59" t="s">
        <v>73</v>
      </c>
      <c r="AN89" s="59"/>
      <c r="AO89" s="59" t="s">
        <v>73</v>
      </c>
      <c r="AP89" s="59"/>
      <c r="AQ89" s="59" t="s">
        <v>73</v>
      </c>
      <c r="AR89" s="59"/>
      <c r="AS89" s="59" t="s">
        <v>72</v>
      </c>
      <c r="AT89" s="59"/>
      <c r="AU89" s="59"/>
      <c r="AV89" s="59"/>
      <c r="AW89" s="59"/>
      <c r="AX89" s="59"/>
      <c r="AY89" s="60" t="str">
        <f>IF('Cálculo MP'!K99="","",'Cálculo MP'!K99)</f>
        <v/>
      </c>
      <c r="AZ89" s="60" t="str">
        <f>IF('Cálculo MP'!L99="","",'Cálculo MP'!L99)</f>
        <v/>
      </c>
      <c r="BA89" s="60" t="str">
        <f>IF('Cálculo MP'!M99="","",'Cálculo MP'!M99)</f>
        <v/>
      </c>
      <c r="BB89" s="60" t="str">
        <f>IF('Cálculo MP'!N99="","",'Cálculo MP'!N99)</f>
        <v/>
      </c>
      <c r="BC89" s="60" t="str">
        <f>IF('Cálculo MP'!O99="","",'Cálculo MP'!O99)</f>
        <v/>
      </c>
      <c r="BD89" s="60" t="str">
        <f>IF('Cálculo MP'!P99="","",'Cálculo MP'!P99)</f>
        <v/>
      </c>
      <c r="BE89" s="60" t="str">
        <f>IF('Cálculo MP'!Q99="","",'Cálculo MP'!Q99)</f>
        <v/>
      </c>
      <c r="BF89" s="60" t="str">
        <f>IF('Cálculo MP'!R99="","",'Cálculo MP'!R99)</f>
        <v/>
      </c>
      <c r="BG89" s="60" t="str">
        <f>IF('Cálculo MP'!S99="","",'Cálculo MP'!S99)</f>
        <v/>
      </c>
      <c r="BH89" s="59"/>
      <c r="BI89" s="59"/>
      <c r="BJ89" s="59"/>
      <c r="BK89" s="59"/>
      <c r="BL89" s="59"/>
      <c r="BM89" s="59"/>
      <c r="BN89" s="59"/>
      <c r="BO89" s="59"/>
    </row>
    <row r="90" spans="1:67" ht="19.5" customHeight="1" x14ac:dyDescent="0.15">
      <c r="A90" s="123" t="s">
        <v>1856</v>
      </c>
      <c r="B90" s="122" t="s">
        <v>1854</v>
      </c>
      <c r="C90" s="49"/>
      <c r="D90" s="48" t="s">
        <v>73</v>
      </c>
      <c r="E90" s="49"/>
      <c r="F90" s="50"/>
      <c r="G90" s="62"/>
      <c r="H90" s="48" t="s">
        <v>72</v>
      </c>
      <c r="I90" s="52">
        <v>1</v>
      </c>
      <c r="J90" s="52"/>
      <c r="K90" s="52" t="s">
        <v>73</v>
      </c>
      <c r="L90" s="52" t="s">
        <v>74</v>
      </c>
      <c r="M90" s="53" t="s">
        <v>942</v>
      </c>
      <c r="N90" s="58" t="s">
        <v>73</v>
      </c>
      <c r="O90" s="48" t="s">
        <v>72</v>
      </c>
      <c r="P90" s="48" t="s">
        <v>73</v>
      </c>
      <c r="Q90" s="54" t="s">
        <v>73</v>
      </c>
      <c r="R90" s="55" t="s">
        <v>73</v>
      </c>
      <c r="S90" s="48" t="s">
        <v>73</v>
      </c>
      <c r="T90" s="130"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8" t="str" cm="1">
        <f t="array" ref="U90">IF(SUMPRODUCT(--((CAT_Procesos!$E$2:$E$1581=O90)*(CAT_Procesos!$F$2:$F$1581=_xlfn.TEXTJOIN(" + ",TRUE,IF((TRIM(P90:S90)="")+(LOWER(TRIM(P90:S90))="(seleccione)"),"",PROPER(TRIM(P90:S90)))))*(CAT_Procesos!$D$2:$D$1581=IFERROR(VLOOKUP(N90&amp;"*",CAT_Procesos!$D:$D,1,FALSE),""))))=0,"Combinación no existente",IF(SUMPRODUCT(((CAT_Procesos!$E$2:$E$1581=O90)*(CAT_Procesos!$F$2:$F$1581=_xlfn.TEXTJOIN(" + ",TRUE,IF((TRIM(P90:S90)="")+(LOWER(TRIM(P90:S90))="(seleccione)"),"",PROPER(TRIM(P90:S90)))))*(CAT_Procesos!$D$2:$D$1581=IFERROR(VLOOKUP(N90&amp;"*",CAT_Procesos!$D:$D,1,FALSE),"")))*(CAT_Procesos!$G$2:$G$1581=INDEX(CAT_Procesos!$G$2:$G$1581,MATCH(1,(CAT_Procesos!$E$2:$E$1581=O90)*(CAT_Procesos!$F$2:$F$1581=_xlfn.TEXTJOIN(" + ",TRUE,IF((TRIM(P90:S90)="")+(LOWER(TRIM(P90:S90))="(seleccione)"),"",PROPER(TRIM(P90:S90)))))*(CAT_Procesos!$D$2:$D$1581=IFERROR(VLOOKUP(N90&amp;"*",CAT_Procesos!$D:$D,1,FALSE),"")),0))))=SUMPRODUCT(--((CAT_Procesos!$E$2:$E$1581=O90)*(CAT_Procesos!$F$2:$F$1581=_xlfn.TEXTJOIN(" + ",TRUE,IF((TRIM(P90:S90)="")+(LOWER(TRIM(P90:S90))="(seleccione)"),"",PROPER(TRIM(P90:S90)))))*(CAT_Procesos!$D$2:$D$1581=IFERROR(VLOOKUP(N90&amp;"*",CAT_Procesos!$D:$D,1,FALSE),"")))),INDEX(CAT_Procesos!$G$2:$G$1581,MATCH(1,(CAT_Procesos!$E$2:$E$1581=O90)*(CAT_Procesos!$F$2:$F$1581=_xlfn.TEXTJOIN(" + ",TRUE,IF((TRIM(P90:S90)="")+(LOWER(TRIM(P90:S90))="(seleccione)"),"",PROPER(TRIM(P90:S90)))))*(CAT_Procesos!$D$2:$D$1581=IFERROR(VLOOKUP(N90&amp;"*",CAT_Procesos!$D:$D,1,FALSE),"")),0)),"(seleccione)"))</f>
        <v>Combinación no existente</v>
      </c>
      <c r="V90" s="55" t="s">
        <v>73</v>
      </c>
      <c r="W90" s="56" t="s">
        <v>73</v>
      </c>
      <c r="X90" s="57" t="str">
        <f t="shared" si="4"/>
        <v/>
      </c>
      <c r="Y90" s="58" t="s">
        <v>73</v>
      </c>
      <c r="Z90" s="57" t="str">
        <f t="shared" si="5"/>
        <v/>
      </c>
      <c r="AA90" s="58" t="s">
        <v>73</v>
      </c>
      <c r="AB90" s="57" t="str">
        <f t="shared" si="6"/>
        <v/>
      </c>
      <c r="AC90" s="58" t="s">
        <v>73</v>
      </c>
      <c r="AD90" s="57" t="str">
        <f t="shared" si="7"/>
        <v/>
      </c>
      <c r="AE90" s="59"/>
      <c r="AF90" s="59"/>
      <c r="AG90" s="59"/>
      <c r="AH90" s="59"/>
      <c r="AI90" s="59" t="s">
        <v>73</v>
      </c>
      <c r="AJ90" s="59"/>
      <c r="AK90" s="59" t="s">
        <v>73</v>
      </c>
      <c r="AL90" s="59"/>
      <c r="AM90" s="59" t="s">
        <v>73</v>
      </c>
      <c r="AN90" s="59"/>
      <c r="AO90" s="59" t="s">
        <v>73</v>
      </c>
      <c r="AP90" s="59"/>
      <c r="AQ90" s="59" t="s">
        <v>73</v>
      </c>
      <c r="AR90" s="59"/>
      <c r="AS90" s="59" t="s">
        <v>72</v>
      </c>
      <c r="AT90" s="59"/>
      <c r="AU90" s="59"/>
      <c r="AV90" s="59"/>
      <c r="AW90" s="59"/>
      <c r="AX90" s="59"/>
      <c r="AY90" s="60" t="str">
        <f>IF('Cálculo MP'!K100="","",'Cálculo MP'!K100)</f>
        <v/>
      </c>
      <c r="AZ90" s="60" t="str">
        <f>IF('Cálculo MP'!L100="","",'Cálculo MP'!L100)</f>
        <v/>
      </c>
      <c r="BA90" s="60" t="str">
        <f>IF('Cálculo MP'!M100="","",'Cálculo MP'!M100)</f>
        <v/>
      </c>
      <c r="BB90" s="60" t="str">
        <f>IF('Cálculo MP'!N100="","",'Cálculo MP'!N100)</f>
        <v/>
      </c>
      <c r="BC90" s="60" t="str">
        <f>IF('Cálculo MP'!O100="","",'Cálculo MP'!O100)</f>
        <v/>
      </c>
      <c r="BD90" s="60" t="str">
        <f>IF('Cálculo MP'!P100="","",'Cálculo MP'!P100)</f>
        <v/>
      </c>
      <c r="BE90" s="60" t="str">
        <f>IF('Cálculo MP'!Q100="","",'Cálculo MP'!Q100)</f>
        <v/>
      </c>
      <c r="BF90" s="60" t="str">
        <f>IF('Cálculo MP'!R100="","",'Cálculo MP'!R100)</f>
        <v/>
      </c>
      <c r="BG90" s="60" t="str">
        <f>IF('Cálculo MP'!S100="","",'Cálculo MP'!S100)</f>
        <v/>
      </c>
      <c r="BH90" s="59"/>
      <c r="BI90" s="59"/>
      <c r="BJ90" s="59"/>
      <c r="BK90" s="59"/>
      <c r="BL90" s="59"/>
      <c r="BM90" s="59"/>
      <c r="BN90" s="59"/>
      <c r="BO90" s="59"/>
    </row>
    <row r="91" spans="1:67" ht="19.5" customHeight="1" x14ac:dyDescent="0.15">
      <c r="A91" s="123" t="s">
        <v>1856</v>
      </c>
      <c r="B91" s="122" t="s">
        <v>1854</v>
      </c>
      <c r="C91" s="49"/>
      <c r="D91" s="48" t="s">
        <v>73</v>
      </c>
      <c r="E91" s="49"/>
      <c r="F91" s="50"/>
      <c r="G91" s="62"/>
      <c r="H91" s="48" t="s">
        <v>72</v>
      </c>
      <c r="I91" s="52">
        <v>1</v>
      </c>
      <c r="J91" s="52"/>
      <c r="K91" s="52" t="s">
        <v>73</v>
      </c>
      <c r="L91" s="52" t="s">
        <v>74</v>
      </c>
      <c r="M91" s="53" t="s">
        <v>942</v>
      </c>
      <c r="N91" s="58" t="s">
        <v>73</v>
      </c>
      <c r="O91" s="48" t="s">
        <v>72</v>
      </c>
      <c r="P91" s="48" t="s">
        <v>73</v>
      </c>
      <c r="Q91" s="54" t="s">
        <v>73</v>
      </c>
      <c r="R91" s="55" t="s">
        <v>73</v>
      </c>
      <c r="S91" s="48" t="s">
        <v>73</v>
      </c>
      <c r="T91" s="130"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8" t="str" cm="1">
        <f t="array" ref="U91">IF(SUMPRODUCT(--((CAT_Procesos!$E$2:$E$1581=O91)*(CAT_Procesos!$F$2:$F$1581=_xlfn.TEXTJOIN(" + ",TRUE,IF((TRIM(P91:S91)="")+(LOWER(TRIM(P91:S91))="(seleccione)"),"",PROPER(TRIM(P91:S91)))))*(CAT_Procesos!$D$2:$D$1581=IFERROR(VLOOKUP(N91&amp;"*",CAT_Procesos!$D:$D,1,FALSE),""))))=0,"Combinación no existente",IF(SUMPRODUCT(((CAT_Procesos!$E$2:$E$1581=O91)*(CAT_Procesos!$F$2:$F$1581=_xlfn.TEXTJOIN(" + ",TRUE,IF((TRIM(P91:S91)="")+(LOWER(TRIM(P91:S91))="(seleccione)"),"",PROPER(TRIM(P91:S91)))))*(CAT_Procesos!$D$2:$D$1581=IFERROR(VLOOKUP(N91&amp;"*",CAT_Procesos!$D:$D,1,FALSE),"")))*(CAT_Procesos!$G$2:$G$1581=INDEX(CAT_Procesos!$G$2:$G$1581,MATCH(1,(CAT_Procesos!$E$2:$E$1581=O91)*(CAT_Procesos!$F$2:$F$1581=_xlfn.TEXTJOIN(" + ",TRUE,IF((TRIM(P91:S91)="")+(LOWER(TRIM(P91:S91))="(seleccione)"),"",PROPER(TRIM(P91:S91)))))*(CAT_Procesos!$D$2:$D$1581=IFERROR(VLOOKUP(N91&amp;"*",CAT_Procesos!$D:$D,1,FALSE),"")),0))))=SUMPRODUCT(--((CAT_Procesos!$E$2:$E$1581=O91)*(CAT_Procesos!$F$2:$F$1581=_xlfn.TEXTJOIN(" + ",TRUE,IF((TRIM(P91:S91)="")+(LOWER(TRIM(P91:S91))="(seleccione)"),"",PROPER(TRIM(P91:S91)))))*(CAT_Procesos!$D$2:$D$1581=IFERROR(VLOOKUP(N91&amp;"*",CAT_Procesos!$D:$D,1,FALSE),"")))),INDEX(CAT_Procesos!$G$2:$G$1581,MATCH(1,(CAT_Procesos!$E$2:$E$1581=O91)*(CAT_Procesos!$F$2:$F$1581=_xlfn.TEXTJOIN(" + ",TRUE,IF((TRIM(P91:S91)="")+(LOWER(TRIM(P91:S91))="(seleccione)"),"",PROPER(TRIM(P91:S91)))))*(CAT_Procesos!$D$2:$D$1581=IFERROR(VLOOKUP(N91&amp;"*",CAT_Procesos!$D:$D,1,FALSE),"")),0)),"(seleccione)"))</f>
        <v>Combinación no existente</v>
      </c>
      <c r="V91" s="55" t="s">
        <v>73</v>
      </c>
      <c r="W91" s="56" t="s">
        <v>73</v>
      </c>
      <c r="X91" s="57" t="str">
        <f t="shared" si="4"/>
        <v/>
      </c>
      <c r="Y91" s="58" t="s">
        <v>73</v>
      </c>
      <c r="Z91" s="57" t="str">
        <f t="shared" si="5"/>
        <v/>
      </c>
      <c r="AA91" s="58" t="s">
        <v>73</v>
      </c>
      <c r="AB91" s="57" t="str">
        <f t="shared" si="6"/>
        <v/>
      </c>
      <c r="AC91" s="58" t="s">
        <v>73</v>
      </c>
      <c r="AD91" s="57" t="str">
        <f t="shared" si="7"/>
        <v/>
      </c>
      <c r="AE91" s="59"/>
      <c r="AF91" s="59"/>
      <c r="AG91" s="59"/>
      <c r="AH91" s="59"/>
      <c r="AI91" s="59" t="s">
        <v>73</v>
      </c>
      <c r="AJ91" s="59"/>
      <c r="AK91" s="59" t="s">
        <v>73</v>
      </c>
      <c r="AL91" s="59"/>
      <c r="AM91" s="59" t="s">
        <v>73</v>
      </c>
      <c r="AN91" s="59"/>
      <c r="AO91" s="59" t="s">
        <v>73</v>
      </c>
      <c r="AP91" s="59"/>
      <c r="AQ91" s="59" t="s">
        <v>73</v>
      </c>
      <c r="AR91" s="59"/>
      <c r="AS91" s="59" t="s">
        <v>72</v>
      </c>
      <c r="AT91" s="59"/>
      <c r="AU91" s="59"/>
      <c r="AV91" s="59"/>
      <c r="AW91" s="59"/>
      <c r="AX91" s="59"/>
      <c r="AY91" s="60" t="str">
        <f>IF('Cálculo MP'!K101="","",'Cálculo MP'!K101)</f>
        <v/>
      </c>
      <c r="AZ91" s="60" t="str">
        <f>IF('Cálculo MP'!L101="","",'Cálculo MP'!L101)</f>
        <v/>
      </c>
      <c r="BA91" s="60" t="str">
        <f>IF('Cálculo MP'!M101="","",'Cálculo MP'!M101)</f>
        <v/>
      </c>
      <c r="BB91" s="60" t="str">
        <f>IF('Cálculo MP'!N101="","",'Cálculo MP'!N101)</f>
        <v/>
      </c>
      <c r="BC91" s="60" t="str">
        <f>IF('Cálculo MP'!O101="","",'Cálculo MP'!O101)</f>
        <v/>
      </c>
      <c r="BD91" s="60" t="str">
        <f>IF('Cálculo MP'!P101="","",'Cálculo MP'!P101)</f>
        <v/>
      </c>
      <c r="BE91" s="60" t="str">
        <f>IF('Cálculo MP'!Q101="","",'Cálculo MP'!Q101)</f>
        <v/>
      </c>
      <c r="BF91" s="60" t="str">
        <f>IF('Cálculo MP'!R101="","",'Cálculo MP'!R101)</f>
        <v/>
      </c>
      <c r="BG91" s="60" t="str">
        <f>IF('Cálculo MP'!S101="","",'Cálculo MP'!S101)</f>
        <v/>
      </c>
      <c r="BH91" s="59"/>
      <c r="BI91" s="59"/>
      <c r="BJ91" s="59"/>
      <c r="BK91" s="59"/>
      <c r="BL91" s="59"/>
      <c r="BM91" s="59"/>
      <c r="BN91" s="59"/>
      <c r="BO91" s="59"/>
    </row>
    <row r="92" spans="1:67" ht="19.5" customHeight="1" x14ac:dyDescent="0.15">
      <c r="A92" s="123" t="s">
        <v>1856</v>
      </c>
      <c r="B92" s="122" t="s">
        <v>1854</v>
      </c>
      <c r="C92" s="49"/>
      <c r="D92" s="48" t="s">
        <v>73</v>
      </c>
      <c r="E92" s="49"/>
      <c r="F92" s="50"/>
      <c r="G92" s="62"/>
      <c r="H92" s="48" t="s">
        <v>72</v>
      </c>
      <c r="I92" s="52">
        <v>1</v>
      </c>
      <c r="J92" s="52"/>
      <c r="K92" s="52" t="s">
        <v>73</v>
      </c>
      <c r="L92" s="52" t="s">
        <v>74</v>
      </c>
      <c r="M92" s="53" t="s">
        <v>942</v>
      </c>
      <c r="N92" s="58" t="s">
        <v>73</v>
      </c>
      <c r="O92" s="48" t="s">
        <v>72</v>
      </c>
      <c r="P92" s="48" t="s">
        <v>73</v>
      </c>
      <c r="Q92" s="54" t="s">
        <v>73</v>
      </c>
      <c r="R92" s="55" t="s">
        <v>73</v>
      </c>
      <c r="S92" s="48" t="s">
        <v>73</v>
      </c>
      <c r="T92" s="130"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8" t="str" cm="1">
        <f t="array" ref="U92">IF(SUMPRODUCT(--((CAT_Procesos!$E$2:$E$1581=O92)*(CAT_Procesos!$F$2:$F$1581=_xlfn.TEXTJOIN(" + ",TRUE,IF((TRIM(P92:S92)="")+(LOWER(TRIM(P92:S92))="(seleccione)"),"",PROPER(TRIM(P92:S92)))))*(CAT_Procesos!$D$2:$D$1581=IFERROR(VLOOKUP(N92&amp;"*",CAT_Procesos!$D:$D,1,FALSE),""))))=0,"Combinación no existente",IF(SUMPRODUCT(((CAT_Procesos!$E$2:$E$1581=O92)*(CAT_Procesos!$F$2:$F$1581=_xlfn.TEXTJOIN(" + ",TRUE,IF((TRIM(P92:S92)="")+(LOWER(TRIM(P92:S92))="(seleccione)"),"",PROPER(TRIM(P92:S92)))))*(CAT_Procesos!$D$2:$D$1581=IFERROR(VLOOKUP(N92&amp;"*",CAT_Procesos!$D:$D,1,FALSE),"")))*(CAT_Procesos!$G$2:$G$1581=INDEX(CAT_Procesos!$G$2:$G$1581,MATCH(1,(CAT_Procesos!$E$2:$E$1581=O92)*(CAT_Procesos!$F$2:$F$1581=_xlfn.TEXTJOIN(" + ",TRUE,IF((TRIM(P92:S92)="")+(LOWER(TRIM(P92:S92))="(seleccione)"),"",PROPER(TRIM(P92:S92)))))*(CAT_Procesos!$D$2:$D$1581=IFERROR(VLOOKUP(N92&amp;"*",CAT_Procesos!$D:$D,1,FALSE),"")),0))))=SUMPRODUCT(--((CAT_Procesos!$E$2:$E$1581=O92)*(CAT_Procesos!$F$2:$F$1581=_xlfn.TEXTJOIN(" + ",TRUE,IF((TRIM(P92:S92)="")+(LOWER(TRIM(P92:S92))="(seleccione)"),"",PROPER(TRIM(P92:S92)))))*(CAT_Procesos!$D$2:$D$1581=IFERROR(VLOOKUP(N92&amp;"*",CAT_Procesos!$D:$D,1,FALSE),"")))),INDEX(CAT_Procesos!$G$2:$G$1581,MATCH(1,(CAT_Procesos!$E$2:$E$1581=O92)*(CAT_Procesos!$F$2:$F$1581=_xlfn.TEXTJOIN(" + ",TRUE,IF((TRIM(P92:S92)="")+(LOWER(TRIM(P92:S92))="(seleccione)"),"",PROPER(TRIM(P92:S92)))))*(CAT_Procesos!$D$2:$D$1581=IFERROR(VLOOKUP(N92&amp;"*",CAT_Procesos!$D:$D,1,FALSE),"")),0)),"(seleccione)"))</f>
        <v>Combinación no existente</v>
      </c>
      <c r="V92" s="55" t="s">
        <v>73</v>
      </c>
      <c r="W92" s="56" t="s">
        <v>73</v>
      </c>
      <c r="X92" s="57" t="str">
        <f t="shared" si="4"/>
        <v/>
      </c>
      <c r="Y92" s="58" t="s">
        <v>73</v>
      </c>
      <c r="Z92" s="57" t="str">
        <f t="shared" si="5"/>
        <v/>
      </c>
      <c r="AA92" s="58" t="s">
        <v>73</v>
      </c>
      <c r="AB92" s="57" t="str">
        <f t="shared" si="6"/>
        <v/>
      </c>
      <c r="AC92" s="58" t="s">
        <v>73</v>
      </c>
      <c r="AD92" s="57" t="str">
        <f t="shared" si="7"/>
        <v/>
      </c>
      <c r="AE92" s="59"/>
      <c r="AF92" s="59"/>
      <c r="AG92" s="59"/>
      <c r="AH92" s="59"/>
      <c r="AI92" s="59" t="s">
        <v>73</v>
      </c>
      <c r="AJ92" s="59"/>
      <c r="AK92" s="59" t="s">
        <v>73</v>
      </c>
      <c r="AL92" s="59"/>
      <c r="AM92" s="59" t="s">
        <v>73</v>
      </c>
      <c r="AN92" s="59"/>
      <c r="AO92" s="59" t="s">
        <v>73</v>
      </c>
      <c r="AP92" s="59"/>
      <c r="AQ92" s="59" t="s">
        <v>73</v>
      </c>
      <c r="AR92" s="59"/>
      <c r="AS92" s="59" t="s">
        <v>72</v>
      </c>
      <c r="AT92" s="59"/>
      <c r="AU92" s="59"/>
      <c r="AV92" s="59"/>
      <c r="AW92" s="59"/>
      <c r="AX92" s="59"/>
      <c r="AY92" s="60" t="str">
        <f>IF('Cálculo MP'!K102="","",'Cálculo MP'!K102)</f>
        <v/>
      </c>
      <c r="AZ92" s="60" t="str">
        <f>IF('Cálculo MP'!L102="","",'Cálculo MP'!L102)</f>
        <v/>
      </c>
      <c r="BA92" s="60" t="str">
        <f>IF('Cálculo MP'!M102="","",'Cálculo MP'!M102)</f>
        <v/>
      </c>
      <c r="BB92" s="60" t="str">
        <f>IF('Cálculo MP'!N102="","",'Cálculo MP'!N102)</f>
        <v/>
      </c>
      <c r="BC92" s="60" t="str">
        <f>IF('Cálculo MP'!O102="","",'Cálculo MP'!O102)</f>
        <v/>
      </c>
      <c r="BD92" s="60" t="str">
        <f>IF('Cálculo MP'!P102="","",'Cálculo MP'!P102)</f>
        <v/>
      </c>
      <c r="BE92" s="60" t="str">
        <f>IF('Cálculo MP'!Q102="","",'Cálculo MP'!Q102)</f>
        <v/>
      </c>
      <c r="BF92" s="60" t="str">
        <f>IF('Cálculo MP'!R102="","",'Cálculo MP'!R102)</f>
        <v/>
      </c>
      <c r="BG92" s="60" t="str">
        <f>IF('Cálculo MP'!S102="","",'Cálculo MP'!S102)</f>
        <v/>
      </c>
      <c r="BH92" s="59"/>
      <c r="BI92" s="59"/>
      <c r="BJ92" s="59"/>
      <c r="BK92" s="59"/>
      <c r="BL92" s="59"/>
      <c r="BM92" s="59"/>
      <c r="BN92" s="59"/>
      <c r="BO92" s="59"/>
    </row>
    <row r="93" spans="1:67" ht="19.5" customHeight="1" x14ac:dyDescent="0.15">
      <c r="A93" s="123" t="s">
        <v>1856</v>
      </c>
      <c r="B93" s="122" t="s">
        <v>1854</v>
      </c>
      <c r="C93" s="49"/>
      <c r="D93" s="48" t="s">
        <v>73</v>
      </c>
      <c r="E93" s="49"/>
      <c r="F93" s="50"/>
      <c r="G93" s="62"/>
      <c r="H93" s="48" t="s">
        <v>72</v>
      </c>
      <c r="I93" s="52">
        <v>1</v>
      </c>
      <c r="J93" s="52"/>
      <c r="K93" s="52" t="s">
        <v>73</v>
      </c>
      <c r="L93" s="52" t="s">
        <v>74</v>
      </c>
      <c r="M93" s="53" t="s">
        <v>942</v>
      </c>
      <c r="N93" s="58" t="s">
        <v>73</v>
      </c>
      <c r="O93" s="48" t="s">
        <v>72</v>
      </c>
      <c r="P93" s="48" t="s">
        <v>73</v>
      </c>
      <c r="Q93" s="54" t="s">
        <v>73</v>
      </c>
      <c r="R93" s="55" t="s">
        <v>73</v>
      </c>
      <c r="S93" s="48" t="s">
        <v>73</v>
      </c>
      <c r="T93" s="130"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8" t="str" cm="1">
        <f t="array" ref="U93">IF(SUMPRODUCT(--((CAT_Procesos!$E$2:$E$1581=O93)*(CAT_Procesos!$F$2:$F$1581=_xlfn.TEXTJOIN(" + ",TRUE,IF((TRIM(P93:S93)="")+(LOWER(TRIM(P93:S93))="(seleccione)"),"",PROPER(TRIM(P93:S93)))))*(CAT_Procesos!$D$2:$D$1581=IFERROR(VLOOKUP(N93&amp;"*",CAT_Procesos!$D:$D,1,FALSE),""))))=0,"Combinación no existente",IF(SUMPRODUCT(((CAT_Procesos!$E$2:$E$1581=O93)*(CAT_Procesos!$F$2:$F$1581=_xlfn.TEXTJOIN(" + ",TRUE,IF((TRIM(P93:S93)="")+(LOWER(TRIM(P93:S93))="(seleccione)"),"",PROPER(TRIM(P93:S93)))))*(CAT_Procesos!$D$2:$D$1581=IFERROR(VLOOKUP(N93&amp;"*",CAT_Procesos!$D:$D,1,FALSE),"")))*(CAT_Procesos!$G$2:$G$1581=INDEX(CAT_Procesos!$G$2:$G$1581,MATCH(1,(CAT_Procesos!$E$2:$E$1581=O93)*(CAT_Procesos!$F$2:$F$1581=_xlfn.TEXTJOIN(" + ",TRUE,IF((TRIM(P93:S93)="")+(LOWER(TRIM(P93:S93))="(seleccione)"),"",PROPER(TRIM(P93:S93)))))*(CAT_Procesos!$D$2:$D$1581=IFERROR(VLOOKUP(N93&amp;"*",CAT_Procesos!$D:$D,1,FALSE),"")),0))))=SUMPRODUCT(--((CAT_Procesos!$E$2:$E$1581=O93)*(CAT_Procesos!$F$2:$F$1581=_xlfn.TEXTJOIN(" + ",TRUE,IF((TRIM(P93:S93)="")+(LOWER(TRIM(P93:S93))="(seleccione)"),"",PROPER(TRIM(P93:S93)))))*(CAT_Procesos!$D$2:$D$1581=IFERROR(VLOOKUP(N93&amp;"*",CAT_Procesos!$D:$D,1,FALSE),"")))),INDEX(CAT_Procesos!$G$2:$G$1581,MATCH(1,(CAT_Procesos!$E$2:$E$1581=O93)*(CAT_Procesos!$F$2:$F$1581=_xlfn.TEXTJOIN(" + ",TRUE,IF((TRIM(P93:S93)="")+(LOWER(TRIM(P93:S93))="(seleccione)"),"",PROPER(TRIM(P93:S93)))))*(CAT_Procesos!$D$2:$D$1581=IFERROR(VLOOKUP(N93&amp;"*",CAT_Procesos!$D:$D,1,FALSE),"")),0)),"(seleccione)"))</f>
        <v>Combinación no existente</v>
      </c>
      <c r="V93" s="55" t="s">
        <v>73</v>
      </c>
      <c r="W93" s="56" t="s">
        <v>73</v>
      </c>
      <c r="X93" s="57" t="str">
        <f t="shared" si="4"/>
        <v/>
      </c>
      <c r="Y93" s="58" t="s">
        <v>73</v>
      </c>
      <c r="Z93" s="57" t="str">
        <f t="shared" si="5"/>
        <v/>
      </c>
      <c r="AA93" s="58" t="s">
        <v>73</v>
      </c>
      <c r="AB93" s="57" t="str">
        <f t="shared" si="6"/>
        <v/>
      </c>
      <c r="AC93" s="58" t="s">
        <v>73</v>
      </c>
      <c r="AD93" s="57" t="str">
        <f t="shared" si="7"/>
        <v/>
      </c>
      <c r="AE93" s="59"/>
      <c r="AF93" s="59"/>
      <c r="AG93" s="59"/>
      <c r="AH93" s="59"/>
      <c r="AI93" s="59" t="s">
        <v>73</v>
      </c>
      <c r="AJ93" s="59"/>
      <c r="AK93" s="59" t="s">
        <v>73</v>
      </c>
      <c r="AL93" s="59"/>
      <c r="AM93" s="59" t="s">
        <v>73</v>
      </c>
      <c r="AN93" s="59"/>
      <c r="AO93" s="59" t="s">
        <v>73</v>
      </c>
      <c r="AP93" s="59"/>
      <c r="AQ93" s="59" t="s">
        <v>73</v>
      </c>
      <c r="AR93" s="59"/>
      <c r="AS93" s="59" t="s">
        <v>72</v>
      </c>
      <c r="AT93" s="59"/>
      <c r="AU93" s="59"/>
      <c r="AV93" s="59"/>
      <c r="AW93" s="59"/>
      <c r="AX93" s="59"/>
      <c r="AY93" s="60" t="str">
        <f>IF('Cálculo MP'!K103="","",'Cálculo MP'!K103)</f>
        <v/>
      </c>
      <c r="AZ93" s="60" t="str">
        <f>IF('Cálculo MP'!L103="","",'Cálculo MP'!L103)</f>
        <v/>
      </c>
      <c r="BA93" s="60" t="str">
        <f>IF('Cálculo MP'!M103="","",'Cálculo MP'!M103)</f>
        <v/>
      </c>
      <c r="BB93" s="60" t="str">
        <f>IF('Cálculo MP'!N103="","",'Cálculo MP'!N103)</f>
        <v/>
      </c>
      <c r="BC93" s="60" t="str">
        <f>IF('Cálculo MP'!O103="","",'Cálculo MP'!O103)</f>
        <v/>
      </c>
      <c r="BD93" s="60" t="str">
        <f>IF('Cálculo MP'!P103="","",'Cálculo MP'!P103)</f>
        <v/>
      </c>
      <c r="BE93" s="60" t="str">
        <f>IF('Cálculo MP'!Q103="","",'Cálculo MP'!Q103)</f>
        <v/>
      </c>
      <c r="BF93" s="60" t="str">
        <f>IF('Cálculo MP'!R103="","",'Cálculo MP'!R103)</f>
        <v/>
      </c>
      <c r="BG93" s="60" t="str">
        <f>IF('Cálculo MP'!S103="","",'Cálculo MP'!S103)</f>
        <v/>
      </c>
      <c r="BH93" s="59"/>
      <c r="BI93" s="59"/>
      <c r="BJ93" s="59"/>
      <c r="BK93" s="59"/>
      <c r="BL93" s="59"/>
      <c r="BM93" s="59"/>
      <c r="BN93" s="59"/>
      <c r="BO93" s="59"/>
    </row>
    <row r="94" spans="1:67" ht="19.5" customHeight="1" x14ac:dyDescent="0.15">
      <c r="A94" s="123" t="s">
        <v>1856</v>
      </c>
      <c r="B94" s="122" t="s">
        <v>1854</v>
      </c>
      <c r="C94" s="49"/>
      <c r="D94" s="48" t="s">
        <v>73</v>
      </c>
      <c r="E94" s="49"/>
      <c r="F94" s="50"/>
      <c r="G94" s="62"/>
      <c r="H94" s="48" t="s">
        <v>72</v>
      </c>
      <c r="I94" s="52">
        <v>1</v>
      </c>
      <c r="J94" s="52"/>
      <c r="K94" s="52" t="s">
        <v>73</v>
      </c>
      <c r="L94" s="52" t="s">
        <v>74</v>
      </c>
      <c r="M94" s="53" t="s">
        <v>942</v>
      </c>
      <c r="N94" s="58" t="s">
        <v>73</v>
      </c>
      <c r="O94" s="48" t="s">
        <v>72</v>
      </c>
      <c r="P94" s="48" t="s">
        <v>73</v>
      </c>
      <c r="Q94" s="54" t="s">
        <v>73</v>
      </c>
      <c r="R94" s="55" t="s">
        <v>73</v>
      </c>
      <c r="S94" s="48" t="s">
        <v>73</v>
      </c>
      <c r="T94" s="130"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8" t="str" cm="1">
        <f t="array" ref="U94">IF(SUMPRODUCT(--((CAT_Procesos!$E$2:$E$1581=O94)*(CAT_Procesos!$F$2:$F$1581=_xlfn.TEXTJOIN(" + ",TRUE,IF((TRIM(P94:S94)="")+(LOWER(TRIM(P94:S94))="(seleccione)"),"",PROPER(TRIM(P94:S94)))))*(CAT_Procesos!$D$2:$D$1581=IFERROR(VLOOKUP(N94&amp;"*",CAT_Procesos!$D:$D,1,FALSE),""))))=0,"Combinación no existente",IF(SUMPRODUCT(((CAT_Procesos!$E$2:$E$1581=O94)*(CAT_Procesos!$F$2:$F$1581=_xlfn.TEXTJOIN(" + ",TRUE,IF((TRIM(P94:S94)="")+(LOWER(TRIM(P94:S94))="(seleccione)"),"",PROPER(TRIM(P94:S94)))))*(CAT_Procesos!$D$2:$D$1581=IFERROR(VLOOKUP(N94&amp;"*",CAT_Procesos!$D:$D,1,FALSE),"")))*(CAT_Procesos!$G$2:$G$1581=INDEX(CAT_Procesos!$G$2:$G$1581,MATCH(1,(CAT_Procesos!$E$2:$E$1581=O94)*(CAT_Procesos!$F$2:$F$1581=_xlfn.TEXTJOIN(" + ",TRUE,IF((TRIM(P94:S94)="")+(LOWER(TRIM(P94:S94))="(seleccione)"),"",PROPER(TRIM(P94:S94)))))*(CAT_Procesos!$D$2:$D$1581=IFERROR(VLOOKUP(N94&amp;"*",CAT_Procesos!$D:$D,1,FALSE),"")),0))))=SUMPRODUCT(--((CAT_Procesos!$E$2:$E$1581=O94)*(CAT_Procesos!$F$2:$F$1581=_xlfn.TEXTJOIN(" + ",TRUE,IF((TRIM(P94:S94)="")+(LOWER(TRIM(P94:S94))="(seleccione)"),"",PROPER(TRIM(P94:S94)))))*(CAT_Procesos!$D$2:$D$1581=IFERROR(VLOOKUP(N94&amp;"*",CAT_Procesos!$D:$D,1,FALSE),"")))),INDEX(CAT_Procesos!$G$2:$G$1581,MATCH(1,(CAT_Procesos!$E$2:$E$1581=O94)*(CAT_Procesos!$F$2:$F$1581=_xlfn.TEXTJOIN(" + ",TRUE,IF((TRIM(P94:S94)="")+(LOWER(TRIM(P94:S94))="(seleccione)"),"",PROPER(TRIM(P94:S94)))))*(CAT_Procesos!$D$2:$D$1581=IFERROR(VLOOKUP(N94&amp;"*",CAT_Procesos!$D:$D,1,FALSE),"")),0)),"(seleccione)"))</f>
        <v>Combinación no existente</v>
      </c>
      <c r="V94" s="55" t="s">
        <v>73</v>
      </c>
      <c r="W94" s="56" t="s">
        <v>73</v>
      </c>
      <c r="X94" s="57" t="str">
        <f t="shared" si="4"/>
        <v/>
      </c>
      <c r="Y94" s="58" t="s">
        <v>73</v>
      </c>
      <c r="Z94" s="57" t="str">
        <f t="shared" si="5"/>
        <v/>
      </c>
      <c r="AA94" s="58" t="s">
        <v>73</v>
      </c>
      <c r="AB94" s="57" t="str">
        <f t="shared" si="6"/>
        <v/>
      </c>
      <c r="AC94" s="58" t="s">
        <v>73</v>
      </c>
      <c r="AD94" s="57" t="str">
        <f t="shared" si="7"/>
        <v/>
      </c>
      <c r="AE94" s="59"/>
      <c r="AF94" s="59"/>
      <c r="AG94" s="59"/>
      <c r="AH94" s="59"/>
      <c r="AI94" s="59" t="s">
        <v>73</v>
      </c>
      <c r="AJ94" s="59"/>
      <c r="AK94" s="59" t="s">
        <v>73</v>
      </c>
      <c r="AL94" s="59"/>
      <c r="AM94" s="59" t="s">
        <v>73</v>
      </c>
      <c r="AN94" s="59"/>
      <c r="AO94" s="59" t="s">
        <v>73</v>
      </c>
      <c r="AP94" s="59"/>
      <c r="AQ94" s="59" t="s">
        <v>73</v>
      </c>
      <c r="AR94" s="59"/>
      <c r="AS94" s="59" t="s">
        <v>72</v>
      </c>
      <c r="AT94" s="59"/>
      <c r="AU94" s="59"/>
      <c r="AV94" s="59"/>
      <c r="AW94" s="59"/>
      <c r="AX94" s="59"/>
      <c r="AY94" s="60" t="str">
        <f>IF('Cálculo MP'!K104="","",'Cálculo MP'!K104)</f>
        <v/>
      </c>
      <c r="AZ94" s="60" t="str">
        <f>IF('Cálculo MP'!L104="","",'Cálculo MP'!L104)</f>
        <v/>
      </c>
      <c r="BA94" s="60" t="str">
        <f>IF('Cálculo MP'!M104="","",'Cálculo MP'!M104)</f>
        <v/>
      </c>
      <c r="BB94" s="60" t="str">
        <f>IF('Cálculo MP'!N104="","",'Cálculo MP'!N104)</f>
        <v/>
      </c>
      <c r="BC94" s="60" t="str">
        <f>IF('Cálculo MP'!O104="","",'Cálculo MP'!O104)</f>
        <v/>
      </c>
      <c r="BD94" s="60" t="str">
        <f>IF('Cálculo MP'!P104="","",'Cálculo MP'!P104)</f>
        <v/>
      </c>
      <c r="BE94" s="60" t="str">
        <f>IF('Cálculo MP'!Q104="","",'Cálculo MP'!Q104)</f>
        <v/>
      </c>
      <c r="BF94" s="60" t="str">
        <f>IF('Cálculo MP'!R104="","",'Cálculo MP'!R104)</f>
        <v/>
      </c>
      <c r="BG94" s="60" t="str">
        <f>IF('Cálculo MP'!S104="","",'Cálculo MP'!S104)</f>
        <v/>
      </c>
      <c r="BH94" s="59"/>
      <c r="BI94" s="59"/>
      <c r="BJ94" s="59"/>
      <c r="BK94" s="59"/>
      <c r="BL94" s="59"/>
      <c r="BM94" s="59"/>
      <c r="BN94" s="59"/>
      <c r="BO94" s="59"/>
    </row>
    <row r="95" spans="1:67" ht="19.5" customHeight="1" x14ac:dyDescent="0.15">
      <c r="A95" s="123" t="s">
        <v>1856</v>
      </c>
      <c r="B95" s="122" t="s">
        <v>1854</v>
      </c>
      <c r="C95" s="49"/>
      <c r="D95" s="48" t="s">
        <v>73</v>
      </c>
      <c r="E95" s="49"/>
      <c r="F95" s="50"/>
      <c r="G95" s="62"/>
      <c r="H95" s="48" t="s">
        <v>72</v>
      </c>
      <c r="I95" s="52">
        <v>1</v>
      </c>
      <c r="J95" s="52"/>
      <c r="K95" s="52" t="s">
        <v>73</v>
      </c>
      <c r="L95" s="52" t="s">
        <v>74</v>
      </c>
      <c r="M95" s="53" t="s">
        <v>942</v>
      </c>
      <c r="N95" s="58" t="s">
        <v>73</v>
      </c>
      <c r="O95" s="48" t="s">
        <v>72</v>
      </c>
      <c r="P95" s="48" t="s">
        <v>73</v>
      </c>
      <c r="Q95" s="54" t="s">
        <v>73</v>
      </c>
      <c r="R95" s="55" t="s">
        <v>73</v>
      </c>
      <c r="S95" s="48" t="s">
        <v>73</v>
      </c>
      <c r="T95" s="130"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8" t="str" cm="1">
        <f t="array" ref="U95">IF(SUMPRODUCT(--((CAT_Procesos!$E$2:$E$1581=O95)*(CAT_Procesos!$F$2:$F$1581=_xlfn.TEXTJOIN(" + ",TRUE,IF((TRIM(P95:S95)="")+(LOWER(TRIM(P95:S95))="(seleccione)"),"",PROPER(TRIM(P95:S95)))))*(CAT_Procesos!$D$2:$D$1581=IFERROR(VLOOKUP(N95&amp;"*",CAT_Procesos!$D:$D,1,FALSE),""))))=0,"Combinación no existente",IF(SUMPRODUCT(((CAT_Procesos!$E$2:$E$1581=O95)*(CAT_Procesos!$F$2:$F$1581=_xlfn.TEXTJOIN(" + ",TRUE,IF((TRIM(P95:S95)="")+(LOWER(TRIM(P95:S95))="(seleccione)"),"",PROPER(TRIM(P95:S95)))))*(CAT_Procesos!$D$2:$D$1581=IFERROR(VLOOKUP(N95&amp;"*",CAT_Procesos!$D:$D,1,FALSE),"")))*(CAT_Procesos!$G$2:$G$1581=INDEX(CAT_Procesos!$G$2:$G$1581,MATCH(1,(CAT_Procesos!$E$2:$E$1581=O95)*(CAT_Procesos!$F$2:$F$1581=_xlfn.TEXTJOIN(" + ",TRUE,IF((TRIM(P95:S95)="")+(LOWER(TRIM(P95:S95))="(seleccione)"),"",PROPER(TRIM(P95:S95)))))*(CAT_Procesos!$D$2:$D$1581=IFERROR(VLOOKUP(N95&amp;"*",CAT_Procesos!$D:$D,1,FALSE),"")),0))))=SUMPRODUCT(--((CAT_Procesos!$E$2:$E$1581=O95)*(CAT_Procesos!$F$2:$F$1581=_xlfn.TEXTJOIN(" + ",TRUE,IF((TRIM(P95:S95)="")+(LOWER(TRIM(P95:S95))="(seleccione)"),"",PROPER(TRIM(P95:S95)))))*(CAT_Procesos!$D$2:$D$1581=IFERROR(VLOOKUP(N95&amp;"*",CAT_Procesos!$D:$D,1,FALSE),"")))),INDEX(CAT_Procesos!$G$2:$G$1581,MATCH(1,(CAT_Procesos!$E$2:$E$1581=O95)*(CAT_Procesos!$F$2:$F$1581=_xlfn.TEXTJOIN(" + ",TRUE,IF((TRIM(P95:S95)="")+(LOWER(TRIM(P95:S95))="(seleccione)"),"",PROPER(TRIM(P95:S95)))))*(CAT_Procesos!$D$2:$D$1581=IFERROR(VLOOKUP(N95&amp;"*",CAT_Procesos!$D:$D,1,FALSE),"")),0)),"(seleccione)"))</f>
        <v>Combinación no existente</v>
      </c>
      <c r="V95" s="55" t="s">
        <v>73</v>
      </c>
      <c r="W95" s="56" t="s">
        <v>73</v>
      </c>
      <c r="X95" s="57" t="str">
        <f t="shared" si="4"/>
        <v/>
      </c>
      <c r="Y95" s="58" t="s">
        <v>73</v>
      </c>
      <c r="Z95" s="57" t="str">
        <f t="shared" si="5"/>
        <v/>
      </c>
      <c r="AA95" s="58" t="s">
        <v>73</v>
      </c>
      <c r="AB95" s="57" t="str">
        <f t="shared" si="6"/>
        <v/>
      </c>
      <c r="AC95" s="58" t="s">
        <v>73</v>
      </c>
      <c r="AD95" s="57" t="str">
        <f t="shared" si="7"/>
        <v/>
      </c>
      <c r="AE95" s="59"/>
      <c r="AF95" s="59"/>
      <c r="AG95" s="59"/>
      <c r="AH95" s="59"/>
      <c r="AI95" s="59" t="s">
        <v>73</v>
      </c>
      <c r="AJ95" s="59"/>
      <c r="AK95" s="59" t="s">
        <v>73</v>
      </c>
      <c r="AL95" s="59"/>
      <c r="AM95" s="59" t="s">
        <v>73</v>
      </c>
      <c r="AN95" s="59"/>
      <c r="AO95" s="59" t="s">
        <v>73</v>
      </c>
      <c r="AP95" s="59"/>
      <c r="AQ95" s="59" t="s">
        <v>73</v>
      </c>
      <c r="AR95" s="59"/>
      <c r="AS95" s="59" t="s">
        <v>72</v>
      </c>
      <c r="AT95" s="59"/>
      <c r="AU95" s="59"/>
      <c r="AV95" s="59"/>
      <c r="AW95" s="59"/>
      <c r="AX95" s="59"/>
      <c r="AY95" s="60" t="str">
        <f>IF('Cálculo MP'!K105="","",'Cálculo MP'!K105)</f>
        <v/>
      </c>
      <c r="AZ95" s="60" t="str">
        <f>IF('Cálculo MP'!L105="","",'Cálculo MP'!L105)</f>
        <v/>
      </c>
      <c r="BA95" s="60" t="str">
        <f>IF('Cálculo MP'!M105="","",'Cálculo MP'!M105)</f>
        <v/>
      </c>
      <c r="BB95" s="60" t="str">
        <f>IF('Cálculo MP'!N105="","",'Cálculo MP'!N105)</f>
        <v/>
      </c>
      <c r="BC95" s="60" t="str">
        <f>IF('Cálculo MP'!O105="","",'Cálculo MP'!O105)</f>
        <v/>
      </c>
      <c r="BD95" s="60" t="str">
        <f>IF('Cálculo MP'!P105="","",'Cálculo MP'!P105)</f>
        <v/>
      </c>
      <c r="BE95" s="60" t="str">
        <f>IF('Cálculo MP'!Q105="","",'Cálculo MP'!Q105)</f>
        <v/>
      </c>
      <c r="BF95" s="60" t="str">
        <f>IF('Cálculo MP'!R105="","",'Cálculo MP'!R105)</f>
        <v/>
      </c>
      <c r="BG95" s="60" t="str">
        <f>IF('Cálculo MP'!S105="","",'Cálculo MP'!S105)</f>
        <v/>
      </c>
      <c r="BH95" s="59"/>
      <c r="BI95" s="59"/>
      <c r="BJ95" s="59"/>
      <c r="BK95" s="59"/>
      <c r="BL95" s="59"/>
      <c r="BM95" s="59"/>
      <c r="BN95" s="59"/>
      <c r="BO95" s="59"/>
    </row>
    <row r="96" spans="1:67" ht="19.5" customHeight="1" x14ac:dyDescent="0.15">
      <c r="A96" s="123" t="s">
        <v>1856</v>
      </c>
      <c r="B96" s="122" t="s">
        <v>1854</v>
      </c>
      <c r="C96" s="49"/>
      <c r="D96" s="48" t="s">
        <v>73</v>
      </c>
      <c r="E96" s="49"/>
      <c r="F96" s="50"/>
      <c r="G96" s="62"/>
      <c r="H96" s="48" t="s">
        <v>72</v>
      </c>
      <c r="I96" s="52">
        <v>1</v>
      </c>
      <c r="J96" s="52"/>
      <c r="K96" s="52" t="s">
        <v>73</v>
      </c>
      <c r="L96" s="52" t="s">
        <v>74</v>
      </c>
      <c r="M96" s="53" t="s">
        <v>942</v>
      </c>
      <c r="N96" s="58" t="s">
        <v>73</v>
      </c>
      <c r="O96" s="48" t="s">
        <v>72</v>
      </c>
      <c r="P96" s="48" t="s">
        <v>73</v>
      </c>
      <c r="Q96" s="54" t="s">
        <v>73</v>
      </c>
      <c r="R96" s="55" t="s">
        <v>73</v>
      </c>
      <c r="S96" s="48" t="s">
        <v>73</v>
      </c>
      <c r="T96" s="130"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8" t="str" cm="1">
        <f t="array" ref="U96">IF(SUMPRODUCT(--((CAT_Procesos!$E$2:$E$1581=O96)*(CAT_Procesos!$F$2:$F$1581=_xlfn.TEXTJOIN(" + ",TRUE,IF((TRIM(P96:S96)="")+(LOWER(TRIM(P96:S96))="(seleccione)"),"",PROPER(TRIM(P96:S96)))))*(CAT_Procesos!$D$2:$D$1581=IFERROR(VLOOKUP(N96&amp;"*",CAT_Procesos!$D:$D,1,FALSE),""))))=0,"Combinación no existente",IF(SUMPRODUCT(((CAT_Procesos!$E$2:$E$1581=O96)*(CAT_Procesos!$F$2:$F$1581=_xlfn.TEXTJOIN(" + ",TRUE,IF((TRIM(P96:S96)="")+(LOWER(TRIM(P96:S96))="(seleccione)"),"",PROPER(TRIM(P96:S96)))))*(CAT_Procesos!$D$2:$D$1581=IFERROR(VLOOKUP(N96&amp;"*",CAT_Procesos!$D:$D,1,FALSE),"")))*(CAT_Procesos!$G$2:$G$1581=INDEX(CAT_Procesos!$G$2:$G$1581,MATCH(1,(CAT_Procesos!$E$2:$E$1581=O96)*(CAT_Procesos!$F$2:$F$1581=_xlfn.TEXTJOIN(" + ",TRUE,IF((TRIM(P96:S96)="")+(LOWER(TRIM(P96:S96))="(seleccione)"),"",PROPER(TRIM(P96:S96)))))*(CAT_Procesos!$D$2:$D$1581=IFERROR(VLOOKUP(N96&amp;"*",CAT_Procesos!$D:$D,1,FALSE),"")),0))))=SUMPRODUCT(--((CAT_Procesos!$E$2:$E$1581=O96)*(CAT_Procesos!$F$2:$F$1581=_xlfn.TEXTJOIN(" + ",TRUE,IF((TRIM(P96:S96)="")+(LOWER(TRIM(P96:S96))="(seleccione)"),"",PROPER(TRIM(P96:S96)))))*(CAT_Procesos!$D$2:$D$1581=IFERROR(VLOOKUP(N96&amp;"*",CAT_Procesos!$D:$D,1,FALSE),"")))),INDEX(CAT_Procesos!$G$2:$G$1581,MATCH(1,(CAT_Procesos!$E$2:$E$1581=O96)*(CAT_Procesos!$F$2:$F$1581=_xlfn.TEXTJOIN(" + ",TRUE,IF((TRIM(P96:S96)="")+(LOWER(TRIM(P96:S96))="(seleccione)"),"",PROPER(TRIM(P96:S96)))))*(CAT_Procesos!$D$2:$D$1581=IFERROR(VLOOKUP(N96&amp;"*",CAT_Procesos!$D:$D,1,FALSE),"")),0)),"(seleccione)"))</f>
        <v>Combinación no existente</v>
      </c>
      <c r="V96" s="55" t="s">
        <v>73</v>
      </c>
      <c r="W96" s="56" t="s">
        <v>73</v>
      </c>
      <c r="X96" s="57" t="str">
        <f t="shared" si="4"/>
        <v/>
      </c>
      <c r="Y96" s="58" t="s">
        <v>73</v>
      </c>
      <c r="Z96" s="57" t="str">
        <f t="shared" si="5"/>
        <v/>
      </c>
      <c r="AA96" s="58" t="s">
        <v>73</v>
      </c>
      <c r="AB96" s="57" t="str">
        <f t="shared" si="6"/>
        <v/>
      </c>
      <c r="AC96" s="58" t="s">
        <v>73</v>
      </c>
      <c r="AD96" s="57" t="str">
        <f t="shared" si="7"/>
        <v/>
      </c>
      <c r="AE96" s="59"/>
      <c r="AF96" s="59"/>
      <c r="AG96" s="59"/>
      <c r="AH96" s="59"/>
      <c r="AI96" s="59" t="s">
        <v>73</v>
      </c>
      <c r="AJ96" s="59"/>
      <c r="AK96" s="59" t="s">
        <v>73</v>
      </c>
      <c r="AL96" s="59"/>
      <c r="AM96" s="59" t="s">
        <v>73</v>
      </c>
      <c r="AN96" s="59"/>
      <c r="AO96" s="59" t="s">
        <v>73</v>
      </c>
      <c r="AP96" s="59"/>
      <c r="AQ96" s="59" t="s">
        <v>73</v>
      </c>
      <c r="AR96" s="59"/>
      <c r="AS96" s="59" t="s">
        <v>72</v>
      </c>
      <c r="AT96" s="59"/>
      <c r="AU96" s="59"/>
      <c r="AV96" s="59"/>
      <c r="AW96" s="59"/>
      <c r="AX96" s="59"/>
      <c r="AY96" s="60" t="str">
        <f>IF('Cálculo MP'!K106="","",'Cálculo MP'!K106)</f>
        <v/>
      </c>
      <c r="AZ96" s="60" t="str">
        <f>IF('Cálculo MP'!L106="","",'Cálculo MP'!L106)</f>
        <v/>
      </c>
      <c r="BA96" s="60" t="str">
        <f>IF('Cálculo MP'!M106="","",'Cálculo MP'!M106)</f>
        <v/>
      </c>
      <c r="BB96" s="60" t="str">
        <f>IF('Cálculo MP'!N106="","",'Cálculo MP'!N106)</f>
        <v/>
      </c>
      <c r="BC96" s="60" t="str">
        <f>IF('Cálculo MP'!O106="","",'Cálculo MP'!O106)</f>
        <v/>
      </c>
      <c r="BD96" s="60" t="str">
        <f>IF('Cálculo MP'!P106="","",'Cálculo MP'!P106)</f>
        <v/>
      </c>
      <c r="BE96" s="60" t="str">
        <f>IF('Cálculo MP'!Q106="","",'Cálculo MP'!Q106)</f>
        <v/>
      </c>
      <c r="BF96" s="60" t="str">
        <f>IF('Cálculo MP'!R106="","",'Cálculo MP'!R106)</f>
        <v/>
      </c>
      <c r="BG96" s="60" t="str">
        <f>IF('Cálculo MP'!S106="","",'Cálculo MP'!S106)</f>
        <v/>
      </c>
      <c r="BH96" s="59"/>
      <c r="BI96" s="59"/>
      <c r="BJ96" s="59"/>
      <c r="BK96" s="59"/>
      <c r="BL96" s="59"/>
      <c r="BM96" s="59"/>
      <c r="BN96" s="59"/>
      <c r="BO96" s="59"/>
    </row>
    <row r="97" spans="1:67" ht="19.5" customHeight="1" x14ac:dyDescent="0.15">
      <c r="A97" s="123" t="s">
        <v>1856</v>
      </c>
      <c r="B97" s="122" t="s">
        <v>1854</v>
      </c>
      <c r="C97" s="49"/>
      <c r="D97" s="48" t="s">
        <v>73</v>
      </c>
      <c r="E97" s="49"/>
      <c r="F97" s="50"/>
      <c r="G97" s="62"/>
      <c r="H97" s="48" t="s">
        <v>72</v>
      </c>
      <c r="I97" s="52">
        <v>1</v>
      </c>
      <c r="J97" s="52"/>
      <c r="K97" s="52" t="s">
        <v>73</v>
      </c>
      <c r="L97" s="52" t="s">
        <v>74</v>
      </c>
      <c r="M97" s="53" t="s">
        <v>942</v>
      </c>
      <c r="N97" s="58" t="s">
        <v>73</v>
      </c>
      <c r="O97" s="48" t="s">
        <v>72</v>
      </c>
      <c r="P97" s="48" t="s">
        <v>73</v>
      </c>
      <c r="Q97" s="54" t="s">
        <v>73</v>
      </c>
      <c r="R97" s="55" t="s">
        <v>73</v>
      </c>
      <c r="S97" s="48" t="s">
        <v>73</v>
      </c>
      <c r="T97" s="130"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8" t="str" cm="1">
        <f t="array" ref="U97">IF(SUMPRODUCT(--((CAT_Procesos!$E$2:$E$1581=O97)*(CAT_Procesos!$F$2:$F$1581=_xlfn.TEXTJOIN(" + ",TRUE,IF((TRIM(P97:S97)="")+(LOWER(TRIM(P97:S97))="(seleccione)"),"",PROPER(TRIM(P97:S97)))))*(CAT_Procesos!$D$2:$D$1581=IFERROR(VLOOKUP(N97&amp;"*",CAT_Procesos!$D:$D,1,FALSE),""))))=0,"Combinación no existente",IF(SUMPRODUCT(((CAT_Procesos!$E$2:$E$1581=O97)*(CAT_Procesos!$F$2:$F$1581=_xlfn.TEXTJOIN(" + ",TRUE,IF((TRIM(P97:S97)="")+(LOWER(TRIM(P97:S97))="(seleccione)"),"",PROPER(TRIM(P97:S97)))))*(CAT_Procesos!$D$2:$D$1581=IFERROR(VLOOKUP(N97&amp;"*",CAT_Procesos!$D:$D,1,FALSE),"")))*(CAT_Procesos!$G$2:$G$1581=INDEX(CAT_Procesos!$G$2:$G$1581,MATCH(1,(CAT_Procesos!$E$2:$E$1581=O97)*(CAT_Procesos!$F$2:$F$1581=_xlfn.TEXTJOIN(" + ",TRUE,IF((TRIM(P97:S97)="")+(LOWER(TRIM(P97:S97))="(seleccione)"),"",PROPER(TRIM(P97:S97)))))*(CAT_Procesos!$D$2:$D$1581=IFERROR(VLOOKUP(N97&amp;"*",CAT_Procesos!$D:$D,1,FALSE),"")),0))))=SUMPRODUCT(--((CAT_Procesos!$E$2:$E$1581=O97)*(CAT_Procesos!$F$2:$F$1581=_xlfn.TEXTJOIN(" + ",TRUE,IF((TRIM(P97:S97)="")+(LOWER(TRIM(P97:S97))="(seleccione)"),"",PROPER(TRIM(P97:S97)))))*(CAT_Procesos!$D$2:$D$1581=IFERROR(VLOOKUP(N97&amp;"*",CAT_Procesos!$D:$D,1,FALSE),"")))),INDEX(CAT_Procesos!$G$2:$G$1581,MATCH(1,(CAT_Procesos!$E$2:$E$1581=O97)*(CAT_Procesos!$F$2:$F$1581=_xlfn.TEXTJOIN(" + ",TRUE,IF((TRIM(P97:S97)="")+(LOWER(TRIM(P97:S97))="(seleccione)"),"",PROPER(TRIM(P97:S97)))))*(CAT_Procesos!$D$2:$D$1581=IFERROR(VLOOKUP(N97&amp;"*",CAT_Procesos!$D:$D,1,FALSE),"")),0)),"(seleccione)"))</f>
        <v>Combinación no existente</v>
      </c>
      <c r="V97" s="55" t="s">
        <v>73</v>
      </c>
      <c r="W97" s="56" t="s">
        <v>73</v>
      </c>
      <c r="X97" s="57" t="str">
        <f t="shared" si="4"/>
        <v/>
      </c>
      <c r="Y97" s="58" t="s">
        <v>73</v>
      </c>
      <c r="Z97" s="57" t="str">
        <f t="shared" si="5"/>
        <v/>
      </c>
      <c r="AA97" s="58" t="s">
        <v>73</v>
      </c>
      <c r="AB97" s="57" t="str">
        <f t="shared" si="6"/>
        <v/>
      </c>
      <c r="AC97" s="58" t="s">
        <v>73</v>
      </c>
      <c r="AD97" s="57" t="str">
        <f t="shared" si="7"/>
        <v/>
      </c>
      <c r="AE97" s="59"/>
      <c r="AF97" s="59"/>
      <c r="AG97" s="59"/>
      <c r="AH97" s="59"/>
      <c r="AI97" s="59" t="s">
        <v>73</v>
      </c>
      <c r="AJ97" s="59"/>
      <c r="AK97" s="59" t="s">
        <v>73</v>
      </c>
      <c r="AL97" s="59"/>
      <c r="AM97" s="59" t="s">
        <v>73</v>
      </c>
      <c r="AN97" s="59"/>
      <c r="AO97" s="59" t="s">
        <v>73</v>
      </c>
      <c r="AP97" s="59"/>
      <c r="AQ97" s="59" t="s">
        <v>73</v>
      </c>
      <c r="AR97" s="59"/>
      <c r="AS97" s="59" t="s">
        <v>72</v>
      </c>
      <c r="AT97" s="59"/>
      <c r="AU97" s="59"/>
      <c r="AV97" s="59"/>
      <c r="AW97" s="59"/>
      <c r="AX97" s="59"/>
      <c r="AY97" s="60" t="str">
        <f>IF('Cálculo MP'!K107="","",'Cálculo MP'!K107)</f>
        <v/>
      </c>
      <c r="AZ97" s="60" t="str">
        <f>IF('Cálculo MP'!L107="","",'Cálculo MP'!L107)</f>
        <v/>
      </c>
      <c r="BA97" s="60" t="str">
        <f>IF('Cálculo MP'!M107="","",'Cálculo MP'!M107)</f>
        <v/>
      </c>
      <c r="BB97" s="60" t="str">
        <f>IF('Cálculo MP'!N107="","",'Cálculo MP'!N107)</f>
        <v/>
      </c>
      <c r="BC97" s="60" t="str">
        <f>IF('Cálculo MP'!O107="","",'Cálculo MP'!O107)</f>
        <v/>
      </c>
      <c r="BD97" s="60" t="str">
        <f>IF('Cálculo MP'!P107="","",'Cálculo MP'!P107)</f>
        <v/>
      </c>
      <c r="BE97" s="60" t="str">
        <f>IF('Cálculo MP'!Q107="","",'Cálculo MP'!Q107)</f>
        <v/>
      </c>
      <c r="BF97" s="60" t="str">
        <f>IF('Cálculo MP'!R107="","",'Cálculo MP'!R107)</f>
        <v/>
      </c>
      <c r="BG97" s="60" t="str">
        <f>IF('Cálculo MP'!S107="","",'Cálculo MP'!S107)</f>
        <v/>
      </c>
      <c r="BH97" s="59"/>
      <c r="BI97" s="59"/>
      <c r="BJ97" s="59"/>
      <c r="BK97" s="59"/>
      <c r="BL97" s="59"/>
      <c r="BM97" s="59"/>
      <c r="BN97" s="59"/>
      <c r="BO97" s="59"/>
    </row>
    <row r="98" spans="1:67" ht="19.5" customHeight="1" x14ac:dyDescent="0.15">
      <c r="A98" s="123" t="s">
        <v>1856</v>
      </c>
      <c r="B98" s="122" t="s">
        <v>1854</v>
      </c>
      <c r="C98" s="49"/>
      <c r="D98" s="48" t="s">
        <v>73</v>
      </c>
      <c r="E98" s="49"/>
      <c r="F98" s="50"/>
      <c r="G98" s="62"/>
      <c r="H98" s="48" t="s">
        <v>72</v>
      </c>
      <c r="I98" s="52">
        <v>1</v>
      </c>
      <c r="J98" s="52"/>
      <c r="K98" s="52" t="s">
        <v>73</v>
      </c>
      <c r="L98" s="52" t="s">
        <v>74</v>
      </c>
      <c r="M98" s="53" t="s">
        <v>942</v>
      </c>
      <c r="N98" s="58" t="s">
        <v>73</v>
      </c>
      <c r="O98" s="48" t="s">
        <v>72</v>
      </c>
      <c r="P98" s="48" t="s">
        <v>73</v>
      </c>
      <c r="Q98" s="54" t="s">
        <v>73</v>
      </c>
      <c r="R98" s="55" t="s">
        <v>73</v>
      </c>
      <c r="S98" s="48" t="s">
        <v>73</v>
      </c>
      <c r="T98" s="130"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8" t="str" cm="1">
        <f t="array" ref="U98">IF(SUMPRODUCT(--((CAT_Procesos!$E$2:$E$1581=O98)*(CAT_Procesos!$F$2:$F$1581=_xlfn.TEXTJOIN(" + ",TRUE,IF((TRIM(P98:S98)="")+(LOWER(TRIM(P98:S98))="(seleccione)"),"",PROPER(TRIM(P98:S98)))))*(CAT_Procesos!$D$2:$D$1581=IFERROR(VLOOKUP(N98&amp;"*",CAT_Procesos!$D:$D,1,FALSE),""))))=0,"Combinación no existente",IF(SUMPRODUCT(((CAT_Procesos!$E$2:$E$1581=O98)*(CAT_Procesos!$F$2:$F$1581=_xlfn.TEXTJOIN(" + ",TRUE,IF((TRIM(P98:S98)="")+(LOWER(TRIM(P98:S98))="(seleccione)"),"",PROPER(TRIM(P98:S98)))))*(CAT_Procesos!$D$2:$D$1581=IFERROR(VLOOKUP(N98&amp;"*",CAT_Procesos!$D:$D,1,FALSE),"")))*(CAT_Procesos!$G$2:$G$1581=INDEX(CAT_Procesos!$G$2:$G$1581,MATCH(1,(CAT_Procesos!$E$2:$E$1581=O98)*(CAT_Procesos!$F$2:$F$1581=_xlfn.TEXTJOIN(" + ",TRUE,IF((TRIM(P98:S98)="")+(LOWER(TRIM(P98:S98))="(seleccione)"),"",PROPER(TRIM(P98:S98)))))*(CAT_Procesos!$D$2:$D$1581=IFERROR(VLOOKUP(N98&amp;"*",CAT_Procesos!$D:$D,1,FALSE),"")),0))))=SUMPRODUCT(--((CAT_Procesos!$E$2:$E$1581=O98)*(CAT_Procesos!$F$2:$F$1581=_xlfn.TEXTJOIN(" + ",TRUE,IF((TRIM(P98:S98)="")+(LOWER(TRIM(P98:S98))="(seleccione)"),"",PROPER(TRIM(P98:S98)))))*(CAT_Procesos!$D$2:$D$1581=IFERROR(VLOOKUP(N98&amp;"*",CAT_Procesos!$D:$D,1,FALSE),"")))),INDEX(CAT_Procesos!$G$2:$G$1581,MATCH(1,(CAT_Procesos!$E$2:$E$1581=O98)*(CAT_Procesos!$F$2:$F$1581=_xlfn.TEXTJOIN(" + ",TRUE,IF((TRIM(P98:S98)="")+(LOWER(TRIM(P98:S98))="(seleccione)"),"",PROPER(TRIM(P98:S98)))))*(CAT_Procesos!$D$2:$D$1581=IFERROR(VLOOKUP(N98&amp;"*",CAT_Procesos!$D:$D,1,FALSE),"")),0)),"(seleccione)"))</f>
        <v>Combinación no existente</v>
      </c>
      <c r="V98" s="55" t="s">
        <v>73</v>
      </c>
      <c r="W98" s="56" t="s">
        <v>73</v>
      </c>
      <c r="X98" s="57" t="str">
        <f t="shared" si="4"/>
        <v/>
      </c>
      <c r="Y98" s="58" t="s">
        <v>73</v>
      </c>
      <c r="Z98" s="57" t="str">
        <f t="shared" si="5"/>
        <v/>
      </c>
      <c r="AA98" s="58" t="s">
        <v>73</v>
      </c>
      <c r="AB98" s="57" t="str">
        <f t="shared" si="6"/>
        <v/>
      </c>
      <c r="AC98" s="58" t="s">
        <v>73</v>
      </c>
      <c r="AD98" s="57" t="str">
        <f t="shared" si="7"/>
        <v/>
      </c>
      <c r="AE98" s="59"/>
      <c r="AF98" s="59"/>
      <c r="AG98" s="59"/>
      <c r="AH98" s="59"/>
      <c r="AI98" s="59" t="s">
        <v>73</v>
      </c>
      <c r="AJ98" s="59"/>
      <c r="AK98" s="59" t="s">
        <v>73</v>
      </c>
      <c r="AL98" s="59"/>
      <c r="AM98" s="59" t="s">
        <v>73</v>
      </c>
      <c r="AN98" s="59"/>
      <c r="AO98" s="59" t="s">
        <v>73</v>
      </c>
      <c r="AP98" s="59"/>
      <c r="AQ98" s="59" t="s">
        <v>73</v>
      </c>
      <c r="AR98" s="59"/>
      <c r="AS98" s="59" t="s">
        <v>72</v>
      </c>
      <c r="AT98" s="59"/>
      <c r="AU98" s="59"/>
      <c r="AV98" s="59"/>
      <c r="AW98" s="59"/>
      <c r="AX98" s="59"/>
      <c r="AY98" s="60" t="str">
        <f>IF('Cálculo MP'!K108="","",'Cálculo MP'!K108)</f>
        <v/>
      </c>
      <c r="AZ98" s="60" t="str">
        <f>IF('Cálculo MP'!L108="","",'Cálculo MP'!L108)</f>
        <v/>
      </c>
      <c r="BA98" s="60" t="str">
        <f>IF('Cálculo MP'!M108="","",'Cálculo MP'!M108)</f>
        <v/>
      </c>
      <c r="BB98" s="60" t="str">
        <f>IF('Cálculo MP'!N108="","",'Cálculo MP'!N108)</f>
        <v/>
      </c>
      <c r="BC98" s="60" t="str">
        <f>IF('Cálculo MP'!O108="","",'Cálculo MP'!O108)</f>
        <v/>
      </c>
      <c r="BD98" s="60" t="str">
        <f>IF('Cálculo MP'!P108="","",'Cálculo MP'!P108)</f>
        <v/>
      </c>
      <c r="BE98" s="60" t="str">
        <f>IF('Cálculo MP'!Q108="","",'Cálculo MP'!Q108)</f>
        <v/>
      </c>
      <c r="BF98" s="60" t="str">
        <f>IF('Cálculo MP'!R108="","",'Cálculo MP'!R108)</f>
        <v/>
      </c>
      <c r="BG98" s="60" t="str">
        <f>IF('Cálculo MP'!S108="","",'Cálculo MP'!S108)</f>
        <v/>
      </c>
      <c r="BH98" s="59"/>
      <c r="BI98" s="59"/>
      <c r="BJ98" s="59"/>
      <c r="BK98" s="59"/>
      <c r="BL98" s="59"/>
      <c r="BM98" s="59"/>
      <c r="BN98" s="59"/>
      <c r="BO98" s="59"/>
    </row>
    <row r="99" spans="1:67" ht="19.5" customHeight="1" x14ac:dyDescent="0.15">
      <c r="A99" s="123" t="s">
        <v>1856</v>
      </c>
      <c r="B99" s="122" t="s">
        <v>1854</v>
      </c>
      <c r="C99" s="49"/>
      <c r="D99" s="48" t="s">
        <v>73</v>
      </c>
      <c r="E99" s="49"/>
      <c r="F99" s="50"/>
      <c r="G99" s="62"/>
      <c r="H99" s="48" t="s">
        <v>72</v>
      </c>
      <c r="I99" s="52">
        <v>1</v>
      </c>
      <c r="J99" s="52"/>
      <c r="K99" s="52" t="s">
        <v>73</v>
      </c>
      <c r="L99" s="52" t="s">
        <v>74</v>
      </c>
      <c r="M99" s="53" t="s">
        <v>942</v>
      </c>
      <c r="N99" s="58" t="s">
        <v>73</v>
      </c>
      <c r="O99" s="48" t="s">
        <v>72</v>
      </c>
      <c r="P99" s="48" t="s">
        <v>73</v>
      </c>
      <c r="Q99" s="54" t="s">
        <v>73</v>
      </c>
      <c r="R99" s="55" t="s">
        <v>73</v>
      </c>
      <c r="S99" s="48" t="s">
        <v>73</v>
      </c>
      <c r="T99" s="130"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8" t="str" cm="1">
        <f t="array" ref="U99">IF(SUMPRODUCT(--((CAT_Procesos!$E$2:$E$1581=O99)*(CAT_Procesos!$F$2:$F$1581=_xlfn.TEXTJOIN(" + ",TRUE,IF((TRIM(P99:S99)="")+(LOWER(TRIM(P99:S99))="(seleccione)"),"",PROPER(TRIM(P99:S99)))))*(CAT_Procesos!$D$2:$D$1581=IFERROR(VLOOKUP(N99&amp;"*",CAT_Procesos!$D:$D,1,FALSE),""))))=0,"Combinación no existente",IF(SUMPRODUCT(((CAT_Procesos!$E$2:$E$1581=O99)*(CAT_Procesos!$F$2:$F$1581=_xlfn.TEXTJOIN(" + ",TRUE,IF((TRIM(P99:S99)="")+(LOWER(TRIM(P99:S99))="(seleccione)"),"",PROPER(TRIM(P99:S99)))))*(CAT_Procesos!$D$2:$D$1581=IFERROR(VLOOKUP(N99&amp;"*",CAT_Procesos!$D:$D,1,FALSE),"")))*(CAT_Procesos!$G$2:$G$1581=INDEX(CAT_Procesos!$G$2:$G$1581,MATCH(1,(CAT_Procesos!$E$2:$E$1581=O99)*(CAT_Procesos!$F$2:$F$1581=_xlfn.TEXTJOIN(" + ",TRUE,IF((TRIM(P99:S99)="")+(LOWER(TRIM(P99:S99))="(seleccione)"),"",PROPER(TRIM(P99:S99)))))*(CAT_Procesos!$D$2:$D$1581=IFERROR(VLOOKUP(N99&amp;"*",CAT_Procesos!$D:$D,1,FALSE),"")),0))))=SUMPRODUCT(--((CAT_Procesos!$E$2:$E$1581=O99)*(CAT_Procesos!$F$2:$F$1581=_xlfn.TEXTJOIN(" + ",TRUE,IF((TRIM(P99:S99)="")+(LOWER(TRIM(P99:S99))="(seleccione)"),"",PROPER(TRIM(P99:S99)))))*(CAT_Procesos!$D$2:$D$1581=IFERROR(VLOOKUP(N99&amp;"*",CAT_Procesos!$D:$D,1,FALSE),"")))),INDEX(CAT_Procesos!$G$2:$G$1581,MATCH(1,(CAT_Procesos!$E$2:$E$1581=O99)*(CAT_Procesos!$F$2:$F$1581=_xlfn.TEXTJOIN(" + ",TRUE,IF((TRIM(P99:S99)="")+(LOWER(TRIM(P99:S99))="(seleccione)"),"",PROPER(TRIM(P99:S99)))))*(CAT_Procesos!$D$2:$D$1581=IFERROR(VLOOKUP(N99&amp;"*",CAT_Procesos!$D:$D,1,FALSE),"")),0)),"(seleccione)"))</f>
        <v>Combinación no existente</v>
      </c>
      <c r="V99" s="55" t="s">
        <v>73</v>
      </c>
      <c r="W99" s="56" t="s">
        <v>73</v>
      </c>
      <c r="X99" s="57" t="str">
        <f t="shared" si="4"/>
        <v/>
      </c>
      <c r="Y99" s="58" t="s">
        <v>73</v>
      </c>
      <c r="Z99" s="57" t="str">
        <f t="shared" si="5"/>
        <v/>
      </c>
      <c r="AA99" s="58" t="s">
        <v>73</v>
      </c>
      <c r="AB99" s="57" t="str">
        <f t="shared" si="6"/>
        <v/>
      </c>
      <c r="AC99" s="58" t="s">
        <v>73</v>
      </c>
      <c r="AD99" s="57" t="str">
        <f t="shared" si="7"/>
        <v/>
      </c>
      <c r="AE99" s="59"/>
      <c r="AF99" s="59"/>
      <c r="AG99" s="59"/>
      <c r="AH99" s="59"/>
      <c r="AI99" s="59" t="s">
        <v>73</v>
      </c>
      <c r="AJ99" s="59"/>
      <c r="AK99" s="59" t="s">
        <v>73</v>
      </c>
      <c r="AL99" s="59"/>
      <c r="AM99" s="59" t="s">
        <v>73</v>
      </c>
      <c r="AN99" s="59"/>
      <c r="AO99" s="59" t="s">
        <v>73</v>
      </c>
      <c r="AP99" s="59"/>
      <c r="AQ99" s="59" t="s">
        <v>73</v>
      </c>
      <c r="AR99" s="59"/>
      <c r="AS99" s="59" t="s">
        <v>72</v>
      </c>
      <c r="AT99" s="59"/>
      <c r="AU99" s="59"/>
      <c r="AV99" s="59"/>
      <c r="AW99" s="59"/>
      <c r="AX99" s="59"/>
      <c r="AY99" s="60" t="str">
        <f>IF('Cálculo MP'!K109="","",'Cálculo MP'!K109)</f>
        <v/>
      </c>
      <c r="AZ99" s="60" t="str">
        <f>IF('Cálculo MP'!L109="","",'Cálculo MP'!L109)</f>
        <v/>
      </c>
      <c r="BA99" s="60" t="str">
        <f>IF('Cálculo MP'!M109="","",'Cálculo MP'!M109)</f>
        <v/>
      </c>
      <c r="BB99" s="60" t="str">
        <f>IF('Cálculo MP'!N109="","",'Cálculo MP'!N109)</f>
        <v/>
      </c>
      <c r="BC99" s="60" t="str">
        <f>IF('Cálculo MP'!O109="","",'Cálculo MP'!O109)</f>
        <v/>
      </c>
      <c r="BD99" s="60" t="str">
        <f>IF('Cálculo MP'!P109="","",'Cálculo MP'!P109)</f>
        <v/>
      </c>
      <c r="BE99" s="60" t="str">
        <f>IF('Cálculo MP'!Q109="","",'Cálculo MP'!Q109)</f>
        <v/>
      </c>
      <c r="BF99" s="60" t="str">
        <f>IF('Cálculo MP'!R109="","",'Cálculo MP'!R109)</f>
        <v/>
      </c>
      <c r="BG99" s="60" t="str">
        <f>IF('Cálculo MP'!S109="","",'Cálculo MP'!S109)</f>
        <v/>
      </c>
      <c r="BH99" s="59"/>
      <c r="BI99" s="59"/>
      <c r="BJ99" s="59"/>
      <c r="BK99" s="59"/>
      <c r="BL99" s="59"/>
      <c r="BM99" s="59"/>
      <c r="BN99" s="59"/>
      <c r="BO99" s="59"/>
    </row>
    <row r="100" spans="1:67" ht="19.5" customHeight="1" x14ac:dyDescent="0.15">
      <c r="A100" s="123" t="s">
        <v>1856</v>
      </c>
      <c r="B100" s="122" t="s">
        <v>1854</v>
      </c>
      <c r="C100" s="49"/>
      <c r="D100" s="48" t="s">
        <v>73</v>
      </c>
      <c r="E100" s="49"/>
      <c r="F100" s="50"/>
      <c r="G100" s="62"/>
      <c r="H100" s="48" t="s">
        <v>72</v>
      </c>
      <c r="I100" s="52">
        <v>1</v>
      </c>
      <c r="J100" s="52"/>
      <c r="K100" s="52" t="s">
        <v>73</v>
      </c>
      <c r="L100" s="52" t="s">
        <v>74</v>
      </c>
      <c r="M100" s="53" t="s">
        <v>942</v>
      </c>
      <c r="N100" s="58" t="s">
        <v>73</v>
      </c>
      <c r="O100" s="48" t="s">
        <v>72</v>
      </c>
      <c r="P100" s="48" t="s">
        <v>73</v>
      </c>
      <c r="Q100" s="54" t="s">
        <v>73</v>
      </c>
      <c r="R100" s="55" t="s">
        <v>73</v>
      </c>
      <c r="S100" s="48" t="s">
        <v>73</v>
      </c>
      <c r="T100" s="130"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8" t="str" cm="1">
        <f t="array" ref="U100">IF(SUMPRODUCT(--((CAT_Procesos!$E$2:$E$1581=O100)*(CAT_Procesos!$F$2:$F$1581=_xlfn.TEXTJOIN(" + ",TRUE,IF((TRIM(P100:S100)="")+(LOWER(TRIM(P100:S100))="(seleccione)"),"",PROPER(TRIM(P100:S100)))))*(CAT_Procesos!$D$2:$D$1581=IFERROR(VLOOKUP(N100&amp;"*",CAT_Procesos!$D:$D,1,FALSE),""))))=0,"Combinación no existente",IF(SUMPRODUCT(((CAT_Procesos!$E$2:$E$1581=O100)*(CAT_Procesos!$F$2:$F$1581=_xlfn.TEXTJOIN(" + ",TRUE,IF((TRIM(P100:S100)="")+(LOWER(TRIM(P100:S100))="(seleccione)"),"",PROPER(TRIM(P100:S100)))))*(CAT_Procesos!$D$2:$D$1581=IFERROR(VLOOKUP(N100&amp;"*",CAT_Procesos!$D:$D,1,FALSE),"")))*(CAT_Procesos!$G$2:$G$1581=INDEX(CAT_Procesos!$G$2:$G$1581,MATCH(1,(CAT_Procesos!$E$2:$E$1581=O100)*(CAT_Procesos!$F$2:$F$1581=_xlfn.TEXTJOIN(" + ",TRUE,IF((TRIM(P100:S100)="")+(LOWER(TRIM(P100:S100))="(seleccione)"),"",PROPER(TRIM(P100:S100)))))*(CAT_Procesos!$D$2:$D$1581=IFERROR(VLOOKUP(N100&amp;"*",CAT_Procesos!$D:$D,1,FALSE),"")),0))))=SUMPRODUCT(--((CAT_Procesos!$E$2:$E$1581=O100)*(CAT_Procesos!$F$2:$F$1581=_xlfn.TEXTJOIN(" + ",TRUE,IF((TRIM(P100:S100)="")+(LOWER(TRIM(P100:S100))="(seleccione)"),"",PROPER(TRIM(P100:S100)))))*(CAT_Procesos!$D$2:$D$1581=IFERROR(VLOOKUP(N100&amp;"*",CAT_Procesos!$D:$D,1,FALSE),"")))),INDEX(CAT_Procesos!$G$2:$G$1581,MATCH(1,(CAT_Procesos!$E$2:$E$1581=O100)*(CAT_Procesos!$F$2:$F$1581=_xlfn.TEXTJOIN(" + ",TRUE,IF((TRIM(P100:S100)="")+(LOWER(TRIM(P100:S100))="(seleccione)"),"",PROPER(TRIM(P100:S100)))))*(CAT_Procesos!$D$2:$D$1581=IFERROR(VLOOKUP(N100&amp;"*",CAT_Procesos!$D:$D,1,FALSE),"")),0)),"(seleccione)"))</f>
        <v>Combinación no existente</v>
      </c>
      <c r="V100" s="55" t="s">
        <v>73</v>
      </c>
      <c r="W100" s="56" t="s">
        <v>73</v>
      </c>
      <c r="X100" s="57" t="str">
        <f t="shared" si="4"/>
        <v/>
      </c>
      <c r="Y100" s="58" t="s">
        <v>73</v>
      </c>
      <c r="Z100" s="57" t="str">
        <f t="shared" si="5"/>
        <v/>
      </c>
      <c r="AA100" s="58" t="s">
        <v>73</v>
      </c>
      <c r="AB100" s="57" t="str">
        <f t="shared" si="6"/>
        <v/>
      </c>
      <c r="AC100" s="58" t="s">
        <v>73</v>
      </c>
      <c r="AD100" s="57" t="str">
        <f t="shared" si="7"/>
        <v/>
      </c>
      <c r="AE100" s="59"/>
      <c r="AF100" s="59"/>
      <c r="AG100" s="59"/>
      <c r="AH100" s="59"/>
      <c r="AI100" s="59" t="s">
        <v>73</v>
      </c>
      <c r="AJ100" s="59"/>
      <c r="AK100" s="59" t="s">
        <v>73</v>
      </c>
      <c r="AL100" s="59"/>
      <c r="AM100" s="59" t="s">
        <v>73</v>
      </c>
      <c r="AN100" s="59"/>
      <c r="AO100" s="59" t="s">
        <v>73</v>
      </c>
      <c r="AP100" s="59"/>
      <c r="AQ100" s="59" t="s">
        <v>73</v>
      </c>
      <c r="AR100" s="59"/>
      <c r="AS100" s="59" t="s">
        <v>72</v>
      </c>
      <c r="AT100" s="59"/>
      <c r="AU100" s="59"/>
      <c r="AV100" s="59"/>
      <c r="AW100" s="59"/>
      <c r="AX100" s="59"/>
      <c r="AY100" s="60" t="str">
        <f>IF('Cálculo MP'!K110="","",'Cálculo MP'!K110)</f>
        <v/>
      </c>
      <c r="AZ100" s="60" t="str">
        <f>IF('Cálculo MP'!L110="","",'Cálculo MP'!L110)</f>
        <v/>
      </c>
      <c r="BA100" s="60" t="str">
        <f>IF('Cálculo MP'!M110="","",'Cálculo MP'!M110)</f>
        <v/>
      </c>
      <c r="BB100" s="60" t="str">
        <f>IF('Cálculo MP'!N110="","",'Cálculo MP'!N110)</f>
        <v/>
      </c>
      <c r="BC100" s="60" t="str">
        <f>IF('Cálculo MP'!O110="","",'Cálculo MP'!O110)</f>
        <v/>
      </c>
      <c r="BD100" s="60" t="str">
        <f>IF('Cálculo MP'!P110="","",'Cálculo MP'!P110)</f>
        <v/>
      </c>
      <c r="BE100" s="60" t="str">
        <f>IF('Cálculo MP'!Q110="","",'Cálculo MP'!Q110)</f>
        <v/>
      </c>
      <c r="BF100" s="60" t="str">
        <f>IF('Cálculo MP'!R110="","",'Cálculo MP'!R110)</f>
        <v/>
      </c>
      <c r="BG100" s="60" t="str">
        <f>IF('Cálculo MP'!S110="","",'Cálculo MP'!S110)</f>
        <v/>
      </c>
      <c r="BH100" s="59"/>
      <c r="BI100" s="59"/>
      <c r="BJ100" s="59"/>
      <c r="BK100" s="59"/>
      <c r="BL100" s="59"/>
      <c r="BM100" s="59"/>
      <c r="BN100" s="59"/>
      <c r="BO100" s="59"/>
    </row>
    <row r="101" spans="1:67" ht="19.5" customHeight="1" x14ac:dyDescent="0.15">
      <c r="A101" s="123" t="s">
        <v>1856</v>
      </c>
      <c r="B101" s="122" t="s">
        <v>1854</v>
      </c>
      <c r="C101" s="49"/>
      <c r="D101" s="48" t="s">
        <v>73</v>
      </c>
      <c r="E101" s="49"/>
      <c r="F101" s="50"/>
      <c r="G101" s="62"/>
      <c r="H101" s="48" t="s">
        <v>72</v>
      </c>
      <c r="I101" s="52">
        <v>1</v>
      </c>
      <c r="J101" s="52"/>
      <c r="K101" s="52" t="s">
        <v>73</v>
      </c>
      <c r="L101" s="52" t="s">
        <v>74</v>
      </c>
      <c r="M101" s="53" t="s">
        <v>942</v>
      </c>
      <c r="N101" s="58" t="s">
        <v>73</v>
      </c>
      <c r="O101" s="48" t="s">
        <v>72</v>
      </c>
      <c r="P101" s="48" t="s">
        <v>73</v>
      </c>
      <c r="Q101" s="54" t="s">
        <v>73</v>
      </c>
      <c r="R101" s="55" t="s">
        <v>73</v>
      </c>
      <c r="S101" s="48" t="s">
        <v>73</v>
      </c>
      <c r="T101" s="130"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8" t="str" cm="1">
        <f t="array" ref="U101">IF(SUMPRODUCT(--((CAT_Procesos!$E$2:$E$1581=O101)*(CAT_Procesos!$F$2:$F$1581=_xlfn.TEXTJOIN(" + ",TRUE,IF((TRIM(P101:S101)="")+(LOWER(TRIM(P101:S101))="(seleccione)"),"",PROPER(TRIM(P101:S101)))))*(CAT_Procesos!$D$2:$D$1581=IFERROR(VLOOKUP(N101&amp;"*",CAT_Procesos!$D:$D,1,FALSE),""))))=0,"Combinación no existente",IF(SUMPRODUCT(((CAT_Procesos!$E$2:$E$1581=O101)*(CAT_Procesos!$F$2:$F$1581=_xlfn.TEXTJOIN(" + ",TRUE,IF((TRIM(P101:S101)="")+(LOWER(TRIM(P101:S101))="(seleccione)"),"",PROPER(TRIM(P101:S101)))))*(CAT_Procesos!$D$2:$D$1581=IFERROR(VLOOKUP(N101&amp;"*",CAT_Procesos!$D:$D,1,FALSE),"")))*(CAT_Procesos!$G$2:$G$1581=INDEX(CAT_Procesos!$G$2:$G$1581,MATCH(1,(CAT_Procesos!$E$2:$E$1581=O101)*(CAT_Procesos!$F$2:$F$1581=_xlfn.TEXTJOIN(" + ",TRUE,IF((TRIM(P101:S101)="")+(LOWER(TRIM(P101:S101))="(seleccione)"),"",PROPER(TRIM(P101:S101)))))*(CAT_Procesos!$D$2:$D$1581=IFERROR(VLOOKUP(N101&amp;"*",CAT_Procesos!$D:$D,1,FALSE),"")),0))))=SUMPRODUCT(--((CAT_Procesos!$E$2:$E$1581=O101)*(CAT_Procesos!$F$2:$F$1581=_xlfn.TEXTJOIN(" + ",TRUE,IF((TRIM(P101:S101)="")+(LOWER(TRIM(P101:S101))="(seleccione)"),"",PROPER(TRIM(P101:S101)))))*(CAT_Procesos!$D$2:$D$1581=IFERROR(VLOOKUP(N101&amp;"*",CAT_Procesos!$D:$D,1,FALSE),"")))),INDEX(CAT_Procesos!$G$2:$G$1581,MATCH(1,(CAT_Procesos!$E$2:$E$1581=O101)*(CAT_Procesos!$F$2:$F$1581=_xlfn.TEXTJOIN(" + ",TRUE,IF((TRIM(P101:S101)="")+(LOWER(TRIM(P101:S101))="(seleccione)"),"",PROPER(TRIM(P101:S101)))))*(CAT_Procesos!$D$2:$D$1581=IFERROR(VLOOKUP(N101&amp;"*",CAT_Procesos!$D:$D,1,FALSE),"")),0)),"(seleccione)"))</f>
        <v>Combinación no existente</v>
      </c>
      <c r="V101" s="55" t="s">
        <v>73</v>
      </c>
      <c r="W101" s="56" t="s">
        <v>73</v>
      </c>
      <c r="X101" s="57" t="str">
        <f t="shared" si="4"/>
        <v/>
      </c>
      <c r="Y101" s="58" t="s">
        <v>73</v>
      </c>
      <c r="Z101" s="57" t="str">
        <f t="shared" si="5"/>
        <v/>
      </c>
      <c r="AA101" s="58" t="s">
        <v>73</v>
      </c>
      <c r="AB101" s="57" t="str">
        <f t="shared" si="6"/>
        <v/>
      </c>
      <c r="AC101" s="58" t="s">
        <v>73</v>
      </c>
      <c r="AD101" s="57" t="str">
        <f t="shared" si="7"/>
        <v/>
      </c>
      <c r="AE101" s="59"/>
      <c r="AF101" s="59"/>
      <c r="AG101" s="59"/>
      <c r="AH101" s="59"/>
      <c r="AI101" s="59" t="s">
        <v>73</v>
      </c>
      <c r="AJ101" s="59"/>
      <c r="AK101" s="59" t="s">
        <v>73</v>
      </c>
      <c r="AL101" s="59"/>
      <c r="AM101" s="59" t="s">
        <v>73</v>
      </c>
      <c r="AN101" s="59"/>
      <c r="AO101" s="59" t="s">
        <v>73</v>
      </c>
      <c r="AP101" s="59"/>
      <c r="AQ101" s="59" t="s">
        <v>73</v>
      </c>
      <c r="AR101" s="59"/>
      <c r="AS101" s="59" t="s">
        <v>72</v>
      </c>
      <c r="AT101" s="59"/>
      <c r="AU101" s="59"/>
      <c r="AV101" s="59"/>
      <c r="AW101" s="59"/>
      <c r="AX101" s="59"/>
      <c r="AY101" s="60" t="str">
        <f>IF('Cálculo MP'!K111="","",'Cálculo MP'!K111)</f>
        <v/>
      </c>
      <c r="AZ101" s="60" t="str">
        <f>IF('Cálculo MP'!L111="","",'Cálculo MP'!L111)</f>
        <v/>
      </c>
      <c r="BA101" s="60" t="str">
        <f>IF('Cálculo MP'!M111="","",'Cálculo MP'!M111)</f>
        <v/>
      </c>
      <c r="BB101" s="60" t="str">
        <f>IF('Cálculo MP'!N111="","",'Cálculo MP'!N111)</f>
        <v/>
      </c>
      <c r="BC101" s="60" t="str">
        <f>IF('Cálculo MP'!O111="","",'Cálculo MP'!O111)</f>
        <v/>
      </c>
      <c r="BD101" s="60" t="str">
        <f>IF('Cálculo MP'!P111="","",'Cálculo MP'!P111)</f>
        <v/>
      </c>
      <c r="BE101" s="60" t="str">
        <f>IF('Cálculo MP'!Q111="","",'Cálculo MP'!Q111)</f>
        <v/>
      </c>
      <c r="BF101" s="60" t="str">
        <f>IF('Cálculo MP'!R111="","",'Cálculo MP'!R111)</f>
        <v/>
      </c>
      <c r="BG101" s="60" t="str">
        <f>IF('Cálculo MP'!S111="","",'Cálculo MP'!S111)</f>
        <v/>
      </c>
      <c r="BH101" s="59"/>
      <c r="BI101" s="59"/>
      <c r="BJ101" s="59"/>
      <c r="BK101" s="59"/>
      <c r="BL101" s="59"/>
      <c r="BM101" s="59"/>
      <c r="BN101" s="59"/>
      <c r="BO101" s="59"/>
    </row>
    <row r="102" spans="1:67" ht="19.5" customHeight="1" x14ac:dyDescent="0.15">
      <c r="A102" s="123" t="s">
        <v>1856</v>
      </c>
      <c r="B102" s="122" t="s">
        <v>1854</v>
      </c>
      <c r="C102" s="49"/>
      <c r="D102" s="48" t="s">
        <v>73</v>
      </c>
      <c r="E102" s="49"/>
      <c r="F102" s="50"/>
      <c r="G102" s="62"/>
      <c r="H102" s="48" t="s">
        <v>72</v>
      </c>
      <c r="I102" s="52">
        <v>1</v>
      </c>
      <c r="J102" s="52"/>
      <c r="K102" s="52" t="s">
        <v>73</v>
      </c>
      <c r="L102" s="52" t="s">
        <v>74</v>
      </c>
      <c r="M102" s="53" t="s">
        <v>942</v>
      </c>
      <c r="N102" s="58" t="s">
        <v>73</v>
      </c>
      <c r="O102" s="48" t="s">
        <v>72</v>
      </c>
      <c r="P102" s="48" t="s">
        <v>73</v>
      </c>
      <c r="Q102" s="54" t="s">
        <v>73</v>
      </c>
      <c r="R102" s="55" t="s">
        <v>73</v>
      </c>
      <c r="S102" s="48" t="s">
        <v>73</v>
      </c>
      <c r="T102" s="130"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8" t="str" cm="1">
        <f t="array" ref="U102">IF(SUMPRODUCT(--((CAT_Procesos!$E$2:$E$1581=O102)*(CAT_Procesos!$F$2:$F$1581=_xlfn.TEXTJOIN(" + ",TRUE,IF((TRIM(P102:S102)="")+(LOWER(TRIM(P102:S102))="(seleccione)"),"",PROPER(TRIM(P102:S102)))))*(CAT_Procesos!$D$2:$D$1581=IFERROR(VLOOKUP(N102&amp;"*",CAT_Procesos!$D:$D,1,FALSE),""))))=0,"Combinación no existente",IF(SUMPRODUCT(((CAT_Procesos!$E$2:$E$1581=O102)*(CAT_Procesos!$F$2:$F$1581=_xlfn.TEXTJOIN(" + ",TRUE,IF((TRIM(P102:S102)="")+(LOWER(TRIM(P102:S102))="(seleccione)"),"",PROPER(TRIM(P102:S102)))))*(CAT_Procesos!$D$2:$D$1581=IFERROR(VLOOKUP(N102&amp;"*",CAT_Procesos!$D:$D,1,FALSE),"")))*(CAT_Procesos!$G$2:$G$1581=INDEX(CAT_Procesos!$G$2:$G$1581,MATCH(1,(CAT_Procesos!$E$2:$E$1581=O102)*(CAT_Procesos!$F$2:$F$1581=_xlfn.TEXTJOIN(" + ",TRUE,IF((TRIM(P102:S102)="")+(LOWER(TRIM(P102:S102))="(seleccione)"),"",PROPER(TRIM(P102:S102)))))*(CAT_Procesos!$D$2:$D$1581=IFERROR(VLOOKUP(N102&amp;"*",CAT_Procesos!$D:$D,1,FALSE),"")),0))))=SUMPRODUCT(--((CAT_Procesos!$E$2:$E$1581=O102)*(CAT_Procesos!$F$2:$F$1581=_xlfn.TEXTJOIN(" + ",TRUE,IF((TRIM(P102:S102)="")+(LOWER(TRIM(P102:S102))="(seleccione)"),"",PROPER(TRIM(P102:S102)))))*(CAT_Procesos!$D$2:$D$1581=IFERROR(VLOOKUP(N102&amp;"*",CAT_Procesos!$D:$D,1,FALSE),"")))),INDEX(CAT_Procesos!$G$2:$G$1581,MATCH(1,(CAT_Procesos!$E$2:$E$1581=O102)*(CAT_Procesos!$F$2:$F$1581=_xlfn.TEXTJOIN(" + ",TRUE,IF((TRIM(P102:S102)="")+(LOWER(TRIM(P102:S102))="(seleccione)"),"",PROPER(TRIM(P102:S102)))))*(CAT_Procesos!$D$2:$D$1581=IFERROR(VLOOKUP(N102&amp;"*",CAT_Procesos!$D:$D,1,FALSE),"")),0)),"(seleccione)"))</f>
        <v>Combinación no existente</v>
      </c>
      <c r="V102" s="55" t="s">
        <v>73</v>
      </c>
      <c r="W102" s="56" t="s">
        <v>73</v>
      </c>
      <c r="X102" s="57" t="str">
        <f t="shared" si="4"/>
        <v/>
      </c>
      <c r="Y102" s="58" t="s">
        <v>73</v>
      </c>
      <c r="Z102" s="57" t="str">
        <f t="shared" si="5"/>
        <v/>
      </c>
      <c r="AA102" s="58" t="s">
        <v>73</v>
      </c>
      <c r="AB102" s="57" t="str">
        <f t="shared" si="6"/>
        <v/>
      </c>
      <c r="AC102" s="58" t="s">
        <v>73</v>
      </c>
      <c r="AD102" s="57" t="str">
        <f t="shared" si="7"/>
        <v/>
      </c>
      <c r="AE102" s="59"/>
      <c r="AF102" s="59"/>
      <c r="AG102" s="59"/>
      <c r="AH102" s="59"/>
      <c r="AI102" s="59" t="s">
        <v>73</v>
      </c>
      <c r="AJ102" s="59"/>
      <c r="AK102" s="59" t="s">
        <v>73</v>
      </c>
      <c r="AL102" s="59"/>
      <c r="AM102" s="59" t="s">
        <v>73</v>
      </c>
      <c r="AN102" s="59"/>
      <c r="AO102" s="59" t="s">
        <v>73</v>
      </c>
      <c r="AP102" s="59"/>
      <c r="AQ102" s="59" t="s">
        <v>73</v>
      </c>
      <c r="AR102" s="59"/>
      <c r="AS102" s="59" t="s">
        <v>72</v>
      </c>
      <c r="AT102" s="59"/>
      <c r="AU102" s="59"/>
      <c r="AV102" s="59"/>
      <c r="AW102" s="59"/>
      <c r="AX102" s="59"/>
      <c r="AY102" s="60" t="str">
        <f>IF('Cálculo MP'!K112="","",'Cálculo MP'!K112)</f>
        <v/>
      </c>
      <c r="AZ102" s="60" t="str">
        <f>IF('Cálculo MP'!L112="","",'Cálculo MP'!L112)</f>
        <v/>
      </c>
      <c r="BA102" s="60" t="str">
        <f>IF('Cálculo MP'!M112="","",'Cálculo MP'!M112)</f>
        <v/>
      </c>
      <c r="BB102" s="60" t="str">
        <f>IF('Cálculo MP'!N112="","",'Cálculo MP'!N112)</f>
        <v/>
      </c>
      <c r="BC102" s="60" t="str">
        <f>IF('Cálculo MP'!O112="","",'Cálculo MP'!O112)</f>
        <v/>
      </c>
      <c r="BD102" s="60" t="str">
        <f>IF('Cálculo MP'!P112="","",'Cálculo MP'!P112)</f>
        <v/>
      </c>
      <c r="BE102" s="60" t="str">
        <f>IF('Cálculo MP'!Q112="","",'Cálculo MP'!Q112)</f>
        <v/>
      </c>
      <c r="BF102" s="60" t="str">
        <f>IF('Cálculo MP'!R112="","",'Cálculo MP'!R112)</f>
        <v/>
      </c>
      <c r="BG102" s="60" t="str">
        <f>IF('Cálculo MP'!S112="","",'Cálculo MP'!S112)</f>
        <v/>
      </c>
      <c r="BH102" s="59"/>
      <c r="BI102" s="59"/>
      <c r="BJ102" s="59"/>
      <c r="BK102" s="59"/>
      <c r="BL102" s="59"/>
      <c r="BM102" s="59"/>
      <c r="BN102" s="59"/>
      <c r="BO102" s="59"/>
    </row>
    <row r="103" spans="1:67" ht="19.5" customHeight="1" x14ac:dyDescent="0.15">
      <c r="A103" s="123" t="s">
        <v>1856</v>
      </c>
      <c r="B103" s="122" t="s">
        <v>1854</v>
      </c>
      <c r="C103" s="49"/>
      <c r="D103" s="48" t="s">
        <v>73</v>
      </c>
      <c r="E103" s="49"/>
      <c r="F103" s="50"/>
      <c r="G103" s="62"/>
      <c r="H103" s="48" t="s">
        <v>72</v>
      </c>
      <c r="I103" s="52">
        <v>1</v>
      </c>
      <c r="J103" s="52"/>
      <c r="K103" s="52" t="s">
        <v>73</v>
      </c>
      <c r="L103" s="52" t="s">
        <v>74</v>
      </c>
      <c r="M103" s="53" t="s">
        <v>942</v>
      </c>
      <c r="N103" s="58" t="s">
        <v>73</v>
      </c>
      <c r="O103" s="48" t="s">
        <v>72</v>
      </c>
      <c r="P103" s="48" t="s">
        <v>73</v>
      </c>
      <c r="Q103" s="54" t="s">
        <v>73</v>
      </c>
      <c r="R103" s="55" t="s">
        <v>73</v>
      </c>
      <c r="S103" s="48" t="s">
        <v>73</v>
      </c>
      <c r="T103" s="130"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8" t="str" cm="1">
        <f t="array" ref="U103">IF(SUMPRODUCT(--((CAT_Procesos!$E$2:$E$1581=O103)*(CAT_Procesos!$F$2:$F$1581=_xlfn.TEXTJOIN(" + ",TRUE,IF((TRIM(P103:S103)="")+(LOWER(TRIM(P103:S103))="(seleccione)"),"",PROPER(TRIM(P103:S103)))))*(CAT_Procesos!$D$2:$D$1581=IFERROR(VLOOKUP(N103&amp;"*",CAT_Procesos!$D:$D,1,FALSE),""))))=0,"Combinación no existente",IF(SUMPRODUCT(((CAT_Procesos!$E$2:$E$1581=O103)*(CAT_Procesos!$F$2:$F$1581=_xlfn.TEXTJOIN(" + ",TRUE,IF((TRIM(P103:S103)="")+(LOWER(TRIM(P103:S103))="(seleccione)"),"",PROPER(TRIM(P103:S103)))))*(CAT_Procesos!$D$2:$D$1581=IFERROR(VLOOKUP(N103&amp;"*",CAT_Procesos!$D:$D,1,FALSE),"")))*(CAT_Procesos!$G$2:$G$1581=INDEX(CAT_Procesos!$G$2:$G$1581,MATCH(1,(CAT_Procesos!$E$2:$E$1581=O103)*(CAT_Procesos!$F$2:$F$1581=_xlfn.TEXTJOIN(" + ",TRUE,IF((TRIM(P103:S103)="")+(LOWER(TRIM(P103:S103))="(seleccione)"),"",PROPER(TRIM(P103:S103)))))*(CAT_Procesos!$D$2:$D$1581=IFERROR(VLOOKUP(N103&amp;"*",CAT_Procesos!$D:$D,1,FALSE),"")),0))))=SUMPRODUCT(--((CAT_Procesos!$E$2:$E$1581=O103)*(CAT_Procesos!$F$2:$F$1581=_xlfn.TEXTJOIN(" + ",TRUE,IF((TRIM(P103:S103)="")+(LOWER(TRIM(P103:S103))="(seleccione)"),"",PROPER(TRIM(P103:S103)))))*(CAT_Procesos!$D$2:$D$1581=IFERROR(VLOOKUP(N103&amp;"*",CAT_Procesos!$D:$D,1,FALSE),"")))),INDEX(CAT_Procesos!$G$2:$G$1581,MATCH(1,(CAT_Procesos!$E$2:$E$1581=O103)*(CAT_Procesos!$F$2:$F$1581=_xlfn.TEXTJOIN(" + ",TRUE,IF((TRIM(P103:S103)="")+(LOWER(TRIM(P103:S103))="(seleccione)"),"",PROPER(TRIM(P103:S103)))))*(CAT_Procesos!$D$2:$D$1581=IFERROR(VLOOKUP(N103&amp;"*",CAT_Procesos!$D:$D,1,FALSE),"")),0)),"(seleccione)"))</f>
        <v>Combinación no existente</v>
      </c>
      <c r="V103" s="55" t="s">
        <v>73</v>
      </c>
      <c r="W103" s="56" t="s">
        <v>73</v>
      </c>
      <c r="X103" s="57" t="str">
        <f t="shared" si="4"/>
        <v/>
      </c>
      <c r="Y103" s="58" t="s">
        <v>73</v>
      </c>
      <c r="Z103" s="57" t="str">
        <f t="shared" si="5"/>
        <v/>
      </c>
      <c r="AA103" s="58" t="s">
        <v>73</v>
      </c>
      <c r="AB103" s="57" t="str">
        <f t="shared" si="6"/>
        <v/>
      </c>
      <c r="AC103" s="58" t="s">
        <v>73</v>
      </c>
      <c r="AD103" s="57" t="str">
        <f t="shared" si="7"/>
        <v/>
      </c>
      <c r="AE103" s="59"/>
      <c r="AF103" s="59"/>
      <c r="AG103" s="59"/>
      <c r="AH103" s="59"/>
      <c r="AI103" s="59" t="s">
        <v>73</v>
      </c>
      <c r="AJ103" s="59"/>
      <c r="AK103" s="59" t="s">
        <v>73</v>
      </c>
      <c r="AL103" s="59"/>
      <c r="AM103" s="59" t="s">
        <v>73</v>
      </c>
      <c r="AN103" s="59"/>
      <c r="AO103" s="59" t="s">
        <v>73</v>
      </c>
      <c r="AP103" s="59"/>
      <c r="AQ103" s="59" t="s">
        <v>73</v>
      </c>
      <c r="AR103" s="59"/>
      <c r="AS103" s="59" t="s">
        <v>72</v>
      </c>
      <c r="AT103" s="59"/>
      <c r="AU103" s="59"/>
      <c r="AV103" s="59"/>
      <c r="AW103" s="59"/>
      <c r="AX103" s="59"/>
      <c r="AY103" s="60" t="str">
        <f>IF('Cálculo MP'!K113="","",'Cálculo MP'!K113)</f>
        <v/>
      </c>
      <c r="AZ103" s="60" t="str">
        <f>IF('Cálculo MP'!L113="","",'Cálculo MP'!L113)</f>
        <v/>
      </c>
      <c r="BA103" s="60" t="str">
        <f>IF('Cálculo MP'!M113="","",'Cálculo MP'!M113)</f>
        <v/>
      </c>
      <c r="BB103" s="60" t="str">
        <f>IF('Cálculo MP'!N113="","",'Cálculo MP'!N113)</f>
        <v/>
      </c>
      <c r="BC103" s="60" t="str">
        <f>IF('Cálculo MP'!O113="","",'Cálculo MP'!O113)</f>
        <v/>
      </c>
      <c r="BD103" s="60" t="str">
        <f>IF('Cálculo MP'!P113="","",'Cálculo MP'!P113)</f>
        <v/>
      </c>
      <c r="BE103" s="60" t="str">
        <f>IF('Cálculo MP'!Q113="","",'Cálculo MP'!Q113)</f>
        <v/>
      </c>
      <c r="BF103" s="60" t="str">
        <f>IF('Cálculo MP'!R113="","",'Cálculo MP'!R113)</f>
        <v/>
      </c>
      <c r="BG103" s="60" t="str">
        <f>IF('Cálculo MP'!S113="","",'Cálculo MP'!S113)</f>
        <v/>
      </c>
      <c r="BH103" s="59"/>
      <c r="BI103" s="59"/>
      <c r="BJ103" s="59"/>
      <c r="BK103" s="59"/>
      <c r="BL103" s="59"/>
      <c r="BM103" s="59"/>
      <c r="BN103" s="59"/>
      <c r="BO103" s="59"/>
    </row>
    <row r="104" spans="1:67" ht="19.5" customHeight="1" x14ac:dyDescent="0.15">
      <c r="A104" s="123" t="s">
        <v>1856</v>
      </c>
      <c r="B104" s="122" t="s">
        <v>1854</v>
      </c>
      <c r="C104" s="49"/>
      <c r="D104" s="48" t="s">
        <v>73</v>
      </c>
      <c r="E104" s="49"/>
      <c r="F104" s="50"/>
      <c r="G104" s="62"/>
      <c r="H104" s="48" t="s">
        <v>72</v>
      </c>
      <c r="I104" s="52">
        <v>1</v>
      </c>
      <c r="J104" s="52"/>
      <c r="K104" s="52" t="s">
        <v>73</v>
      </c>
      <c r="L104" s="52" t="s">
        <v>74</v>
      </c>
      <c r="M104" s="53" t="s">
        <v>942</v>
      </c>
      <c r="N104" s="58" t="s">
        <v>73</v>
      </c>
      <c r="O104" s="48" t="s">
        <v>72</v>
      </c>
      <c r="P104" s="48" t="s">
        <v>73</v>
      </c>
      <c r="Q104" s="54" t="s">
        <v>73</v>
      </c>
      <c r="R104" s="55" t="s">
        <v>73</v>
      </c>
      <c r="S104" s="48" t="s">
        <v>73</v>
      </c>
      <c r="T104" s="130"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8" t="str" cm="1">
        <f t="array" ref="U104">IF(SUMPRODUCT(--((CAT_Procesos!$E$2:$E$1581=O104)*(CAT_Procesos!$F$2:$F$1581=_xlfn.TEXTJOIN(" + ",TRUE,IF((TRIM(P104:S104)="")+(LOWER(TRIM(P104:S104))="(seleccione)"),"",PROPER(TRIM(P104:S104)))))*(CAT_Procesos!$D$2:$D$1581=IFERROR(VLOOKUP(N104&amp;"*",CAT_Procesos!$D:$D,1,FALSE),""))))=0,"Combinación no existente",IF(SUMPRODUCT(((CAT_Procesos!$E$2:$E$1581=O104)*(CAT_Procesos!$F$2:$F$1581=_xlfn.TEXTJOIN(" + ",TRUE,IF((TRIM(P104:S104)="")+(LOWER(TRIM(P104:S104))="(seleccione)"),"",PROPER(TRIM(P104:S104)))))*(CAT_Procesos!$D$2:$D$1581=IFERROR(VLOOKUP(N104&amp;"*",CAT_Procesos!$D:$D,1,FALSE),"")))*(CAT_Procesos!$G$2:$G$1581=INDEX(CAT_Procesos!$G$2:$G$1581,MATCH(1,(CAT_Procesos!$E$2:$E$1581=O104)*(CAT_Procesos!$F$2:$F$1581=_xlfn.TEXTJOIN(" + ",TRUE,IF((TRIM(P104:S104)="")+(LOWER(TRIM(P104:S104))="(seleccione)"),"",PROPER(TRIM(P104:S104)))))*(CAT_Procesos!$D$2:$D$1581=IFERROR(VLOOKUP(N104&amp;"*",CAT_Procesos!$D:$D,1,FALSE),"")),0))))=SUMPRODUCT(--((CAT_Procesos!$E$2:$E$1581=O104)*(CAT_Procesos!$F$2:$F$1581=_xlfn.TEXTJOIN(" + ",TRUE,IF((TRIM(P104:S104)="")+(LOWER(TRIM(P104:S104))="(seleccione)"),"",PROPER(TRIM(P104:S104)))))*(CAT_Procesos!$D$2:$D$1581=IFERROR(VLOOKUP(N104&amp;"*",CAT_Procesos!$D:$D,1,FALSE),"")))),INDEX(CAT_Procesos!$G$2:$G$1581,MATCH(1,(CAT_Procesos!$E$2:$E$1581=O104)*(CAT_Procesos!$F$2:$F$1581=_xlfn.TEXTJOIN(" + ",TRUE,IF((TRIM(P104:S104)="")+(LOWER(TRIM(P104:S104))="(seleccione)"),"",PROPER(TRIM(P104:S104)))))*(CAT_Procesos!$D$2:$D$1581=IFERROR(VLOOKUP(N104&amp;"*",CAT_Procesos!$D:$D,1,FALSE),"")),0)),"(seleccione)"))</f>
        <v>Combinación no existente</v>
      </c>
      <c r="V104" s="55" t="s">
        <v>73</v>
      </c>
      <c r="W104" s="56" t="s">
        <v>73</v>
      </c>
      <c r="X104" s="57" t="str">
        <f t="shared" si="4"/>
        <v/>
      </c>
      <c r="Y104" s="58" t="s">
        <v>73</v>
      </c>
      <c r="Z104" s="57" t="str">
        <f t="shared" si="5"/>
        <v/>
      </c>
      <c r="AA104" s="58" t="s">
        <v>73</v>
      </c>
      <c r="AB104" s="57" t="str">
        <f t="shared" si="6"/>
        <v/>
      </c>
      <c r="AC104" s="58" t="s">
        <v>73</v>
      </c>
      <c r="AD104" s="57" t="str">
        <f t="shared" si="7"/>
        <v/>
      </c>
      <c r="AE104" s="59"/>
      <c r="AF104" s="59"/>
      <c r="AG104" s="59"/>
      <c r="AH104" s="59"/>
      <c r="AI104" s="59" t="s">
        <v>73</v>
      </c>
      <c r="AJ104" s="59"/>
      <c r="AK104" s="59" t="s">
        <v>73</v>
      </c>
      <c r="AL104" s="59"/>
      <c r="AM104" s="59" t="s">
        <v>73</v>
      </c>
      <c r="AN104" s="59"/>
      <c r="AO104" s="59" t="s">
        <v>73</v>
      </c>
      <c r="AP104" s="59"/>
      <c r="AQ104" s="59" t="s">
        <v>73</v>
      </c>
      <c r="AR104" s="59"/>
      <c r="AS104" s="59" t="s">
        <v>72</v>
      </c>
      <c r="AT104" s="59"/>
      <c r="AU104" s="59"/>
      <c r="AV104" s="59"/>
      <c r="AW104" s="59"/>
      <c r="AX104" s="59"/>
      <c r="AY104" s="60" t="str">
        <f>IF('Cálculo MP'!K114="","",'Cálculo MP'!K114)</f>
        <v/>
      </c>
      <c r="AZ104" s="60" t="str">
        <f>IF('Cálculo MP'!L114="","",'Cálculo MP'!L114)</f>
        <v/>
      </c>
      <c r="BA104" s="60" t="str">
        <f>IF('Cálculo MP'!M114="","",'Cálculo MP'!M114)</f>
        <v/>
      </c>
      <c r="BB104" s="60" t="str">
        <f>IF('Cálculo MP'!N114="","",'Cálculo MP'!N114)</f>
        <v/>
      </c>
      <c r="BC104" s="60" t="str">
        <f>IF('Cálculo MP'!O114="","",'Cálculo MP'!O114)</f>
        <v/>
      </c>
      <c r="BD104" s="60" t="str">
        <f>IF('Cálculo MP'!P114="","",'Cálculo MP'!P114)</f>
        <v/>
      </c>
      <c r="BE104" s="60" t="str">
        <f>IF('Cálculo MP'!Q114="","",'Cálculo MP'!Q114)</f>
        <v/>
      </c>
      <c r="BF104" s="60" t="str">
        <f>IF('Cálculo MP'!R114="","",'Cálculo MP'!R114)</f>
        <v/>
      </c>
      <c r="BG104" s="60" t="str">
        <f>IF('Cálculo MP'!S114="","",'Cálculo MP'!S114)</f>
        <v/>
      </c>
      <c r="BH104" s="59"/>
      <c r="BI104" s="59"/>
      <c r="BJ104" s="59"/>
      <c r="BK104" s="59"/>
      <c r="BL104" s="59"/>
      <c r="BM104" s="59"/>
      <c r="BN104" s="59"/>
      <c r="BO104" s="59"/>
    </row>
    <row r="105" spans="1:67" ht="19.5" customHeight="1" x14ac:dyDescent="0.15">
      <c r="A105" s="123" t="s">
        <v>1856</v>
      </c>
      <c r="B105" s="122" t="s">
        <v>1854</v>
      </c>
      <c r="C105" s="49"/>
      <c r="D105" s="48" t="s">
        <v>73</v>
      </c>
      <c r="E105" s="49"/>
      <c r="F105" s="50"/>
      <c r="G105" s="62"/>
      <c r="H105" s="48" t="s">
        <v>72</v>
      </c>
      <c r="I105" s="52">
        <v>1</v>
      </c>
      <c r="J105" s="52"/>
      <c r="K105" s="52" t="s">
        <v>73</v>
      </c>
      <c r="L105" s="52" t="s">
        <v>74</v>
      </c>
      <c r="M105" s="53" t="s">
        <v>942</v>
      </c>
      <c r="N105" s="58" t="s">
        <v>73</v>
      </c>
      <c r="O105" s="48" t="s">
        <v>72</v>
      </c>
      <c r="P105" s="48" t="s">
        <v>73</v>
      </c>
      <c r="Q105" s="54" t="s">
        <v>73</v>
      </c>
      <c r="R105" s="55" t="s">
        <v>73</v>
      </c>
      <c r="S105" s="48" t="s">
        <v>73</v>
      </c>
      <c r="T105" s="130"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8" t="str" cm="1">
        <f t="array" ref="U105">IF(SUMPRODUCT(--((CAT_Procesos!$E$2:$E$1581=O105)*(CAT_Procesos!$F$2:$F$1581=_xlfn.TEXTJOIN(" + ",TRUE,IF((TRIM(P105:S105)="")+(LOWER(TRIM(P105:S105))="(seleccione)"),"",PROPER(TRIM(P105:S105)))))*(CAT_Procesos!$D$2:$D$1581=IFERROR(VLOOKUP(N105&amp;"*",CAT_Procesos!$D:$D,1,FALSE),""))))=0,"Combinación no existente",IF(SUMPRODUCT(((CAT_Procesos!$E$2:$E$1581=O105)*(CAT_Procesos!$F$2:$F$1581=_xlfn.TEXTJOIN(" + ",TRUE,IF((TRIM(P105:S105)="")+(LOWER(TRIM(P105:S105))="(seleccione)"),"",PROPER(TRIM(P105:S105)))))*(CAT_Procesos!$D$2:$D$1581=IFERROR(VLOOKUP(N105&amp;"*",CAT_Procesos!$D:$D,1,FALSE),"")))*(CAT_Procesos!$G$2:$G$1581=INDEX(CAT_Procesos!$G$2:$G$1581,MATCH(1,(CAT_Procesos!$E$2:$E$1581=O105)*(CAT_Procesos!$F$2:$F$1581=_xlfn.TEXTJOIN(" + ",TRUE,IF((TRIM(P105:S105)="")+(LOWER(TRIM(P105:S105))="(seleccione)"),"",PROPER(TRIM(P105:S105)))))*(CAT_Procesos!$D$2:$D$1581=IFERROR(VLOOKUP(N105&amp;"*",CAT_Procesos!$D:$D,1,FALSE),"")),0))))=SUMPRODUCT(--((CAT_Procesos!$E$2:$E$1581=O105)*(CAT_Procesos!$F$2:$F$1581=_xlfn.TEXTJOIN(" + ",TRUE,IF((TRIM(P105:S105)="")+(LOWER(TRIM(P105:S105))="(seleccione)"),"",PROPER(TRIM(P105:S105)))))*(CAT_Procesos!$D$2:$D$1581=IFERROR(VLOOKUP(N105&amp;"*",CAT_Procesos!$D:$D,1,FALSE),"")))),INDEX(CAT_Procesos!$G$2:$G$1581,MATCH(1,(CAT_Procesos!$E$2:$E$1581=O105)*(CAT_Procesos!$F$2:$F$1581=_xlfn.TEXTJOIN(" + ",TRUE,IF((TRIM(P105:S105)="")+(LOWER(TRIM(P105:S105))="(seleccione)"),"",PROPER(TRIM(P105:S105)))))*(CAT_Procesos!$D$2:$D$1581=IFERROR(VLOOKUP(N105&amp;"*",CAT_Procesos!$D:$D,1,FALSE),"")),0)),"(seleccione)"))</f>
        <v>Combinación no existente</v>
      </c>
      <c r="V105" s="55" t="s">
        <v>73</v>
      </c>
      <c r="W105" s="56" t="s">
        <v>73</v>
      </c>
      <c r="X105" s="57" t="str">
        <f t="shared" si="4"/>
        <v/>
      </c>
      <c r="Y105" s="58" t="s">
        <v>73</v>
      </c>
      <c r="Z105" s="57" t="str">
        <f t="shared" si="5"/>
        <v/>
      </c>
      <c r="AA105" s="58" t="s">
        <v>73</v>
      </c>
      <c r="AB105" s="57" t="str">
        <f t="shared" si="6"/>
        <v/>
      </c>
      <c r="AC105" s="58" t="s">
        <v>73</v>
      </c>
      <c r="AD105" s="57" t="str">
        <f t="shared" si="7"/>
        <v/>
      </c>
      <c r="AE105" s="59"/>
      <c r="AF105" s="59"/>
      <c r="AG105" s="59"/>
      <c r="AH105" s="59"/>
      <c r="AI105" s="59" t="s">
        <v>73</v>
      </c>
      <c r="AJ105" s="59"/>
      <c r="AK105" s="59" t="s">
        <v>73</v>
      </c>
      <c r="AL105" s="59"/>
      <c r="AM105" s="59" t="s">
        <v>73</v>
      </c>
      <c r="AN105" s="59"/>
      <c r="AO105" s="59" t="s">
        <v>73</v>
      </c>
      <c r="AP105" s="59"/>
      <c r="AQ105" s="59" t="s">
        <v>73</v>
      </c>
      <c r="AR105" s="59"/>
      <c r="AS105" s="59" t="s">
        <v>72</v>
      </c>
      <c r="AT105" s="59"/>
      <c r="AU105" s="59"/>
      <c r="AV105" s="59"/>
      <c r="AW105" s="59"/>
      <c r="AX105" s="59"/>
      <c r="AY105" s="60" t="str">
        <f>IF('Cálculo MP'!K115="","",'Cálculo MP'!K115)</f>
        <v/>
      </c>
      <c r="AZ105" s="60" t="str">
        <f>IF('Cálculo MP'!L115="","",'Cálculo MP'!L115)</f>
        <v/>
      </c>
      <c r="BA105" s="60" t="str">
        <f>IF('Cálculo MP'!M115="","",'Cálculo MP'!M115)</f>
        <v/>
      </c>
      <c r="BB105" s="60" t="str">
        <f>IF('Cálculo MP'!N115="","",'Cálculo MP'!N115)</f>
        <v/>
      </c>
      <c r="BC105" s="60" t="str">
        <f>IF('Cálculo MP'!O115="","",'Cálculo MP'!O115)</f>
        <v/>
      </c>
      <c r="BD105" s="60" t="str">
        <f>IF('Cálculo MP'!P115="","",'Cálculo MP'!P115)</f>
        <v/>
      </c>
      <c r="BE105" s="60" t="str">
        <f>IF('Cálculo MP'!Q115="","",'Cálculo MP'!Q115)</f>
        <v/>
      </c>
      <c r="BF105" s="60" t="str">
        <f>IF('Cálculo MP'!R115="","",'Cálculo MP'!R115)</f>
        <v/>
      </c>
      <c r="BG105" s="60" t="str">
        <f>IF('Cálculo MP'!S115="","",'Cálculo MP'!S115)</f>
        <v/>
      </c>
      <c r="BH105" s="59"/>
      <c r="BI105" s="59"/>
      <c r="BJ105" s="59"/>
      <c r="BK105" s="59"/>
      <c r="BL105" s="59"/>
      <c r="BM105" s="59"/>
      <c r="BN105" s="59"/>
      <c r="BO105" s="59"/>
    </row>
    <row r="106" spans="1:67" ht="19.5" customHeight="1" x14ac:dyDescent="0.15">
      <c r="A106" s="123" t="s">
        <v>1856</v>
      </c>
      <c r="B106" s="122" t="s">
        <v>1854</v>
      </c>
      <c r="C106" s="49"/>
      <c r="D106" s="48" t="s">
        <v>73</v>
      </c>
      <c r="E106" s="49"/>
      <c r="F106" s="50"/>
      <c r="G106" s="62"/>
      <c r="H106" s="48" t="s">
        <v>72</v>
      </c>
      <c r="I106" s="52">
        <v>1</v>
      </c>
      <c r="J106" s="52"/>
      <c r="K106" s="52" t="s">
        <v>73</v>
      </c>
      <c r="L106" s="52" t="s">
        <v>74</v>
      </c>
      <c r="M106" s="53" t="s">
        <v>942</v>
      </c>
      <c r="N106" s="58" t="s">
        <v>73</v>
      </c>
      <c r="O106" s="48" t="s">
        <v>72</v>
      </c>
      <c r="P106" s="48" t="s">
        <v>73</v>
      </c>
      <c r="Q106" s="54" t="s">
        <v>73</v>
      </c>
      <c r="R106" s="55" t="s">
        <v>73</v>
      </c>
      <c r="S106" s="48" t="s">
        <v>73</v>
      </c>
      <c r="T106" s="130"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8" t="str" cm="1">
        <f t="array" ref="U106">IF(SUMPRODUCT(--((CAT_Procesos!$E$2:$E$1581=O106)*(CAT_Procesos!$F$2:$F$1581=_xlfn.TEXTJOIN(" + ",TRUE,IF((TRIM(P106:S106)="")+(LOWER(TRIM(P106:S106))="(seleccione)"),"",PROPER(TRIM(P106:S106)))))*(CAT_Procesos!$D$2:$D$1581=IFERROR(VLOOKUP(N106&amp;"*",CAT_Procesos!$D:$D,1,FALSE),""))))=0,"Combinación no existente",IF(SUMPRODUCT(((CAT_Procesos!$E$2:$E$1581=O106)*(CAT_Procesos!$F$2:$F$1581=_xlfn.TEXTJOIN(" + ",TRUE,IF((TRIM(P106:S106)="")+(LOWER(TRIM(P106:S106))="(seleccione)"),"",PROPER(TRIM(P106:S106)))))*(CAT_Procesos!$D$2:$D$1581=IFERROR(VLOOKUP(N106&amp;"*",CAT_Procesos!$D:$D,1,FALSE),"")))*(CAT_Procesos!$G$2:$G$1581=INDEX(CAT_Procesos!$G$2:$G$1581,MATCH(1,(CAT_Procesos!$E$2:$E$1581=O106)*(CAT_Procesos!$F$2:$F$1581=_xlfn.TEXTJOIN(" + ",TRUE,IF((TRIM(P106:S106)="")+(LOWER(TRIM(P106:S106))="(seleccione)"),"",PROPER(TRIM(P106:S106)))))*(CAT_Procesos!$D$2:$D$1581=IFERROR(VLOOKUP(N106&amp;"*",CAT_Procesos!$D:$D,1,FALSE),"")),0))))=SUMPRODUCT(--((CAT_Procesos!$E$2:$E$1581=O106)*(CAT_Procesos!$F$2:$F$1581=_xlfn.TEXTJOIN(" + ",TRUE,IF((TRIM(P106:S106)="")+(LOWER(TRIM(P106:S106))="(seleccione)"),"",PROPER(TRIM(P106:S106)))))*(CAT_Procesos!$D$2:$D$1581=IFERROR(VLOOKUP(N106&amp;"*",CAT_Procesos!$D:$D,1,FALSE),"")))),INDEX(CAT_Procesos!$G$2:$G$1581,MATCH(1,(CAT_Procesos!$E$2:$E$1581=O106)*(CAT_Procesos!$F$2:$F$1581=_xlfn.TEXTJOIN(" + ",TRUE,IF((TRIM(P106:S106)="")+(LOWER(TRIM(P106:S106))="(seleccione)"),"",PROPER(TRIM(P106:S106)))))*(CAT_Procesos!$D$2:$D$1581=IFERROR(VLOOKUP(N106&amp;"*",CAT_Procesos!$D:$D,1,FALSE),"")),0)),"(seleccione)"))</f>
        <v>Combinación no existente</v>
      </c>
      <c r="V106" s="55" t="s">
        <v>73</v>
      </c>
      <c r="W106" s="56" t="s">
        <v>73</v>
      </c>
      <c r="X106" s="57" t="str">
        <f t="shared" si="4"/>
        <v/>
      </c>
      <c r="Y106" s="58" t="s">
        <v>73</v>
      </c>
      <c r="Z106" s="57" t="str">
        <f t="shared" si="5"/>
        <v/>
      </c>
      <c r="AA106" s="58" t="s">
        <v>73</v>
      </c>
      <c r="AB106" s="57" t="str">
        <f t="shared" si="6"/>
        <v/>
      </c>
      <c r="AC106" s="58" t="s">
        <v>73</v>
      </c>
      <c r="AD106" s="57" t="str">
        <f t="shared" si="7"/>
        <v/>
      </c>
      <c r="AE106" s="59"/>
      <c r="AF106" s="59"/>
      <c r="AG106" s="59"/>
      <c r="AH106" s="59"/>
      <c r="AI106" s="59" t="s">
        <v>73</v>
      </c>
      <c r="AJ106" s="59"/>
      <c r="AK106" s="59" t="s">
        <v>73</v>
      </c>
      <c r="AL106" s="59"/>
      <c r="AM106" s="59" t="s">
        <v>73</v>
      </c>
      <c r="AN106" s="59"/>
      <c r="AO106" s="59" t="s">
        <v>73</v>
      </c>
      <c r="AP106" s="59"/>
      <c r="AQ106" s="59" t="s">
        <v>73</v>
      </c>
      <c r="AR106" s="59"/>
      <c r="AS106" s="59" t="s">
        <v>72</v>
      </c>
      <c r="AT106" s="59"/>
      <c r="AU106" s="59"/>
      <c r="AV106" s="59"/>
      <c r="AW106" s="59"/>
      <c r="AX106" s="59"/>
      <c r="AY106" s="60" t="str">
        <f>IF('Cálculo MP'!K116="","",'Cálculo MP'!K116)</f>
        <v/>
      </c>
      <c r="AZ106" s="60" t="str">
        <f>IF('Cálculo MP'!L116="","",'Cálculo MP'!L116)</f>
        <v/>
      </c>
      <c r="BA106" s="60" t="str">
        <f>IF('Cálculo MP'!M116="","",'Cálculo MP'!M116)</f>
        <v/>
      </c>
      <c r="BB106" s="60" t="str">
        <f>IF('Cálculo MP'!N116="","",'Cálculo MP'!N116)</f>
        <v/>
      </c>
      <c r="BC106" s="60" t="str">
        <f>IF('Cálculo MP'!O116="","",'Cálculo MP'!O116)</f>
        <v/>
      </c>
      <c r="BD106" s="60" t="str">
        <f>IF('Cálculo MP'!P116="","",'Cálculo MP'!P116)</f>
        <v/>
      </c>
      <c r="BE106" s="60" t="str">
        <f>IF('Cálculo MP'!Q116="","",'Cálculo MP'!Q116)</f>
        <v/>
      </c>
      <c r="BF106" s="60" t="str">
        <f>IF('Cálculo MP'!R116="","",'Cálculo MP'!R116)</f>
        <v/>
      </c>
      <c r="BG106" s="60" t="str">
        <f>IF('Cálculo MP'!S116="","",'Cálculo MP'!S116)</f>
        <v/>
      </c>
      <c r="BH106" s="59"/>
      <c r="BI106" s="59"/>
      <c r="BJ106" s="59"/>
      <c r="BK106" s="59"/>
      <c r="BL106" s="59"/>
      <c r="BM106" s="59"/>
      <c r="BN106" s="59"/>
      <c r="BO106" s="59"/>
    </row>
    <row r="107" spans="1:67" ht="19.5" customHeight="1" x14ac:dyDescent="0.15">
      <c r="A107" s="123" t="s">
        <v>1856</v>
      </c>
      <c r="B107" s="122" t="s">
        <v>1854</v>
      </c>
      <c r="C107" s="49"/>
      <c r="D107" s="48" t="s">
        <v>73</v>
      </c>
      <c r="E107" s="49"/>
      <c r="F107" s="50"/>
      <c r="G107" s="62"/>
      <c r="H107" s="48" t="s">
        <v>72</v>
      </c>
      <c r="I107" s="52">
        <v>1</v>
      </c>
      <c r="J107" s="52"/>
      <c r="K107" s="52" t="s">
        <v>73</v>
      </c>
      <c r="L107" s="52" t="s">
        <v>74</v>
      </c>
      <c r="M107" s="53" t="s">
        <v>942</v>
      </c>
      <c r="N107" s="58" t="s">
        <v>73</v>
      </c>
      <c r="O107" s="48" t="s">
        <v>72</v>
      </c>
      <c r="P107" s="48" t="s">
        <v>73</v>
      </c>
      <c r="Q107" s="54" t="s">
        <v>73</v>
      </c>
      <c r="R107" s="55" t="s">
        <v>73</v>
      </c>
      <c r="S107" s="48" t="s">
        <v>73</v>
      </c>
      <c r="T107" s="130"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8" t="str" cm="1">
        <f t="array" ref="U107">IF(SUMPRODUCT(--((CAT_Procesos!$E$2:$E$1581=O107)*(CAT_Procesos!$F$2:$F$1581=_xlfn.TEXTJOIN(" + ",TRUE,IF((TRIM(P107:S107)="")+(LOWER(TRIM(P107:S107))="(seleccione)"),"",PROPER(TRIM(P107:S107)))))*(CAT_Procesos!$D$2:$D$1581=IFERROR(VLOOKUP(N107&amp;"*",CAT_Procesos!$D:$D,1,FALSE),""))))=0,"Combinación no existente",IF(SUMPRODUCT(((CAT_Procesos!$E$2:$E$1581=O107)*(CAT_Procesos!$F$2:$F$1581=_xlfn.TEXTJOIN(" + ",TRUE,IF((TRIM(P107:S107)="")+(LOWER(TRIM(P107:S107))="(seleccione)"),"",PROPER(TRIM(P107:S107)))))*(CAT_Procesos!$D$2:$D$1581=IFERROR(VLOOKUP(N107&amp;"*",CAT_Procesos!$D:$D,1,FALSE),"")))*(CAT_Procesos!$G$2:$G$1581=INDEX(CAT_Procesos!$G$2:$G$1581,MATCH(1,(CAT_Procesos!$E$2:$E$1581=O107)*(CAT_Procesos!$F$2:$F$1581=_xlfn.TEXTJOIN(" + ",TRUE,IF((TRIM(P107:S107)="")+(LOWER(TRIM(P107:S107))="(seleccione)"),"",PROPER(TRIM(P107:S107)))))*(CAT_Procesos!$D$2:$D$1581=IFERROR(VLOOKUP(N107&amp;"*",CAT_Procesos!$D:$D,1,FALSE),"")),0))))=SUMPRODUCT(--((CAT_Procesos!$E$2:$E$1581=O107)*(CAT_Procesos!$F$2:$F$1581=_xlfn.TEXTJOIN(" + ",TRUE,IF((TRIM(P107:S107)="")+(LOWER(TRIM(P107:S107))="(seleccione)"),"",PROPER(TRIM(P107:S107)))))*(CAT_Procesos!$D$2:$D$1581=IFERROR(VLOOKUP(N107&amp;"*",CAT_Procesos!$D:$D,1,FALSE),"")))),INDEX(CAT_Procesos!$G$2:$G$1581,MATCH(1,(CAT_Procesos!$E$2:$E$1581=O107)*(CAT_Procesos!$F$2:$F$1581=_xlfn.TEXTJOIN(" + ",TRUE,IF((TRIM(P107:S107)="")+(LOWER(TRIM(P107:S107))="(seleccione)"),"",PROPER(TRIM(P107:S107)))))*(CAT_Procesos!$D$2:$D$1581=IFERROR(VLOOKUP(N107&amp;"*",CAT_Procesos!$D:$D,1,FALSE),"")),0)),"(seleccione)"))</f>
        <v>Combinación no existente</v>
      </c>
      <c r="V107" s="55" t="s">
        <v>73</v>
      </c>
      <c r="W107" s="56" t="s">
        <v>73</v>
      </c>
      <c r="X107" s="57" t="str">
        <f t="shared" si="4"/>
        <v/>
      </c>
      <c r="Y107" s="58" t="s">
        <v>73</v>
      </c>
      <c r="Z107" s="57" t="str">
        <f t="shared" si="5"/>
        <v/>
      </c>
      <c r="AA107" s="58" t="s">
        <v>73</v>
      </c>
      <c r="AB107" s="57" t="str">
        <f t="shared" si="6"/>
        <v/>
      </c>
      <c r="AC107" s="58" t="s">
        <v>73</v>
      </c>
      <c r="AD107" s="57" t="str">
        <f t="shared" si="7"/>
        <v/>
      </c>
      <c r="AE107" s="59"/>
      <c r="AF107" s="59"/>
      <c r="AG107" s="59"/>
      <c r="AH107" s="59"/>
      <c r="AI107" s="59" t="s">
        <v>73</v>
      </c>
      <c r="AJ107" s="59"/>
      <c r="AK107" s="59" t="s">
        <v>73</v>
      </c>
      <c r="AL107" s="59"/>
      <c r="AM107" s="59" t="s">
        <v>73</v>
      </c>
      <c r="AN107" s="59"/>
      <c r="AO107" s="59" t="s">
        <v>73</v>
      </c>
      <c r="AP107" s="59"/>
      <c r="AQ107" s="59" t="s">
        <v>73</v>
      </c>
      <c r="AR107" s="59"/>
      <c r="AS107" s="59" t="s">
        <v>72</v>
      </c>
      <c r="AT107" s="59"/>
      <c r="AU107" s="59"/>
      <c r="AV107" s="59"/>
      <c r="AW107" s="59"/>
      <c r="AX107" s="59"/>
      <c r="AY107" s="60" t="str">
        <f>IF('Cálculo MP'!K117="","",'Cálculo MP'!K117)</f>
        <v/>
      </c>
      <c r="AZ107" s="60" t="str">
        <f>IF('Cálculo MP'!L117="","",'Cálculo MP'!L117)</f>
        <v/>
      </c>
      <c r="BA107" s="60" t="str">
        <f>IF('Cálculo MP'!M117="","",'Cálculo MP'!M117)</f>
        <v/>
      </c>
      <c r="BB107" s="60" t="str">
        <f>IF('Cálculo MP'!N117="","",'Cálculo MP'!N117)</f>
        <v/>
      </c>
      <c r="BC107" s="60" t="str">
        <f>IF('Cálculo MP'!O117="","",'Cálculo MP'!O117)</f>
        <v/>
      </c>
      <c r="BD107" s="60" t="str">
        <f>IF('Cálculo MP'!P117="","",'Cálculo MP'!P117)</f>
        <v/>
      </c>
      <c r="BE107" s="60" t="str">
        <f>IF('Cálculo MP'!Q117="","",'Cálculo MP'!Q117)</f>
        <v/>
      </c>
      <c r="BF107" s="60" t="str">
        <f>IF('Cálculo MP'!R117="","",'Cálculo MP'!R117)</f>
        <v/>
      </c>
      <c r="BG107" s="60" t="str">
        <f>IF('Cálculo MP'!S117="","",'Cálculo MP'!S117)</f>
        <v/>
      </c>
      <c r="BH107" s="59"/>
      <c r="BI107" s="59"/>
      <c r="BJ107" s="59"/>
      <c r="BK107" s="59"/>
      <c r="BL107" s="59"/>
      <c r="BM107" s="59"/>
      <c r="BN107" s="59"/>
      <c r="BO107" s="59"/>
    </row>
    <row r="108" spans="1:67" ht="19.5" customHeight="1" x14ac:dyDescent="0.15">
      <c r="A108" s="123" t="s">
        <v>1856</v>
      </c>
      <c r="B108" s="122" t="s">
        <v>1854</v>
      </c>
      <c r="C108" s="49"/>
      <c r="D108" s="48" t="s">
        <v>73</v>
      </c>
      <c r="E108" s="49"/>
      <c r="F108" s="50"/>
      <c r="G108" s="62"/>
      <c r="H108" s="48" t="s">
        <v>72</v>
      </c>
      <c r="I108" s="52">
        <v>1</v>
      </c>
      <c r="J108" s="52"/>
      <c r="K108" s="52" t="s">
        <v>73</v>
      </c>
      <c r="L108" s="52" t="s">
        <v>74</v>
      </c>
      <c r="M108" s="53" t="s">
        <v>942</v>
      </c>
      <c r="N108" s="58" t="s">
        <v>73</v>
      </c>
      <c r="O108" s="48" t="s">
        <v>72</v>
      </c>
      <c r="P108" s="48" t="s">
        <v>73</v>
      </c>
      <c r="Q108" s="54" t="s">
        <v>73</v>
      </c>
      <c r="R108" s="55" t="s">
        <v>73</v>
      </c>
      <c r="S108" s="48" t="s">
        <v>73</v>
      </c>
      <c r="T108" s="130"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8" t="str" cm="1">
        <f t="array" ref="U108">IF(SUMPRODUCT(--((CAT_Procesos!$E$2:$E$1581=O108)*(CAT_Procesos!$F$2:$F$1581=_xlfn.TEXTJOIN(" + ",TRUE,IF((TRIM(P108:S108)="")+(LOWER(TRIM(P108:S108))="(seleccione)"),"",PROPER(TRIM(P108:S108)))))*(CAT_Procesos!$D$2:$D$1581=IFERROR(VLOOKUP(N108&amp;"*",CAT_Procesos!$D:$D,1,FALSE),""))))=0,"Combinación no existente",IF(SUMPRODUCT(((CAT_Procesos!$E$2:$E$1581=O108)*(CAT_Procesos!$F$2:$F$1581=_xlfn.TEXTJOIN(" + ",TRUE,IF((TRIM(P108:S108)="")+(LOWER(TRIM(P108:S108))="(seleccione)"),"",PROPER(TRIM(P108:S108)))))*(CAT_Procesos!$D$2:$D$1581=IFERROR(VLOOKUP(N108&amp;"*",CAT_Procesos!$D:$D,1,FALSE),"")))*(CAT_Procesos!$G$2:$G$1581=INDEX(CAT_Procesos!$G$2:$G$1581,MATCH(1,(CAT_Procesos!$E$2:$E$1581=O108)*(CAT_Procesos!$F$2:$F$1581=_xlfn.TEXTJOIN(" + ",TRUE,IF((TRIM(P108:S108)="")+(LOWER(TRIM(P108:S108))="(seleccione)"),"",PROPER(TRIM(P108:S108)))))*(CAT_Procesos!$D$2:$D$1581=IFERROR(VLOOKUP(N108&amp;"*",CAT_Procesos!$D:$D,1,FALSE),"")),0))))=SUMPRODUCT(--((CAT_Procesos!$E$2:$E$1581=O108)*(CAT_Procesos!$F$2:$F$1581=_xlfn.TEXTJOIN(" + ",TRUE,IF((TRIM(P108:S108)="")+(LOWER(TRIM(P108:S108))="(seleccione)"),"",PROPER(TRIM(P108:S108)))))*(CAT_Procesos!$D$2:$D$1581=IFERROR(VLOOKUP(N108&amp;"*",CAT_Procesos!$D:$D,1,FALSE),"")))),INDEX(CAT_Procesos!$G$2:$G$1581,MATCH(1,(CAT_Procesos!$E$2:$E$1581=O108)*(CAT_Procesos!$F$2:$F$1581=_xlfn.TEXTJOIN(" + ",TRUE,IF((TRIM(P108:S108)="")+(LOWER(TRIM(P108:S108))="(seleccione)"),"",PROPER(TRIM(P108:S108)))))*(CAT_Procesos!$D$2:$D$1581=IFERROR(VLOOKUP(N108&amp;"*",CAT_Procesos!$D:$D,1,FALSE),"")),0)),"(seleccione)"))</f>
        <v>Combinación no existente</v>
      </c>
      <c r="V108" s="55" t="s">
        <v>73</v>
      </c>
      <c r="W108" s="56" t="s">
        <v>73</v>
      </c>
      <c r="X108" s="57" t="str">
        <f t="shared" si="4"/>
        <v/>
      </c>
      <c r="Y108" s="58" t="s">
        <v>73</v>
      </c>
      <c r="Z108" s="57" t="str">
        <f t="shared" si="5"/>
        <v/>
      </c>
      <c r="AA108" s="58" t="s">
        <v>73</v>
      </c>
      <c r="AB108" s="57" t="str">
        <f t="shared" si="6"/>
        <v/>
      </c>
      <c r="AC108" s="58" t="s">
        <v>73</v>
      </c>
      <c r="AD108" s="57" t="str">
        <f t="shared" si="7"/>
        <v/>
      </c>
      <c r="AE108" s="59"/>
      <c r="AF108" s="59"/>
      <c r="AG108" s="59"/>
      <c r="AH108" s="59"/>
      <c r="AI108" s="59" t="s">
        <v>73</v>
      </c>
      <c r="AJ108" s="59"/>
      <c r="AK108" s="59" t="s">
        <v>73</v>
      </c>
      <c r="AL108" s="59"/>
      <c r="AM108" s="59" t="s">
        <v>73</v>
      </c>
      <c r="AN108" s="59"/>
      <c r="AO108" s="59" t="s">
        <v>73</v>
      </c>
      <c r="AP108" s="59"/>
      <c r="AQ108" s="59" t="s">
        <v>73</v>
      </c>
      <c r="AR108" s="59"/>
      <c r="AS108" s="59" t="s">
        <v>72</v>
      </c>
      <c r="AT108" s="59"/>
      <c r="AU108" s="59"/>
      <c r="AV108" s="59"/>
      <c r="AW108" s="59"/>
      <c r="AX108" s="59"/>
      <c r="AY108" s="60" t="str">
        <f>IF('Cálculo MP'!K118="","",'Cálculo MP'!K118)</f>
        <v/>
      </c>
      <c r="AZ108" s="60" t="str">
        <f>IF('Cálculo MP'!L118="","",'Cálculo MP'!L118)</f>
        <v/>
      </c>
      <c r="BA108" s="60" t="str">
        <f>IF('Cálculo MP'!M118="","",'Cálculo MP'!M118)</f>
        <v/>
      </c>
      <c r="BB108" s="60" t="str">
        <f>IF('Cálculo MP'!N118="","",'Cálculo MP'!N118)</f>
        <v/>
      </c>
      <c r="BC108" s="60" t="str">
        <f>IF('Cálculo MP'!O118="","",'Cálculo MP'!O118)</f>
        <v/>
      </c>
      <c r="BD108" s="60" t="str">
        <f>IF('Cálculo MP'!P118="","",'Cálculo MP'!P118)</f>
        <v/>
      </c>
      <c r="BE108" s="60" t="str">
        <f>IF('Cálculo MP'!Q118="","",'Cálculo MP'!Q118)</f>
        <v/>
      </c>
      <c r="BF108" s="60" t="str">
        <f>IF('Cálculo MP'!R118="","",'Cálculo MP'!R118)</f>
        <v/>
      </c>
      <c r="BG108" s="60" t="str">
        <f>IF('Cálculo MP'!S118="","",'Cálculo MP'!S118)</f>
        <v/>
      </c>
      <c r="BH108" s="59"/>
      <c r="BI108" s="59"/>
      <c r="BJ108" s="59"/>
      <c r="BK108" s="59"/>
      <c r="BL108" s="59"/>
      <c r="BM108" s="59"/>
      <c r="BN108" s="59"/>
      <c r="BO108" s="59"/>
    </row>
    <row r="109" spans="1:67" ht="19.5" customHeight="1" x14ac:dyDescent="0.15">
      <c r="A109" s="123" t="s">
        <v>1856</v>
      </c>
      <c r="B109" s="122" t="s">
        <v>1854</v>
      </c>
      <c r="C109" s="49"/>
      <c r="D109" s="48" t="s">
        <v>73</v>
      </c>
      <c r="E109" s="49"/>
      <c r="F109" s="50"/>
      <c r="G109" s="62"/>
      <c r="H109" s="48" t="s">
        <v>72</v>
      </c>
      <c r="I109" s="52">
        <v>1</v>
      </c>
      <c r="J109" s="52"/>
      <c r="K109" s="52" t="s">
        <v>73</v>
      </c>
      <c r="L109" s="52" t="s">
        <v>74</v>
      </c>
      <c r="M109" s="53" t="s">
        <v>942</v>
      </c>
      <c r="N109" s="58" t="s">
        <v>73</v>
      </c>
      <c r="O109" s="48" t="s">
        <v>72</v>
      </c>
      <c r="P109" s="48" t="s">
        <v>73</v>
      </c>
      <c r="Q109" s="54" t="s">
        <v>73</v>
      </c>
      <c r="R109" s="55" t="s">
        <v>73</v>
      </c>
      <c r="S109" s="48" t="s">
        <v>73</v>
      </c>
      <c r="T109" s="130"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8" t="str" cm="1">
        <f t="array" ref="U109">IF(SUMPRODUCT(--((CAT_Procesos!$E$2:$E$1581=O109)*(CAT_Procesos!$F$2:$F$1581=_xlfn.TEXTJOIN(" + ",TRUE,IF((TRIM(P109:S109)="")+(LOWER(TRIM(P109:S109))="(seleccione)"),"",PROPER(TRIM(P109:S109)))))*(CAT_Procesos!$D$2:$D$1581=IFERROR(VLOOKUP(N109&amp;"*",CAT_Procesos!$D:$D,1,FALSE),""))))=0,"Combinación no existente",IF(SUMPRODUCT(((CAT_Procesos!$E$2:$E$1581=O109)*(CAT_Procesos!$F$2:$F$1581=_xlfn.TEXTJOIN(" + ",TRUE,IF((TRIM(P109:S109)="")+(LOWER(TRIM(P109:S109))="(seleccione)"),"",PROPER(TRIM(P109:S109)))))*(CAT_Procesos!$D$2:$D$1581=IFERROR(VLOOKUP(N109&amp;"*",CAT_Procesos!$D:$D,1,FALSE),"")))*(CAT_Procesos!$G$2:$G$1581=INDEX(CAT_Procesos!$G$2:$G$1581,MATCH(1,(CAT_Procesos!$E$2:$E$1581=O109)*(CAT_Procesos!$F$2:$F$1581=_xlfn.TEXTJOIN(" + ",TRUE,IF((TRIM(P109:S109)="")+(LOWER(TRIM(P109:S109))="(seleccione)"),"",PROPER(TRIM(P109:S109)))))*(CAT_Procesos!$D$2:$D$1581=IFERROR(VLOOKUP(N109&amp;"*",CAT_Procesos!$D:$D,1,FALSE),"")),0))))=SUMPRODUCT(--((CAT_Procesos!$E$2:$E$1581=O109)*(CAT_Procesos!$F$2:$F$1581=_xlfn.TEXTJOIN(" + ",TRUE,IF((TRIM(P109:S109)="")+(LOWER(TRIM(P109:S109))="(seleccione)"),"",PROPER(TRIM(P109:S109)))))*(CAT_Procesos!$D$2:$D$1581=IFERROR(VLOOKUP(N109&amp;"*",CAT_Procesos!$D:$D,1,FALSE),"")))),INDEX(CAT_Procesos!$G$2:$G$1581,MATCH(1,(CAT_Procesos!$E$2:$E$1581=O109)*(CAT_Procesos!$F$2:$F$1581=_xlfn.TEXTJOIN(" + ",TRUE,IF((TRIM(P109:S109)="")+(LOWER(TRIM(P109:S109))="(seleccione)"),"",PROPER(TRIM(P109:S109)))))*(CAT_Procesos!$D$2:$D$1581=IFERROR(VLOOKUP(N109&amp;"*",CAT_Procesos!$D:$D,1,FALSE),"")),0)),"(seleccione)"))</f>
        <v>Combinación no existente</v>
      </c>
      <c r="V109" s="55" t="s">
        <v>73</v>
      </c>
      <c r="W109" s="56" t="s">
        <v>73</v>
      </c>
      <c r="X109" s="57" t="str">
        <f t="shared" si="4"/>
        <v/>
      </c>
      <c r="Y109" s="58" t="s">
        <v>73</v>
      </c>
      <c r="Z109" s="57" t="str">
        <f t="shared" si="5"/>
        <v/>
      </c>
      <c r="AA109" s="58" t="s">
        <v>73</v>
      </c>
      <c r="AB109" s="57" t="str">
        <f t="shared" si="6"/>
        <v/>
      </c>
      <c r="AC109" s="58" t="s">
        <v>73</v>
      </c>
      <c r="AD109" s="57" t="str">
        <f t="shared" si="7"/>
        <v/>
      </c>
      <c r="AE109" s="59"/>
      <c r="AF109" s="59"/>
      <c r="AG109" s="59"/>
      <c r="AH109" s="59"/>
      <c r="AI109" s="59" t="s">
        <v>73</v>
      </c>
      <c r="AJ109" s="59"/>
      <c r="AK109" s="59" t="s">
        <v>73</v>
      </c>
      <c r="AL109" s="59"/>
      <c r="AM109" s="59" t="s">
        <v>73</v>
      </c>
      <c r="AN109" s="59"/>
      <c r="AO109" s="59" t="s">
        <v>73</v>
      </c>
      <c r="AP109" s="59"/>
      <c r="AQ109" s="59" t="s">
        <v>73</v>
      </c>
      <c r="AR109" s="59"/>
      <c r="AS109" s="59" t="s">
        <v>72</v>
      </c>
      <c r="AT109" s="59"/>
      <c r="AU109" s="59"/>
      <c r="AV109" s="59"/>
      <c r="AW109" s="59"/>
      <c r="AX109" s="59"/>
      <c r="AY109" s="60" t="str">
        <f>IF('Cálculo MP'!K119="","",'Cálculo MP'!K119)</f>
        <v/>
      </c>
      <c r="AZ109" s="60" t="str">
        <f>IF('Cálculo MP'!L119="","",'Cálculo MP'!L119)</f>
        <v/>
      </c>
      <c r="BA109" s="60" t="str">
        <f>IF('Cálculo MP'!M119="","",'Cálculo MP'!M119)</f>
        <v/>
      </c>
      <c r="BB109" s="60" t="str">
        <f>IF('Cálculo MP'!N119="","",'Cálculo MP'!N119)</f>
        <v/>
      </c>
      <c r="BC109" s="60" t="str">
        <f>IF('Cálculo MP'!O119="","",'Cálculo MP'!O119)</f>
        <v/>
      </c>
      <c r="BD109" s="60" t="str">
        <f>IF('Cálculo MP'!P119="","",'Cálculo MP'!P119)</f>
        <v/>
      </c>
      <c r="BE109" s="60" t="str">
        <f>IF('Cálculo MP'!Q119="","",'Cálculo MP'!Q119)</f>
        <v/>
      </c>
      <c r="BF109" s="60" t="str">
        <f>IF('Cálculo MP'!R119="","",'Cálculo MP'!R119)</f>
        <v/>
      </c>
      <c r="BG109" s="60" t="str">
        <f>IF('Cálculo MP'!S119="","",'Cálculo MP'!S119)</f>
        <v/>
      </c>
      <c r="BH109" s="59"/>
      <c r="BI109" s="59"/>
      <c r="BJ109" s="59"/>
      <c r="BK109" s="59"/>
      <c r="BL109" s="59"/>
      <c r="BM109" s="59"/>
      <c r="BN109" s="59"/>
      <c r="BO109" s="59"/>
    </row>
    <row r="110" spans="1:67" ht="19.5" customHeight="1" x14ac:dyDescent="0.15">
      <c r="A110" s="123" t="s">
        <v>1856</v>
      </c>
      <c r="B110" s="122" t="s">
        <v>1854</v>
      </c>
      <c r="C110" s="49"/>
      <c r="D110" s="48" t="s">
        <v>73</v>
      </c>
      <c r="E110" s="49"/>
      <c r="F110" s="50"/>
      <c r="G110" s="62"/>
      <c r="H110" s="48" t="s">
        <v>72</v>
      </c>
      <c r="I110" s="52">
        <v>1</v>
      </c>
      <c r="J110" s="52"/>
      <c r="K110" s="52" t="s">
        <v>73</v>
      </c>
      <c r="L110" s="52" t="s">
        <v>74</v>
      </c>
      <c r="M110" s="53" t="s">
        <v>942</v>
      </c>
      <c r="N110" s="58" t="s">
        <v>73</v>
      </c>
      <c r="O110" s="48" t="s">
        <v>72</v>
      </c>
      <c r="P110" s="48" t="s">
        <v>73</v>
      </c>
      <c r="Q110" s="54" t="s">
        <v>73</v>
      </c>
      <c r="R110" s="55" t="s">
        <v>73</v>
      </c>
      <c r="S110" s="48" t="s">
        <v>73</v>
      </c>
      <c r="T110" s="130"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8" t="str" cm="1">
        <f t="array" ref="U110">IF(SUMPRODUCT(--((CAT_Procesos!$E$2:$E$1581=O110)*(CAT_Procesos!$F$2:$F$1581=_xlfn.TEXTJOIN(" + ",TRUE,IF((TRIM(P110:S110)="")+(LOWER(TRIM(P110:S110))="(seleccione)"),"",PROPER(TRIM(P110:S110)))))*(CAT_Procesos!$D$2:$D$1581=IFERROR(VLOOKUP(N110&amp;"*",CAT_Procesos!$D:$D,1,FALSE),""))))=0,"Combinación no existente",IF(SUMPRODUCT(((CAT_Procesos!$E$2:$E$1581=O110)*(CAT_Procesos!$F$2:$F$1581=_xlfn.TEXTJOIN(" + ",TRUE,IF((TRIM(P110:S110)="")+(LOWER(TRIM(P110:S110))="(seleccione)"),"",PROPER(TRIM(P110:S110)))))*(CAT_Procesos!$D$2:$D$1581=IFERROR(VLOOKUP(N110&amp;"*",CAT_Procesos!$D:$D,1,FALSE),"")))*(CAT_Procesos!$G$2:$G$1581=INDEX(CAT_Procesos!$G$2:$G$1581,MATCH(1,(CAT_Procesos!$E$2:$E$1581=O110)*(CAT_Procesos!$F$2:$F$1581=_xlfn.TEXTJOIN(" + ",TRUE,IF((TRIM(P110:S110)="")+(LOWER(TRIM(P110:S110))="(seleccione)"),"",PROPER(TRIM(P110:S110)))))*(CAT_Procesos!$D$2:$D$1581=IFERROR(VLOOKUP(N110&amp;"*",CAT_Procesos!$D:$D,1,FALSE),"")),0))))=SUMPRODUCT(--((CAT_Procesos!$E$2:$E$1581=O110)*(CAT_Procesos!$F$2:$F$1581=_xlfn.TEXTJOIN(" + ",TRUE,IF((TRIM(P110:S110)="")+(LOWER(TRIM(P110:S110))="(seleccione)"),"",PROPER(TRIM(P110:S110)))))*(CAT_Procesos!$D$2:$D$1581=IFERROR(VLOOKUP(N110&amp;"*",CAT_Procesos!$D:$D,1,FALSE),"")))),INDEX(CAT_Procesos!$G$2:$G$1581,MATCH(1,(CAT_Procesos!$E$2:$E$1581=O110)*(CAT_Procesos!$F$2:$F$1581=_xlfn.TEXTJOIN(" + ",TRUE,IF((TRIM(P110:S110)="")+(LOWER(TRIM(P110:S110))="(seleccione)"),"",PROPER(TRIM(P110:S110)))))*(CAT_Procesos!$D$2:$D$1581=IFERROR(VLOOKUP(N110&amp;"*",CAT_Procesos!$D:$D,1,FALSE),"")),0)),"(seleccione)"))</f>
        <v>Combinación no existente</v>
      </c>
      <c r="V110" s="55" t="s">
        <v>73</v>
      </c>
      <c r="W110" s="56" t="s">
        <v>73</v>
      </c>
      <c r="X110" s="57" t="str">
        <f t="shared" si="4"/>
        <v/>
      </c>
      <c r="Y110" s="58" t="s">
        <v>73</v>
      </c>
      <c r="Z110" s="57" t="str">
        <f t="shared" si="5"/>
        <v/>
      </c>
      <c r="AA110" s="58" t="s">
        <v>73</v>
      </c>
      <c r="AB110" s="57" t="str">
        <f t="shared" si="6"/>
        <v/>
      </c>
      <c r="AC110" s="58" t="s">
        <v>73</v>
      </c>
      <c r="AD110" s="57" t="str">
        <f t="shared" si="7"/>
        <v/>
      </c>
      <c r="AE110" s="59"/>
      <c r="AF110" s="59"/>
      <c r="AG110" s="59"/>
      <c r="AH110" s="59"/>
      <c r="AI110" s="59" t="s">
        <v>73</v>
      </c>
      <c r="AJ110" s="59"/>
      <c r="AK110" s="59" t="s">
        <v>73</v>
      </c>
      <c r="AL110" s="59"/>
      <c r="AM110" s="59" t="s">
        <v>73</v>
      </c>
      <c r="AN110" s="59"/>
      <c r="AO110" s="59" t="s">
        <v>73</v>
      </c>
      <c r="AP110" s="59"/>
      <c r="AQ110" s="59" t="s">
        <v>73</v>
      </c>
      <c r="AR110" s="59"/>
      <c r="AS110" s="59" t="s">
        <v>72</v>
      </c>
      <c r="AT110" s="59"/>
      <c r="AU110" s="59"/>
      <c r="AV110" s="59"/>
      <c r="AW110" s="59"/>
      <c r="AX110" s="59"/>
      <c r="AY110" s="60" t="str">
        <f>IF('Cálculo MP'!K120="","",'Cálculo MP'!K120)</f>
        <v/>
      </c>
      <c r="AZ110" s="60" t="str">
        <f>IF('Cálculo MP'!L120="","",'Cálculo MP'!L120)</f>
        <v/>
      </c>
      <c r="BA110" s="60" t="str">
        <f>IF('Cálculo MP'!M120="","",'Cálculo MP'!M120)</f>
        <v/>
      </c>
      <c r="BB110" s="60" t="str">
        <f>IF('Cálculo MP'!N120="","",'Cálculo MP'!N120)</f>
        <v/>
      </c>
      <c r="BC110" s="60" t="str">
        <f>IF('Cálculo MP'!O120="","",'Cálculo MP'!O120)</f>
        <v/>
      </c>
      <c r="BD110" s="60" t="str">
        <f>IF('Cálculo MP'!P120="","",'Cálculo MP'!P120)</f>
        <v/>
      </c>
      <c r="BE110" s="60" t="str">
        <f>IF('Cálculo MP'!Q120="","",'Cálculo MP'!Q120)</f>
        <v/>
      </c>
      <c r="BF110" s="60" t="str">
        <f>IF('Cálculo MP'!R120="","",'Cálculo MP'!R120)</f>
        <v/>
      </c>
      <c r="BG110" s="60" t="str">
        <f>IF('Cálculo MP'!S120="","",'Cálculo MP'!S120)</f>
        <v/>
      </c>
      <c r="BH110" s="59"/>
      <c r="BI110" s="59"/>
      <c r="BJ110" s="59"/>
      <c r="BK110" s="59"/>
      <c r="BL110" s="59"/>
      <c r="BM110" s="59"/>
      <c r="BN110" s="59"/>
      <c r="BO110" s="59"/>
    </row>
    <row r="111" spans="1:67" ht="19.5" customHeight="1" x14ac:dyDescent="0.15">
      <c r="A111" s="123" t="s">
        <v>1856</v>
      </c>
      <c r="B111" s="122" t="s">
        <v>1854</v>
      </c>
      <c r="C111" s="49"/>
      <c r="D111" s="48" t="s">
        <v>73</v>
      </c>
      <c r="E111" s="49"/>
      <c r="F111" s="50"/>
      <c r="G111" s="62"/>
      <c r="H111" s="48" t="s">
        <v>72</v>
      </c>
      <c r="I111" s="52">
        <v>1</v>
      </c>
      <c r="J111" s="52"/>
      <c r="K111" s="52" t="s">
        <v>73</v>
      </c>
      <c r="L111" s="52" t="s">
        <v>74</v>
      </c>
      <c r="M111" s="53" t="s">
        <v>942</v>
      </c>
      <c r="N111" s="58" t="s">
        <v>73</v>
      </c>
      <c r="O111" s="48" t="s">
        <v>72</v>
      </c>
      <c r="P111" s="48" t="s">
        <v>73</v>
      </c>
      <c r="Q111" s="54" t="s">
        <v>73</v>
      </c>
      <c r="R111" s="55" t="s">
        <v>73</v>
      </c>
      <c r="S111" s="48" t="s">
        <v>73</v>
      </c>
      <c r="T111" s="130"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8" t="str" cm="1">
        <f t="array" ref="U111">IF(SUMPRODUCT(--((CAT_Procesos!$E$2:$E$1581=O111)*(CAT_Procesos!$F$2:$F$1581=_xlfn.TEXTJOIN(" + ",TRUE,IF((TRIM(P111:S111)="")+(LOWER(TRIM(P111:S111))="(seleccione)"),"",PROPER(TRIM(P111:S111)))))*(CAT_Procesos!$D$2:$D$1581=IFERROR(VLOOKUP(N111&amp;"*",CAT_Procesos!$D:$D,1,FALSE),""))))=0,"Combinación no existente",IF(SUMPRODUCT(((CAT_Procesos!$E$2:$E$1581=O111)*(CAT_Procesos!$F$2:$F$1581=_xlfn.TEXTJOIN(" + ",TRUE,IF((TRIM(P111:S111)="")+(LOWER(TRIM(P111:S111))="(seleccione)"),"",PROPER(TRIM(P111:S111)))))*(CAT_Procesos!$D$2:$D$1581=IFERROR(VLOOKUP(N111&amp;"*",CAT_Procesos!$D:$D,1,FALSE),"")))*(CAT_Procesos!$G$2:$G$1581=INDEX(CAT_Procesos!$G$2:$G$1581,MATCH(1,(CAT_Procesos!$E$2:$E$1581=O111)*(CAT_Procesos!$F$2:$F$1581=_xlfn.TEXTJOIN(" + ",TRUE,IF((TRIM(P111:S111)="")+(LOWER(TRIM(P111:S111))="(seleccione)"),"",PROPER(TRIM(P111:S111)))))*(CAT_Procesos!$D$2:$D$1581=IFERROR(VLOOKUP(N111&amp;"*",CAT_Procesos!$D:$D,1,FALSE),"")),0))))=SUMPRODUCT(--((CAT_Procesos!$E$2:$E$1581=O111)*(CAT_Procesos!$F$2:$F$1581=_xlfn.TEXTJOIN(" + ",TRUE,IF((TRIM(P111:S111)="")+(LOWER(TRIM(P111:S111))="(seleccione)"),"",PROPER(TRIM(P111:S111)))))*(CAT_Procesos!$D$2:$D$1581=IFERROR(VLOOKUP(N111&amp;"*",CAT_Procesos!$D:$D,1,FALSE),"")))),INDEX(CAT_Procesos!$G$2:$G$1581,MATCH(1,(CAT_Procesos!$E$2:$E$1581=O111)*(CAT_Procesos!$F$2:$F$1581=_xlfn.TEXTJOIN(" + ",TRUE,IF((TRIM(P111:S111)="")+(LOWER(TRIM(P111:S111))="(seleccione)"),"",PROPER(TRIM(P111:S111)))))*(CAT_Procesos!$D$2:$D$1581=IFERROR(VLOOKUP(N111&amp;"*",CAT_Procesos!$D:$D,1,FALSE),"")),0)),"(seleccione)"))</f>
        <v>Combinación no existente</v>
      </c>
      <c r="V111" s="55" t="s">
        <v>73</v>
      </c>
      <c r="W111" s="56" t="s">
        <v>73</v>
      </c>
      <c r="X111" s="57" t="str">
        <f t="shared" si="4"/>
        <v/>
      </c>
      <c r="Y111" s="58" t="s">
        <v>73</v>
      </c>
      <c r="Z111" s="57" t="str">
        <f t="shared" si="5"/>
        <v/>
      </c>
      <c r="AA111" s="58" t="s">
        <v>73</v>
      </c>
      <c r="AB111" s="57" t="str">
        <f t="shared" si="6"/>
        <v/>
      </c>
      <c r="AC111" s="58" t="s">
        <v>73</v>
      </c>
      <c r="AD111" s="57" t="str">
        <f t="shared" si="7"/>
        <v/>
      </c>
      <c r="AE111" s="59"/>
      <c r="AF111" s="59"/>
      <c r="AG111" s="59"/>
      <c r="AH111" s="59"/>
      <c r="AI111" s="59" t="s">
        <v>73</v>
      </c>
      <c r="AJ111" s="59"/>
      <c r="AK111" s="59" t="s">
        <v>73</v>
      </c>
      <c r="AL111" s="59"/>
      <c r="AM111" s="59" t="s">
        <v>73</v>
      </c>
      <c r="AN111" s="59"/>
      <c r="AO111" s="59" t="s">
        <v>73</v>
      </c>
      <c r="AP111" s="59"/>
      <c r="AQ111" s="59" t="s">
        <v>73</v>
      </c>
      <c r="AR111" s="59"/>
      <c r="AS111" s="59" t="s">
        <v>72</v>
      </c>
      <c r="AT111" s="59"/>
      <c r="AU111" s="59"/>
      <c r="AV111" s="59"/>
      <c r="AW111" s="59"/>
      <c r="AX111" s="59"/>
      <c r="AY111" s="60" t="str">
        <f>IF('Cálculo MP'!K121="","",'Cálculo MP'!K121)</f>
        <v/>
      </c>
      <c r="AZ111" s="60" t="str">
        <f>IF('Cálculo MP'!L121="","",'Cálculo MP'!L121)</f>
        <v/>
      </c>
      <c r="BA111" s="60" t="str">
        <f>IF('Cálculo MP'!M121="","",'Cálculo MP'!M121)</f>
        <v/>
      </c>
      <c r="BB111" s="60" t="str">
        <f>IF('Cálculo MP'!N121="","",'Cálculo MP'!N121)</f>
        <v/>
      </c>
      <c r="BC111" s="60" t="str">
        <f>IF('Cálculo MP'!O121="","",'Cálculo MP'!O121)</f>
        <v/>
      </c>
      <c r="BD111" s="60" t="str">
        <f>IF('Cálculo MP'!P121="","",'Cálculo MP'!P121)</f>
        <v/>
      </c>
      <c r="BE111" s="60" t="str">
        <f>IF('Cálculo MP'!Q121="","",'Cálculo MP'!Q121)</f>
        <v/>
      </c>
      <c r="BF111" s="60" t="str">
        <f>IF('Cálculo MP'!R121="","",'Cálculo MP'!R121)</f>
        <v/>
      </c>
      <c r="BG111" s="60" t="str">
        <f>IF('Cálculo MP'!S121="","",'Cálculo MP'!S121)</f>
        <v/>
      </c>
      <c r="BH111" s="59"/>
      <c r="BI111" s="59"/>
      <c r="BJ111" s="59"/>
      <c r="BK111" s="59"/>
      <c r="BL111" s="59"/>
      <c r="BM111" s="59"/>
      <c r="BN111" s="59"/>
      <c r="BO111" s="59"/>
    </row>
    <row r="112" spans="1:67" ht="19.5" customHeight="1" x14ac:dyDescent="0.15">
      <c r="A112" s="123" t="s">
        <v>1856</v>
      </c>
      <c r="B112" s="122" t="s">
        <v>1854</v>
      </c>
      <c r="C112" s="49"/>
      <c r="D112" s="48" t="s">
        <v>73</v>
      </c>
      <c r="E112" s="49"/>
      <c r="F112" s="50"/>
      <c r="G112" s="62"/>
      <c r="H112" s="48" t="s">
        <v>72</v>
      </c>
      <c r="I112" s="52">
        <v>1</v>
      </c>
      <c r="J112" s="52"/>
      <c r="K112" s="52" t="s">
        <v>73</v>
      </c>
      <c r="L112" s="52" t="s">
        <v>74</v>
      </c>
      <c r="M112" s="53" t="s">
        <v>942</v>
      </c>
      <c r="N112" s="58" t="s">
        <v>73</v>
      </c>
      <c r="O112" s="48" t="s">
        <v>72</v>
      </c>
      <c r="P112" s="48" t="s">
        <v>73</v>
      </c>
      <c r="Q112" s="54" t="s">
        <v>73</v>
      </c>
      <c r="R112" s="55" t="s">
        <v>73</v>
      </c>
      <c r="S112" s="48" t="s">
        <v>73</v>
      </c>
      <c r="T112" s="130"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8" t="str" cm="1">
        <f t="array" ref="U112">IF(SUMPRODUCT(--((CAT_Procesos!$E$2:$E$1581=O112)*(CAT_Procesos!$F$2:$F$1581=_xlfn.TEXTJOIN(" + ",TRUE,IF((TRIM(P112:S112)="")+(LOWER(TRIM(P112:S112))="(seleccione)"),"",PROPER(TRIM(P112:S112)))))*(CAT_Procesos!$D$2:$D$1581=IFERROR(VLOOKUP(N112&amp;"*",CAT_Procesos!$D:$D,1,FALSE),""))))=0,"Combinación no existente",IF(SUMPRODUCT(((CAT_Procesos!$E$2:$E$1581=O112)*(CAT_Procesos!$F$2:$F$1581=_xlfn.TEXTJOIN(" + ",TRUE,IF((TRIM(P112:S112)="")+(LOWER(TRIM(P112:S112))="(seleccione)"),"",PROPER(TRIM(P112:S112)))))*(CAT_Procesos!$D$2:$D$1581=IFERROR(VLOOKUP(N112&amp;"*",CAT_Procesos!$D:$D,1,FALSE),"")))*(CAT_Procesos!$G$2:$G$1581=INDEX(CAT_Procesos!$G$2:$G$1581,MATCH(1,(CAT_Procesos!$E$2:$E$1581=O112)*(CAT_Procesos!$F$2:$F$1581=_xlfn.TEXTJOIN(" + ",TRUE,IF((TRIM(P112:S112)="")+(LOWER(TRIM(P112:S112))="(seleccione)"),"",PROPER(TRIM(P112:S112)))))*(CAT_Procesos!$D$2:$D$1581=IFERROR(VLOOKUP(N112&amp;"*",CAT_Procesos!$D:$D,1,FALSE),"")),0))))=SUMPRODUCT(--((CAT_Procesos!$E$2:$E$1581=O112)*(CAT_Procesos!$F$2:$F$1581=_xlfn.TEXTJOIN(" + ",TRUE,IF((TRIM(P112:S112)="")+(LOWER(TRIM(P112:S112))="(seleccione)"),"",PROPER(TRIM(P112:S112)))))*(CAT_Procesos!$D$2:$D$1581=IFERROR(VLOOKUP(N112&amp;"*",CAT_Procesos!$D:$D,1,FALSE),"")))),INDEX(CAT_Procesos!$G$2:$G$1581,MATCH(1,(CAT_Procesos!$E$2:$E$1581=O112)*(CAT_Procesos!$F$2:$F$1581=_xlfn.TEXTJOIN(" + ",TRUE,IF((TRIM(P112:S112)="")+(LOWER(TRIM(P112:S112))="(seleccione)"),"",PROPER(TRIM(P112:S112)))))*(CAT_Procesos!$D$2:$D$1581=IFERROR(VLOOKUP(N112&amp;"*",CAT_Procesos!$D:$D,1,FALSE),"")),0)),"(seleccione)"))</f>
        <v>Combinación no existente</v>
      </c>
      <c r="V112" s="55" t="s">
        <v>73</v>
      </c>
      <c r="W112" s="56" t="s">
        <v>73</v>
      </c>
      <c r="X112" s="57" t="str">
        <f t="shared" si="4"/>
        <v/>
      </c>
      <c r="Y112" s="58" t="s">
        <v>73</v>
      </c>
      <c r="Z112" s="57" t="str">
        <f t="shared" si="5"/>
        <v/>
      </c>
      <c r="AA112" s="58" t="s">
        <v>73</v>
      </c>
      <c r="AB112" s="57" t="str">
        <f t="shared" si="6"/>
        <v/>
      </c>
      <c r="AC112" s="58" t="s">
        <v>73</v>
      </c>
      <c r="AD112" s="57" t="str">
        <f t="shared" si="7"/>
        <v/>
      </c>
      <c r="AE112" s="59"/>
      <c r="AF112" s="59"/>
      <c r="AG112" s="59"/>
      <c r="AH112" s="59"/>
      <c r="AI112" s="59" t="s">
        <v>73</v>
      </c>
      <c r="AJ112" s="59"/>
      <c r="AK112" s="59" t="s">
        <v>73</v>
      </c>
      <c r="AL112" s="59"/>
      <c r="AM112" s="59" t="s">
        <v>73</v>
      </c>
      <c r="AN112" s="59"/>
      <c r="AO112" s="59" t="s">
        <v>73</v>
      </c>
      <c r="AP112" s="59"/>
      <c r="AQ112" s="59" t="s">
        <v>73</v>
      </c>
      <c r="AR112" s="59"/>
      <c r="AS112" s="59" t="s">
        <v>72</v>
      </c>
      <c r="AT112" s="59"/>
      <c r="AU112" s="59"/>
      <c r="AV112" s="59"/>
      <c r="AW112" s="59"/>
      <c r="AX112" s="59"/>
      <c r="AY112" s="60" t="str">
        <f>IF('Cálculo MP'!K122="","",'Cálculo MP'!K122)</f>
        <v/>
      </c>
      <c r="AZ112" s="60" t="str">
        <f>IF('Cálculo MP'!L122="","",'Cálculo MP'!L122)</f>
        <v/>
      </c>
      <c r="BA112" s="60" t="str">
        <f>IF('Cálculo MP'!M122="","",'Cálculo MP'!M122)</f>
        <v/>
      </c>
      <c r="BB112" s="60" t="str">
        <f>IF('Cálculo MP'!N122="","",'Cálculo MP'!N122)</f>
        <v/>
      </c>
      <c r="BC112" s="60" t="str">
        <f>IF('Cálculo MP'!O122="","",'Cálculo MP'!O122)</f>
        <v/>
      </c>
      <c r="BD112" s="60" t="str">
        <f>IF('Cálculo MP'!P122="","",'Cálculo MP'!P122)</f>
        <v/>
      </c>
      <c r="BE112" s="60" t="str">
        <f>IF('Cálculo MP'!Q122="","",'Cálculo MP'!Q122)</f>
        <v/>
      </c>
      <c r="BF112" s="60" t="str">
        <f>IF('Cálculo MP'!R122="","",'Cálculo MP'!R122)</f>
        <v/>
      </c>
      <c r="BG112" s="60" t="str">
        <f>IF('Cálculo MP'!S122="","",'Cálculo MP'!S122)</f>
        <v/>
      </c>
      <c r="BH112" s="59"/>
      <c r="BI112" s="59"/>
      <c r="BJ112" s="59"/>
      <c r="BK112" s="59"/>
      <c r="BL112" s="59"/>
      <c r="BM112" s="59"/>
      <c r="BN112" s="59"/>
      <c r="BO112" s="59"/>
    </row>
    <row r="113" spans="1:67" ht="19.5" customHeight="1" x14ac:dyDescent="0.15">
      <c r="A113" s="123" t="s">
        <v>1856</v>
      </c>
      <c r="B113" s="122" t="s">
        <v>1854</v>
      </c>
      <c r="C113" s="49"/>
      <c r="D113" s="48" t="s">
        <v>73</v>
      </c>
      <c r="E113" s="49"/>
      <c r="F113" s="50"/>
      <c r="G113" s="62"/>
      <c r="H113" s="48" t="s">
        <v>72</v>
      </c>
      <c r="I113" s="52">
        <v>1</v>
      </c>
      <c r="J113" s="52"/>
      <c r="K113" s="52" t="s">
        <v>73</v>
      </c>
      <c r="L113" s="52" t="s">
        <v>74</v>
      </c>
      <c r="M113" s="53" t="s">
        <v>942</v>
      </c>
      <c r="N113" s="58" t="s">
        <v>73</v>
      </c>
      <c r="O113" s="48" t="s">
        <v>72</v>
      </c>
      <c r="P113" s="48" t="s">
        <v>73</v>
      </c>
      <c r="Q113" s="54" t="s">
        <v>73</v>
      </c>
      <c r="R113" s="55" t="s">
        <v>73</v>
      </c>
      <c r="S113" s="48" t="s">
        <v>73</v>
      </c>
      <c r="T113" s="130"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8" t="str" cm="1">
        <f t="array" ref="U113">IF(SUMPRODUCT(--((CAT_Procesos!$E$2:$E$1581=O113)*(CAT_Procesos!$F$2:$F$1581=_xlfn.TEXTJOIN(" + ",TRUE,IF((TRIM(P113:S113)="")+(LOWER(TRIM(P113:S113))="(seleccione)"),"",PROPER(TRIM(P113:S113)))))*(CAT_Procesos!$D$2:$D$1581=IFERROR(VLOOKUP(N113&amp;"*",CAT_Procesos!$D:$D,1,FALSE),""))))=0,"Combinación no existente",IF(SUMPRODUCT(((CAT_Procesos!$E$2:$E$1581=O113)*(CAT_Procesos!$F$2:$F$1581=_xlfn.TEXTJOIN(" + ",TRUE,IF((TRIM(P113:S113)="")+(LOWER(TRIM(P113:S113))="(seleccione)"),"",PROPER(TRIM(P113:S113)))))*(CAT_Procesos!$D$2:$D$1581=IFERROR(VLOOKUP(N113&amp;"*",CAT_Procesos!$D:$D,1,FALSE),"")))*(CAT_Procesos!$G$2:$G$1581=INDEX(CAT_Procesos!$G$2:$G$1581,MATCH(1,(CAT_Procesos!$E$2:$E$1581=O113)*(CAT_Procesos!$F$2:$F$1581=_xlfn.TEXTJOIN(" + ",TRUE,IF((TRIM(P113:S113)="")+(LOWER(TRIM(P113:S113))="(seleccione)"),"",PROPER(TRIM(P113:S113)))))*(CAT_Procesos!$D$2:$D$1581=IFERROR(VLOOKUP(N113&amp;"*",CAT_Procesos!$D:$D,1,FALSE),"")),0))))=SUMPRODUCT(--((CAT_Procesos!$E$2:$E$1581=O113)*(CAT_Procesos!$F$2:$F$1581=_xlfn.TEXTJOIN(" + ",TRUE,IF((TRIM(P113:S113)="")+(LOWER(TRIM(P113:S113))="(seleccione)"),"",PROPER(TRIM(P113:S113)))))*(CAT_Procesos!$D$2:$D$1581=IFERROR(VLOOKUP(N113&amp;"*",CAT_Procesos!$D:$D,1,FALSE),"")))),INDEX(CAT_Procesos!$G$2:$G$1581,MATCH(1,(CAT_Procesos!$E$2:$E$1581=O113)*(CAT_Procesos!$F$2:$F$1581=_xlfn.TEXTJOIN(" + ",TRUE,IF((TRIM(P113:S113)="")+(LOWER(TRIM(P113:S113))="(seleccione)"),"",PROPER(TRIM(P113:S113)))))*(CAT_Procesos!$D$2:$D$1581=IFERROR(VLOOKUP(N113&amp;"*",CAT_Procesos!$D:$D,1,FALSE),"")),0)),"(seleccione)"))</f>
        <v>Combinación no existente</v>
      </c>
      <c r="V113" s="55" t="s">
        <v>73</v>
      </c>
      <c r="W113" s="56" t="s">
        <v>73</v>
      </c>
      <c r="X113" s="57" t="str">
        <f t="shared" si="4"/>
        <v/>
      </c>
      <c r="Y113" s="58" t="s">
        <v>73</v>
      </c>
      <c r="Z113" s="57" t="str">
        <f t="shared" si="5"/>
        <v/>
      </c>
      <c r="AA113" s="58" t="s">
        <v>73</v>
      </c>
      <c r="AB113" s="57" t="str">
        <f t="shared" si="6"/>
        <v/>
      </c>
      <c r="AC113" s="58" t="s">
        <v>73</v>
      </c>
      <c r="AD113" s="57" t="str">
        <f t="shared" si="7"/>
        <v/>
      </c>
      <c r="AE113" s="59"/>
      <c r="AF113" s="59"/>
      <c r="AG113" s="59"/>
      <c r="AH113" s="59"/>
      <c r="AI113" s="59" t="s">
        <v>73</v>
      </c>
      <c r="AJ113" s="59"/>
      <c r="AK113" s="59" t="s">
        <v>73</v>
      </c>
      <c r="AL113" s="59"/>
      <c r="AM113" s="59" t="s">
        <v>73</v>
      </c>
      <c r="AN113" s="59"/>
      <c r="AO113" s="59" t="s">
        <v>73</v>
      </c>
      <c r="AP113" s="59"/>
      <c r="AQ113" s="59" t="s">
        <v>73</v>
      </c>
      <c r="AR113" s="59"/>
      <c r="AS113" s="59" t="s">
        <v>72</v>
      </c>
      <c r="AT113" s="59"/>
      <c r="AU113" s="59"/>
      <c r="AV113" s="59"/>
      <c r="AW113" s="59"/>
      <c r="AX113" s="59"/>
      <c r="AY113" s="60" t="str">
        <f>IF('Cálculo MP'!K123="","",'Cálculo MP'!K123)</f>
        <v/>
      </c>
      <c r="AZ113" s="60" t="str">
        <f>IF('Cálculo MP'!L123="","",'Cálculo MP'!L123)</f>
        <v/>
      </c>
      <c r="BA113" s="60" t="str">
        <f>IF('Cálculo MP'!M123="","",'Cálculo MP'!M123)</f>
        <v/>
      </c>
      <c r="BB113" s="60" t="str">
        <f>IF('Cálculo MP'!N123="","",'Cálculo MP'!N123)</f>
        <v/>
      </c>
      <c r="BC113" s="60" t="str">
        <f>IF('Cálculo MP'!O123="","",'Cálculo MP'!O123)</f>
        <v/>
      </c>
      <c r="BD113" s="60" t="str">
        <f>IF('Cálculo MP'!P123="","",'Cálculo MP'!P123)</f>
        <v/>
      </c>
      <c r="BE113" s="60" t="str">
        <f>IF('Cálculo MP'!Q123="","",'Cálculo MP'!Q123)</f>
        <v/>
      </c>
      <c r="BF113" s="60" t="str">
        <f>IF('Cálculo MP'!R123="","",'Cálculo MP'!R123)</f>
        <v/>
      </c>
      <c r="BG113" s="60" t="str">
        <f>IF('Cálculo MP'!S123="","",'Cálculo MP'!S123)</f>
        <v/>
      </c>
      <c r="BH113" s="59"/>
      <c r="BI113" s="59"/>
      <c r="BJ113" s="59"/>
      <c r="BK113" s="59"/>
      <c r="BL113" s="59"/>
      <c r="BM113" s="59"/>
      <c r="BN113" s="59"/>
      <c r="BO113" s="59"/>
    </row>
    <row r="114" spans="1:67" ht="19.5" customHeight="1" x14ac:dyDescent="0.15">
      <c r="A114" s="123" t="s">
        <v>1856</v>
      </c>
      <c r="B114" s="122" t="s">
        <v>1854</v>
      </c>
      <c r="C114" s="49"/>
      <c r="D114" s="48" t="s">
        <v>73</v>
      </c>
      <c r="E114" s="49"/>
      <c r="F114" s="50"/>
      <c r="G114" s="62"/>
      <c r="H114" s="48" t="s">
        <v>72</v>
      </c>
      <c r="I114" s="52">
        <v>1</v>
      </c>
      <c r="J114" s="52"/>
      <c r="K114" s="52" t="s">
        <v>73</v>
      </c>
      <c r="L114" s="52" t="s">
        <v>74</v>
      </c>
      <c r="M114" s="53" t="s">
        <v>942</v>
      </c>
      <c r="N114" s="58" t="s">
        <v>73</v>
      </c>
      <c r="O114" s="48" t="s">
        <v>72</v>
      </c>
      <c r="P114" s="48" t="s">
        <v>73</v>
      </c>
      <c r="Q114" s="54" t="s">
        <v>73</v>
      </c>
      <c r="R114" s="55" t="s">
        <v>73</v>
      </c>
      <c r="S114" s="48" t="s">
        <v>73</v>
      </c>
      <c r="T114" s="130"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8" t="str" cm="1">
        <f t="array" ref="U114">IF(SUMPRODUCT(--((CAT_Procesos!$E$2:$E$1581=O114)*(CAT_Procesos!$F$2:$F$1581=_xlfn.TEXTJOIN(" + ",TRUE,IF((TRIM(P114:S114)="")+(LOWER(TRIM(P114:S114))="(seleccione)"),"",PROPER(TRIM(P114:S114)))))*(CAT_Procesos!$D$2:$D$1581=IFERROR(VLOOKUP(N114&amp;"*",CAT_Procesos!$D:$D,1,FALSE),""))))=0,"Combinación no existente",IF(SUMPRODUCT(((CAT_Procesos!$E$2:$E$1581=O114)*(CAT_Procesos!$F$2:$F$1581=_xlfn.TEXTJOIN(" + ",TRUE,IF((TRIM(P114:S114)="")+(LOWER(TRIM(P114:S114))="(seleccione)"),"",PROPER(TRIM(P114:S114)))))*(CAT_Procesos!$D$2:$D$1581=IFERROR(VLOOKUP(N114&amp;"*",CAT_Procesos!$D:$D,1,FALSE),"")))*(CAT_Procesos!$G$2:$G$1581=INDEX(CAT_Procesos!$G$2:$G$1581,MATCH(1,(CAT_Procesos!$E$2:$E$1581=O114)*(CAT_Procesos!$F$2:$F$1581=_xlfn.TEXTJOIN(" + ",TRUE,IF((TRIM(P114:S114)="")+(LOWER(TRIM(P114:S114))="(seleccione)"),"",PROPER(TRIM(P114:S114)))))*(CAT_Procesos!$D$2:$D$1581=IFERROR(VLOOKUP(N114&amp;"*",CAT_Procesos!$D:$D,1,FALSE),"")),0))))=SUMPRODUCT(--((CAT_Procesos!$E$2:$E$1581=O114)*(CAT_Procesos!$F$2:$F$1581=_xlfn.TEXTJOIN(" + ",TRUE,IF((TRIM(P114:S114)="")+(LOWER(TRIM(P114:S114))="(seleccione)"),"",PROPER(TRIM(P114:S114)))))*(CAT_Procesos!$D$2:$D$1581=IFERROR(VLOOKUP(N114&amp;"*",CAT_Procesos!$D:$D,1,FALSE),"")))),INDEX(CAT_Procesos!$G$2:$G$1581,MATCH(1,(CAT_Procesos!$E$2:$E$1581=O114)*(CAT_Procesos!$F$2:$F$1581=_xlfn.TEXTJOIN(" + ",TRUE,IF((TRIM(P114:S114)="")+(LOWER(TRIM(P114:S114))="(seleccione)"),"",PROPER(TRIM(P114:S114)))))*(CAT_Procesos!$D$2:$D$1581=IFERROR(VLOOKUP(N114&amp;"*",CAT_Procesos!$D:$D,1,FALSE),"")),0)),"(seleccione)"))</f>
        <v>Combinación no existente</v>
      </c>
      <c r="V114" s="55" t="s">
        <v>73</v>
      </c>
      <c r="W114" s="56" t="s">
        <v>73</v>
      </c>
      <c r="X114" s="57" t="str">
        <f t="shared" si="4"/>
        <v/>
      </c>
      <c r="Y114" s="58" t="s">
        <v>73</v>
      </c>
      <c r="Z114" s="57" t="str">
        <f t="shared" si="5"/>
        <v/>
      </c>
      <c r="AA114" s="58" t="s">
        <v>73</v>
      </c>
      <c r="AB114" s="57" t="str">
        <f t="shared" si="6"/>
        <v/>
      </c>
      <c r="AC114" s="58" t="s">
        <v>73</v>
      </c>
      <c r="AD114" s="57" t="str">
        <f t="shared" si="7"/>
        <v/>
      </c>
      <c r="AE114" s="59"/>
      <c r="AF114" s="59"/>
      <c r="AG114" s="59"/>
      <c r="AH114" s="59"/>
      <c r="AI114" s="59" t="s">
        <v>73</v>
      </c>
      <c r="AJ114" s="59"/>
      <c r="AK114" s="59" t="s">
        <v>73</v>
      </c>
      <c r="AL114" s="59"/>
      <c r="AM114" s="59" t="s">
        <v>73</v>
      </c>
      <c r="AN114" s="59"/>
      <c r="AO114" s="59" t="s">
        <v>73</v>
      </c>
      <c r="AP114" s="59"/>
      <c r="AQ114" s="59" t="s">
        <v>73</v>
      </c>
      <c r="AR114" s="59"/>
      <c r="AS114" s="59" t="s">
        <v>72</v>
      </c>
      <c r="AT114" s="59"/>
      <c r="AU114" s="59"/>
      <c r="AV114" s="59"/>
      <c r="AW114" s="59"/>
      <c r="AX114" s="59"/>
      <c r="AY114" s="60" t="str">
        <f>IF('Cálculo MP'!K124="","",'Cálculo MP'!K124)</f>
        <v/>
      </c>
      <c r="AZ114" s="60" t="str">
        <f>IF('Cálculo MP'!L124="","",'Cálculo MP'!L124)</f>
        <v/>
      </c>
      <c r="BA114" s="60" t="str">
        <f>IF('Cálculo MP'!M124="","",'Cálculo MP'!M124)</f>
        <v/>
      </c>
      <c r="BB114" s="60" t="str">
        <f>IF('Cálculo MP'!N124="","",'Cálculo MP'!N124)</f>
        <v/>
      </c>
      <c r="BC114" s="60" t="str">
        <f>IF('Cálculo MP'!O124="","",'Cálculo MP'!O124)</f>
        <v/>
      </c>
      <c r="BD114" s="60" t="str">
        <f>IF('Cálculo MP'!P124="","",'Cálculo MP'!P124)</f>
        <v/>
      </c>
      <c r="BE114" s="60" t="str">
        <f>IF('Cálculo MP'!Q124="","",'Cálculo MP'!Q124)</f>
        <v/>
      </c>
      <c r="BF114" s="60" t="str">
        <f>IF('Cálculo MP'!R124="","",'Cálculo MP'!R124)</f>
        <v/>
      </c>
      <c r="BG114" s="60" t="str">
        <f>IF('Cálculo MP'!S124="","",'Cálculo MP'!S124)</f>
        <v/>
      </c>
      <c r="BH114" s="59"/>
      <c r="BI114" s="59"/>
      <c r="BJ114" s="59"/>
      <c r="BK114" s="59"/>
      <c r="BL114" s="59"/>
      <c r="BM114" s="59"/>
      <c r="BN114" s="59"/>
      <c r="BO114" s="59"/>
    </row>
    <row r="115" spans="1:67" ht="19.5" customHeight="1" x14ac:dyDescent="0.15">
      <c r="A115" s="123" t="s">
        <v>1856</v>
      </c>
      <c r="B115" s="122" t="s">
        <v>1854</v>
      </c>
      <c r="C115" s="49"/>
      <c r="D115" s="48" t="s">
        <v>73</v>
      </c>
      <c r="E115" s="49"/>
      <c r="F115" s="50"/>
      <c r="G115" s="62"/>
      <c r="H115" s="48" t="s">
        <v>72</v>
      </c>
      <c r="I115" s="52">
        <v>1</v>
      </c>
      <c r="J115" s="52"/>
      <c r="K115" s="52" t="s">
        <v>73</v>
      </c>
      <c r="L115" s="52" t="s">
        <v>74</v>
      </c>
      <c r="M115" s="53" t="s">
        <v>942</v>
      </c>
      <c r="N115" s="58" t="s">
        <v>73</v>
      </c>
      <c r="O115" s="48" t="s">
        <v>72</v>
      </c>
      <c r="P115" s="48" t="s">
        <v>73</v>
      </c>
      <c r="Q115" s="54" t="s">
        <v>73</v>
      </c>
      <c r="R115" s="55" t="s">
        <v>73</v>
      </c>
      <c r="S115" s="48" t="s">
        <v>73</v>
      </c>
      <c r="T115" s="130"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8" t="str" cm="1">
        <f t="array" ref="U115">IF(SUMPRODUCT(--((CAT_Procesos!$E$2:$E$1581=O115)*(CAT_Procesos!$F$2:$F$1581=_xlfn.TEXTJOIN(" + ",TRUE,IF((TRIM(P115:S115)="")+(LOWER(TRIM(P115:S115))="(seleccione)"),"",PROPER(TRIM(P115:S115)))))*(CAT_Procesos!$D$2:$D$1581=IFERROR(VLOOKUP(N115&amp;"*",CAT_Procesos!$D:$D,1,FALSE),""))))=0,"Combinación no existente",IF(SUMPRODUCT(((CAT_Procesos!$E$2:$E$1581=O115)*(CAT_Procesos!$F$2:$F$1581=_xlfn.TEXTJOIN(" + ",TRUE,IF((TRIM(P115:S115)="")+(LOWER(TRIM(P115:S115))="(seleccione)"),"",PROPER(TRIM(P115:S115)))))*(CAT_Procesos!$D$2:$D$1581=IFERROR(VLOOKUP(N115&amp;"*",CAT_Procesos!$D:$D,1,FALSE),"")))*(CAT_Procesos!$G$2:$G$1581=INDEX(CAT_Procesos!$G$2:$G$1581,MATCH(1,(CAT_Procesos!$E$2:$E$1581=O115)*(CAT_Procesos!$F$2:$F$1581=_xlfn.TEXTJOIN(" + ",TRUE,IF((TRIM(P115:S115)="")+(LOWER(TRIM(P115:S115))="(seleccione)"),"",PROPER(TRIM(P115:S115)))))*(CAT_Procesos!$D$2:$D$1581=IFERROR(VLOOKUP(N115&amp;"*",CAT_Procesos!$D:$D,1,FALSE),"")),0))))=SUMPRODUCT(--((CAT_Procesos!$E$2:$E$1581=O115)*(CAT_Procesos!$F$2:$F$1581=_xlfn.TEXTJOIN(" + ",TRUE,IF((TRIM(P115:S115)="")+(LOWER(TRIM(P115:S115))="(seleccione)"),"",PROPER(TRIM(P115:S115)))))*(CAT_Procesos!$D$2:$D$1581=IFERROR(VLOOKUP(N115&amp;"*",CAT_Procesos!$D:$D,1,FALSE),"")))),INDEX(CAT_Procesos!$G$2:$G$1581,MATCH(1,(CAT_Procesos!$E$2:$E$1581=O115)*(CAT_Procesos!$F$2:$F$1581=_xlfn.TEXTJOIN(" + ",TRUE,IF((TRIM(P115:S115)="")+(LOWER(TRIM(P115:S115))="(seleccione)"),"",PROPER(TRIM(P115:S115)))))*(CAT_Procesos!$D$2:$D$1581=IFERROR(VLOOKUP(N115&amp;"*",CAT_Procesos!$D:$D,1,FALSE),"")),0)),"(seleccione)"))</f>
        <v>Combinación no existente</v>
      </c>
      <c r="V115" s="55" t="s">
        <v>73</v>
      </c>
      <c r="W115" s="56" t="s">
        <v>73</v>
      </c>
      <c r="X115" s="57" t="str">
        <f t="shared" si="4"/>
        <v/>
      </c>
      <c r="Y115" s="58" t="s">
        <v>73</v>
      </c>
      <c r="Z115" s="57" t="str">
        <f t="shared" si="5"/>
        <v/>
      </c>
      <c r="AA115" s="58" t="s">
        <v>73</v>
      </c>
      <c r="AB115" s="57" t="str">
        <f t="shared" si="6"/>
        <v/>
      </c>
      <c r="AC115" s="58" t="s">
        <v>73</v>
      </c>
      <c r="AD115" s="57" t="str">
        <f t="shared" si="7"/>
        <v/>
      </c>
      <c r="AE115" s="59"/>
      <c r="AF115" s="59"/>
      <c r="AG115" s="59"/>
      <c r="AH115" s="59"/>
      <c r="AI115" s="59" t="s">
        <v>73</v>
      </c>
      <c r="AJ115" s="59"/>
      <c r="AK115" s="59" t="s">
        <v>73</v>
      </c>
      <c r="AL115" s="59"/>
      <c r="AM115" s="59" t="s">
        <v>73</v>
      </c>
      <c r="AN115" s="59"/>
      <c r="AO115" s="59" t="s">
        <v>73</v>
      </c>
      <c r="AP115" s="59"/>
      <c r="AQ115" s="59" t="s">
        <v>73</v>
      </c>
      <c r="AR115" s="59"/>
      <c r="AS115" s="59" t="s">
        <v>72</v>
      </c>
      <c r="AT115" s="59"/>
      <c r="AU115" s="59"/>
      <c r="AV115" s="59"/>
      <c r="AW115" s="59"/>
      <c r="AX115" s="59"/>
      <c r="AY115" s="60" t="str">
        <f>IF('Cálculo MP'!K125="","",'Cálculo MP'!K125)</f>
        <v/>
      </c>
      <c r="AZ115" s="60" t="str">
        <f>IF('Cálculo MP'!L125="","",'Cálculo MP'!L125)</f>
        <v/>
      </c>
      <c r="BA115" s="60" t="str">
        <f>IF('Cálculo MP'!M125="","",'Cálculo MP'!M125)</f>
        <v/>
      </c>
      <c r="BB115" s="60" t="str">
        <f>IF('Cálculo MP'!N125="","",'Cálculo MP'!N125)</f>
        <v/>
      </c>
      <c r="BC115" s="60" t="str">
        <f>IF('Cálculo MP'!O125="","",'Cálculo MP'!O125)</f>
        <v/>
      </c>
      <c r="BD115" s="60" t="str">
        <f>IF('Cálculo MP'!P125="","",'Cálculo MP'!P125)</f>
        <v/>
      </c>
      <c r="BE115" s="60" t="str">
        <f>IF('Cálculo MP'!Q125="","",'Cálculo MP'!Q125)</f>
        <v/>
      </c>
      <c r="BF115" s="60" t="str">
        <f>IF('Cálculo MP'!R125="","",'Cálculo MP'!R125)</f>
        <v/>
      </c>
      <c r="BG115" s="60" t="str">
        <f>IF('Cálculo MP'!S125="","",'Cálculo MP'!S125)</f>
        <v/>
      </c>
      <c r="BH115" s="59"/>
      <c r="BI115" s="59"/>
      <c r="BJ115" s="59"/>
      <c r="BK115" s="59"/>
      <c r="BL115" s="59"/>
      <c r="BM115" s="59"/>
      <c r="BN115" s="59"/>
      <c r="BO115" s="59"/>
    </row>
    <row r="116" spans="1:67" ht="19.5" customHeight="1" x14ac:dyDescent="0.15">
      <c r="A116" s="123" t="s">
        <v>1856</v>
      </c>
      <c r="B116" s="122" t="s">
        <v>1854</v>
      </c>
      <c r="C116" s="49"/>
      <c r="D116" s="48" t="s">
        <v>73</v>
      </c>
      <c r="E116" s="49"/>
      <c r="F116" s="50"/>
      <c r="G116" s="62"/>
      <c r="H116" s="48" t="s">
        <v>72</v>
      </c>
      <c r="I116" s="52">
        <v>1</v>
      </c>
      <c r="J116" s="52"/>
      <c r="K116" s="52" t="s">
        <v>73</v>
      </c>
      <c r="L116" s="52" t="s">
        <v>74</v>
      </c>
      <c r="M116" s="53" t="s">
        <v>942</v>
      </c>
      <c r="N116" s="58" t="s">
        <v>73</v>
      </c>
      <c r="O116" s="48" t="s">
        <v>72</v>
      </c>
      <c r="P116" s="48" t="s">
        <v>73</v>
      </c>
      <c r="Q116" s="54" t="s">
        <v>73</v>
      </c>
      <c r="R116" s="55" t="s">
        <v>73</v>
      </c>
      <c r="S116" s="48" t="s">
        <v>73</v>
      </c>
      <c r="T116" s="130"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8" t="str" cm="1">
        <f t="array" ref="U116">IF(SUMPRODUCT(--((CAT_Procesos!$E$2:$E$1581=O116)*(CAT_Procesos!$F$2:$F$1581=_xlfn.TEXTJOIN(" + ",TRUE,IF((TRIM(P116:S116)="")+(LOWER(TRIM(P116:S116))="(seleccione)"),"",PROPER(TRIM(P116:S116)))))*(CAT_Procesos!$D$2:$D$1581=IFERROR(VLOOKUP(N116&amp;"*",CAT_Procesos!$D:$D,1,FALSE),""))))=0,"Combinación no existente",IF(SUMPRODUCT(((CAT_Procesos!$E$2:$E$1581=O116)*(CAT_Procesos!$F$2:$F$1581=_xlfn.TEXTJOIN(" + ",TRUE,IF((TRIM(P116:S116)="")+(LOWER(TRIM(P116:S116))="(seleccione)"),"",PROPER(TRIM(P116:S116)))))*(CAT_Procesos!$D$2:$D$1581=IFERROR(VLOOKUP(N116&amp;"*",CAT_Procesos!$D:$D,1,FALSE),"")))*(CAT_Procesos!$G$2:$G$1581=INDEX(CAT_Procesos!$G$2:$G$1581,MATCH(1,(CAT_Procesos!$E$2:$E$1581=O116)*(CAT_Procesos!$F$2:$F$1581=_xlfn.TEXTJOIN(" + ",TRUE,IF((TRIM(P116:S116)="")+(LOWER(TRIM(P116:S116))="(seleccione)"),"",PROPER(TRIM(P116:S116)))))*(CAT_Procesos!$D$2:$D$1581=IFERROR(VLOOKUP(N116&amp;"*",CAT_Procesos!$D:$D,1,FALSE),"")),0))))=SUMPRODUCT(--((CAT_Procesos!$E$2:$E$1581=O116)*(CAT_Procesos!$F$2:$F$1581=_xlfn.TEXTJOIN(" + ",TRUE,IF((TRIM(P116:S116)="")+(LOWER(TRIM(P116:S116))="(seleccione)"),"",PROPER(TRIM(P116:S116)))))*(CAT_Procesos!$D$2:$D$1581=IFERROR(VLOOKUP(N116&amp;"*",CAT_Procesos!$D:$D,1,FALSE),"")))),INDEX(CAT_Procesos!$G$2:$G$1581,MATCH(1,(CAT_Procesos!$E$2:$E$1581=O116)*(CAT_Procesos!$F$2:$F$1581=_xlfn.TEXTJOIN(" + ",TRUE,IF((TRIM(P116:S116)="")+(LOWER(TRIM(P116:S116))="(seleccione)"),"",PROPER(TRIM(P116:S116)))))*(CAT_Procesos!$D$2:$D$1581=IFERROR(VLOOKUP(N116&amp;"*",CAT_Procesos!$D:$D,1,FALSE),"")),0)),"(seleccione)"))</f>
        <v>Combinación no existente</v>
      </c>
      <c r="V116" s="55" t="s">
        <v>73</v>
      </c>
      <c r="W116" s="56" t="s">
        <v>73</v>
      </c>
      <c r="X116" s="57" t="str">
        <f t="shared" si="4"/>
        <v/>
      </c>
      <c r="Y116" s="58" t="s">
        <v>73</v>
      </c>
      <c r="Z116" s="57" t="str">
        <f t="shared" si="5"/>
        <v/>
      </c>
      <c r="AA116" s="58" t="s">
        <v>73</v>
      </c>
      <c r="AB116" s="57" t="str">
        <f t="shared" si="6"/>
        <v/>
      </c>
      <c r="AC116" s="58" t="s">
        <v>73</v>
      </c>
      <c r="AD116" s="57" t="str">
        <f t="shared" si="7"/>
        <v/>
      </c>
      <c r="AE116" s="59"/>
      <c r="AF116" s="59"/>
      <c r="AG116" s="59"/>
      <c r="AH116" s="59"/>
      <c r="AI116" s="59" t="s">
        <v>73</v>
      </c>
      <c r="AJ116" s="59"/>
      <c r="AK116" s="59" t="s">
        <v>73</v>
      </c>
      <c r="AL116" s="59"/>
      <c r="AM116" s="59" t="s">
        <v>73</v>
      </c>
      <c r="AN116" s="59"/>
      <c r="AO116" s="59" t="s">
        <v>73</v>
      </c>
      <c r="AP116" s="59"/>
      <c r="AQ116" s="59" t="s">
        <v>73</v>
      </c>
      <c r="AR116" s="59"/>
      <c r="AS116" s="59" t="s">
        <v>72</v>
      </c>
      <c r="AT116" s="59"/>
      <c r="AU116" s="59"/>
      <c r="AV116" s="59"/>
      <c r="AW116" s="59"/>
      <c r="AX116" s="59"/>
      <c r="AY116" s="60" t="str">
        <f>IF('Cálculo MP'!K126="","",'Cálculo MP'!K126)</f>
        <v/>
      </c>
      <c r="AZ116" s="60" t="str">
        <f>IF('Cálculo MP'!L126="","",'Cálculo MP'!L126)</f>
        <v/>
      </c>
      <c r="BA116" s="60" t="str">
        <f>IF('Cálculo MP'!M126="","",'Cálculo MP'!M126)</f>
        <v/>
      </c>
      <c r="BB116" s="60" t="str">
        <f>IF('Cálculo MP'!N126="","",'Cálculo MP'!N126)</f>
        <v/>
      </c>
      <c r="BC116" s="60" t="str">
        <f>IF('Cálculo MP'!O126="","",'Cálculo MP'!O126)</f>
        <v/>
      </c>
      <c r="BD116" s="60" t="str">
        <f>IF('Cálculo MP'!P126="","",'Cálculo MP'!P126)</f>
        <v/>
      </c>
      <c r="BE116" s="60" t="str">
        <f>IF('Cálculo MP'!Q126="","",'Cálculo MP'!Q126)</f>
        <v/>
      </c>
      <c r="BF116" s="60" t="str">
        <f>IF('Cálculo MP'!R126="","",'Cálculo MP'!R126)</f>
        <v/>
      </c>
      <c r="BG116" s="60" t="str">
        <f>IF('Cálculo MP'!S126="","",'Cálculo MP'!S126)</f>
        <v/>
      </c>
      <c r="BH116" s="59"/>
      <c r="BI116" s="59"/>
      <c r="BJ116" s="59"/>
      <c r="BK116" s="59"/>
      <c r="BL116" s="59"/>
      <c r="BM116" s="59"/>
      <c r="BN116" s="59"/>
      <c r="BO116" s="59"/>
    </row>
    <row r="117" spans="1:67" ht="19.5" customHeight="1" x14ac:dyDescent="0.15">
      <c r="A117" s="123" t="s">
        <v>1856</v>
      </c>
      <c r="B117" s="122" t="s">
        <v>1854</v>
      </c>
      <c r="C117" s="49"/>
      <c r="D117" s="48" t="s">
        <v>73</v>
      </c>
      <c r="E117" s="49"/>
      <c r="F117" s="50"/>
      <c r="G117" s="62"/>
      <c r="H117" s="48" t="s">
        <v>72</v>
      </c>
      <c r="I117" s="52">
        <v>1</v>
      </c>
      <c r="J117" s="52"/>
      <c r="K117" s="52" t="s">
        <v>73</v>
      </c>
      <c r="L117" s="52" t="s">
        <v>74</v>
      </c>
      <c r="M117" s="53" t="s">
        <v>942</v>
      </c>
      <c r="N117" s="58" t="s">
        <v>73</v>
      </c>
      <c r="O117" s="48" t="s">
        <v>72</v>
      </c>
      <c r="P117" s="48" t="s">
        <v>73</v>
      </c>
      <c r="Q117" s="54" t="s">
        <v>73</v>
      </c>
      <c r="R117" s="55" t="s">
        <v>73</v>
      </c>
      <c r="S117" s="48" t="s">
        <v>73</v>
      </c>
      <c r="T117" s="130"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8" t="str" cm="1">
        <f t="array" ref="U117">IF(SUMPRODUCT(--((CAT_Procesos!$E$2:$E$1581=O117)*(CAT_Procesos!$F$2:$F$1581=_xlfn.TEXTJOIN(" + ",TRUE,IF((TRIM(P117:S117)="")+(LOWER(TRIM(P117:S117))="(seleccione)"),"",PROPER(TRIM(P117:S117)))))*(CAT_Procesos!$D$2:$D$1581=IFERROR(VLOOKUP(N117&amp;"*",CAT_Procesos!$D:$D,1,FALSE),""))))=0,"Combinación no existente",IF(SUMPRODUCT(((CAT_Procesos!$E$2:$E$1581=O117)*(CAT_Procesos!$F$2:$F$1581=_xlfn.TEXTJOIN(" + ",TRUE,IF((TRIM(P117:S117)="")+(LOWER(TRIM(P117:S117))="(seleccione)"),"",PROPER(TRIM(P117:S117)))))*(CAT_Procesos!$D$2:$D$1581=IFERROR(VLOOKUP(N117&amp;"*",CAT_Procesos!$D:$D,1,FALSE),"")))*(CAT_Procesos!$G$2:$G$1581=INDEX(CAT_Procesos!$G$2:$G$1581,MATCH(1,(CAT_Procesos!$E$2:$E$1581=O117)*(CAT_Procesos!$F$2:$F$1581=_xlfn.TEXTJOIN(" + ",TRUE,IF((TRIM(P117:S117)="")+(LOWER(TRIM(P117:S117))="(seleccione)"),"",PROPER(TRIM(P117:S117)))))*(CAT_Procesos!$D$2:$D$1581=IFERROR(VLOOKUP(N117&amp;"*",CAT_Procesos!$D:$D,1,FALSE),"")),0))))=SUMPRODUCT(--((CAT_Procesos!$E$2:$E$1581=O117)*(CAT_Procesos!$F$2:$F$1581=_xlfn.TEXTJOIN(" + ",TRUE,IF((TRIM(P117:S117)="")+(LOWER(TRIM(P117:S117))="(seleccione)"),"",PROPER(TRIM(P117:S117)))))*(CAT_Procesos!$D$2:$D$1581=IFERROR(VLOOKUP(N117&amp;"*",CAT_Procesos!$D:$D,1,FALSE),"")))),INDEX(CAT_Procesos!$G$2:$G$1581,MATCH(1,(CAT_Procesos!$E$2:$E$1581=O117)*(CAT_Procesos!$F$2:$F$1581=_xlfn.TEXTJOIN(" + ",TRUE,IF((TRIM(P117:S117)="")+(LOWER(TRIM(P117:S117))="(seleccione)"),"",PROPER(TRIM(P117:S117)))))*(CAT_Procesos!$D$2:$D$1581=IFERROR(VLOOKUP(N117&amp;"*",CAT_Procesos!$D:$D,1,FALSE),"")),0)),"(seleccione)"))</f>
        <v>Combinación no existente</v>
      </c>
      <c r="V117" s="55" t="s">
        <v>73</v>
      </c>
      <c r="W117" s="56" t="s">
        <v>73</v>
      </c>
      <c r="X117" s="57" t="str">
        <f t="shared" si="4"/>
        <v/>
      </c>
      <c r="Y117" s="58" t="s">
        <v>73</v>
      </c>
      <c r="Z117" s="57" t="str">
        <f t="shared" si="5"/>
        <v/>
      </c>
      <c r="AA117" s="58" t="s">
        <v>73</v>
      </c>
      <c r="AB117" s="57" t="str">
        <f t="shared" si="6"/>
        <v/>
      </c>
      <c r="AC117" s="58" t="s">
        <v>73</v>
      </c>
      <c r="AD117" s="57" t="str">
        <f t="shared" si="7"/>
        <v/>
      </c>
      <c r="AE117" s="59"/>
      <c r="AF117" s="59"/>
      <c r="AG117" s="59"/>
      <c r="AH117" s="59"/>
      <c r="AI117" s="59" t="s">
        <v>73</v>
      </c>
      <c r="AJ117" s="59"/>
      <c r="AK117" s="59" t="s">
        <v>73</v>
      </c>
      <c r="AL117" s="59"/>
      <c r="AM117" s="59" t="s">
        <v>73</v>
      </c>
      <c r="AN117" s="59"/>
      <c r="AO117" s="59" t="s">
        <v>73</v>
      </c>
      <c r="AP117" s="59"/>
      <c r="AQ117" s="59" t="s">
        <v>73</v>
      </c>
      <c r="AR117" s="59"/>
      <c r="AS117" s="59" t="s">
        <v>72</v>
      </c>
      <c r="AT117" s="59"/>
      <c r="AU117" s="59"/>
      <c r="AV117" s="59"/>
      <c r="AW117" s="59"/>
      <c r="AX117" s="59"/>
      <c r="AY117" s="60" t="str">
        <f>IF('Cálculo MP'!K127="","",'Cálculo MP'!K127)</f>
        <v/>
      </c>
      <c r="AZ117" s="60" t="str">
        <f>IF('Cálculo MP'!L127="","",'Cálculo MP'!L127)</f>
        <v/>
      </c>
      <c r="BA117" s="60" t="str">
        <f>IF('Cálculo MP'!M127="","",'Cálculo MP'!M127)</f>
        <v/>
      </c>
      <c r="BB117" s="60" t="str">
        <f>IF('Cálculo MP'!N127="","",'Cálculo MP'!N127)</f>
        <v/>
      </c>
      <c r="BC117" s="60" t="str">
        <f>IF('Cálculo MP'!O127="","",'Cálculo MP'!O127)</f>
        <v/>
      </c>
      <c r="BD117" s="60" t="str">
        <f>IF('Cálculo MP'!P127="","",'Cálculo MP'!P127)</f>
        <v/>
      </c>
      <c r="BE117" s="60" t="str">
        <f>IF('Cálculo MP'!Q127="","",'Cálculo MP'!Q127)</f>
        <v/>
      </c>
      <c r="BF117" s="60" t="str">
        <f>IF('Cálculo MP'!R127="","",'Cálculo MP'!R127)</f>
        <v/>
      </c>
      <c r="BG117" s="60" t="str">
        <f>IF('Cálculo MP'!S127="","",'Cálculo MP'!S127)</f>
        <v/>
      </c>
      <c r="BH117" s="59"/>
      <c r="BI117" s="59"/>
      <c r="BJ117" s="59"/>
      <c r="BK117" s="59"/>
      <c r="BL117" s="59"/>
      <c r="BM117" s="59"/>
      <c r="BN117" s="59"/>
      <c r="BO117" s="59"/>
    </row>
    <row r="118" spans="1:67" ht="19.5" customHeight="1" x14ac:dyDescent="0.15">
      <c r="A118" s="123" t="s">
        <v>1856</v>
      </c>
      <c r="B118" s="122" t="s">
        <v>1854</v>
      </c>
      <c r="C118" s="49"/>
      <c r="D118" s="48" t="s">
        <v>73</v>
      </c>
      <c r="E118" s="49"/>
      <c r="F118" s="50"/>
      <c r="G118" s="62"/>
      <c r="H118" s="48" t="s">
        <v>72</v>
      </c>
      <c r="I118" s="52">
        <v>1</v>
      </c>
      <c r="J118" s="52"/>
      <c r="K118" s="52" t="s">
        <v>73</v>
      </c>
      <c r="L118" s="52" t="s">
        <v>74</v>
      </c>
      <c r="M118" s="53" t="s">
        <v>942</v>
      </c>
      <c r="N118" s="58" t="s">
        <v>73</v>
      </c>
      <c r="O118" s="48" t="s">
        <v>72</v>
      </c>
      <c r="P118" s="48" t="s">
        <v>73</v>
      </c>
      <c r="Q118" s="54" t="s">
        <v>73</v>
      </c>
      <c r="R118" s="55" t="s">
        <v>73</v>
      </c>
      <c r="S118" s="48" t="s">
        <v>73</v>
      </c>
      <c r="T118" s="130"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8" t="str" cm="1">
        <f t="array" ref="U118">IF(SUMPRODUCT(--((CAT_Procesos!$E$2:$E$1581=O118)*(CAT_Procesos!$F$2:$F$1581=_xlfn.TEXTJOIN(" + ",TRUE,IF((TRIM(P118:S118)="")+(LOWER(TRIM(P118:S118))="(seleccione)"),"",PROPER(TRIM(P118:S118)))))*(CAT_Procesos!$D$2:$D$1581=IFERROR(VLOOKUP(N118&amp;"*",CAT_Procesos!$D:$D,1,FALSE),""))))=0,"Combinación no existente",IF(SUMPRODUCT(((CAT_Procesos!$E$2:$E$1581=O118)*(CAT_Procesos!$F$2:$F$1581=_xlfn.TEXTJOIN(" + ",TRUE,IF((TRIM(P118:S118)="")+(LOWER(TRIM(P118:S118))="(seleccione)"),"",PROPER(TRIM(P118:S118)))))*(CAT_Procesos!$D$2:$D$1581=IFERROR(VLOOKUP(N118&amp;"*",CAT_Procesos!$D:$D,1,FALSE),"")))*(CAT_Procesos!$G$2:$G$1581=INDEX(CAT_Procesos!$G$2:$G$1581,MATCH(1,(CAT_Procesos!$E$2:$E$1581=O118)*(CAT_Procesos!$F$2:$F$1581=_xlfn.TEXTJOIN(" + ",TRUE,IF((TRIM(P118:S118)="")+(LOWER(TRIM(P118:S118))="(seleccione)"),"",PROPER(TRIM(P118:S118)))))*(CAT_Procesos!$D$2:$D$1581=IFERROR(VLOOKUP(N118&amp;"*",CAT_Procesos!$D:$D,1,FALSE),"")),0))))=SUMPRODUCT(--((CAT_Procesos!$E$2:$E$1581=O118)*(CAT_Procesos!$F$2:$F$1581=_xlfn.TEXTJOIN(" + ",TRUE,IF((TRIM(P118:S118)="")+(LOWER(TRIM(P118:S118))="(seleccione)"),"",PROPER(TRIM(P118:S118)))))*(CAT_Procesos!$D$2:$D$1581=IFERROR(VLOOKUP(N118&amp;"*",CAT_Procesos!$D:$D,1,FALSE),"")))),INDEX(CAT_Procesos!$G$2:$G$1581,MATCH(1,(CAT_Procesos!$E$2:$E$1581=O118)*(CAT_Procesos!$F$2:$F$1581=_xlfn.TEXTJOIN(" + ",TRUE,IF((TRIM(P118:S118)="")+(LOWER(TRIM(P118:S118))="(seleccione)"),"",PROPER(TRIM(P118:S118)))))*(CAT_Procesos!$D$2:$D$1581=IFERROR(VLOOKUP(N118&amp;"*",CAT_Procesos!$D:$D,1,FALSE),"")),0)),"(seleccione)"))</f>
        <v>Combinación no existente</v>
      </c>
      <c r="V118" s="55" t="s">
        <v>73</v>
      </c>
      <c r="W118" s="56" t="s">
        <v>73</v>
      </c>
      <c r="X118" s="57" t="str">
        <f t="shared" si="4"/>
        <v/>
      </c>
      <c r="Y118" s="58" t="s">
        <v>73</v>
      </c>
      <c r="Z118" s="57" t="str">
        <f t="shared" si="5"/>
        <v/>
      </c>
      <c r="AA118" s="58" t="s">
        <v>73</v>
      </c>
      <c r="AB118" s="57" t="str">
        <f t="shared" si="6"/>
        <v/>
      </c>
      <c r="AC118" s="58" t="s">
        <v>73</v>
      </c>
      <c r="AD118" s="57" t="str">
        <f t="shared" si="7"/>
        <v/>
      </c>
      <c r="AE118" s="59"/>
      <c r="AF118" s="59"/>
      <c r="AG118" s="59"/>
      <c r="AH118" s="59"/>
      <c r="AI118" s="59" t="s">
        <v>73</v>
      </c>
      <c r="AJ118" s="59"/>
      <c r="AK118" s="59" t="s">
        <v>73</v>
      </c>
      <c r="AL118" s="59"/>
      <c r="AM118" s="59" t="s">
        <v>73</v>
      </c>
      <c r="AN118" s="59"/>
      <c r="AO118" s="59" t="s">
        <v>73</v>
      </c>
      <c r="AP118" s="59"/>
      <c r="AQ118" s="59" t="s">
        <v>73</v>
      </c>
      <c r="AR118" s="59"/>
      <c r="AS118" s="59" t="s">
        <v>72</v>
      </c>
      <c r="AT118" s="59"/>
      <c r="AU118" s="59"/>
      <c r="AV118" s="59"/>
      <c r="AW118" s="59"/>
      <c r="AX118" s="59"/>
      <c r="AY118" s="60" t="str">
        <f>IF('Cálculo MP'!K128="","",'Cálculo MP'!K128)</f>
        <v/>
      </c>
      <c r="AZ118" s="60" t="str">
        <f>IF('Cálculo MP'!L128="","",'Cálculo MP'!L128)</f>
        <v/>
      </c>
      <c r="BA118" s="60" t="str">
        <f>IF('Cálculo MP'!M128="","",'Cálculo MP'!M128)</f>
        <v/>
      </c>
      <c r="BB118" s="60" t="str">
        <f>IF('Cálculo MP'!N128="","",'Cálculo MP'!N128)</f>
        <v/>
      </c>
      <c r="BC118" s="60" t="str">
        <f>IF('Cálculo MP'!O128="","",'Cálculo MP'!O128)</f>
        <v/>
      </c>
      <c r="BD118" s="60" t="str">
        <f>IF('Cálculo MP'!P128="","",'Cálculo MP'!P128)</f>
        <v/>
      </c>
      <c r="BE118" s="60" t="str">
        <f>IF('Cálculo MP'!Q128="","",'Cálculo MP'!Q128)</f>
        <v/>
      </c>
      <c r="BF118" s="60" t="str">
        <f>IF('Cálculo MP'!R128="","",'Cálculo MP'!R128)</f>
        <v/>
      </c>
      <c r="BG118" s="60" t="str">
        <f>IF('Cálculo MP'!S128="","",'Cálculo MP'!S128)</f>
        <v/>
      </c>
      <c r="BH118" s="59"/>
      <c r="BI118" s="59"/>
      <c r="BJ118" s="59"/>
      <c r="BK118" s="59"/>
      <c r="BL118" s="59"/>
      <c r="BM118" s="59"/>
      <c r="BN118" s="59"/>
      <c r="BO118" s="59"/>
    </row>
    <row r="119" spans="1:67" ht="19.5" customHeight="1" x14ac:dyDescent="0.15">
      <c r="A119" s="123" t="s">
        <v>1856</v>
      </c>
      <c r="B119" s="122" t="s">
        <v>1854</v>
      </c>
      <c r="C119" s="49"/>
      <c r="D119" s="48" t="s">
        <v>73</v>
      </c>
      <c r="E119" s="49"/>
      <c r="F119" s="50"/>
      <c r="G119" s="62"/>
      <c r="H119" s="48" t="s">
        <v>72</v>
      </c>
      <c r="I119" s="52">
        <v>1</v>
      </c>
      <c r="J119" s="52"/>
      <c r="K119" s="52" t="s">
        <v>73</v>
      </c>
      <c r="L119" s="52" t="s">
        <v>74</v>
      </c>
      <c r="M119" s="53" t="s">
        <v>942</v>
      </c>
      <c r="N119" s="58" t="s">
        <v>73</v>
      </c>
      <c r="O119" s="48" t="s">
        <v>72</v>
      </c>
      <c r="P119" s="48" t="s">
        <v>73</v>
      </c>
      <c r="Q119" s="54" t="s">
        <v>73</v>
      </c>
      <c r="R119" s="55" t="s">
        <v>73</v>
      </c>
      <c r="S119" s="48" t="s">
        <v>73</v>
      </c>
      <c r="T119" s="130"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8" t="str" cm="1">
        <f t="array" ref="U119">IF(SUMPRODUCT(--((CAT_Procesos!$E$2:$E$1581=O119)*(CAT_Procesos!$F$2:$F$1581=_xlfn.TEXTJOIN(" + ",TRUE,IF((TRIM(P119:S119)="")+(LOWER(TRIM(P119:S119))="(seleccione)"),"",PROPER(TRIM(P119:S119)))))*(CAT_Procesos!$D$2:$D$1581=IFERROR(VLOOKUP(N119&amp;"*",CAT_Procesos!$D:$D,1,FALSE),""))))=0,"Combinación no existente",IF(SUMPRODUCT(((CAT_Procesos!$E$2:$E$1581=O119)*(CAT_Procesos!$F$2:$F$1581=_xlfn.TEXTJOIN(" + ",TRUE,IF((TRIM(P119:S119)="")+(LOWER(TRIM(P119:S119))="(seleccione)"),"",PROPER(TRIM(P119:S119)))))*(CAT_Procesos!$D$2:$D$1581=IFERROR(VLOOKUP(N119&amp;"*",CAT_Procesos!$D:$D,1,FALSE),"")))*(CAT_Procesos!$G$2:$G$1581=INDEX(CAT_Procesos!$G$2:$G$1581,MATCH(1,(CAT_Procesos!$E$2:$E$1581=O119)*(CAT_Procesos!$F$2:$F$1581=_xlfn.TEXTJOIN(" + ",TRUE,IF((TRIM(P119:S119)="")+(LOWER(TRIM(P119:S119))="(seleccione)"),"",PROPER(TRIM(P119:S119)))))*(CAT_Procesos!$D$2:$D$1581=IFERROR(VLOOKUP(N119&amp;"*",CAT_Procesos!$D:$D,1,FALSE),"")),0))))=SUMPRODUCT(--((CAT_Procesos!$E$2:$E$1581=O119)*(CAT_Procesos!$F$2:$F$1581=_xlfn.TEXTJOIN(" + ",TRUE,IF((TRIM(P119:S119)="")+(LOWER(TRIM(P119:S119))="(seleccione)"),"",PROPER(TRIM(P119:S119)))))*(CAT_Procesos!$D$2:$D$1581=IFERROR(VLOOKUP(N119&amp;"*",CAT_Procesos!$D:$D,1,FALSE),"")))),INDEX(CAT_Procesos!$G$2:$G$1581,MATCH(1,(CAT_Procesos!$E$2:$E$1581=O119)*(CAT_Procesos!$F$2:$F$1581=_xlfn.TEXTJOIN(" + ",TRUE,IF((TRIM(P119:S119)="")+(LOWER(TRIM(P119:S119))="(seleccione)"),"",PROPER(TRIM(P119:S119)))))*(CAT_Procesos!$D$2:$D$1581=IFERROR(VLOOKUP(N119&amp;"*",CAT_Procesos!$D:$D,1,FALSE),"")),0)),"(seleccione)"))</f>
        <v>Combinación no existente</v>
      </c>
      <c r="V119" s="55" t="s">
        <v>73</v>
      </c>
      <c r="W119" s="56" t="s">
        <v>73</v>
      </c>
      <c r="X119" s="57" t="str">
        <f t="shared" si="4"/>
        <v/>
      </c>
      <c r="Y119" s="58" t="s">
        <v>73</v>
      </c>
      <c r="Z119" s="57" t="str">
        <f t="shared" si="5"/>
        <v/>
      </c>
      <c r="AA119" s="58" t="s">
        <v>73</v>
      </c>
      <c r="AB119" s="57" t="str">
        <f t="shared" si="6"/>
        <v/>
      </c>
      <c r="AC119" s="58" t="s">
        <v>73</v>
      </c>
      <c r="AD119" s="57" t="str">
        <f t="shared" si="7"/>
        <v/>
      </c>
      <c r="AE119" s="59"/>
      <c r="AF119" s="59"/>
      <c r="AG119" s="59"/>
      <c r="AH119" s="59"/>
      <c r="AI119" s="59" t="s">
        <v>73</v>
      </c>
      <c r="AJ119" s="59"/>
      <c r="AK119" s="59" t="s">
        <v>73</v>
      </c>
      <c r="AL119" s="59"/>
      <c r="AM119" s="59" t="s">
        <v>73</v>
      </c>
      <c r="AN119" s="59"/>
      <c r="AO119" s="59" t="s">
        <v>73</v>
      </c>
      <c r="AP119" s="59"/>
      <c r="AQ119" s="59" t="s">
        <v>73</v>
      </c>
      <c r="AR119" s="59"/>
      <c r="AS119" s="59" t="s">
        <v>72</v>
      </c>
      <c r="AT119" s="59"/>
      <c r="AU119" s="59"/>
      <c r="AV119" s="59"/>
      <c r="AW119" s="59"/>
      <c r="AX119" s="59"/>
      <c r="AY119" s="60" t="str">
        <f>IF('Cálculo MP'!K129="","",'Cálculo MP'!K129)</f>
        <v/>
      </c>
      <c r="AZ119" s="60" t="str">
        <f>IF('Cálculo MP'!L129="","",'Cálculo MP'!L129)</f>
        <v/>
      </c>
      <c r="BA119" s="60" t="str">
        <f>IF('Cálculo MP'!M129="","",'Cálculo MP'!M129)</f>
        <v/>
      </c>
      <c r="BB119" s="60" t="str">
        <f>IF('Cálculo MP'!N129="","",'Cálculo MP'!N129)</f>
        <v/>
      </c>
      <c r="BC119" s="60" t="str">
        <f>IF('Cálculo MP'!O129="","",'Cálculo MP'!O129)</f>
        <v/>
      </c>
      <c r="BD119" s="60" t="str">
        <f>IF('Cálculo MP'!P129="","",'Cálculo MP'!P129)</f>
        <v/>
      </c>
      <c r="BE119" s="60" t="str">
        <f>IF('Cálculo MP'!Q129="","",'Cálculo MP'!Q129)</f>
        <v/>
      </c>
      <c r="BF119" s="60" t="str">
        <f>IF('Cálculo MP'!R129="","",'Cálculo MP'!R129)</f>
        <v/>
      </c>
      <c r="BG119" s="60" t="str">
        <f>IF('Cálculo MP'!S129="","",'Cálculo MP'!S129)</f>
        <v/>
      </c>
      <c r="BH119" s="59"/>
      <c r="BI119" s="59"/>
      <c r="BJ119" s="59"/>
      <c r="BK119" s="59"/>
      <c r="BL119" s="59"/>
      <c r="BM119" s="59"/>
      <c r="BN119" s="59"/>
      <c r="BO119" s="59"/>
    </row>
    <row r="120" spans="1:67" ht="19.5" customHeight="1" x14ac:dyDescent="0.15">
      <c r="A120" s="123" t="s">
        <v>1856</v>
      </c>
      <c r="B120" s="122" t="s">
        <v>1854</v>
      </c>
      <c r="C120" s="49"/>
      <c r="D120" s="48" t="s">
        <v>73</v>
      </c>
      <c r="E120" s="49"/>
      <c r="F120" s="50"/>
      <c r="G120" s="62"/>
      <c r="H120" s="48" t="s">
        <v>72</v>
      </c>
      <c r="I120" s="52">
        <v>1</v>
      </c>
      <c r="J120" s="52"/>
      <c r="K120" s="52" t="s">
        <v>73</v>
      </c>
      <c r="L120" s="52" t="s">
        <v>74</v>
      </c>
      <c r="M120" s="53" t="s">
        <v>942</v>
      </c>
      <c r="N120" s="58" t="s">
        <v>73</v>
      </c>
      <c r="O120" s="48" t="s">
        <v>72</v>
      </c>
      <c r="P120" s="48" t="s">
        <v>73</v>
      </c>
      <c r="Q120" s="54" t="s">
        <v>73</v>
      </c>
      <c r="R120" s="55" t="s">
        <v>73</v>
      </c>
      <c r="S120" s="48" t="s">
        <v>73</v>
      </c>
      <c r="T120" s="130"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8" t="str" cm="1">
        <f t="array" ref="U120">IF(SUMPRODUCT(--((CAT_Procesos!$E$2:$E$1581=O120)*(CAT_Procesos!$F$2:$F$1581=_xlfn.TEXTJOIN(" + ",TRUE,IF((TRIM(P120:S120)="")+(LOWER(TRIM(P120:S120))="(seleccione)"),"",PROPER(TRIM(P120:S120)))))*(CAT_Procesos!$D$2:$D$1581=IFERROR(VLOOKUP(N120&amp;"*",CAT_Procesos!$D:$D,1,FALSE),""))))=0,"Combinación no existente",IF(SUMPRODUCT(((CAT_Procesos!$E$2:$E$1581=O120)*(CAT_Procesos!$F$2:$F$1581=_xlfn.TEXTJOIN(" + ",TRUE,IF((TRIM(P120:S120)="")+(LOWER(TRIM(P120:S120))="(seleccione)"),"",PROPER(TRIM(P120:S120)))))*(CAT_Procesos!$D$2:$D$1581=IFERROR(VLOOKUP(N120&amp;"*",CAT_Procesos!$D:$D,1,FALSE),"")))*(CAT_Procesos!$G$2:$G$1581=INDEX(CAT_Procesos!$G$2:$G$1581,MATCH(1,(CAT_Procesos!$E$2:$E$1581=O120)*(CAT_Procesos!$F$2:$F$1581=_xlfn.TEXTJOIN(" + ",TRUE,IF((TRIM(P120:S120)="")+(LOWER(TRIM(P120:S120))="(seleccione)"),"",PROPER(TRIM(P120:S120)))))*(CAT_Procesos!$D$2:$D$1581=IFERROR(VLOOKUP(N120&amp;"*",CAT_Procesos!$D:$D,1,FALSE),"")),0))))=SUMPRODUCT(--((CAT_Procesos!$E$2:$E$1581=O120)*(CAT_Procesos!$F$2:$F$1581=_xlfn.TEXTJOIN(" + ",TRUE,IF((TRIM(P120:S120)="")+(LOWER(TRIM(P120:S120))="(seleccione)"),"",PROPER(TRIM(P120:S120)))))*(CAT_Procesos!$D$2:$D$1581=IFERROR(VLOOKUP(N120&amp;"*",CAT_Procesos!$D:$D,1,FALSE),"")))),INDEX(CAT_Procesos!$G$2:$G$1581,MATCH(1,(CAT_Procesos!$E$2:$E$1581=O120)*(CAT_Procesos!$F$2:$F$1581=_xlfn.TEXTJOIN(" + ",TRUE,IF((TRIM(P120:S120)="")+(LOWER(TRIM(P120:S120))="(seleccione)"),"",PROPER(TRIM(P120:S120)))))*(CAT_Procesos!$D$2:$D$1581=IFERROR(VLOOKUP(N120&amp;"*",CAT_Procesos!$D:$D,1,FALSE),"")),0)),"(seleccione)"))</f>
        <v>Combinación no existente</v>
      </c>
      <c r="V120" s="55" t="s">
        <v>73</v>
      </c>
      <c r="W120" s="56" t="s">
        <v>73</v>
      </c>
      <c r="X120" s="57" t="str">
        <f t="shared" si="4"/>
        <v/>
      </c>
      <c r="Y120" s="58" t="s">
        <v>73</v>
      </c>
      <c r="Z120" s="57" t="str">
        <f t="shared" si="5"/>
        <v/>
      </c>
      <c r="AA120" s="58" t="s">
        <v>73</v>
      </c>
      <c r="AB120" s="57" t="str">
        <f t="shared" si="6"/>
        <v/>
      </c>
      <c r="AC120" s="58" t="s">
        <v>73</v>
      </c>
      <c r="AD120" s="57" t="str">
        <f t="shared" si="7"/>
        <v/>
      </c>
      <c r="AE120" s="59"/>
      <c r="AF120" s="59"/>
      <c r="AG120" s="59"/>
      <c r="AH120" s="59"/>
      <c r="AI120" s="59" t="s">
        <v>73</v>
      </c>
      <c r="AJ120" s="59"/>
      <c r="AK120" s="59" t="s">
        <v>73</v>
      </c>
      <c r="AL120" s="59"/>
      <c r="AM120" s="59" t="s">
        <v>73</v>
      </c>
      <c r="AN120" s="59"/>
      <c r="AO120" s="59" t="s">
        <v>73</v>
      </c>
      <c r="AP120" s="59"/>
      <c r="AQ120" s="59" t="s">
        <v>73</v>
      </c>
      <c r="AR120" s="59"/>
      <c r="AS120" s="59" t="s">
        <v>72</v>
      </c>
      <c r="AT120" s="59"/>
      <c r="AU120" s="59"/>
      <c r="AV120" s="59"/>
      <c r="AW120" s="59"/>
      <c r="AX120" s="59"/>
      <c r="AY120" s="60" t="str">
        <f>IF('Cálculo MP'!K130="","",'Cálculo MP'!K130)</f>
        <v/>
      </c>
      <c r="AZ120" s="60" t="str">
        <f>IF('Cálculo MP'!L130="","",'Cálculo MP'!L130)</f>
        <v/>
      </c>
      <c r="BA120" s="60" t="str">
        <f>IF('Cálculo MP'!M130="","",'Cálculo MP'!M130)</f>
        <v/>
      </c>
      <c r="BB120" s="60" t="str">
        <f>IF('Cálculo MP'!N130="","",'Cálculo MP'!N130)</f>
        <v/>
      </c>
      <c r="BC120" s="60" t="str">
        <f>IF('Cálculo MP'!O130="","",'Cálculo MP'!O130)</f>
        <v/>
      </c>
      <c r="BD120" s="60" t="str">
        <f>IF('Cálculo MP'!P130="","",'Cálculo MP'!P130)</f>
        <v/>
      </c>
      <c r="BE120" s="60" t="str">
        <f>IF('Cálculo MP'!Q130="","",'Cálculo MP'!Q130)</f>
        <v/>
      </c>
      <c r="BF120" s="60" t="str">
        <f>IF('Cálculo MP'!R130="","",'Cálculo MP'!R130)</f>
        <v/>
      </c>
      <c r="BG120" s="60" t="str">
        <f>IF('Cálculo MP'!S130="","",'Cálculo MP'!S130)</f>
        <v/>
      </c>
      <c r="BH120" s="59"/>
      <c r="BI120" s="59"/>
      <c r="BJ120" s="59"/>
      <c r="BK120" s="59"/>
      <c r="BL120" s="59"/>
      <c r="BM120" s="59"/>
      <c r="BN120" s="59"/>
      <c r="BO120" s="59"/>
    </row>
    <row r="121" spans="1:67" ht="19.5" customHeight="1" x14ac:dyDescent="0.15">
      <c r="A121" s="123" t="s">
        <v>1856</v>
      </c>
      <c r="B121" s="122" t="s">
        <v>1854</v>
      </c>
      <c r="C121" s="49"/>
      <c r="D121" s="48" t="s">
        <v>73</v>
      </c>
      <c r="E121" s="49"/>
      <c r="F121" s="50"/>
      <c r="G121" s="62"/>
      <c r="H121" s="48" t="s">
        <v>72</v>
      </c>
      <c r="I121" s="52">
        <v>1</v>
      </c>
      <c r="J121" s="52"/>
      <c r="K121" s="52" t="s">
        <v>73</v>
      </c>
      <c r="L121" s="52" t="s">
        <v>74</v>
      </c>
      <c r="M121" s="53" t="s">
        <v>942</v>
      </c>
      <c r="N121" s="58" t="s">
        <v>73</v>
      </c>
      <c r="O121" s="48" t="s">
        <v>72</v>
      </c>
      <c r="P121" s="48" t="s">
        <v>73</v>
      </c>
      <c r="Q121" s="54" t="s">
        <v>73</v>
      </c>
      <c r="R121" s="55" t="s">
        <v>73</v>
      </c>
      <c r="S121" s="48" t="s">
        <v>73</v>
      </c>
      <c r="T121" s="130"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8" t="str" cm="1">
        <f t="array" ref="U121">IF(SUMPRODUCT(--((CAT_Procesos!$E$2:$E$1581=O121)*(CAT_Procesos!$F$2:$F$1581=_xlfn.TEXTJOIN(" + ",TRUE,IF((TRIM(P121:S121)="")+(LOWER(TRIM(P121:S121))="(seleccione)"),"",PROPER(TRIM(P121:S121)))))*(CAT_Procesos!$D$2:$D$1581=IFERROR(VLOOKUP(N121&amp;"*",CAT_Procesos!$D:$D,1,FALSE),""))))=0,"Combinación no existente",IF(SUMPRODUCT(((CAT_Procesos!$E$2:$E$1581=O121)*(CAT_Procesos!$F$2:$F$1581=_xlfn.TEXTJOIN(" + ",TRUE,IF((TRIM(P121:S121)="")+(LOWER(TRIM(P121:S121))="(seleccione)"),"",PROPER(TRIM(P121:S121)))))*(CAT_Procesos!$D$2:$D$1581=IFERROR(VLOOKUP(N121&amp;"*",CAT_Procesos!$D:$D,1,FALSE),"")))*(CAT_Procesos!$G$2:$G$1581=INDEX(CAT_Procesos!$G$2:$G$1581,MATCH(1,(CAT_Procesos!$E$2:$E$1581=O121)*(CAT_Procesos!$F$2:$F$1581=_xlfn.TEXTJOIN(" + ",TRUE,IF((TRIM(P121:S121)="")+(LOWER(TRIM(P121:S121))="(seleccione)"),"",PROPER(TRIM(P121:S121)))))*(CAT_Procesos!$D$2:$D$1581=IFERROR(VLOOKUP(N121&amp;"*",CAT_Procesos!$D:$D,1,FALSE),"")),0))))=SUMPRODUCT(--((CAT_Procesos!$E$2:$E$1581=O121)*(CAT_Procesos!$F$2:$F$1581=_xlfn.TEXTJOIN(" + ",TRUE,IF((TRIM(P121:S121)="")+(LOWER(TRIM(P121:S121))="(seleccione)"),"",PROPER(TRIM(P121:S121)))))*(CAT_Procesos!$D$2:$D$1581=IFERROR(VLOOKUP(N121&amp;"*",CAT_Procesos!$D:$D,1,FALSE),"")))),INDEX(CAT_Procesos!$G$2:$G$1581,MATCH(1,(CAT_Procesos!$E$2:$E$1581=O121)*(CAT_Procesos!$F$2:$F$1581=_xlfn.TEXTJOIN(" + ",TRUE,IF((TRIM(P121:S121)="")+(LOWER(TRIM(P121:S121))="(seleccione)"),"",PROPER(TRIM(P121:S121)))))*(CAT_Procesos!$D$2:$D$1581=IFERROR(VLOOKUP(N121&amp;"*",CAT_Procesos!$D:$D,1,FALSE),"")),0)),"(seleccione)"))</f>
        <v>Combinación no existente</v>
      </c>
      <c r="V121" s="55" t="s">
        <v>73</v>
      </c>
      <c r="W121" s="56" t="s">
        <v>73</v>
      </c>
      <c r="X121" s="57" t="str">
        <f t="shared" si="4"/>
        <v/>
      </c>
      <c r="Y121" s="58" t="s">
        <v>73</v>
      </c>
      <c r="Z121" s="57" t="str">
        <f t="shared" si="5"/>
        <v/>
      </c>
      <c r="AA121" s="58" t="s">
        <v>73</v>
      </c>
      <c r="AB121" s="57" t="str">
        <f t="shared" si="6"/>
        <v/>
      </c>
      <c r="AC121" s="58" t="s">
        <v>73</v>
      </c>
      <c r="AD121" s="57" t="str">
        <f t="shared" si="7"/>
        <v/>
      </c>
      <c r="AE121" s="59"/>
      <c r="AF121" s="59"/>
      <c r="AG121" s="59"/>
      <c r="AH121" s="59"/>
      <c r="AI121" s="59" t="s">
        <v>73</v>
      </c>
      <c r="AJ121" s="59"/>
      <c r="AK121" s="59" t="s">
        <v>73</v>
      </c>
      <c r="AL121" s="59"/>
      <c r="AM121" s="59" t="s">
        <v>73</v>
      </c>
      <c r="AN121" s="59"/>
      <c r="AO121" s="59" t="s">
        <v>73</v>
      </c>
      <c r="AP121" s="59"/>
      <c r="AQ121" s="59" t="s">
        <v>73</v>
      </c>
      <c r="AR121" s="59"/>
      <c r="AS121" s="59" t="s">
        <v>72</v>
      </c>
      <c r="AT121" s="59"/>
      <c r="AU121" s="59"/>
      <c r="AV121" s="59"/>
      <c r="AW121" s="59"/>
      <c r="AX121" s="59"/>
      <c r="AY121" s="60" t="str">
        <f>IF('Cálculo MP'!K131="","",'Cálculo MP'!K131)</f>
        <v/>
      </c>
      <c r="AZ121" s="60" t="str">
        <f>IF('Cálculo MP'!L131="","",'Cálculo MP'!L131)</f>
        <v/>
      </c>
      <c r="BA121" s="60" t="str">
        <f>IF('Cálculo MP'!M131="","",'Cálculo MP'!M131)</f>
        <v/>
      </c>
      <c r="BB121" s="60" t="str">
        <f>IF('Cálculo MP'!N131="","",'Cálculo MP'!N131)</f>
        <v/>
      </c>
      <c r="BC121" s="60" t="str">
        <f>IF('Cálculo MP'!O131="","",'Cálculo MP'!O131)</f>
        <v/>
      </c>
      <c r="BD121" s="60" t="str">
        <f>IF('Cálculo MP'!P131="","",'Cálculo MP'!P131)</f>
        <v/>
      </c>
      <c r="BE121" s="60" t="str">
        <f>IF('Cálculo MP'!Q131="","",'Cálculo MP'!Q131)</f>
        <v/>
      </c>
      <c r="BF121" s="60" t="str">
        <f>IF('Cálculo MP'!R131="","",'Cálculo MP'!R131)</f>
        <v/>
      </c>
      <c r="BG121" s="60" t="str">
        <f>IF('Cálculo MP'!S131="","",'Cálculo MP'!S131)</f>
        <v/>
      </c>
      <c r="BH121" s="59"/>
      <c r="BI121" s="59"/>
      <c r="BJ121" s="59"/>
      <c r="BK121" s="59"/>
      <c r="BL121" s="59"/>
      <c r="BM121" s="59"/>
      <c r="BN121" s="59"/>
      <c r="BO121" s="59"/>
    </row>
    <row r="122" spans="1:67" ht="19.5" customHeight="1" x14ac:dyDescent="0.15">
      <c r="A122" s="123" t="s">
        <v>1856</v>
      </c>
      <c r="B122" s="122" t="s">
        <v>1854</v>
      </c>
      <c r="C122" s="49"/>
      <c r="D122" s="48" t="s">
        <v>73</v>
      </c>
      <c r="E122" s="49"/>
      <c r="F122" s="50"/>
      <c r="G122" s="62"/>
      <c r="H122" s="48" t="s">
        <v>72</v>
      </c>
      <c r="I122" s="52">
        <v>1</v>
      </c>
      <c r="J122" s="52"/>
      <c r="K122" s="52" t="s">
        <v>73</v>
      </c>
      <c r="L122" s="52" t="s">
        <v>74</v>
      </c>
      <c r="M122" s="53" t="s">
        <v>942</v>
      </c>
      <c r="N122" s="58" t="s">
        <v>73</v>
      </c>
      <c r="O122" s="48" t="s">
        <v>72</v>
      </c>
      <c r="P122" s="48" t="s">
        <v>73</v>
      </c>
      <c r="Q122" s="54" t="s">
        <v>73</v>
      </c>
      <c r="R122" s="55" t="s">
        <v>73</v>
      </c>
      <c r="S122" s="48" t="s">
        <v>73</v>
      </c>
      <c r="T122" s="130"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8" t="str" cm="1">
        <f t="array" ref="U122">IF(SUMPRODUCT(--((CAT_Procesos!$E$2:$E$1581=O122)*(CAT_Procesos!$F$2:$F$1581=_xlfn.TEXTJOIN(" + ",TRUE,IF((TRIM(P122:S122)="")+(LOWER(TRIM(P122:S122))="(seleccione)"),"",PROPER(TRIM(P122:S122)))))*(CAT_Procesos!$D$2:$D$1581=IFERROR(VLOOKUP(N122&amp;"*",CAT_Procesos!$D:$D,1,FALSE),""))))=0,"Combinación no existente",IF(SUMPRODUCT(((CAT_Procesos!$E$2:$E$1581=O122)*(CAT_Procesos!$F$2:$F$1581=_xlfn.TEXTJOIN(" + ",TRUE,IF((TRIM(P122:S122)="")+(LOWER(TRIM(P122:S122))="(seleccione)"),"",PROPER(TRIM(P122:S122)))))*(CAT_Procesos!$D$2:$D$1581=IFERROR(VLOOKUP(N122&amp;"*",CAT_Procesos!$D:$D,1,FALSE),"")))*(CAT_Procesos!$G$2:$G$1581=INDEX(CAT_Procesos!$G$2:$G$1581,MATCH(1,(CAT_Procesos!$E$2:$E$1581=O122)*(CAT_Procesos!$F$2:$F$1581=_xlfn.TEXTJOIN(" + ",TRUE,IF((TRIM(P122:S122)="")+(LOWER(TRIM(P122:S122))="(seleccione)"),"",PROPER(TRIM(P122:S122)))))*(CAT_Procesos!$D$2:$D$1581=IFERROR(VLOOKUP(N122&amp;"*",CAT_Procesos!$D:$D,1,FALSE),"")),0))))=SUMPRODUCT(--((CAT_Procesos!$E$2:$E$1581=O122)*(CAT_Procesos!$F$2:$F$1581=_xlfn.TEXTJOIN(" + ",TRUE,IF((TRIM(P122:S122)="")+(LOWER(TRIM(P122:S122))="(seleccione)"),"",PROPER(TRIM(P122:S122)))))*(CAT_Procesos!$D$2:$D$1581=IFERROR(VLOOKUP(N122&amp;"*",CAT_Procesos!$D:$D,1,FALSE),"")))),INDEX(CAT_Procesos!$G$2:$G$1581,MATCH(1,(CAT_Procesos!$E$2:$E$1581=O122)*(CAT_Procesos!$F$2:$F$1581=_xlfn.TEXTJOIN(" + ",TRUE,IF((TRIM(P122:S122)="")+(LOWER(TRIM(P122:S122))="(seleccione)"),"",PROPER(TRIM(P122:S122)))))*(CAT_Procesos!$D$2:$D$1581=IFERROR(VLOOKUP(N122&amp;"*",CAT_Procesos!$D:$D,1,FALSE),"")),0)),"(seleccione)"))</f>
        <v>Combinación no existente</v>
      </c>
      <c r="V122" s="55" t="s">
        <v>73</v>
      </c>
      <c r="W122" s="56" t="s">
        <v>73</v>
      </c>
      <c r="X122" s="57" t="str">
        <f t="shared" si="4"/>
        <v/>
      </c>
      <c r="Y122" s="58" t="s">
        <v>73</v>
      </c>
      <c r="Z122" s="57" t="str">
        <f t="shared" si="5"/>
        <v/>
      </c>
      <c r="AA122" s="58" t="s">
        <v>73</v>
      </c>
      <c r="AB122" s="57" t="str">
        <f t="shared" si="6"/>
        <v/>
      </c>
      <c r="AC122" s="58" t="s">
        <v>73</v>
      </c>
      <c r="AD122" s="57" t="str">
        <f t="shared" si="7"/>
        <v/>
      </c>
      <c r="AE122" s="59"/>
      <c r="AF122" s="59"/>
      <c r="AG122" s="59"/>
      <c r="AH122" s="59"/>
      <c r="AI122" s="59" t="s">
        <v>73</v>
      </c>
      <c r="AJ122" s="59"/>
      <c r="AK122" s="59" t="s">
        <v>73</v>
      </c>
      <c r="AL122" s="59"/>
      <c r="AM122" s="59" t="s">
        <v>73</v>
      </c>
      <c r="AN122" s="59"/>
      <c r="AO122" s="59" t="s">
        <v>73</v>
      </c>
      <c r="AP122" s="59"/>
      <c r="AQ122" s="59" t="s">
        <v>73</v>
      </c>
      <c r="AR122" s="59"/>
      <c r="AS122" s="59" t="s">
        <v>72</v>
      </c>
      <c r="AT122" s="59"/>
      <c r="AU122" s="59"/>
      <c r="AV122" s="59"/>
      <c r="AW122" s="59"/>
      <c r="AX122" s="59"/>
      <c r="AY122" s="60" t="str">
        <f>IF('Cálculo MP'!K132="","",'Cálculo MP'!K132)</f>
        <v/>
      </c>
      <c r="AZ122" s="60" t="str">
        <f>IF('Cálculo MP'!L132="","",'Cálculo MP'!L132)</f>
        <v/>
      </c>
      <c r="BA122" s="60" t="str">
        <f>IF('Cálculo MP'!M132="","",'Cálculo MP'!M132)</f>
        <v/>
      </c>
      <c r="BB122" s="60" t="str">
        <f>IF('Cálculo MP'!N132="","",'Cálculo MP'!N132)</f>
        <v/>
      </c>
      <c r="BC122" s="60" t="str">
        <f>IF('Cálculo MP'!O132="","",'Cálculo MP'!O132)</f>
        <v/>
      </c>
      <c r="BD122" s="60" t="str">
        <f>IF('Cálculo MP'!P132="","",'Cálculo MP'!P132)</f>
        <v/>
      </c>
      <c r="BE122" s="60" t="str">
        <f>IF('Cálculo MP'!Q132="","",'Cálculo MP'!Q132)</f>
        <v/>
      </c>
      <c r="BF122" s="60" t="str">
        <f>IF('Cálculo MP'!R132="","",'Cálculo MP'!R132)</f>
        <v/>
      </c>
      <c r="BG122" s="60" t="str">
        <f>IF('Cálculo MP'!S132="","",'Cálculo MP'!S132)</f>
        <v/>
      </c>
      <c r="BH122" s="59"/>
      <c r="BI122" s="59"/>
      <c r="BJ122" s="59"/>
      <c r="BK122" s="59"/>
      <c r="BL122" s="59"/>
      <c r="BM122" s="59"/>
      <c r="BN122" s="59"/>
      <c r="BO122" s="59"/>
    </row>
    <row r="123" spans="1:67" ht="19.5" customHeight="1" x14ac:dyDescent="0.15">
      <c r="A123" s="123" t="s">
        <v>1856</v>
      </c>
      <c r="B123" s="122" t="s">
        <v>1854</v>
      </c>
      <c r="C123" s="49"/>
      <c r="D123" s="48" t="s">
        <v>73</v>
      </c>
      <c r="E123" s="49"/>
      <c r="F123" s="50"/>
      <c r="G123" s="62"/>
      <c r="H123" s="48" t="s">
        <v>72</v>
      </c>
      <c r="I123" s="52">
        <v>1</v>
      </c>
      <c r="J123" s="52"/>
      <c r="K123" s="52" t="s">
        <v>73</v>
      </c>
      <c r="L123" s="52" t="s">
        <v>74</v>
      </c>
      <c r="M123" s="53" t="s">
        <v>942</v>
      </c>
      <c r="N123" s="58" t="s">
        <v>73</v>
      </c>
      <c r="O123" s="48" t="s">
        <v>72</v>
      </c>
      <c r="P123" s="48" t="s">
        <v>73</v>
      </c>
      <c r="Q123" s="54" t="s">
        <v>73</v>
      </c>
      <c r="R123" s="55" t="s">
        <v>73</v>
      </c>
      <c r="S123" s="48" t="s">
        <v>73</v>
      </c>
      <c r="T123" s="130"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8" t="str" cm="1">
        <f t="array" ref="U123">IF(SUMPRODUCT(--((CAT_Procesos!$E$2:$E$1581=O123)*(CAT_Procesos!$F$2:$F$1581=_xlfn.TEXTJOIN(" + ",TRUE,IF((TRIM(P123:S123)="")+(LOWER(TRIM(P123:S123))="(seleccione)"),"",PROPER(TRIM(P123:S123)))))*(CAT_Procesos!$D$2:$D$1581=IFERROR(VLOOKUP(N123&amp;"*",CAT_Procesos!$D:$D,1,FALSE),""))))=0,"Combinación no existente",IF(SUMPRODUCT(((CAT_Procesos!$E$2:$E$1581=O123)*(CAT_Procesos!$F$2:$F$1581=_xlfn.TEXTJOIN(" + ",TRUE,IF((TRIM(P123:S123)="")+(LOWER(TRIM(P123:S123))="(seleccione)"),"",PROPER(TRIM(P123:S123)))))*(CAT_Procesos!$D$2:$D$1581=IFERROR(VLOOKUP(N123&amp;"*",CAT_Procesos!$D:$D,1,FALSE),"")))*(CAT_Procesos!$G$2:$G$1581=INDEX(CAT_Procesos!$G$2:$G$1581,MATCH(1,(CAT_Procesos!$E$2:$E$1581=O123)*(CAT_Procesos!$F$2:$F$1581=_xlfn.TEXTJOIN(" + ",TRUE,IF((TRIM(P123:S123)="")+(LOWER(TRIM(P123:S123))="(seleccione)"),"",PROPER(TRIM(P123:S123)))))*(CAT_Procesos!$D$2:$D$1581=IFERROR(VLOOKUP(N123&amp;"*",CAT_Procesos!$D:$D,1,FALSE),"")),0))))=SUMPRODUCT(--((CAT_Procesos!$E$2:$E$1581=O123)*(CAT_Procesos!$F$2:$F$1581=_xlfn.TEXTJOIN(" + ",TRUE,IF((TRIM(P123:S123)="")+(LOWER(TRIM(P123:S123))="(seleccione)"),"",PROPER(TRIM(P123:S123)))))*(CAT_Procesos!$D$2:$D$1581=IFERROR(VLOOKUP(N123&amp;"*",CAT_Procesos!$D:$D,1,FALSE),"")))),INDEX(CAT_Procesos!$G$2:$G$1581,MATCH(1,(CAT_Procesos!$E$2:$E$1581=O123)*(CAT_Procesos!$F$2:$F$1581=_xlfn.TEXTJOIN(" + ",TRUE,IF((TRIM(P123:S123)="")+(LOWER(TRIM(P123:S123))="(seleccione)"),"",PROPER(TRIM(P123:S123)))))*(CAT_Procesos!$D$2:$D$1581=IFERROR(VLOOKUP(N123&amp;"*",CAT_Procesos!$D:$D,1,FALSE),"")),0)),"(seleccione)"))</f>
        <v>Combinación no existente</v>
      </c>
      <c r="V123" s="55" t="s">
        <v>73</v>
      </c>
      <c r="W123" s="56" t="s">
        <v>73</v>
      </c>
      <c r="X123" s="57" t="str">
        <f t="shared" si="4"/>
        <v/>
      </c>
      <c r="Y123" s="58" t="s">
        <v>73</v>
      </c>
      <c r="Z123" s="57" t="str">
        <f t="shared" si="5"/>
        <v/>
      </c>
      <c r="AA123" s="58" t="s">
        <v>73</v>
      </c>
      <c r="AB123" s="57" t="str">
        <f t="shared" si="6"/>
        <v/>
      </c>
      <c r="AC123" s="58" t="s">
        <v>73</v>
      </c>
      <c r="AD123" s="57" t="str">
        <f t="shared" si="7"/>
        <v/>
      </c>
      <c r="AE123" s="59"/>
      <c r="AF123" s="59"/>
      <c r="AG123" s="59"/>
      <c r="AH123" s="59"/>
      <c r="AI123" s="59" t="s">
        <v>73</v>
      </c>
      <c r="AJ123" s="59"/>
      <c r="AK123" s="59" t="s">
        <v>73</v>
      </c>
      <c r="AL123" s="59"/>
      <c r="AM123" s="59" t="s">
        <v>73</v>
      </c>
      <c r="AN123" s="59"/>
      <c r="AO123" s="59" t="s">
        <v>73</v>
      </c>
      <c r="AP123" s="59"/>
      <c r="AQ123" s="59" t="s">
        <v>73</v>
      </c>
      <c r="AR123" s="59"/>
      <c r="AS123" s="59" t="s">
        <v>72</v>
      </c>
      <c r="AT123" s="59"/>
      <c r="AU123" s="59"/>
      <c r="AV123" s="59"/>
      <c r="AW123" s="59"/>
      <c r="AX123" s="59"/>
      <c r="AY123" s="60" t="str">
        <f>IF('Cálculo MP'!K133="","",'Cálculo MP'!K133)</f>
        <v/>
      </c>
      <c r="AZ123" s="60" t="str">
        <f>IF('Cálculo MP'!L133="","",'Cálculo MP'!L133)</f>
        <v/>
      </c>
      <c r="BA123" s="60" t="str">
        <f>IF('Cálculo MP'!M133="","",'Cálculo MP'!M133)</f>
        <v/>
      </c>
      <c r="BB123" s="60" t="str">
        <f>IF('Cálculo MP'!N133="","",'Cálculo MP'!N133)</f>
        <v/>
      </c>
      <c r="BC123" s="60" t="str">
        <f>IF('Cálculo MP'!O133="","",'Cálculo MP'!O133)</f>
        <v/>
      </c>
      <c r="BD123" s="60" t="str">
        <f>IF('Cálculo MP'!P133="","",'Cálculo MP'!P133)</f>
        <v/>
      </c>
      <c r="BE123" s="60" t="str">
        <f>IF('Cálculo MP'!Q133="","",'Cálculo MP'!Q133)</f>
        <v/>
      </c>
      <c r="BF123" s="60" t="str">
        <f>IF('Cálculo MP'!R133="","",'Cálculo MP'!R133)</f>
        <v/>
      </c>
      <c r="BG123" s="60" t="str">
        <f>IF('Cálculo MP'!S133="","",'Cálculo MP'!S133)</f>
        <v/>
      </c>
      <c r="BH123" s="59"/>
      <c r="BI123" s="59"/>
      <c r="BJ123" s="59"/>
      <c r="BK123" s="59"/>
      <c r="BL123" s="59"/>
      <c r="BM123" s="59"/>
      <c r="BN123" s="59"/>
      <c r="BO123" s="59"/>
    </row>
    <row r="124" spans="1:67" ht="19.5" customHeight="1" x14ac:dyDescent="0.15">
      <c r="A124" s="123" t="s">
        <v>1856</v>
      </c>
      <c r="B124" s="122" t="s">
        <v>1854</v>
      </c>
      <c r="C124" s="49"/>
      <c r="D124" s="48" t="s">
        <v>73</v>
      </c>
      <c r="E124" s="49"/>
      <c r="F124" s="50"/>
      <c r="G124" s="62"/>
      <c r="H124" s="48" t="s">
        <v>72</v>
      </c>
      <c r="I124" s="52">
        <v>1</v>
      </c>
      <c r="J124" s="52"/>
      <c r="K124" s="52" t="s">
        <v>73</v>
      </c>
      <c r="L124" s="52" t="s">
        <v>74</v>
      </c>
      <c r="M124" s="53" t="s">
        <v>942</v>
      </c>
      <c r="N124" s="58" t="s">
        <v>73</v>
      </c>
      <c r="O124" s="48" t="s">
        <v>72</v>
      </c>
      <c r="P124" s="48" t="s">
        <v>73</v>
      </c>
      <c r="Q124" s="54" t="s">
        <v>73</v>
      </c>
      <c r="R124" s="55" t="s">
        <v>73</v>
      </c>
      <c r="S124" s="48" t="s">
        <v>73</v>
      </c>
      <c r="T124" s="130"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8" t="str" cm="1">
        <f t="array" ref="U124">IF(SUMPRODUCT(--((CAT_Procesos!$E$2:$E$1581=O124)*(CAT_Procesos!$F$2:$F$1581=_xlfn.TEXTJOIN(" + ",TRUE,IF((TRIM(P124:S124)="")+(LOWER(TRIM(P124:S124))="(seleccione)"),"",PROPER(TRIM(P124:S124)))))*(CAT_Procesos!$D$2:$D$1581=IFERROR(VLOOKUP(N124&amp;"*",CAT_Procesos!$D:$D,1,FALSE),""))))=0,"Combinación no existente",IF(SUMPRODUCT(((CAT_Procesos!$E$2:$E$1581=O124)*(CAT_Procesos!$F$2:$F$1581=_xlfn.TEXTJOIN(" + ",TRUE,IF((TRIM(P124:S124)="")+(LOWER(TRIM(P124:S124))="(seleccione)"),"",PROPER(TRIM(P124:S124)))))*(CAT_Procesos!$D$2:$D$1581=IFERROR(VLOOKUP(N124&amp;"*",CAT_Procesos!$D:$D,1,FALSE),"")))*(CAT_Procesos!$G$2:$G$1581=INDEX(CAT_Procesos!$G$2:$G$1581,MATCH(1,(CAT_Procesos!$E$2:$E$1581=O124)*(CAT_Procesos!$F$2:$F$1581=_xlfn.TEXTJOIN(" + ",TRUE,IF((TRIM(P124:S124)="")+(LOWER(TRIM(P124:S124))="(seleccione)"),"",PROPER(TRIM(P124:S124)))))*(CAT_Procesos!$D$2:$D$1581=IFERROR(VLOOKUP(N124&amp;"*",CAT_Procesos!$D:$D,1,FALSE),"")),0))))=SUMPRODUCT(--((CAT_Procesos!$E$2:$E$1581=O124)*(CAT_Procesos!$F$2:$F$1581=_xlfn.TEXTJOIN(" + ",TRUE,IF((TRIM(P124:S124)="")+(LOWER(TRIM(P124:S124))="(seleccione)"),"",PROPER(TRIM(P124:S124)))))*(CAT_Procesos!$D$2:$D$1581=IFERROR(VLOOKUP(N124&amp;"*",CAT_Procesos!$D:$D,1,FALSE),"")))),INDEX(CAT_Procesos!$G$2:$G$1581,MATCH(1,(CAT_Procesos!$E$2:$E$1581=O124)*(CAT_Procesos!$F$2:$F$1581=_xlfn.TEXTJOIN(" + ",TRUE,IF((TRIM(P124:S124)="")+(LOWER(TRIM(P124:S124))="(seleccione)"),"",PROPER(TRIM(P124:S124)))))*(CAT_Procesos!$D$2:$D$1581=IFERROR(VLOOKUP(N124&amp;"*",CAT_Procesos!$D:$D,1,FALSE),"")),0)),"(seleccione)"))</f>
        <v>Combinación no existente</v>
      </c>
      <c r="V124" s="55" t="s">
        <v>73</v>
      </c>
      <c r="W124" s="56" t="s">
        <v>73</v>
      </c>
      <c r="X124" s="57" t="str">
        <f t="shared" si="4"/>
        <v/>
      </c>
      <c r="Y124" s="58" t="s">
        <v>73</v>
      </c>
      <c r="Z124" s="57" t="str">
        <f t="shared" si="5"/>
        <v/>
      </c>
      <c r="AA124" s="58" t="s">
        <v>73</v>
      </c>
      <c r="AB124" s="57" t="str">
        <f t="shared" si="6"/>
        <v/>
      </c>
      <c r="AC124" s="58" t="s">
        <v>73</v>
      </c>
      <c r="AD124" s="57" t="str">
        <f t="shared" si="7"/>
        <v/>
      </c>
      <c r="AE124" s="59"/>
      <c r="AF124" s="59"/>
      <c r="AG124" s="59"/>
      <c r="AH124" s="59"/>
      <c r="AI124" s="59" t="s">
        <v>73</v>
      </c>
      <c r="AJ124" s="59"/>
      <c r="AK124" s="59" t="s">
        <v>73</v>
      </c>
      <c r="AL124" s="59"/>
      <c r="AM124" s="59" t="s">
        <v>73</v>
      </c>
      <c r="AN124" s="59"/>
      <c r="AO124" s="59" t="s">
        <v>73</v>
      </c>
      <c r="AP124" s="59"/>
      <c r="AQ124" s="59" t="s">
        <v>73</v>
      </c>
      <c r="AR124" s="59"/>
      <c r="AS124" s="59" t="s">
        <v>72</v>
      </c>
      <c r="AT124" s="59"/>
      <c r="AU124" s="59"/>
      <c r="AV124" s="59"/>
      <c r="AW124" s="59"/>
      <c r="AX124" s="59"/>
      <c r="AY124" s="60" t="str">
        <f>IF('Cálculo MP'!K134="","",'Cálculo MP'!K134)</f>
        <v/>
      </c>
      <c r="AZ124" s="60" t="str">
        <f>IF('Cálculo MP'!L134="","",'Cálculo MP'!L134)</f>
        <v/>
      </c>
      <c r="BA124" s="60" t="str">
        <f>IF('Cálculo MP'!M134="","",'Cálculo MP'!M134)</f>
        <v/>
      </c>
      <c r="BB124" s="60" t="str">
        <f>IF('Cálculo MP'!N134="","",'Cálculo MP'!N134)</f>
        <v/>
      </c>
      <c r="BC124" s="60" t="str">
        <f>IF('Cálculo MP'!O134="","",'Cálculo MP'!O134)</f>
        <v/>
      </c>
      <c r="BD124" s="60" t="str">
        <f>IF('Cálculo MP'!P134="","",'Cálculo MP'!P134)</f>
        <v/>
      </c>
      <c r="BE124" s="60" t="str">
        <f>IF('Cálculo MP'!Q134="","",'Cálculo MP'!Q134)</f>
        <v/>
      </c>
      <c r="BF124" s="60" t="str">
        <f>IF('Cálculo MP'!R134="","",'Cálculo MP'!R134)</f>
        <v/>
      </c>
      <c r="BG124" s="60" t="str">
        <f>IF('Cálculo MP'!S134="","",'Cálculo MP'!S134)</f>
        <v/>
      </c>
      <c r="BH124" s="59"/>
      <c r="BI124" s="59"/>
      <c r="BJ124" s="59"/>
      <c r="BK124" s="59"/>
      <c r="BL124" s="59"/>
      <c r="BM124" s="59"/>
      <c r="BN124" s="59"/>
      <c r="BO124" s="59"/>
    </row>
    <row r="125" spans="1:67" ht="19.5" customHeight="1" x14ac:dyDescent="0.15">
      <c r="A125" s="123" t="s">
        <v>1856</v>
      </c>
      <c r="B125" s="122" t="s">
        <v>1854</v>
      </c>
      <c r="C125" s="49"/>
      <c r="D125" s="48" t="s">
        <v>73</v>
      </c>
      <c r="E125" s="49"/>
      <c r="F125" s="50"/>
      <c r="G125" s="62"/>
      <c r="H125" s="48" t="s">
        <v>72</v>
      </c>
      <c r="I125" s="52">
        <v>1</v>
      </c>
      <c r="J125" s="52"/>
      <c r="K125" s="52" t="s">
        <v>73</v>
      </c>
      <c r="L125" s="52" t="s">
        <v>74</v>
      </c>
      <c r="M125" s="53" t="s">
        <v>942</v>
      </c>
      <c r="N125" s="58" t="s">
        <v>73</v>
      </c>
      <c r="O125" s="48" t="s">
        <v>72</v>
      </c>
      <c r="P125" s="48" t="s">
        <v>73</v>
      </c>
      <c r="Q125" s="54" t="s">
        <v>73</v>
      </c>
      <c r="R125" s="55" t="s">
        <v>73</v>
      </c>
      <c r="S125" s="48" t="s">
        <v>73</v>
      </c>
      <c r="T125" s="130"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8" t="str" cm="1">
        <f t="array" ref="U125">IF(SUMPRODUCT(--((CAT_Procesos!$E$2:$E$1581=O125)*(CAT_Procesos!$F$2:$F$1581=_xlfn.TEXTJOIN(" + ",TRUE,IF((TRIM(P125:S125)="")+(LOWER(TRIM(P125:S125))="(seleccione)"),"",PROPER(TRIM(P125:S125)))))*(CAT_Procesos!$D$2:$D$1581=IFERROR(VLOOKUP(N125&amp;"*",CAT_Procesos!$D:$D,1,FALSE),""))))=0,"Combinación no existente",IF(SUMPRODUCT(((CAT_Procesos!$E$2:$E$1581=O125)*(CAT_Procesos!$F$2:$F$1581=_xlfn.TEXTJOIN(" + ",TRUE,IF((TRIM(P125:S125)="")+(LOWER(TRIM(P125:S125))="(seleccione)"),"",PROPER(TRIM(P125:S125)))))*(CAT_Procesos!$D$2:$D$1581=IFERROR(VLOOKUP(N125&amp;"*",CAT_Procesos!$D:$D,1,FALSE),"")))*(CAT_Procesos!$G$2:$G$1581=INDEX(CAT_Procesos!$G$2:$G$1581,MATCH(1,(CAT_Procesos!$E$2:$E$1581=O125)*(CAT_Procesos!$F$2:$F$1581=_xlfn.TEXTJOIN(" + ",TRUE,IF((TRIM(P125:S125)="")+(LOWER(TRIM(P125:S125))="(seleccione)"),"",PROPER(TRIM(P125:S125)))))*(CAT_Procesos!$D$2:$D$1581=IFERROR(VLOOKUP(N125&amp;"*",CAT_Procesos!$D:$D,1,FALSE),"")),0))))=SUMPRODUCT(--((CAT_Procesos!$E$2:$E$1581=O125)*(CAT_Procesos!$F$2:$F$1581=_xlfn.TEXTJOIN(" + ",TRUE,IF((TRIM(P125:S125)="")+(LOWER(TRIM(P125:S125))="(seleccione)"),"",PROPER(TRIM(P125:S125)))))*(CAT_Procesos!$D$2:$D$1581=IFERROR(VLOOKUP(N125&amp;"*",CAT_Procesos!$D:$D,1,FALSE),"")))),INDEX(CAT_Procesos!$G$2:$G$1581,MATCH(1,(CAT_Procesos!$E$2:$E$1581=O125)*(CAT_Procesos!$F$2:$F$1581=_xlfn.TEXTJOIN(" + ",TRUE,IF((TRIM(P125:S125)="")+(LOWER(TRIM(P125:S125))="(seleccione)"),"",PROPER(TRIM(P125:S125)))))*(CAT_Procesos!$D$2:$D$1581=IFERROR(VLOOKUP(N125&amp;"*",CAT_Procesos!$D:$D,1,FALSE),"")),0)),"(seleccione)"))</f>
        <v>Combinación no existente</v>
      </c>
      <c r="V125" s="55" t="s">
        <v>73</v>
      </c>
      <c r="W125" s="56" t="s">
        <v>73</v>
      </c>
      <c r="X125" s="57" t="str">
        <f t="shared" si="4"/>
        <v/>
      </c>
      <c r="Y125" s="58" t="s">
        <v>73</v>
      </c>
      <c r="Z125" s="57" t="str">
        <f t="shared" si="5"/>
        <v/>
      </c>
      <c r="AA125" s="58" t="s">
        <v>73</v>
      </c>
      <c r="AB125" s="57" t="str">
        <f t="shared" si="6"/>
        <v/>
      </c>
      <c r="AC125" s="58" t="s">
        <v>73</v>
      </c>
      <c r="AD125" s="57" t="str">
        <f t="shared" si="7"/>
        <v/>
      </c>
      <c r="AE125" s="59"/>
      <c r="AF125" s="59"/>
      <c r="AG125" s="59"/>
      <c r="AH125" s="59"/>
      <c r="AI125" s="59" t="s">
        <v>73</v>
      </c>
      <c r="AJ125" s="59"/>
      <c r="AK125" s="59" t="s">
        <v>73</v>
      </c>
      <c r="AL125" s="59"/>
      <c r="AM125" s="59" t="s">
        <v>73</v>
      </c>
      <c r="AN125" s="59"/>
      <c r="AO125" s="59" t="s">
        <v>73</v>
      </c>
      <c r="AP125" s="59"/>
      <c r="AQ125" s="59" t="s">
        <v>73</v>
      </c>
      <c r="AR125" s="59"/>
      <c r="AS125" s="59" t="s">
        <v>72</v>
      </c>
      <c r="AT125" s="59"/>
      <c r="AU125" s="59"/>
      <c r="AV125" s="59"/>
      <c r="AW125" s="59"/>
      <c r="AX125" s="59"/>
      <c r="AY125" s="60" t="str">
        <f>IF('Cálculo MP'!K135="","",'Cálculo MP'!K135)</f>
        <v/>
      </c>
      <c r="AZ125" s="60" t="str">
        <f>IF('Cálculo MP'!L135="","",'Cálculo MP'!L135)</f>
        <v/>
      </c>
      <c r="BA125" s="60" t="str">
        <f>IF('Cálculo MP'!M135="","",'Cálculo MP'!M135)</f>
        <v/>
      </c>
      <c r="BB125" s="60" t="str">
        <f>IF('Cálculo MP'!N135="","",'Cálculo MP'!N135)</f>
        <v/>
      </c>
      <c r="BC125" s="60" t="str">
        <f>IF('Cálculo MP'!O135="","",'Cálculo MP'!O135)</f>
        <v/>
      </c>
      <c r="BD125" s="60" t="str">
        <f>IF('Cálculo MP'!P135="","",'Cálculo MP'!P135)</f>
        <v/>
      </c>
      <c r="BE125" s="60" t="str">
        <f>IF('Cálculo MP'!Q135="","",'Cálculo MP'!Q135)</f>
        <v/>
      </c>
      <c r="BF125" s="60" t="str">
        <f>IF('Cálculo MP'!R135="","",'Cálculo MP'!R135)</f>
        <v/>
      </c>
      <c r="BG125" s="60" t="str">
        <f>IF('Cálculo MP'!S135="","",'Cálculo MP'!S135)</f>
        <v/>
      </c>
      <c r="BH125" s="59"/>
      <c r="BI125" s="59"/>
      <c r="BJ125" s="59"/>
      <c r="BK125" s="59"/>
      <c r="BL125" s="59"/>
      <c r="BM125" s="59"/>
      <c r="BN125" s="59"/>
      <c r="BO125" s="59"/>
    </row>
    <row r="126" spans="1:67" ht="19.5" customHeight="1" x14ac:dyDescent="0.15">
      <c r="A126" s="123" t="s">
        <v>1856</v>
      </c>
      <c r="B126" s="122" t="s">
        <v>1854</v>
      </c>
      <c r="C126" s="49"/>
      <c r="D126" s="48" t="s">
        <v>73</v>
      </c>
      <c r="E126" s="49"/>
      <c r="F126" s="50"/>
      <c r="G126" s="62"/>
      <c r="H126" s="48" t="s">
        <v>72</v>
      </c>
      <c r="I126" s="52">
        <v>1</v>
      </c>
      <c r="J126" s="52"/>
      <c r="K126" s="52" t="s">
        <v>73</v>
      </c>
      <c r="L126" s="52" t="s">
        <v>74</v>
      </c>
      <c r="M126" s="53" t="s">
        <v>942</v>
      </c>
      <c r="N126" s="58" t="s">
        <v>73</v>
      </c>
      <c r="O126" s="48" t="s">
        <v>72</v>
      </c>
      <c r="P126" s="48" t="s">
        <v>73</v>
      </c>
      <c r="Q126" s="54" t="s">
        <v>73</v>
      </c>
      <c r="R126" s="55" t="s">
        <v>73</v>
      </c>
      <c r="S126" s="48" t="s">
        <v>73</v>
      </c>
      <c r="T126" s="130"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8" t="str" cm="1">
        <f t="array" ref="U126">IF(SUMPRODUCT(--((CAT_Procesos!$E$2:$E$1581=O126)*(CAT_Procesos!$F$2:$F$1581=_xlfn.TEXTJOIN(" + ",TRUE,IF((TRIM(P126:S126)="")+(LOWER(TRIM(P126:S126))="(seleccione)"),"",PROPER(TRIM(P126:S126)))))*(CAT_Procesos!$D$2:$D$1581=IFERROR(VLOOKUP(N126&amp;"*",CAT_Procesos!$D:$D,1,FALSE),""))))=0,"Combinación no existente",IF(SUMPRODUCT(((CAT_Procesos!$E$2:$E$1581=O126)*(CAT_Procesos!$F$2:$F$1581=_xlfn.TEXTJOIN(" + ",TRUE,IF((TRIM(P126:S126)="")+(LOWER(TRIM(P126:S126))="(seleccione)"),"",PROPER(TRIM(P126:S126)))))*(CAT_Procesos!$D$2:$D$1581=IFERROR(VLOOKUP(N126&amp;"*",CAT_Procesos!$D:$D,1,FALSE),"")))*(CAT_Procesos!$G$2:$G$1581=INDEX(CAT_Procesos!$G$2:$G$1581,MATCH(1,(CAT_Procesos!$E$2:$E$1581=O126)*(CAT_Procesos!$F$2:$F$1581=_xlfn.TEXTJOIN(" + ",TRUE,IF((TRIM(P126:S126)="")+(LOWER(TRIM(P126:S126))="(seleccione)"),"",PROPER(TRIM(P126:S126)))))*(CAT_Procesos!$D$2:$D$1581=IFERROR(VLOOKUP(N126&amp;"*",CAT_Procesos!$D:$D,1,FALSE),"")),0))))=SUMPRODUCT(--((CAT_Procesos!$E$2:$E$1581=O126)*(CAT_Procesos!$F$2:$F$1581=_xlfn.TEXTJOIN(" + ",TRUE,IF((TRIM(P126:S126)="")+(LOWER(TRIM(P126:S126))="(seleccione)"),"",PROPER(TRIM(P126:S126)))))*(CAT_Procesos!$D$2:$D$1581=IFERROR(VLOOKUP(N126&amp;"*",CAT_Procesos!$D:$D,1,FALSE),"")))),INDEX(CAT_Procesos!$G$2:$G$1581,MATCH(1,(CAT_Procesos!$E$2:$E$1581=O126)*(CAT_Procesos!$F$2:$F$1581=_xlfn.TEXTJOIN(" + ",TRUE,IF((TRIM(P126:S126)="")+(LOWER(TRIM(P126:S126))="(seleccione)"),"",PROPER(TRIM(P126:S126)))))*(CAT_Procesos!$D$2:$D$1581=IFERROR(VLOOKUP(N126&amp;"*",CAT_Procesos!$D:$D,1,FALSE),"")),0)),"(seleccione)"))</f>
        <v>Combinación no existente</v>
      </c>
      <c r="V126" s="55" t="s">
        <v>73</v>
      </c>
      <c r="W126" s="56" t="s">
        <v>73</v>
      </c>
      <c r="X126" s="57" t="str">
        <f t="shared" si="4"/>
        <v/>
      </c>
      <c r="Y126" s="58" t="s">
        <v>73</v>
      </c>
      <c r="Z126" s="57" t="str">
        <f t="shared" si="5"/>
        <v/>
      </c>
      <c r="AA126" s="58" t="s">
        <v>73</v>
      </c>
      <c r="AB126" s="57" t="str">
        <f t="shared" si="6"/>
        <v/>
      </c>
      <c r="AC126" s="58" t="s">
        <v>73</v>
      </c>
      <c r="AD126" s="57" t="str">
        <f t="shared" si="7"/>
        <v/>
      </c>
      <c r="AE126" s="59"/>
      <c r="AF126" s="59"/>
      <c r="AG126" s="59"/>
      <c r="AH126" s="59"/>
      <c r="AI126" s="59" t="s">
        <v>73</v>
      </c>
      <c r="AJ126" s="59"/>
      <c r="AK126" s="59" t="s">
        <v>73</v>
      </c>
      <c r="AL126" s="59"/>
      <c r="AM126" s="59" t="s">
        <v>73</v>
      </c>
      <c r="AN126" s="59"/>
      <c r="AO126" s="59" t="s">
        <v>73</v>
      </c>
      <c r="AP126" s="59"/>
      <c r="AQ126" s="59" t="s">
        <v>73</v>
      </c>
      <c r="AR126" s="59"/>
      <c r="AS126" s="59" t="s">
        <v>72</v>
      </c>
      <c r="AT126" s="59"/>
      <c r="AU126" s="59"/>
      <c r="AV126" s="59"/>
      <c r="AW126" s="59"/>
      <c r="AX126" s="59"/>
      <c r="AY126" s="60" t="str">
        <f>IF('Cálculo MP'!K136="","",'Cálculo MP'!K136)</f>
        <v/>
      </c>
      <c r="AZ126" s="60" t="str">
        <f>IF('Cálculo MP'!L136="","",'Cálculo MP'!L136)</f>
        <v/>
      </c>
      <c r="BA126" s="60" t="str">
        <f>IF('Cálculo MP'!M136="","",'Cálculo MP'!M136)</f>
        <v/>
      </c>
      <c r="BB126" s="60" t="str">
        <f>IF('Cálculo MP'!N136="","",'Cálculo MP'!N136)</f>
        <v/>
      </c>
      <c r="BC126" s="60" t="str">
        <f>IF('Cálculo MP'!O136="","",'Cálculo MP'!O136)</f>
        <v/>
      </c>
      <c r="BD126" s="60" t="str">
        <f>IF('Cálculo MP'!P136="","",'Cálculo MP'!P136)</f>
        <v/>
      </c>
      <c r="BE126" s="60" t="str">
        <f>IF('Cálculo MP'!Q136="","",'Cálculo MP'!Q136)</f>
        <v/>
      </c>
      <c r="BF126" s="60" t="str">
        <f>IF('Cálculo MP'!R136="","",'Cálculo MP'!R136)</f>
        <v/>
      </c>
      <c r="BG126" s="60" t="str">
        <f>IF('Cálculo MP'!S136="","",'Cálculo MP'!S136)</f>
        <v/>
      </c>
      <c r="BH126" s="59"/>
      <c r="BI126" s="59"/>
      <c r="BJ126" s="59"/>
      <c r="BK126" s="59"/>
      <c r="BL126" s="59"/>
      <c r="BM126" s="59"/>
      <c r="BN126" s="59"/>
      <c r="BO126" s="59"/>
    </row>
    <row r="127" spans="1:67" ht="19.5" customHeight="1" x14ac:dyDescent="0.15">
      <c r="A127" s="123" t="s">
        <v>1856</v>
      </c>
      <c r="B127" s="122" t="s">
        <v>1854</v>
      </c>
      <c r="C127" s="49"/>
      <c r="D127" s="48" t="s">
        <v>73</v>
      </c>
      <c r="E127" s="49"/>
      <c r="F127" s="50"/>
      <c r="G127" s="62"/>
      <c r="H127" s="48" t="s">
        <v>72</v>
      </c>
      <c r="I127" s="52">
        <v>1</v>
      </c>
      <c r="J127" s="52"/>
      <c r="K127" s="52" t="s">
        <v>73</v>
      </c>
      <c r="L127" s="52" t="s">
        <v>74</v>
      </c>
      <c r="M127" s="53" t="s">
        <v>942</v>
      </c>
      <c r="N127" s="58" t="s">
        <v>73</v>
      </c>
      <c r="O127" s="48" t="s">
        <v>72</v>
      </c>
      <c r="P127" s="48" t="s">
        <v>73</v>
      </c>
      <c r="Q127" s="54" t="s">
        <v>73</v>
      </c>
      <c r="R127" s="55" t="s">
        <v>73</v>
      </c>
      <c r="S127" s="48" t="s">
        <v>73</v>
      </c>
      <c r="T127" s="130"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8" t="str" cm="1">
        <f t="array" ref="U127">IF(SUMPRODUCT(--((CAT_Procesos!$E$2:$E$1581=O127)*(CAT_Procesos!$F$2:$F$1581=_xlfn.TEXTJOIN(" + ",TRUE,IF((TRIM(P127:S127)="")+(LOWER(TRIM(P127:S127))="(seleccione)"),"",PROPER(TRIM(P127:S127)))))*(CAT_Procesos!$D$2:$D$1581=IFERROR(VLOOKUP(N127&amp;"*",CAT_Procesos!$D:$D,1,FALSE),""))))=0,"Combinación no existente",IF(SUMPRODUCT(((CAT_Procesos!$E$2:$E$1581=O127)*(CAT_Procesos!$F$2:$F$1581=_xlfn.TEXTJOIN(" + ",TRUE,IF((TRIM(P127:S127)="")+(LOWER(TRIM(P127:S127))="(seleccione)"),"",PROPER(TRIM(P127:S127)))))*(CAT_Procesos!$D$2:$D$1581=IFERROR(VLOOKUP(N127&amp;"*",CAT_Procesos!$D:$D,1,FALSE),"")))*(CAT_Procesos!$G$2:$G$1581=INDEX(CAT_Procesos!$G$2:$G$1581,MATCH(1,(CAT_Procesos!$E$2:$E$1581=O127)*(CAT_Procesos!$F$2:$F$1581=_xlfn.TEXTJOIN(" + ",TRUE,IF((TRIM(P127:S127)="")+(LOWER(TRIM(P127:S127))="(seleccione)"),"",PROPER(TRIM(P127:S127)))))*(CAT_Procesos!$D$2:$D$1581=IFERROR(VLOOKUP(N127&amp;"*",CAT_Procesos!$D:$D,1,FALSE),"")),0))))=SUMPRODUCT(--((CAT_Procesos!$E$2:$E$1581=O127)*(CAT_Procesos!$F$2:$F$1581=_xlfn.TEXTJOIN(" + ",TRUE,IF((TRIM(P127:S127)="")+(LOWER(TRIM(P127:S127))="(seleccione)"),"",PROPER(TRIM(P127:S127)))))*(CAT_Procesos!$D$2:$D$1581=IFERROR(VLOOKUP(N127&amp;"*",CAT_Procesos!$D:$D,1,FALSE),"")))),INDEX(CAT_Procesos!$G$2:$G$1581,MATCH(1,(CAT_Procesos!$E$2:$E$1581=O127)*(CAT_Procesos!$F$2:$F$1581=_xlfn.TEXTJOIN(" + ",TRUE,IF((TRIM(P127:S127)="")+(LOWER(TRIM(P127:S127))="(seleccione)"),"",PROPER(TRIM(P127:S127)))))*(CAT_Procesos!$D$2:$D$1581=IFERROR(VLOOKUP(N127&amp;"*",CAT_Procesos!$D:$D,1,FALSE),"")),0)),"(seleccione)"))</f>
        <v>Combinación no existente</v>
      </c>
      <c r="V127" s="55" t="s">
        <v>73</v>
      </c>
      <c r="W127" s="56" t="s">
        <v>73</v>
      </c>
      <c r="X127" s="57" t="str">
        <f t="shared" si="4"/>
        <v/>
      </c>
      <c r="Y127" s="58" t="s">
        <v>73</v>
      </c>
      <c r="Z127" s="57" t="str">
        <f t="shared" si="5"/>
        <v/>
      </c>
      <c r="AA127" s="58" t="s">
        <v>73</v>
      </c>
      <c r="AB127" s="57" t="str">
        <f t="shared" si="6"/>
        <v/>
      </c>
      <c r="AC127" s="58" t="s">
        <v>73</v>
      </c>
      <c r="AD127" s="57" t="str">
        <f t="shared" si="7"/>
        <v/>
      </c>
      <c r="AE127" s="59"/>
      <c r="AF127" s="59"/>
      <c r="AG127" s="59"/>
      <c r="AH127" s="59"/>
      <c r="AI127" s="59" t="s">
        <v>73</v>
      </c>
      <c r="AJ127" s="59"/>
      <c r="AK127" s="59" t="s">
        <v>73</v>
      </c>
      <c r="AL127" s="59"/>
      <c r="AM127" s="59" t="s">
        <v>73</v>
      </c>
      <c r="AN127" s="59"/>
      <c r="AO127" s="59" t="s">
        <v>73</v>
      </c>
      <c r="AP127" s="59"/>
      <c r="AQ127" s="59" t="s">
        <v>73</v>
      </c>
      <c r="AR127" s="59"/>
      <c r="AS127" s="59" t="s">
        <v>72</v>
      </c>
      <c r="AT127" s="59"/>
      <c r="AU127" s="59"/>
      <c r="AV127" s="59"/>
      <c r="AW127" s="59"/>
      <c r="AX127" s="59"/>
      <c r="AY127" s="60" t="str">
        <f>IF('Cálculo MP'!K137="","",'Cálculo MP'!K137)</f>
        <v/>
      </c>
      <c r="AZ127" s="60" t="str">
        <f>IF('Cálculo MP'!L137="","",'Cálculo MP'!L137)</f>
        <v/>
      </c>
      <c r="BA127" s="60" t="str">
        <f>IF('Cálculo MP'!M137="","",'Cálculo MP'!M137)</f>
        <v/>
      </c>
      <c r="BB127" s="60" t="str">
        <f>IF('Cálculo MP'!N137="","",'Cálculo MP'!N137)</f>
        <v/>
      </c>
      <c r="BC127" s="60" t="str">
        <f>IF('Cálculo MP'!O137="","",'Cálculo MP'!O137)</f>
        <v/>
      </c>
      <c r="BD127" s="60" t="str">
        <f>IF('Cálculo MP'!P137="","",'Cálculo MP'!P137)</f>
        <v/>
      </c>
      <c r="BE127" s="60" t="str">
        <f>IF('Cálculo MP'!Q137="","",'Cálculo MP'!Q137)</f>
        <v/>
      </c>
      <c r="BF127" s="60" t="str">
        <f>IF('Cálculo MP'!R137="","",'Cálculo MP'!R137)</f>
        <v/>
      </c>
      <c r="BG127" s="60" t="str">
        <f>IF('Cálculo MP'!S137="","",'Cálculo MP'!S137)</f>
        <v/>
      </c>
      <c r="BH127" s="59"/>
      <c r="BI127" s="59"/>
      <c r="BJ127" s="59"/>
      <c r="BK127" s="59"/>
      <c r="BL127" s="59"/>
      <c r="BM127" s="59"/>
      <c r="BN127" s="59"/>
      <c r="BO127" s="59"/>
    </row>
    <row r="128" spans="1:67" ht="19.5" customHeight="1" x14ac:dyDescent="0.15">
      <c r="A128" s="123" t="s">
        <v>1856</v>
      </c>
      <c r="B128" s="122" t="s">
        <v>1854</v>
      </c>
      <c r="C128" s="49"/>
      <c r="D128" s="48" t="s">
        <v>73</v>
      </c>
      <c r="E128" s="49"/>
      <c r="F128" s="50"/>
      <c r="G128" s="62"/>
      <c r="H128" s="48" t="s">
        <v>72</v>
      </c>
      <c r="I128" s="52">
        <v>1</v>
      </c>
      <c r="J128" s="52"/>
      <c r="K128" s="52" t="s">
        <v>73</v>
      </c>
      <c r="L128" s="52" t="s">
        <v>74</v>
      </c>
      <c r="M128" s="53" t="s">
        <v>942</v>
      </c>
      <c r="N128" s="58" t="s">
        <v>73</v>
      </c>
      <c r="O128" s="48" t="s">
        <v>72</v>
      </c>
      <c r="P128" s="48" t="s">
        <v>73</v>
      </c>
      <c r="Q128" s="54" t="s">
        <v>73</v>
      </c>
      <c r="R128" s="55" t="s">
        <v>73</v>
      </c>
      <c r="S128" s="48" t="s">
        <v>73</v>
      </c>
      <c r="T128" s="130"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8" t="str" cm="1">
        <f t="array" ref="U128">IF(SUMPRODUCT(--((CAT_Procesos!$E$2:$E$1581=O128)*(CAT_Procesos!$F$2:$F$1581=_xlfn.TEXTJOIN(" + ",TRUE,IF((TRIM(P128:S128)="")+(LOWER(TRIM(P128:S128))="(seleccione)"),"",PROPER(TRIM(P128:S128)))))*(CAT_Procesos!$D$2:$D$1581=IFERROR(VLOOKUP(N128&amp;"*",CAT_Procesos!$D:$D,1,FALSE),""))))=0,"Combinación no existente",IF(SUMPRODUCT(((CAT_Procesos!$E$2:$E$1581=O128)*(CAT_Procesos!$F$2:$F$1581=_xlfn.TEXTJOIN(" + ",TRUE,IF((TRIM(P128:S128)="")+(LOWER(TRIM(P128:S128))="(seleccione)"),"",PROPER(TRIM(P128:S128)))))*(CAT_Procesos!$D$2:$D$1581=IFERROR(VLOOKUP(N128&amp;"*",CAT_Procesos!$D:$D,1,FALSE),"")))*(CAT_Procesos!$G$2:$G$1581=INDEX(CAT_Procesos!$G$2:$G$1581,MATCH(1,(CAT_Procesos!$E$2:$E$1581=O128)*(CAT_Procesos!$F$2:$F$1581=_xlfn.TEXTJOIN(" + ",TRUE,IF((TRIM(P128:S128)="")+(LOWER(TRIM(P128:S128))="(seleccione)"),"",PROPER(TRIM(P128:S128)))))*(CAT_Procesos!$D$2:$D$1581=IFERROR(VLOOKUP(N128&amp;"*",CAT_Procesos!$D:$D,1,FALSE),"")),0))))=SUMPRODUCT(--((CAT_Procesos!$E$2:$E$1581=O128)*(CAT_Procesos!$F$2:$F$1581=_xlfn.TEXTJOIN(" + ",TRUE,IF((TRIM(P128:S128)="")+(LOWER(TRIM(P128:S128))="(seleccione)"),"",PROPER(TRIM(P128:S128)))))*(CAT_Procesos!$D$2:$D$1581=IFERROR(VLOOKUP(N128&amp;"*",CAT_Procesos!$D:$D,1,FALSE),"")))),INDEX(CAT_Procesos!$G$2:$G$1581,MATCH(1,(CAT_Procesos!$E$2:$E$1581=O128)*(CAT_Procesos!$F$2:$F$1581=_xlfn.TEXTJOIN(" + ",TRUE,IF((TRIM(P128:S128)="")+(LOWER(TRIM(P128:S128))="(seleccione)"),"",PROPER(TRIM(P128:S128)))))*(CAT_Procesos!$D$2:$D$1581=IFERROR(VLOOKUP(N128&amp;"*",CAT_Procesos!$D:$D,1,FALSE),"")),0)),"(seleccione)"))</f>
        <v>Combinación no existente</v>
      </c>
      <c r="V128" s="55" t="s">
        <v>73</v>
      </c>
      <c r="W128" s="56" t="s">
        <v>73</v>
      </c>
      <c r="X128" s="57" t="str">
        <f t="shared" si="4"/>
        <v/>
      </c>
      <c r="Y128" s="58" t="s">
        <v>73</v>
      </c>
      <c r="Z128" s="57" t="str">
        <f t="shared" si="5"/>
        <v/>
      </c>
      <c r="AA128" s="58" t="s">
        <v>73</v>
      </c>
      <c r="AB128" s="57" t="str">
        <f t="shared" si="6"/>
        <v/>
      </c>
      <c r="AC128" s="58" t="s">
        <v>73</v>
      </c>
      <c r="AD128" s="57" t="str">
        <f t="shared" si="7"/>
        <v/>
      </c>
      <c r="AE128" s="59"/>
      <c r="AF128" s="59"/>
      <c r="AG128" s="59"/>
      <c r="AH128" s="59"/>
      <c r="AI128" s="59" t="s">
        <v>73</v>
      </c>
      <c r="AJ128" s="59"/>
      <c r="AK128" s="59" t="s">
        <v>73</v>
      </c>
      <c r="AL128" s="59"/>
      <c r="AM128" s="59" t="s">
        <v>73</v>
      </c>
      <c r="AN128" s="59"/>
      <c r="AO128" s="59" t="s">
        <v>73</v>
      </c>
      <c r="AP128" s="59"/>
      <c r="AQ128" s="59" t="s">
        <v>73</v>
      </c>
      <c r="AR128" s="59"/>
      <c r="AS128" s="59" t="s">
        <v>72</v>
      </c>
      <c r="AT128" s="59"/>
      <c r="AU128" s="59"/>
      <c r="AV128" s="59"/>
      <c r="AW128" s="59"/>
      <c r="AX128" s="59"/>
      <c r="AY128" s="60" t="str">
        <f>IF('Cálculo MP'!K138="","",'Cálculo MP'!K138)</f>
        <v/>
      </c>
      <c r="AZ128" s="60" t="str">
        <f>IF('Cálculo MP'!L138="","",'Cálculo MP'!L138)</f>
        <v/>
      </c>
      <c r="BA128" s="60" t="str">
        <f>IF('Cálculo MP'!M138="","",'Cálculo MP'!M138)</f>
        <v/>
      </c>
      <c r="BB128" s="60" t="str">
        <f>IF('Cálculo MP'!N138="","",'Cálculo MP'!N138)</f>
        <v/>
      </c>
      <c r="BC128" s="60" t="str">
        <f>IF('Cálculo MP'!O138="","",'Cálculo MP'!O138)</f>
        <v/>
      </c>
      <c r="BD128" s="60" t="str">
        <f>IF('Cálculo MP'!P138="","",'Cálculo MP'!P138)</f>
        <v/>
      </c>
      <c r="BE128" s="60" t="str">
        <f>IF('Cálculo MP'!Q138="","",'Cálculo MP'!Q138)</f>
        <v/>
      </c>
      <c r="BF128" s="60" t="str">
        <f>IF('Cálculo MP'!R138="","",'Cálculo MP'!R138)</f>
        <v/>
      </c>
      <c r="BG128" s="60" t="str">
        <f>IF('Cálculo MP'!S138="","",'Cálculo MP'!S138)</f>
        <v/>
      </c>
      <c r="BH128" s="59"/>
      <c r="BI128" s="59"/>
      <c r="BJ128" s="59"/>
      <c r="BK128" s="59"/>
      <c r="BL128" s="59"/>
      <c r="BM128" s="59"/>
      <c r="BN128" s="59"/>
      <c r="BO128" s="59"/>
    </row>
    <row r="129" spans="1:67" ht="19.5" customHeight="1" x14ac:dyDescent="0.15">
      <c r="A129" s="123" t="s">
        <v>1856</v>
      </c>
      <c r="B129" s="122" t="s">
        <v>1854</v>
      </c>
      <c r="C129" s="49"/>
      <c r="D129" s="48" t="s">
        <v>73</v>
      </c>
      <c r="E129" s="49"/>
      <c r="F129" s="50"/>
      <c r="G129" s="62"/>
      <c r="H129" s="48" t="s">
        <v>72</v>
      </c>
      <c r="I129" s="52">
        <v>1</v>
      </c>
      <c r="J129" s="52"/>
      <c r="K129" s="52" t="s">
        <v>73</v>
      </c>
      <c r="L129" s="52" t="s">
        <v>74</v>
      </c>
      <c r="M129" s="53" t="s">
        <v>942</v>
      </c>
      <c r="N129" s="58" t="s">
        <v>73</v>
      </c>
      <c r="O129" s="48" t="s">
        <v>72</v>
      </c>
      <c r="P129" s="48" t="s">
        <v>73</v>
      </c>
      <c r="Q129" s="54" t="s">
        <v>73</v>
      </c>
      <c r="R129" s="55" t="s">
        <v>73</v>
      </c>
      <c r="S129" s="48" t="s">
        <v>73</v>
      </c>
      <c r="T129" s="130"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8" t="str" cm="1">
        <f t="array" ref="U129">IF(SUMPRODUCT(--((CAT_Procesos!$E$2:$E$1581=O129)*(CAT_Procesos!$F$2:$F$1581=_xlfn.TEXTJOIN(" + ",TRUE,IF((TRIM(P129:S129)="")+(LOWER(TRIM(P129:S129))="(seleccione)"),"",PROPER(TRIM(P129:S129)))))*(CAT_Procesos!$D$2:$D$1581=IFERROR(VLOOKUP(N129&amp;"*",CAT_Procesos!$D:$D,1,FALSE),""))))=0,"Combinación no existente",IF(SUMPRODUCT(((CAT_Procesos!$E$2:$E$1581=O129)*(CAT_Procesos!$F$2:$F$1581=_xlfn.TEXTJOIN(" + ",TRUE,IF((TRIM(P129:S129)="")+(LOWER(TRIM(P129:S129))="(seleccione)"),"",PROPER(TRIM(P129:S129)))))*(CAT_Procesos!$D$2:$D$1581=IFERROR(VLOOKUP(N129&amp;"*",CAT_Procesos!$D:$D,1,FALSE),"")))*(CAT_Procesos!$G$2:$G$1581=INDEX(CAT_Procesos!$G$2:$G$1581,MATCH(1,(CAT_Procesos!$E$2:$E$1581=O129)*(CAT_Procesos!$F$2:$F$1581=_xlfn.TEXTJOIN(" + ",TRUE,IF((TRIM(P129:S129)="")+(LOWER(TRIM(P129:S129))="(seleccione)"),"",PROPER(TRIM(P129:S129)))))*(CAT_Procesos!$D$2:$D$1581=IFERROR(VLOOKUP(N129&amp;"*",CAT_Procesos!$D:$D,1,FALSE),"")),0))))=SUMPRODUCT(--((CAT_Procesos!$E$2:$E$1581=O129)*(CAT_Procesos!$F$2:$F$1581=_xlfn.TEXTJOIN(" + ",TRUE,IF((TRIM(P129:S129)="")+(LOWER(TRIM(P129:S129))="(seleccione)"),"",PROPER(TRIM(P129:S129)))))*(CAT_Procesos!$D$2:$D$1581=IFERROR(VLOOKUP(N129&amp;"*",CAT_Procesos!$D:$D,1,FALSE),"")))),INDEX(CAT_Procesos!$G$2:$G$1581,MATCH(1,(CAT_Procesos!$E$2:$E$1581=O129)*(CAT_Procesos!$F$2:$F$1581=_xlfn.TEXTJOIN(" + ",TRUE,IF((TRIM(P129:S129)="")+(LOWER(TRIM(P129:S129))="(seleccione)"),"",PROPER(TRIM(P129:S129)))))*(CAT_Procesos!$D$2:$D$1581=IFERROR(VLOOKUP(N129&amp;"*",CAT_Procesos!$D:$D,1,FALSE),"")),0)),"(seleccione)"))</f>
        <v>Combinación no existente</v>
      </c>
      <c r="V129" s="55" t="s">
        <v>73</v>
      </c>
      <c r="W129" s="56" t="s">
        <v>73</v>
      </c>
      <c r="X129" s="57" t="str">
        <f t="shared" si="4"/>
        <v/>
      </c>
      <c r="Y129" s="58" t="s">
        <v>73</v>
      </c>
      <c r="Z129" s="57" t="str">
        <f t="shared" si="5"/>
        <v/>
      </c>
      <c r="AA129" s="58" t="s">
        <v>73</v>
      </c>
      <c r="AB129" s="57" t="str">
        <f t="shared" si="6"/>
        <v/>
      </c>
      <c r="AC129" s="58" t="s">
        <v>73</v>
      </c>
      <c r="AD129" s="57" t="str">
        <f t="shared" si="7"/>
        <v/>
      </c>
      <c r="AE129" s="59"/>
      <c r="AF129" s="59"/>
      <c r="AG129" s="59"/>
      <c r="AH129" s="59"/>
      <c r="AI129" s="59" t="s">
        <v>73</v>
      </c>
      <c r="AJ129" s="59"/>
      <c r="AK129" s="59" t="s">
        <v>73</v>
      </c>
      <c r="AL129" s="59"/>
      <c r="AM129" s="59" t="s">
        <v>73</v>
      </c>
      <c r="AN129" s="59"/>
      <c r="AO129" s="59" t="s">
        <v>73</v>
      </c>
      <c r="AP129" s="59"/>
      <c r="AQ129" s="59" t="s">
        <v>73</v>
      </c>
      <c r="AR129" s="59"/>
      <c r="AS129" s="59" t="s">
        <v>72</v>
      </c>
      <c r="AT129" s="59"/>
      <c r="AU129" s="59"/>
      <c r="AV129" s="59"/>
      <c r="AW129" s="59"/>
      <c r="AX129" s="59"/>
      <c r="AY129" s="60" t="str">
        <f>IF('Cálculo MP'!K139="","",'Cálculo MP'!K139)</f>
        <v/>
      </c>
      <c r="AZ129" s="60" t="str">
        <f>IF('Cálculo MP'!L139="","",'Cálculo MP'!L139)</f>
        <v/>
      </c>
      <c r="BA129" s="60" t="str">
        <f>IF('Cálculo MP'!M139="","",'Cálculo MP'!M139)</f>
        <v/>
      </c>
      <c r="BB129" s="60" t="str">
        <f>IF('Cálculo MP'!N139="","",'Cálculo MP'!N139)</f>
        <v/>
      </c>
      <c r="BC129" s="60" t="str">
        <f>IF('Cálculo MP'!O139="","",'Cálculo MP'!O139)</f>
        <v/>
      </c>
      <c r="BD129" s="60" t="str">
        <f>IF('Cálculo MP'!P139="","",'Cálculo MP'!P139)</f>
        <v/>
      </c>
      <c r="BE129" s="60" t="str">
        <f>IF('Cálculo MP'!Q139="","",'Cálculo MP'!Q139)</f>
        <v/>
      </c>
      <c r="BF129" s="60" t="str">
        <f>IF('Cálculo MP'!R139="","",'Cálculo MP'!R139)</f>
        <v/>
      </c>
      <c r="BG129" s="60" t="str">
        <f>IF('Cálculo MP'!S139="","",'Cálculo MP'!S139)</f>
        <v/>
      </c>
      <c r="BH129" s="59"/>
      <c r="BI129" s="59"/>
      <c r="BJ129" s="59"/>
      <c r="BK129" s="59"/>
      <c r="BL129" s="59"/>
      <c r="BM129" s="59"/>
      <c r="BN129" s="59"/>
      <c r="BO129" s="59"/>
    </row>
    <row r="130" spans="1:67" ht="19.5" customHeight="1" x14ac:dyDescent="0.15">
      <c r="A130" s="123" t="s">
        <v>1856</v>
      </c>
      <c r="B130" s="122" t="s">
        <v>1854</v>
      </c>
      <c r="C130" s="49"/>
      <c r="D130" s="48" t="s">
        <v>73</v>
      </c>
      <c r="E130" s="49"/>
      <c r="F130" s="50"/>
      <c r="G130" s="62"/>
      <c r="H130" s="48" t="s">
        <v>72</v>
      </c>
      <c r="I130" s="52">
        <v>1</v>
      </c>
      <c r="J130" s="52"/>
      <c r="K130" s="52" t="s">
        <v>73</v>
      </c>
      <c r="L130" s="52" t="s">
        <v>74</v>
      </c>
      <c r="M130" s="53" t="s">
        <v>942</v>
      </c>
      <c r="N130" s="58" t="s">
        <v>73</v>
      </c>
      <c r="O130" s="48" t="s">
        <v>72</v>
      </c>
      <c r="P130" s="48" t="s">
        <v>73</v>
      </c>
      <c r="Q130" s="54" t="s">
        <v>73</v>
      </c>
      <c r="R130" s="55" t="s">
        <v>73</v>
      </c>
      <c r="S130" s="48" t="s">
        <v>73</v>
      </c>
      <c r="T130" s="130"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8" t="str" cm="1">
        <f t="array" ref="U130">IF(SUMPRODUCT(--((CAT_Procesos!$E$2:$E$1581=O130)*(CAT_Procesos!$F$2:$F$1581=_xlfn.TEXTJOIN(" + ",TRUE,IF((TRIM(P130:S130)="")+(LOWER(TRIM(P130:S130))="(seleccione)"),"",PROPER(TRIM(P130:S130)))))*(CAT_Procesos!$D$2:$D$1581=IFERROR(VLOOKUP(N130&amp;"*",CAT_Procesos!$D:$D,1,FALSE),""))))=0,"Combinación no existente",IF(SUMPRODUCT(((CAT_Procesos!$E$2:$E$1581=O130)*(CAT_Procesos!$F$2:$F$1581=_xlfn.TEXTJOIN(" + ",TRUE,IF((TRIM(P130:S130)="")+(LOWER(TRIM(P130:S130))="(seleccione)"),"",PROPER(TRIM(P130:S130)))))*(CAT_Procesos!$D$2:$D$1581=IFERROR(VLOOKUP(N130&amp;"*",CAT_Procesos!$D:$D,1,FALSE),"")))*(CAT_Procesos!$G$2:$G$1581=INDEX(CAT_Procesos!$G$2:$G$1581,MATCH(1,(CAT_Procesos!$E$2:$E$1581=O130)*(CAT_Procesos!$F$2:$F$1581=_xlfn.TEXTJOIN(" + ",TRUE,IF((TRIM(P130:S130)="")+(LOWER(TRIM(P130:S130))="(seleccione)"),"",PROPER(TRIM(P130:S130)))))*(CAT_Procesos!$D$2:$D$1581=IFERROR(VLOOKUP(N130&amp;"*",CAT_Procesos!$D:$D,1,FALSE),"")),0))))=SUMPRODUCT(--((CAT_Procesos!$E$2:$E$1581=O130)*(CAT_Procesos!$F$2:$F$1581=_xlfn.TEXTJOIN(" + ",TRUE,IF((TRIM(P130:S130)="")+(LOWER(TRIM(P130:S130))="(seleccione)"),"",PROPER(TRIM(P130:S130)))))*(CAT_Procesos!$D$2:$D$1581=IFERROR(VLOOKUP(N130&amp;"*",CAT_Procesos!$D:$D,1,FALSE),"")))),INDEX(CAT_Procesos!$G$2:$G$1581,MATCH(1,(CAT_Procesos!$E$2:$E$1581=O130)*(CAT_Procesos!$F$2:$F$1581=_xlfn.TEXTJOIN(" + ",TRUE,IF((TRIM(P130:S130)="")+(LOWER(TRIM(P130:S130))="(seleccione)"),"",PROPER(TRIM(P130:S130)))))*(CAT_Procesos!$D$2:$D$1581=IFERROR(VLOOKUP(N130&amp;"*",CAT_Procesos!$D:$D,1,FALSE),"")),0)),"(seleccione)"))</f>
        <v>Combinación no existente</v>
      </c>
      <c r="V130" s="55" t="s">
        <v>73</v>
      </c>
      <c r="W130" s="56" t="s">
        <v>73</v>
      </c>
      <c r="X130" s="57" t="str">
        <f t="shared" si="4"/>
        <v/>
      </c>
      <c r="Y130" s="58" t="s">
        <v>73</v>
      </c>
      <c r="Z130" s="57" t="str">
        <f t="shared" si="5"/>
        <v/>
      </c>
      <c r="AA130" s="58" t="s">
        <v>73</v>
      </c>
      <c r="AB130" s="57" t="str">
        <f t="shared" si="6"/>
        <v/>
      </c>
      <c r="AC130" s="58" t="s">
        <v>73</v>
      </c>
      <c r="AD130" s="57" t="str">
        <f t="shared" si="7"/>
        <v/>
      </c>
      <c r="AE130" s="59"/>
      <c r="AF130" s="59"/>
      <c r="AG130" s="59"/>
      <c r="AH130" s="59"/>
      <c r="AI130" s="59" t="s">
        <v>73</v>
      </c>
      <c r="AJ130" s="59"/>
      <c r="AK130" s="59" t="s">
        <v>73</v>
      </c>
      <c r="AL130" s="59"/>
      <c r="AM130" s="59" t="s">
        <v>73</v>
      </c>
      <c r="AN130" s="59"/>
      <c r="AO130" s="59" t="s">
        <v>73</v>
      </c>
      <c r="AP130" s="59"/>
      <c r="AQ130" s="59" t="s">
        <v>73</v>
      </c>
      <c r="AR130" s="59"/>
      <c r="AS130" s="59" t="s">
        <v>72</v>
      </c>
      <c r="AT130" s="59"/>
      <c r="AU130" s="59"/>
      <c r="AV130" s="59"/>
      <c r="AW130" s="59"/>
      <c r="AX130" s="59"/>
      <c r="AY130" s="60" t="str">
        <f>IF('Cálculo MP'!K140="","",'Cálculo MP'!K140)</f>
        <v/>
      </c>
      <c r="AZ130" s="60" t="str">
        <f>IF('Cálculo MP'!L140="","",'Cálculo MP'!L140)</f>
        <v/>
      </c>
      <c r="BA130" s="60" t="str">
        <f>IF('Cálculo MP'!M140="","",'Cálculo MP'!M140)</f>
        <v/>
      </c>
      <c r="BB130" s="60" t="str">
        <f>IF('Cálculo MP'!N140="","",'Cálculo MP'!N140)</f>
        <v/>
      </c>
      <c r="BC130" s="60" t="str">
        <f>IF('Cálculo MP'!O140="","",'Cálculo MP'!O140)</f>
        <v/>
      </c>
      <c r="BD130" s="60" t="str">
        <f>IF('Cálculo MP'!P140="","",'Cálculo MP'!P140)</f>
        <v/>
      </c>
      <c r="BE130" s="60" t="str">
        <f>IF('Cálculo MP'!Q140="","",'Cálculo MP'!Q140)</f>
        <v/>
      </c>
      <c r="BF130" s="60" t="str">
        <f>IF('Cálculo MP'!R140="","",'Cálculo MP'!R140)</f>
        <v/>
      </c>
      <c r="BG130" s="60" t="str">
        <f>IF('Cálculo MP'!S140="","",'Cálculo MP'!S140)</f>
        <v/>
      </c>
      <c r="BH130" s="59"/>
      <c r="BI130" s="59"/>
      <c r="BJ130" s="59"/>
      <c r="BK130" s="59"/>
      <c r="BL130" s="59"/>
      <c r="BM130" s="59"/>
      <c r="BN130" s="59"/>
      <c r="BO130" s="59"/>
    </row>
    <row r="131" spans="1:67" ht="19.5" customHeight="1" x14ac:dyDescent="0.15">
      <c r="A131" s="123" t="s">
        <v>1856</v>
      </c>
      <c r="B131" s="122" t="s">
        <v>1854</v>
      </c>
      <c r="C131" s="49"/>
      <c r="D131" s="48" t="s">
        <v>73</v>
      </c>
      <c r="E131" s="49"/>
      <c r="F131" s="50"/>
      <c r="G131" s="62"/>
      <c r="H131" s="48" t="s">
        <v>72</v>
      </c>
      <c r="I131" s="52">
        <v>1</v>
      </c>
      <c r="J131" s="52"/>
      <c r="K131" s="52" t="s">
        <v>73</v>
      </c>
      <c r="L131" s="52" t="s">
        <v>74</v>
      </c>
      <c r="M131" s="53" t="s">
        <v>942</v>
      </c>
      <c r="N131" s="58" t="s">
        <v>73</v>
      </c>
      <c r="O131" s="48" t="s">
        <v>72</v>
      </c>
      <c r="P131" s="48" t="s">
        <v>73</v>
      </c>
      <c r="Q131" s="54" t="s">
        <v>73</v>
      </c>
      <c r="R131" s="55" t="s">
        <v>73</v>
      </c>
      <c r="S131" s="48" t="s">
        <v>73</v>
      </c>
      <c r="T131" s="130"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8" t="str" cm="1">
        <f t="array" ref="U131">IF(SUMPRODUCT(--((CAT_Procesos!$E$2:$E$1581=O131)*(CAT_Procesos!$F$2:$F$1581=_xlfn.TEXTJOIN(" + ",TRUE,IF((TRIM(P131:S131)="")+(LOWER(TRIM(P131:S131))="(seleccione)"),"",PROPER(TRIM(P131:S131)))))*(CAT_Procesos!$D$2:$D$1581=IFERROR(VLOOKUP(N131&amp;"*",CAT_Procesos!$D:$D,1,FALSE),""))))=0,"Combinación no existente",IF(SUMPRODUCT(((CAT_Procesos!$E$2:$E$1581=O131)*(CAT_Procesos!$F$2:$F$1581=_xlfn.TEXTJOIN(" + ",TRUE,IF((TRIM(P131:S131)="")+(LOWER(TRIM(P131:S131))="(seleccione)"),"",PROPER(TRIM(P131:S131)))))*(CAT_Procesos!$D$2:$D$1581=IFERROR(VLOOKUP(N131&amp;"*",CAT_Procesos!$D:$D,1,FALSE),"")))*(CAT_Procesos!$G$2:$G$1581=INDEX(CAT_Procesos!$G$2:$G$1581,MATCH(1,(CAT_Procesos!$E$2:$E$1581=O131)*(CAT_Procesos!$F$2:$F$1581=_xlfn.TEXTJOIN(" + ",TRUE,IF((TRIM(P131:S131)="")+(LOWER(TRIM(P131:S131))="(seleccione)"),"",PROPER(TRIM(P131:S131)))))*(CAT_Procesos!$D$2:$D$1581=IFERROR(VLOOKUP(N131&amp;"*",CAT_Procesos!$D:$D,1,FALSE),"")),0))))=SUMPRODUCT(--((CAT_Procesos!$E$2:$E$1581=O131)*(CAT_Procesos!$F$2:$F$1581=_xlfn.TEXTJOIN(" + ",TRUE,IF((TRIM(P131:S131)="")+(LOWER(TRIM(P131:S131))="(seleccione)"),"",PROPER(TRIM(P131:S131)))))*(CAT_Procesos!$D$2:$D$1581=IFERROR(VLOOKUP(N131&amp;"*",CAT_Procesos!$D:$D,1,FALSE),"")))),INDEX(CAT_Procesos!$G$2:$G$1581,MATCH(1,(CAT_Procesos!$E$2:$E$1581=O131)*(CAT_Procesos!$F$2:$F$1581=_xlfn.TEXTJOIN(" + ",TRUE,IF((TRIM(P131:S131)="")+(LOWER(TRIM(P131:S131))="(seleccione)"),"",PROPER(TRIM(P131:S131)))))*(CAT_Procesos!$D$2:$D$1581=IFERROR(VLOOKUP(N131&amp;"*",CAT_Procesos!$D:$D,1,FALSE),"")),0)),"(seleccione)"))</f>
        <v>Combinación no existente</v>
      </c>
      <c r="V131" s="55" t="s">
        <v>73</v>
      </c>
      <c r="W131" s="56" t="s">
        <v>73</v>
      </c>
      <c r="X131" s="57" t="str">
        <f t="shared" si="4"/>
        <v/>
      </c>
      <c r="Y131" s="58" t="s">
        <v>73</v>
      </c>
      <c r="Z131" s="57" t="str">
        <f t="shared" si="5"/>
        <v/>
      </c>
      <c r="AA131" s="58" t="s">
        <v>73</v>
      </c>
      <c r="AB131" s="57" t="str">
        <f t="shared" si="6"/>
        <v/>
      </c>
      <c r="AC131" s="58" t="s">
        <v>73</v>
      </c>
      <c r="AD131" s="57" t="str">
        <f t="shared" si="7"/>
        <v/>
      </c>
      <c r="AE131" s="59"/>
      <c r="AF131" s="59"/>
      <c r="AG131" s="59"/>
      <c r="AH131" s="59"/>
      <c r="AI131" s="59" t="s">
        <v>73</v>
      </c>
      <c r="AJ131" s="59"/>
      <c r="AK131" s="59" t="s">
        <v>73</v>
      </c>
      <c r="AL131" s="59"/>
      <c r="AM131" s="59" t="s">
        <v>73</v>
      </c>
      <c r="AN131" s="59"/>
      <c r="AO131" s="59" t="s">
        <v>73</v>
      </c>
      <c r="AP131" s="59"/>
      <c r="AQ131" s="59" t="s">
        <v>73</v>
      </c>
      <c r="AR131" s="59"/>
      <c r="AS131" s="59" t="s">
        <v>72</v>
      </c>
      <c r="AT131" s="59"/>
      <c r="AU131" s="59"/>
      <c r="AV131" s="59"/>
      <c r="AW131" s="59"/>
      <c r="AX131" s="59"/>
      <c r="AY131" s="60" t="str">
        <f>IF('Cálculo MP'!K141="","",'Cálculo MP'!K141)</f>
        <v/>
      </c>
      <c r="AZ131" s="60" t="str">
        <f>IF('Cálculo MP'!L141="","",'Cálculo MP'!L141)</f>
        <v/>
      </c>
      <c r="BA131" s="60" t="str">
        <f>IF('Cálculo MP'!M141="","",'Cálculo MP'!M141)</f>
        <v/>
      </c>
      <c r="BB131" s="60" t="str">
        <f>IF('Cálculo MP'!N141="","",'Cálculo MP'!N141)</f>
        <v/>
      </c>
      <c r="BC131" s="60" t="str">
        <f>IF('Cálculo MP'!O141="","",'Cálculo MP'!O141)</f>
        <v/>
      </c>
      <c r="BD131" s="60" t="str">
        <f>IF('Cálculo MP'!P141="","",'Cálculo MP'!P141)</f>
        <v/>
      </c>
      <c r="BE131" s="60" t="str">
        <f>IF('Cálculo MP'!Q141="","",'Cálculo MP'!Q141)</f>
        <v/>
      </c>
      <c r="BF131" s="60" t="str">
        <f>IF('Cálculo MP'!R141="","",'Cálculo MP'!R141)</f>
        <v/>
      </c>
      <c r="BG131" s="60" t="str">
        <f>IF('Cálculo MP'!S141="","",'Cálculo MP'!S141)</f>
        <v/>
      </c>
      <c r="BH131" s="59"/>
      <c r="BI131" s="59"/>
      <c r="BJ131" s="59"/>
      <c r="BK131" s="59"/>
      <c r="BL131" s="59"/>
      <c r="BM131" s="59"/>
      <c r="BN131" s="59"/>
      <c r="BO131" s="59"/>
    </row>
    <row r="132" spans="1:67" ht="19.5" customHeight="1" x14ac:dyDescent="0.15">
      <c r="A132" s="123" t="s">
        <v>1856</v>
      </c>
      <c r="B132" s="122" t="s">
        <v>1854</v>
      </c>
      <c r="C132" s="49"/>
      <c r="D132" s="48" t="s">
        <v>73</v>
      </c>
      <c r="E132" s="49"/>
      <c r="F132" s="50"/>
      <c r="G132" s="62"/>
      <c r="H132" s="48" t="s">
        <v>72</v>
      </c>
      <c r="I132" s="52">
        <v>1</v>
      </c>
      <c r="J132" s="52"/>
      <c r="K132" s="52" t="s">
        <v>73</v>
      </c>
      <c r="L132" s="52" t="s">
        <v>74</v>
      </c>
      <c r="M132" s="53" t="s">
        <v>942</v>
      </c>
      <c r="N132" s="58" t="s">
        <v>73</v>
      </c>
      <c r="O132" s="48" t="s">
        <v>72</v>
      </c>
      <c r="P132" s="48" t="s">
        <v>73</v>
      </c>
      <c r="Q132" s="54" t="s">
        <v>73</v>
      </c>
      <c r="R132" s="55" t="s">
        <v>73</v>
      </c>
      <c r="S132" s="48" t="s">
        <v>73</v>
      </c>
      <c r="T132" s="130"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8" t="str" cm="1">
        <f t="array" ref="U132">IF(SUMPRODUCT(--((CAT_Procesos!$E$2:$E$1581=O132)*(CAT_Procesos!$F$2:$F$1581=_xlfn.TEXTJOIN(" + ",TRUE,IF((TRIM(P132:S132)="")+(LOWER(TRIM(P132:S132))="(seleccione)"),"",PROPER(TRIM(P132:S132)))))*(CAT_Procesos!$D$2:$D$1581=IFERROR(VLOOKUP(N132&amp;"*",CAT_Procesos!$D:$D,1,FALSE),""))))=0,"Combinación no existente",IF(SUMPRODUCT(((CAT_Procesos!$E$2:$E$1581=O132)*(CAT_Procesos!$F$2:$F$1581=_xlfn.TEXTJOIN(" + ",TRUE,IF((TRIM(P132:S132)="")+(LOWER(TRIM(P132:S132))="(seleccione)"),"",PROPER(TRIM(P132:S132)))))*(CAT_Procesos!$D$2:$D$1581=IFERROR(VLOOKUP(N132&amp;"*",CAT_Procesos!$D:$D,1,FALSE),"")))*(CAT_Procesos!$G$2:$G$1581=INDEX(CAT_Procesos!$G$2:$G$1581,MATCH(1,(CAT_Procesos!$E$2:$E$1581=O132)*(CAT_Procesos!$F$2:$F$1581=_xlfn.TEXTJOIN(" + ",TRUE,IF((TRIM(P132:S132)="")+(LOWER(TRIM(P132:S132))="(seleccione)"),"",PROPER(TRIM(P132:S132)))))*(CAT_Procesos!$D$2:$D$1581=IFERROR(VLOOKUP(N132&amp;"*",CAT_Procesos!$D:$D,1,FALSE),"")),0))))=SUMPRODUCT(--((CAT_Procesos!$E$2:$E$1581=O132)*(CAT_Procesos!$F$2:$F$1581=_xlfn.TEXTJOIN(" + ",TRUE,IF((TRIM(P132:S132)="")+(LOWER(TRIM(P132:S132))="(seleccione)"),"",PROPER(TRIM(P132:S132)))))*(CAT_Procesos!$D$2:$D$1581=IFERROR(VLOOKUP(N132&amp;"*",CAT_Procesos!$D:$D,1,FALSE),"")))),INDEX(CAT_Procesos!$G$2:$G$1581,MATCH(1,(CAT_Procesos!$E$2:$E$1581=O132)*(CAT_Procesos!$F$2:$F$1581=_xlfn.TEXTJOIN(" + ",TRUE,IF((TRIM(P132:S132)="")+(LOWER(TRIM(P132:S132))="(seleccione)"),"",PROPER(TRIM(P132:S132)))))*(CAT_Procesos!$D$2:$D$1581=IFERROR(VLOOKUP(N132&amp;"*",CAT_Procesos!$D:$D,1,FALSE),"")),0)),"(seleccione)"))</f>
        <v>Combinación no existente</v>
      </c>
      <c r="V132" s="55" t="s">
        <v>73</v>
      </c>
      <c r="W132" s="56" t="s">
        <v>73</v>
      </c>
      <c r="X132" s="57" t="str">
        <f t="shared" si="4"/>
        <v/>
      </c>
      <c r="Y132" s="58" t="s">
        <v>73</v>
      </c>
      <c r="Z132" s="57" t="str">
        <f t="shared" si="5"/>
        <v/>
      </c>
      <c r="AA132" s="58" t="s">
        <v>73</v>
      </c>
      <c r="AB132" s="57" t="str">
        <f t="shared" si="6"/>
        <v/>
      </c>
      <c r="AC132" s="58" t="s">
        <v>73</v>
      </c>
      <c r="AD132" s="57" t="str">
        <f t="shared" si="7"/>
        <v/>
      </c>
      <c r="AE132" s="59"/>
      <c r="AF132" s="59"/>
      <c r="AG132" s="59"/>
      <c r="AH132" s="59"/>
      <c r="AI132" s="59" t="s">
        <v>73</v>
      </c>
      <c r="AJ132" s="59"/>
      <c r="AK132" s="59" t="s">
        <v>73</v>
      </c>
      <c r="AL132" s="59"/>
      <c r="AM132" s="59" t="s">
        <v>73</v>
      </c>
      <c r="AN132" s="59"/>
      <c r="AO132" s="59" t="s">
        <v>73</v>
      </c>
      <c r="AP132" s="59"/>
      <c r="AQ132" s="59" t="s">
        <v>73</v>
      </c>
      <c r="AR132" s="59"/>
      <c r="AS132" s="59" t="s">
        <v>72</v>
      </c>
      <c r="AT132" s="59"/>
      <c r="AU132" s="59"/>
      <c r="AV132" s="59"/>
      <c r="AW132" s="59"/>
      <c r="AX132" s="59"/>
      <c r="AY132" s="60" t="str">
        <f>IF('Cálculo MP'!K142="","",'Cálculo MP'!K142)</f>
        <v/>
      </c>
      <c r="AZ132" s="60" t="str">
        <f>IF('Cálculo MP'!L142="","",'Cálculo MP'!L142)</f>
        <v/>
      </c>
      <c r="BA132" s="60" t="str">
        <f>IF('Cálculo MP'!M142="","",'Cálculo MP'!M142)</f>
        <v/>
      </c>
      <c r="BB132" s="60" t="str">
        <f>IF('Cálculo MP'!N142="","",'Cálculo MP'!N142)</f>
        <v/>
      </c>
      <c r="BC132" s="60" t="str">
        <f>IF('Cálculo MP'!O142="","",'Cálculo MP'!O142)</f>
        <v/>
      </c>
      <c r="BD132" s="60" t="str">
        <f>IF('Cálculo MP'!P142="","",'Cálculo MP'!P142)</f>
        <v/>
      </c>
      <c r="BE132" s="60" t="str">
        <f>IF('Cálculo MP'!Q142="","",'Cálculo MP'!Q142)</f>
        <v/>
      </c>
      <c r="BF132" s="60" t="str">
        <f>IF('Cálculo MP'!R142="","",'Cálculo MP'!R142)</f>
        <v/>
      </c>
      <c r="BG132" s="60" t="str">
        <f>IF('Cálculo MP'!S142="","",'Cálculo MP'!S142)</f>
        <v/>
      </c>
      <c r="BH132" s="59"/>
      <c r="BI132" s="59"/>
      <c r="BJ132" s="59"/>
      <c r="BK132" s="59"/>
      <c r="BL132" s="59"/>
      <c r="BM132" s="59"/>
      <c r="BN132" s="59"/>
      <c r="BO132" s="59"/>
    </row>
    <row r="133" spans="1:67" ht="19.5" customHeight="1" x14ac:dyDescent="0.15">
      <c r="A133" s="123" t="s">
        <v>1856</v>
      </c>
      <c r="B133" s="122" t="s">
        <v>1854</v>
      </c>
      <c r="C133" s="49"/>
      <c r="D133" s="48" t="s">
        <v>73</v>
      </c>
      <c r="E133" s="49"/>
      <c r="F133" s="50"/>
      <c r="G133" s="62"/>
      <c r="H133" s="48" t="s">
        <v>72</v>
      </c>
      <c r="I133" s="52">
        <v>1</v>
      </c>
      <c r="J133" s="52"/>
      <c r="K133" s="52" t="s">
        <v>73</v>
      </c>
      <c r="L133" s="52" t="s">
        <v>74</v>
      </c>
      <c r="M133" s="53" t="s">
        <v>942</v>
      </c>
      <c r="N133" s="58" t="s">
        <v>73</v>
      </c>
      <c r="O133" s="48" t="s">
        <v>72</v>
      </c>
      <c r="P133" s="48" t="s">
        <v>73</v>
      </c>
      <c r="Q133" s="54" t="s">
        <v>73</v>
      </c>
      <c r="R133" s="55" t="s">
        <v>73</v>
      </c>
      <c r="S133" s="48" t="s">
        <v>73</v>
      </c>
      <c r="T133" s="130"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8" t="str" cm="1">
        <f t="array" ref="U133">IF(SUMPRODUCT(--((CAT_Procesos!$E$2:$E$1581=O133)*(CAT_Procesos!$F$2:$F$1581=_xlfn.TEXTJOIN(" + ",TRUE,IF((TRIM(P133:S133)="")+(LOWER(TRIM(P133:S133))="(seleccione)"),"",PROPER(TRIM(P133:S133)))))*(CAT_Procesos!$D$2:$D$1581=IFERROR(VLOOKUP(N133&amp;"*",CAT_Procesos!$D:$D,1,FALSE),""))))=0,"Combinación no existente",IF(SUMPRODUCT(((CAT_Procesos!$E$2:$E$1581=O133)*(CAT_Procesos!$F$2:$F$1581=_xlfn.TEXTJOIN(" + ",TRUE,IF((TRIM(P133:S133)="")+(LOWER(TRIM(P133:S133))="(seleccione)"),"",PROPER(TRIM(P133:S133)))))*(CAT_Procesos!$D$2:$D$1581=IFERROR(VLOOKUP(N133&amp;"*",CAT_Procesos!$D:$D,1,FALSE),"")))*(CAT_Procesos!$G$2:$G$1581=INDEX(CAT_Procesos!$G$2:$G$1581,MATCH(1,(CAT_Procesos!$E$2:$E$1581=O133)*(CAT_Procesos!$F$2:$F$1581=_xlfn.TEXTJOIN(" + ",TRUE,IF((TRIM(P133:S133)="")+(LOWER(TRIM(P133:S133))="(seleccione)"),"",PROPER(TRIM(P133:S133)))))*(CAT_Procesos!$D$2:$D$1581=IFERROR(VLOOKUP(N133&amp;"*",CAT_Procesos!$D:$D,1,FALSE),"")),0))))=SUMPRODUCT(--((CAT_Procesos!$E$2:$E$1581=O133)*(CAT_Procesos!$F$2:$F$1581=_xlfn.TEXTJOIN(" + ",TRUE,IF((TRIM(P133:S133)="")+(LOWER(TRIM(P133:S133))="(seleccione)"),"",PROPER(TRIM(P133:S133)))))*(CAT_Procesos!$D$2:$D$1581=IFERROR(VLOOKUP(N133&amp;"*",CAT_Procesos!$D:$D,1,FALSE),"")))),INDEX(CAT_Procesos!$G$2:$G$1581,MATCH(1,(CAT_Procesos!$E$2:$E$1581=O133)*(CAT_Procesos!$F$2:$F$1581=_xlfn.TEXTJOIN(" + ",TRUE,IF((TRIM(P133:S133)="")+(LOWER(TRIM(P133:S133))="(seleccione)"),"",PROPER(TRIM(P133:S133)))))*(CAT_Procesos!$D$2:$D$1581=IFERROR(VLOOKUP(N133&amp;"*",CAT_Procesos!$D:$D,1,FALSE),"")),0)),"(seleccione)"))</f>
        <v>Combinación no existente</v>
      </c>
      <c r="V133" s="55" t="s">
        <v>73</v>
      </c>
      <c r="W133" s="56" t="s">
        <v>73</v>
      </c>
      <c r="X133" s="57" t="str">
        <f t="shared" si="4"/>
        <v/>
      </c>
      <c r="Y133" s="58" t="s">
        <v>73</v>
      </c>
      <c r="Z133" s="57" t="str">
        <f t="shared" si="5"/>
        <v/>
      </c>
      <c r="AA133" s="58" t="s">
        <v>73</v>
      </c>
      <c r="AB133" s="57" t="str">
        <f t="shared" si="6"/>
        <v/>
      </c>
      <c r="AC133" s="58" t="s">
        <v>73</v>
      </c>
      <c r="AD133" s="57" t="str">
        <f t="shared" si="7"/>
        <v/>
      </c>
      <c r="AE133" s="59"/>
      <c r="AF133" s="59"/>
      <c r="AG133" s="59"/>
      <c r="AH133" s="59"/>
      <c r="AI133" s="59" t="s">
        <v>73</v>
      </c>
      <c r="AJ133" s="59"/>
      <c r="AK133" s="59" t="s">
        <v>73</v>
      </c>
      <c r="AL133" s="59"/>
      <c r="AM133" s="59" t="s">
        <v>73</v>
      </c>
      <c r="AN133" s="59"/>
      <c r="AO133" s="59" t="s">
        <v>73</v>
      </c>
      <c r="AP133" s="59"/>
      <c r="AQ133" s="59" t="s">
        <v>73</v>
      </c>
      <c r="AR133" s="59"/>
      <c r="AS133" s="59" t="s">
        <v>72</v>
      </c>
      <c r="AT133" s="59"/>
      <c r="AU133" s="59"/>
      <c r="AV133" s="59"/>
      <c r="AW133" s="59"/>
      <c r="AX133" s="59"/>
      <c r="AY133" s="60" t="str">
        <f>IF('Cálculo MP'!K143="","",'Cálculo MP'!K143)</f>
        <v/>
      </c>
      <c r="AZ133" s="60" t="str">
        <f>IF('Cálculo MP'!L143="","",'Cálculo MP'!L143)</f>
        <v/>
      </c>
      <c r="BA133" s="60" t="str">
        <f>IF('Cálculo MP'!M143="","",'Cálculo MP'!M143)</f>
        <v/>
      </c>
      <c r="BB133" s="60" t="str">
        <f>IF('Cálculo MP'!N143="","",'Cálculo MP'!N143)</f>
        <v/>
      </c>
      <c r="BC133" s="60" t="str">
        <f>IF('Cálculo MP'!O143="","",'Cálculo MP'!O143)</f>
        <v/>
      </c>
      <c r="BD133" s="60" t="str">
        <f>IF('Cálculo MP'!P143="","",'Cálculo MP'!P143)</f>
        <v/>
      </c>
      <c r="BE133" s="60" t="str">
        <f>IF('Cálculo MP'!Q143="","",'Cálculo MP'!Q143)</f>
        <v/>
      </c>
      <c r="BF133" s="60" t="str">
        <f>IF('Cálculo MP'!R143="","",'Cálculo MP'!R143)</f>
        <v/>
      </c>
      <c r="BG133" s="60" t="str">
        <f>IF('Cálculo MP'!S143="","",'Cálculo MP'!S143)</f>
        <v/>
      </c>
      <c r="BH133" s="59"/>
      <c r="BI133" s="59"/>
      <c r="BJ133" s="59"/>
      <c r="BK133" s="59"/>
      <c r="BL133" s="59"/>
      <c r="BM133" s="59"/>
      <c r="BN133" s="59"/>
      <c r="BO133" s="59"/>
    </row>
    <row r="134" spans="1:67" ht="19.5" customHeight="1" x14ac:dyDescent="0.15">
      <c r="A134" s="123" t="s">
        <v>1856</v>
      </c>
      <c r="B134" s="122" t="s">
        <v>1854</v>
      </c>
      <c r="C134" s="49"/>
      <c r="D134" s="48" t="s">
        <v>73</v>
      </c>
      <c r="E134" s="49"/>
      <c r="F134" s="50"/>
      <c r="G134" s="62"/>
      <c r="H134" s="48" t="s">
        <v>72</v>
      </c>
      <c r="I134" s="52">
        <v>1</v>
      </c>
      <c r="J134" s="52"/>
      <c r="K134" s="52" t="s">
        <v>73</v>
      </c>
      <c r="L134" s="52" t="s">
        <v>74</v>
      </c>
      <c r="M134" s="53" t="s">
        <v>942</v>
      </c>
      <c r="N134" s="58" t="s">
        <v>73</v>
      </c>
      <c r="O134" s="48" t="s">
        <v>72</v>
      </c>
      <c r="P134" s="48" t="s">
        <v>73</v>
      </c>
      <c r="Q134" s="54" t="s">
        <v>73</v>
      </c>
      <c r="R134" s="55" t="s">
        <v>73</v>
      </c>
      <c r="S134" s="48" t="s">
        <v>73</v>
      </c>
      <c r="T134" s="130"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8" t="str" cm="1">
        <f t="array" ref="U134">IF(SUMPRODUCT(--((CAT_Procesos!$E$2:$E$1581=O134)*(CAT_Procesos!$F$2:$F$1581=_xlfn.TEXTJOIN(" + ",TRUE,IF((TRIM(P134:S134)="")+(LOWER(TRIM(P134:S134))="(seleccione)"),"",PROPER(TRIM(P134:S134)))))*(CAT_Procesos!$D$2:$D$1581=IFERROR(VLOOKUP(N134&amp;"*",CAT_Procesos!$D:$D,1,FALSE),""))))=0,"Combinación no existente",IF(SUMPRODUCT(((CAT_Procesos!$E$2:$E$1581=O134)*(CAT_Procesos!$F$2:$F$1581=_xlfn.TEXTJOIN(" + ",TRUE,IF((TRIM(P134:S134)="")+(LOWER(TRIM(P134:S134))="(seleccione)"),"",PROPER(TRIM(P134:S134)))))*(CAT_Procesos!$D$2:$D$1581=IFERROR(VLOOKUP(N134&amp;"*",CAT_Procesos!$D:$D,1,FALSE),"")))*(CAT_Procesos!$G$2:$G$1581=INDEX(CAT_Procesos!$G$2:$G$1581,MATCH(1,(CAT_Procesos!$E$2:$E$1581=O134)*(CAT_Procesos!$F$2:$F$1581=_xlfn.TEXTJOIN(" + ",TRUE,IF((TRIM(P134:S134)="")+(LOWER(TRIM(P134:S134))="(seleccione)"),"",PROPER(TRIM(P134:S134)))))*(CAT_Procesos!$D$2:$D$1581=IFERROR(VLOOKUP(N134&amp;"*",CAT_Procesos!$D:$D,1,FALSE),"")),0))))=SUMPRODUCT(--((CAT_Procesos!$E$2:$E$1581=O134)*(CAT_Procesos!$F$2:$F$1581=_xlfn.TEXTJOIN(" + ",TRUE,IF((TRIM(P134:S134)="")+(LOWER(TRIM(P134:S134))="(seleccione)"),"",PROPER(TRIM(P134:S134)))))*(CAT_Procesos!$D$2:$D$1581=IFERROR(VLOOKUP(N134&amp;"*",CAT_Procesos!$D:$D,1,FALSE),"")))),INDEX(CAT_Procesos!$G$2:$G$1581,MATCH(1,(CAT_Procesos!$E$2:$E$1581=O134)*(CAT_Procesos!$F$2:$F$1581=_xlfn.TEXTJOIN(" + ",TRUE,IF((TRIM(P134:S134)="")+(LOWER(TRIM(P134:S134))="(seleccione)"),"",PROPER(TRIM(P134:S134)))))*(CAT_Procesos!$D$2:$D$1581=IFERROR(VLOOKUP(N134&amp;"*",CAT_Procesos!$D:$D,1,FALSE),"")),0)),"(seleccione)"))</f>
        <v>Combinación no existente</v>
      </c>
      <c r="V134" s="55" t="s">
        <v>73</v>
      </c>
      <c r="W134" s="56" t="s">
        <v>73</v>
      </c>
      <c r="X134" s="57" t="str">
        <f t="shared" si="4"/>
        <v/>
      </c>
      <c r="Y134" s="58" t="s">
        <v>73</v>
      </c>
      <c r="Z134" s="57" t="str">
        <f t="shared" si="5"/>
        <v/>
      </c>
      <c r="AA134" s="58" t="s">
        <v>73</v>
      </c>
      <c r="AB134" s="57" t="str">
        <f t="shared" si="6"/>
        <v/>
      </c>
      <c r="AC134" s="58" t="s">
        <v>73</v>
      </c>
      <c r="AD134" s="57" t="str">
        <f t="shared" si="7"/>
        <v/>
      </c>
      <c r="AE134" s="59"/>
      <c r="AF134" s="59"/>
      <c r="AG134" s="59"/>
      <c r="AH134" s="59"/>
      <c r="AI134" s="59" t="s">
        <v>73</v>
      </c>
      <c r="AJ134" s="59"/>
      <c r="AK134" s="59" t="s">
        <v>73</v>
      </c>
      <c r="AL134" s="59"/>
      <c r="AM134" s="59" t="s">
        <v>73</v>
      </c>
      <c r="AN134" s="59"/>
      <c r="AO134" s="59" t="s">
        <v>73</v>
      </c>
      <c r="AP134" s="59"/>
      <c r="AQ134" s="59" t="s">
        <v>73</v>
      </c>
      <c r="AR134" s="59"/>
      <c r="AS134" s="59" t="s">
        <v>72</v>
      </c>
      <c r="AT134" s="59"/>
      <c r="AU134" s="59"/>
      <c r="AV134" s="59"/>
      <c r="AW134" s="59"/>
      <c r="AX134" s="59"/>
      <c r="AY134" s="60" t="str">
        <f>IF('Cálculo MP'!K144="","",'Cálculo MP'!K144)</f>
        <v/>
      </c>
      <c r="AZ134" s="60" t="str">
        <f>IF('Cálculo MP'!L144="","",'Cálculo MP'!L144)</f>
        <v/>
      </c>
      <c r="BA134" s="60" t="str">
        <f>IF('Cálculo MP'!M144="","",'Cálculo MP'!M144)</f>
        <v/>
      </c>
      <c r="BB134" s="60" t="str">
        <f>IF('Cálculo MP'!N144="","",'Cálculo MP'!N144)</f>
        <v/>
      </c>
      <c r="BC134" s="60" t="str">
        <f>IF('Cálculo MP'!O144="","",'Cálculo MP'!O144)</f>
        <v/>
      </c>
      <c r="BD134" s="60" t="str">
        <f>IF('Cálculo MP'!P144="","",'Cálculo MP'!P144)</f>
        <v/>
      </c>
      <c r="BE134" s="60" t="str">
        <f>IF('Cálculo MP'!Q144="","",'Cálculo MP'!Q144)</f>
        <v/>
      </c>
      <c r="BF134" s="60" t="str">
        <f>IF('Cálculo MP'!R144="","",'Cálculo MP'!R144)</f>
        <v/>
      </c>
      <c r="BG134" s="60" t="str">
        <f>IF('Cálculo MP'!S144="","",'Cálculo MP'!S144)</f>
        <v/>
      </c>
      <c r="BH134" s="59"/>
      <c r="BI134" s="59"/>
      <c r="BJ134" s="59"/>
      <c r="BK134" s="59"/>
      <c r="BL134" s="59"/>
      <c r="BM134" s="59"/>
      <c r="BN134" s="59"/>
      <c r="BO134" s="59"/>
    </row>
    <row r="135" spans="1:67" ht="19.5" customHeight="1" x14ac:dyDescent="0.15">
      <c r="A135" s="123" t="s">
        <v>1856</v>
      </c>
      <c r="B135" s="122" t="s">
        <v>1854</v>
      </c>
      <c r="C135" s="49"/>
      <c r="D135" s="48" t="s">
        <v>73</v>
      </c>
      <c r="E135" s="49"/>
      <c r="F135" s="50"/>
      <c r="G135" s="62"/>
      <c r="H135" s="48" t="s">
        <v>72</v>
      </c>
      <c r="I135" s="52">
        <v>1</v>
      </c>
      <c r="J135" s="52"/>
      <c r="K135" s="52" t="s">
        <v>73</v>
      </c>
      <c r="L135" s="52" t="s">
        <v>74</v>
      </c>
      <c r="M135" s="53" t="s">
        <v>942</v>
      </c>
      <c r="N135" s="58" t="s">
        <v>73</v>
      </c>
      <c r="O135" s="48" t="s">
        <v>72</v>
      </c>
      <c r="P135" s="48" t="s">
        <v>73</v>
      </c>
      <c r="Q135" s="54" t="s">
        <v>73</v>
      </c>
      <c r="R135" s="55" t="s">
        <v>73</v>
      </c>
      <c r="S135" s="48" t="s">
        <v>73</v>
      </c>
      <c r="T135" s="130"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8" t="str" cm="1">
        <f t="array" ref="U135">IF(SUMPRODUCT(--((CAT_Procesos!$E$2:$E$1581=O135)*(CAT_Procesos!$F$2:$F$1581=_xlfn.TEXTJOIN(" + ",TRUE,IF((TRIM(P135:S135)="")+(LOWER(TRIM(P135:S135))="(seleccione)"),"",PROPER(TRIM(P135:S135)))))*(CAT_Procesos!$D$2:$D$1581=IFERROR(VLOOKUP(N135&amp;"*",CAT_Procesos!$D:$D,1,FALSE),""))))=0,"Combinación no existente",IF(SUMPRODUCT(((CAT_Procesos!$E$2:$E$1581=O135)*(CAT_Procesos!$F$2:$F$1581=_xlfn.TEXTJOIN(" + ",TRUE,IF((TRIM(P135:S135)="")+(LOWER(TRIM(P135:S135))="(seleccione)"),"",PROPER(TRIM(P135:S135)))))*(CAT_Procesos!$D$2:$D$1581=IFERROR(VLOOKUP(N135&amp;"*",CAT_Procesos!$D:$D,1,FALSE),"")))*(CAT_Procesos!$G$2:$G$1581=INDEX(CAT_Procesos!$G$2:$G$1581,MATCH(1,(CAT_Procesos!$E$2:$E$1581=O135)*(CAT_Procesos!$F$2:$F$1581=_xlfn.TEXTJOIN(" + ",TRUE,IF((TRIM(P135:S135)="")+(LOWER(TRIM(P135:S135))="(seleccione)"),"",PROPER(TRIM(P135:S135)))))*(CAT_Procesos!$D$2:$D$1581=IFERROR(VLOOKUP(N135&amp;"*",CAT_Procesos!$D:$D,1,FALSE),"")),0))))=SUMPRODUCT(--((CAT_Procesos!$E$2:$E$1581=O135)*(CAT_Procesos!$F$2:$F$1581=_xlfn.TEXTJOIN(" + ",TRUE,IF((TRIM(P135:S135)="")+(LOWER(TRIM(P135:S135))="(seleccione)"),"",PROPER(TRIM(P135:S135)))))*(CAT_Procesos!$D$2:$D$1581=IFERROR(VLOOKUP(N135&amp;"*",CAT_Procesos!$D:$D,1,FALSE),"")))),INDEX(CAT_Procesos!$G$2:$G$1581,MATCH(1,(CAT_Procesos!$E$2:$E$1581=O135)*(CAT_Procesos!$F$2:$F$1581=_xlfn.TEXTJOIN(" + ",TRUE,IF((TRIM(P135:S135)="")+(LOWER(TRIM(P135:S135))="(seleccione)"),"",PROPER(TRIM(P135:S135)))))*(CAT_Procesos!$D$2:$D$1581=IFERROR(VLOOKUP(N135&amp;"*",CAT_Procesos!$D:$D,1,FALSE),"")),0)),"(seleccione)"))</f>
        <v>Combinación no existente</v>
      </c>
      <c r="V135" s="55" t="s">
        <v>73</v>
      </c>
      <c r="W135" s="56" t="s">
        <v>73</v>
      </c>
      <c r="X135" s="57" t="str">
        <f t="shared" si="4"/>
        <v/>
      </c>
      <c r="Y135" s="58" t="s">
        <v>73</v>
      </c>
      <c r="Z135" s="57" t="str">
        <f t="shared" si="5"/>
        <v/>
      </c>
      <c r="AA135" s="58" t="s">
        <v>73</v>
      </c>
      <c r="AB135" s="57" t="str">
        <f t="shared" si="6"/>
        <v/>
      </c>
      <c r="AC135" s="58" t="s">
        <v>73</v>
      </c>
      <c r="AD135" s="57" t="str">
        <f t="shared" si="7"/>
        <v/>
      </c>
      <c r="AE135" s="59"/>
      <c r="AF135" s="59"/>
      <c r="AG135" s="59"/>
      <c r="AH135" s="59"/>
      <c r="AI135" s="59" t="s">
        <v>73</v>
      </c>
      <c r="AJ135" s="59"/>
      <c r="AK135" s="59" t="s">
        <v>73</v>
      </c>
      <c r="AL135" s="59"/>
      <c r="AM135" s="59" t="s">
        <v>73</v>
      </c>
      <c r="AN135" s="59"/>
      <c r="AO135" s="59" t="s">
        <v>73</v>
      </c>
      <c r="AP135" s="59"/>
      <c r="AQ135" s="59" t="s">
        <v>73</v>
      </c>
      <c r="AR135" s="59"/>
      <c r="AS135" s="59" t="s">
        <v>72</v>
      </c>
      <c r="AT135" s="59"/>
      <c r="AU135" s="59"/>
      <c r="AV135" s="59"/>
      <c r="AW135" s="59"/>
      <c r="AX135" s="59"/>
      <c r="AY135" s="60" t="str">
        <f>IF('Cálculo MP'!K145="","",'Cálculo MP'!K145)</f>
        <v/>
      </c>
      <c r="AZ135" s="60" t="str">
        <f>IF('Cálculo MP'!L145="","",'Cálculo MP'!L145)</f>
        <v/>
      </c>
      <c r="BA135" s="60" t="str">
        <f>IF('Cálculo MP'!M145="","",'Cálculo MP'!M145)</f>
        <v/>
      </c>
      <c r="BB135" s="60" t="str">
        <f>IF('Cálculo MP'!N145="","",'Cálculo MP'!N145)</f>
        <v/>
      </c>
      <c r="BC135" s="60" t="str">
        <f>IF('Cálculo MP'!O145="","",'Cálculo MP'!O145)</f>
        <v/>
      </c>
      <c r="BD135" s="60" t="str">
        <f>IF('Cálculo MP'!P145="","",'Cálculo MP'!P145)</f>
        <v/>
      </c>
      <c r="BE135" s="60" t="str">
        <f>IF('Cálculo MP'!Q145="","",'Cálculo MP'!Q145)</f>
        <v/>
      </c>
      <c r="BF135" s="60" t="str">
        <f>IF('Cálculo MP'!R145="","",'Cálculo MP'!R145)</f>
        <v/>
      </c>
      <c r="BG135" s="60" t="str">
        <f>IF('Cálculo MP'!S145="","",'Cálculo MP'!S145)</f>
        <v/>
      </c>
      <c r="BH135" s="59"/>
      <c r="BI135" s="59"/>
      <c r="BJ135" s="59"/>
      <c r="BK135" s="59"/>
      <c r="BL135" s="59"/>
      <c r="BM135" s="59"/>
      <c r="BN135" s="59"/>
      <c r="BO135" s="59"/>
    </row>
    <row r="136" spans="1:67" ht="19.5" customHeight="1" x14ac:dyDescent="0.15">
      <c r="A136" s="123" t="s">
        <v>1856</v>
      </c>
      <c r="B136" s="122" t="s">
        <v>1854</v>
      </c>
      <c r="C136" s="49"/>
      <c r="D136" s="48" t="s">
        <v>73</v>
      </c>
      <c r="E136" s="49"/>
      <c r="F136" s="50"/>
      <c r="G136" s="62"/>
      <c r="H136" s="48" t="s">
        <v>72</v>
      </c>
      <c r="I136" s="52">
        <v>1</v>
      </c>
      <c r="J136" s="52"/>
      <c r="K136" s="52" t="s">
        <v>73</v>
      </c>
      <c r="L136" s="52" t="s">
        <v>74</v>
      </c>
      <c r="M136" s="53" t="s">
        <v>942</v>
      </c>
      <c r="N136" s="58" t="s">
        <v>73</v>
      </c>
      <c r="O136" s="48" t="s">
        <v>72</v>
      </c>
      <c r="P136" s="48" t="s">
        <v>73</v>
      </c>
      <c r="Q136" s="54" t="s">
        <v>73</v>
      </c>
      <c r="R136" s="55" t="s">
        <v>73</v>
      </c>
      <c r="S136" s="48" t="s">
        <v>73</v>
      </c>
      <c r="T136" s="130"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8" t="str" cm="1">
        <f t="array" ref="U136">IF(SUMPRODUCT(--((CAT_Procesos!$E$2:$E$1581=O136)*(CAT_Procesos!$F$2:$F$1581=_xlfn.TEXTJOIN(" + ",TRUE,IF((TRIM(P136:S136)="")+(LOWER(TRIM(P136:S136))="(seleccione)"),"",PROPER(TRIM(P136:S136)))))*(CAT_Procesos!$D$2:$D$1581=IFERROR(VLOOKUP(N136&amp;"*",CAT_Procesos!$D:$D,1,FALSE),""))))=0,"Combinación no existente",IF(SUMPRODUCT(((CAT_Procesos!$E$2:$E$1581=O136)*(CAT_Procesos!$F$2:$F$1581=_xlfn.TEXTJOIN(" + ",TRUE,IF((TRIM(P136:S136)="")+(LOWER(TRIM(P136:S136))="(seleccione)"),"",PROPER(TRIM(P136:S136)))))*(CAT_Procesos!$D$2:$D$1581=IFERROR(VLOOKUP(N136&amp;"*",CAT_Procesos!$D:$D,1,FALSE),"")))*(CAT_Procesos!$G$2:$G$1581=INDEX(CAT_Procesos!$G$2:$G$1581,MATCH(1,(CAT_Procesos!$E$2:$E$1581=O136)*(CAT_Procesos!$F$2:$F$1581=_xlfn.TEXTJOIN(" + ",TRUE,IF((TRIM(P136:S136)="")+(LOWER(TRIM(P136:S136))="(seleccione)"),"",PROPER(TRIM(P136:S136)))))*(CAT_Procesos!$D$2:$D$1581=IFERROR(VLOOKUP(N136&amp;"*",CAT_Procesos!$D:$D,1,FALSE),"")),0))))=SUMPRODUCT(--((CAT_Procesos!$E$2:$E$1581=O136)*(CAT_Procesos!$F$2:$F$1581=_xlfn.TEXTJOIN(" + ",TRUE,IF((TRIM(P136:S136)="")+(LOWER(TRIM(P136:S136))="(seleccione)"),"",PROPER(TRIM(P136:S136)))))*(CAT_Procesos!$D$2:$D$1581=IFERROR(VLOOKUP(N136&amp;"*",CAT_Procesos!$D:$D,1,FALSE),"")))),INDEX(CAT_Procesos!$G$2:$G$1581,MATCH(1,(CAT_Procesos!$E$2:$E$1581=O136)*(CAT_Procesos!$F$2:$F$1581=_xlfn.TEXTJOIN(" + ",TRUE,IF((TRIM(P136:S136)="")+(LOWER(TRIM(P136:S136))="(seleccione)"),"",PROPER(TRIM(P136:S136)))))*(CAT_Procesos!$D$2:$D$1581=IFERROR(VLOOKUP(N136&amp;"*",CAT_Procesos!$D:$D,1,FALSE),"")),0)),"(seleccione)"))</f>
        <v>Combinación no existente</v>
      </c>
      <c r="V136" s="55" t="s">
        <v>73</v>
      </c>
      <c r="W136" s="56" t="s">
        <v>73</v>
      </c>
      <c r="X136" s="57" t="str">
        <f t="shared" si="4"/>
        <v/>
      </c>
      <c r="Y136" s="58" t="s">
        <v>73</v>
      </c>
      <c r="Z136" s="57" t="str">
        <f t="shared" si="5"/>
        <v/>
      </c>
      <c r="AA136" s="58" t="s">
        <v>73</v>
      </c>
      <c r="AB136" s="57" t="str">
        <f t="shared" si="6"/>
        <v/>
      </c>
      <c r="AC136" s="58" t="s">
        <v>73</v>
      </c>
      <c r="AD136" s="57" t="str">
        <f t="shared" si="7"/>
        <v/>
      </c>
      <c r="AE136" s="59"/>
      <c r="AF136" s="59"/>
      <c r="AG136" s="59"/>
      <c r="AH136" s="59"/>
      <c r="AI136" s="59" t="s">
        <v>73</v>
      </c>
      <c r="AJ136" s="59"/>
      <c r="AK136" s="59" t="s">
        <v>73</v>
      </c>
      <c r="AL136" s="59"/>
      <c r="AM136" s="59" t="s">
        <v>73</v>
      </c>
      <c r="AN136" s="59"/>
      <c r="AO136" s="59" t="s">
        <v>73</v>
      </c>
      <c r="AP136" s="59"/>
      <c r="AQ136" s="59" t="s">
        <v>73</v>
      </c>
      <c r="AR136" s="59"/>
      <c r="AS136" s="59" t="s">
        <v>72</v>
      </c>
      <c r="AT136" s="59"/>
      <c r="AU136" s="59"/>
      <c r="AV136" s="59"/>
      <c r="AW136" s="59"/>
      <c r="AX136" s="59"/>
      <c r="AY136" s="60" t="str">
        <f>IF('Cálculo MP'!K146="","",'Cálculo MP'!K146)</f>
        <v/>
      </c>
      <c r="AZ136" s="60" t="str">
        <f>IF('Cálculo MP'!L146="","",'Cálculo MP'!L146)</f>
        <v/>
      </c>
      <c r="BA136" s="60" t="str">
        <f>IF('Cálculo MP'!M146="","",'Cálculo MP'!M146)</f>
        <v/>
      </c>
      <c r="BB136" s="60" t="str">
        <f>IF('Cálculo MP'!N146="","",'Cálculo MP'!N146)</f>
        <v/>
      </c>
      <c r="BC136" s="60" t="str">
        <f>IF('Cálculo MP'!O146="","",'Cálculo MP'!O146)</f>
        <v/>
      </c>
      <c r="BD136" s="60" t="str">
        <f>IF('Cálculo MP'!P146="","",'Cálculo MP'!P146)</f>
        <v/>
      </c>
      <c r="BE136" s="60" t="str">
        <f>IF('Cálculo MP'!Q146="","",'Cálculo MP'!Q146)</f>
        <v/>
      </c>
      <c r="BF136" s="60" t="str">
        <f>IF('Cálculo MP'!R146="","",'Cálculo MP'!R146)</f>
        <v/>
      </c>
      <c r="BG136" s="60" t="str">
        <f>IF('Cálculo MP'!S146="","",'Cálculo MP'!S146)</f>
        <v/>
      </c>
      <c r="BH136" s="59"/>
      <c r="BI136" s="59"/>
      <c r="BJ136" s="59"/>
      <c r="BK136" s="59"/>
      <c r="BL136" s="59"/>
      <c r="BM136" s="59"/>
      <c r="BN136" s="59"/>
      <c r="BO136" s="59"/>
    </row>
    <row r="137" spans="1:67" ht="19.5" customHeight="1" x14ac:dyDescent="0.15">
      <c r="A137" s="123" t="s">
        <v>1856</v>
      </c>
      <c r="B137" s="122" t="s">
        <v>1854</v>
      </c>
      <c r="C137" s="49"/>
      <c r="D137" s="48" t="s">
        <v>73</v>
      </c>
      <c r="E137" s="49"/>
      <c r="F137" s="50"/>
      <c r="G137" s="62"/>
      <c r="H137" s="48" t="s">
        <v>72</v>
      </c>
      <c r="I137" s="52">
        <v>1</v>
      </c>
      <c r="J137" s="52"/>
      <c r="K137" s="52" t="s">
        <v>73</v>
      </c>
      <c r="L137" s="52" t="s">
        <v>74</v>
      </c>
      <c r="M137" s="53" t="s">
        <v>942</v>
      </c>
      <c r="N137" s="58" t="s">
        <v>73</v>
      </c>
      <c r="O137" s="48" t="s">
        <v>72</v>
      </c>
      <c r="P137" s="48" t="s">
        <v>73</v>
      </c>
      <c r="Q137" s="54" t="s">
        <v>73</v>
      </c>
      <c r="R137" s="55" t="s">
        <v>73</v>
      </c>
      <c r="S137" s="48" t="s">
        <v>73</v>
      </c>
      <c r="T137" s="130"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8" t="str" cm="1">
        <f t="array" ref="U137">IF(SUMPRODUCT(--((CAT_Procesos!$E$2:$E$1581=O137)*(CAT_Procesos!$F$2:$F$1581=_xlfn.TEXTJOIN(" + ",TRUE,IF((TRIM(P137:S137)="")+(LOWER(TRIM(P137:S137))="(seleccione)"),"",PROPER(TRIM(P137:S137)))))*(CAT_Procesos!$D$2:$D$1581=IFERROR(VLOOKUP(N137&amp;"*",CAT_Procesos!$D:$D,1,FALSE),""))))=0,"Combinación no existente",IF(SUMPRODUCT(((CAT_Procesos!$E$2:$E$1581=O137)*(CAT_Procesos!$F$2:$F$1581=_xlfn.TEXTJOIN(" + ",TRUE,IF((TRIM(P137:S137)="")+(LOWER(TRIM(P137:S137))="(seleccione)"),"",PROPER(TRIM(P137:S137)))))*(CAT_Procesos!$D$2:$D$1581=IFERROR(VLOOKUP(N137&amp;"*",CAT_Procesos!$D:$D,1,FALSE),"")))*(CAT_Procesos!$G$2:$G$1581=INDEX(CAT_Procesos!$G$2:$G$1581,MATCH(1,(CAT_Procesos!$E$2:$E$1581=O137)*(CAT_Procesos!$F$2:$F$1581=_xlfn.TEXTJOIN(" + ",TRUE,IF((TRIM(P137:S137)="")+(LOWER(TRIM(P137:S137))="(seleccione)"),"",PROPER(TRIM(P137:S137)))))*(CAT_Procesos!$D$2:$D$1581=IFERROR(VLOOKUP(N137&amp;"*",CAT_Procesos!$D:$D,1,FALSE),"")),0))))=SUMPRODUCT(--((CAT_Procesos!$E$2:$E$1581=O137)*(CAT_Procesos!$F$2:$F$1581=_xlfn.TEXTJOIN(" + ",TRUE,IF((TRIM(P137:S137)="")+(LOWER(TRIM(P137:S137))="(seleccione)"),"",PROPER(TRIM(P137:S137)))))*(CAT_Procesos!$D$2:$D$1581=IFERROR(VLOOKUP(N137&amp;"*",CAT_Procesos!$D:$D,1,FALSE),"")))),INDEX(CAT_Procesos!$G$2:$G$1581,MATCH(1,(CAT_Procesos!$E$2:$E$1581=O137)*(CAT_Procesos!$F$2:$F$1581=_xlfn.TEXTJOIN(" + ",TRUE,IF((TRIM(P137:S137)="")+(LOWER(TRIM(P137:S137))="(seleccione)"),"",PROPER(TRIM(P137:S137)))))*(CAT_Procesos!$D$2:$D$1581=IFERROR(VLOOKUP(N137&amp;"*",CAT_Procesos!$D:$D,1,FALSE),"")),0)),"(seleccione)"))</f>
        <v>Combinación no existente</v>
      </c>
      <c r="V137" s="55" t="s">
        <v>73</v>
      </c>
      <c r="W137" s="56" t="s">
        <v>73</v>
      </c>
      <c r="X137" s="57" t="str">
        <f t="shared" ref="X137:X200" si="8">IFERROR(((VALUE(TRIM(LEFT(MID(W137,FIND("|",W137)+1,99),FIND("-",MID(W137,FIND("|",W137)+1,99))-1)))+VALUE(TRIM(SUBSTITUTE(SUBSTITUTE(SUBSTITUTE(SUBSTITUTE(SUBSTITUTE(MID(MID(W137,FIND("|",W137)+1,99),FIND("-",MID(W137,FIND("|",W137)+1,99))+1,20),"µm",""),"μm",""),"mils",""),"mil",""),"",""))))/2)*IF(ISNUMBER(SEARCH("mil",MID(W137,FIND("|",W137)+1,99))),25.4,1),"")</f>
        <v/>
      </c>
      <c r="Y137" s="58" t="s">
        <v>73</v>
      </c>
      <c r="Z137" s="57" t="str">
        <f t="shared" ref="Z137:Z200" si="9">IFERROR(((VALUE(TRIM(LEFT(MID(Y137,FIND("|",Y137)+1,99),FIND("-",MID(Y137,FIND("|",Y137)+1,99))-1)))+VALUE(TRIM(SUBSTITUTE(SUBSTITUTE(SUBSTITUTE(SUBSTITUTE(SUBSTITUTE(MID(MID(Y137,FIND("|",Y137)+1,99),FIND("-",MID(Y137,FIND("|",Y137)+1,99))+1,20),"µm",""),"μm",""),"mils",""),"mil",""),"",""))))/2)*IF(ISNUMBER(SEARCH("mil",MID(Y137,FIND("|",Y137)+1,99))),25.4,1),"")</f>
        <v/>
      </c>
      <c r="AA137" s="58" t="s">
        <v>73</v>
      </c>
      <c r="AB137" s="57"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8" t="s">
        <v>73</v>
      </c>
      <c r="AD137" s="57"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59"/>
      <c r="AF137" s="59"/>
      <c r="AG137" s="59"/>
      <c r="AH137" s="59"/>
      <c r="AI137" s="59" t="s">
        <v>73</v>
      </c>
      <c r="AJ137" s="59"/>
      <c r="AK137" s="59" t="s">
        <v>73</v>
      </c>
      <c r="AL137" s="59"/>
      <c r="AM137" s="59" t="s">
        <v>73</v>
      </c>
      <c r="AN137" s="59"/>
      <c r="AO137" s="59" t="s">
        <v>73</v>
      </c>
      <c r="AP137" s="59"/>
      <c r="AQ137" s="59" t="s">
        <v>73</v>
      </c>
      <c r="AR137" s="59"/>
      <c r="AS137" s="59" t="s">
        <v>72</v>
      </c>
      <c r="AT137" s="59"/>
      <c r="AU137" s="59"/>
      <c r="AV137" s="59"/>
      <c r="AW137" s="59"/>
      <c r="AX137" s="59"/>
      <c r="AY137" s="60" t="str">
        <f>IF('Cálculo MP'!K147="","",'Cálculo MP'!K147)</f>
        <v/>
      </c>
      <c r="AZ137" s="60" t="str">
        <f>IF('Cálculo MP'!L147="","",'Cálculo MP'!L147)</f>
        <v/>
      </c>
      <c r="BA137" s="60" t="str">
        <f>IF('Cálculo MP'!M147="","",'Cálculo MP'!M147)</f>
        <v/>
      </c>
      <c r="BB137" s="60" t="str">
        <f>IF('Cálculo MP'!N147="","",'Cálculo MP'!N147)</f>
        <v/>
      </c>
      <c r="BC137" s="60" t="str">
        <f>IF('Cálculo MP'!O147="","",'Cálculo MP'!O147)</f>
        <v/>
      </c>
      <c r="BD137" s="60" t="str">
        <f>IF('Cálculo MP'!P147="","",'Cálculo MP'!P147)</f>
        <v/>
      </c>
      <c r="BE137" s="60" t="str">
        <f>IF('Cálculo MP'!Q147="","",'Cálculo MP'!Q147)</f>
        <v/>
      </c>
      <c r="BF137" s="60" t="str">
        <f>IF('Cálculo MP'!R147="","",'Cálculo MP'!R147)</f>
        <v/>
      </c>
      <c r="BG137" s="60" t="str">
        <f>IF('Cálculo MP'!S147="","",'Cálculo MP'!S147)</f>
        <v/>
      </c>
      <c r="BH137" s="59"/>
      <c r="BI137" s="59"/>
      <c r="BJ137" s="59"/>
      <c r="BK137" s="59"/>
      <c r="BL137" s="59"/>
      <c r="BM137" s="59"/>
      <c r="BN137" s="59"/>
      <c r="BO137" s="59"/>
    </row>
    <row r="138" spans="1:67" ht="19.5" customHeight="1" x14ac:dyDescent="0.15">
      <c r="A138" s="123" t="s">
        <v>1856</v>
      </c>
      <c r="B138" s="122" t="s">
        <v>1854</v>
      </c>
      <c r="C138" s="49"/>
      <c r="D138" s="48" t="s">
        <v>73</v>
      </c>
      <c r="E138" s="49"/>
      <c r="F138" s="50"/>
      <c r="G138" s="62"/>
      <c r="H138" s="48" t="s">
        <v>72</v>
      </c>
      <c r="I138" s="52">
        <v>1</v>
      </c>
      <c r="J138" s="52"/>
      <c r="K138" s="52" t="s">
        <v>73</v>
      </c>
      <c r="L138" s="52" t="s">
        <v>74</v>
      </c>
      <c r="M138" s="53" t="s">
        <v>942</v>
      </c>
      <c r="N138" s="58" t="s">
        <v>73</v>
      </c>
      <c r="O138" s="48" t="s">
        <v>72</v>
      </c>
      <c r="P138" s="48" t="s">
        <v>73</v>
      </c>
      <c r="Q138" s="54" t="s">
        <v>73</v>
      </c>
      <c r="R138" s="55" t="s">
        <v>73</v>
      </c>
      <c r="S138" s="48" t="s">
        <v>73</v>
      </c>
      <c r="T138" s="130"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8" t="str" cm="1">
        <f t="array" ref="U138">IF(SUMPRODUCT(--((CAT_Procesos!$E$2:$E$1581=O138)*(CAT_Procesos!$F$2:$F$1581=_xlfn.TEXTJOIN(" + ",TRUE,IF((TRIM(P138:S138)="")+(LOWER(TRIM(P138:S138))="(seleccione)"),"",PROPER(TRIM(P138:S138)))))*(CAT_Procesos!$D$2:$D$1581=IFERROR(VLOOKUP(N138&amp;"*",CAT_Procesos!$D:$D,1,FALSE),""))))=0,"Combinación no existente",IF(SUMPRODUCT(((CAT_Procesos!$E$2:$E$1581=O138)*(CAT_Procesos!$F$2:$F$1581=_xlfn.TEXTJOIN(" + ",TRUE,IF((TRIM(P138:S138)="")+(LOWER(TRIM(P138:S138))="(seleccione)"),"",PROPER(TRIM(P138:S138)))))*(CAT_Procesos!$D$2:$D$1581=IFERROR(VLOOKUP(N138&amp;"*",CAT_Procesos!$D:$D,1,FALSE),"")))*(CAT_Procesos!$G$2:$G$1581=INDEX(CAT_Procesos!$G$2:$G$1581,MATCH(1,(CAT_Procesos!$E$2:$E$1581=O138)*(CAT_Procesos!$F$2:$F$1581=_xlfn.TEXTJOIN(" + ",TRUE,IF((TRIM(P138:S138)="")+(LOWER(TRIM(P138:S138))="(seleccione)"),"",PROPER(TRIM(P138:S138)))))*(CAT_Procesos!$D$2:$D$1581=IFERROR(VLOOKUP(N138&amp;"*",CAT_Procesos!$D:$D,1,FALSE),"")),0))))=SUMPRODUCT(--((CAT_Procesos!$E$2:$E$1581=O138)*(CAT_Procesos!$F$2:$F$1581=_xlfn.TEXTJOIN(" + ",TRUE,IF((TRIM(P138:S138)="")+(LOWER(TRIM(P138:S138))="(seleccione)"),"",PROPER(TRIM(P138:S138)))))*(CAT_Procesos!$D$2:$D$1581=IFERROR(VLOOKUP(N138&amp;"*",CAT_Procesos!$D:$D,1,FALSE),"")))),INDEX(CAT_Procesos!$G$2:$G$1581,MATCH(1,(CAT_Procesos!$E$2:$E$1581=O138)*(CAT_Procesos!$F$2:$F$1581=_xlfn.TEXTJOIN(" + ",TRUE,IF((TRIM(P138:S138)="")+(LOWER(TRIM(P138:S138))="(seleccione)"),"",PROPER(TRIM(P138:S138)))))*(CAT_Procesos!$D$2:$D$1581=IFERROR(VLOOKUP(N138&amp;"*",CAT_Procesos!$D:$D,1,FALSE),"")),0)),"(seleccione)"))</f>
        <v>Combinación no existente</v>
      </c>
      <c r="V138" s="55" t="s">
        <v>73</v>
      </c>
      <c r="W138" s="56" t="s">
        <v>73</v>
      </c>
      <c r="X138" s="57" t="str">
        <f t="shared" si="8"/>
        <v/>
      </c>
      <c r="Y138" s="58" t="s">
        <v>73</v>
      </c>
      <c r="Z138" s="57" t="str">
        <f t="shared" si="9"/>
        <v/>
      </c>
      <c r="AA138" s="58" t="s">
        <v>73</v>
      </c>
      <c r="AB138" s="57" t="str">
        <f t="shared" si="10"/>
        <v/>
      </c>
      <c r="AC138" s="58" t="s">
        <v>73</v>
      </c>
      <c r="AD138" s="57" t="str">
        <f t="shared" si="11"/>
        <v/>
      </c>
      <c r="AE138" s="59"/>
      <c r="AF138" s="59"/>
      <c r="AG138" s="59"/>
      <c r="AH138" s="59"/>
      <c r="AI138" s="59" t="s">
        <v>73</v>
      </c>
      <c r="AJ138" s="59"/>
      <c r="AK138" s="59" t="s">
        <v>73</v>
      </c>
      <c r="AL138" s="59"/>
      <c r="AM138" s="59" t="s">
        <v>73</v>
      </c>
      <c r="AN138" s="59"/>
      <c r="AO138" s="59" t="s">
        <v>73</v>
      </c>
      <c r="AP138" s="59"/>
      <c r="AQ138" s="59" t="s">
        <v>73</v>
      </c>
      <c r="AR138" s="59"/>
      <c r="AS138" s="59" t="s">
        <v>72</v>
      </c>
      <c r="AT138" s="59"/>
      <c r="AU138" s="59"/>
      <c r="AV138" s="59"/>
      <c r="AW138" s="59"/>
      <c r="AX138" s="59"/>
      <c r="AY138" s="60" t="str">
        <f>IF('Cálculo MP'!K148="","",'Cálculo MP'!K148)</f>
        <v/>
      </c>
      <c r="AZ138" s="60" t="str">
        <f>IF('Cálculo MP'!L148="","",'Cálculo MP'!L148)</f>
        <v/>
      </c>
      <c r="BA138" s="60" t="str">
        <f>IF('Cálculo MP'!M148="","",'Cálculo MP'!M148)</f>
        <v/>
      </c>
      <c r="BB138" s="60" t="str">
        <f>IF('Cálculo MP'!N148="","",'Cálculo MP'!N148)</f>
        <v/>
      </c>
      <c r="BC138" s="60" t="str">
        <f>IF('Cálculo MP'!O148="","",'Cálculo MP'!O148)</f>
        <v/>
      </c>
      <c r="BD138" s="60" t="str">
        <f>IF('Cálculo MP'!P148="","",'Cálculo MP'!P148)</f>
        <v/>
      </c>
      <c r="BE138" s="60" t="str">
        <f>IF('Cálculo MP'!Q148="","",'Cálculo MP'!Q148)</f>
        <v/>
      </c>
      <c r="BF138" s="60" t="str">
        <f>IF('Cálculo MP'!R148="","",'Cálculo MP'!R148)</f>
        <v/>
      </c>
      <c r="BG138" s="60" t="str">
        <f>IF('Cálculo MP'!S148="","",'Cálculo MP'!S148)</f>
        <v/>
      </c>
      <c r="BH138" s="59"/>
      <c r="BI138" s="59"/>
      <c r="BJ138" s="59"/>
      <c r="BK138" s="59"/>
      <c r="BL138" s="59"/>
      <c r="BM138" s="59"/>
      <c r="BN138" s="59"/>
      <c r="BO138" s="59"/>
    </row>
    <row r="139" spans="1:67" ht="19.5" customHeight="1" x14ac:dyDescent="0.15">
      <c r="A139" s="123" t="s">
        <v>1856</v>
      </c>
      <c r="B139" s="122" t="s">
        <v>1854</v>
      </c>
      <c r="C139" s="49"/>
      <c r="D139" s="48" t="s">
        <v>73</v>
      </c>
      <c r="E139" s="49"/>
      <c r="F139" s="50"/>
      <c r="G139" s="62"/>
      <c r="H139" s="48" t="s">
        <v>72</v>
      </c>
      <c r="I139" s="52">
        <v>1</v>
      </c>
      <c r="J139" s="52"/>
      <c r="K139" s="52" t="s">
        <v>73</v>
      </c>
      <c r="L139" s="52" t="s">
        <v>74</v>
      </c>
      <c r="M139" s="53" t="s">
        <v>942</v>
      </c>
      <c r="N139" s="58" t="s">
        <v>73</v>
      </c>
      <c r="O139" s="48" t="s">
        <v>72</v>
      </c>
      <c r="P139" s="48" t="s">
        <v>73</v>
      </c>
      <c r="Q139" s="54" t="s">
        <v>73</v>
      </c>
      <c r="R139" s="55" t="s">
        <v>73</v>
      </c>
      <c r="S139" s="48" t="s">
        <v>73</v>
      </c>
      <c r="T139" s="130"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8" t="str" cm="1">
        <f t="array" ref="U139">IF(SUMPRODUCT(--((CAT_Procesos!$E$2:$E$1581=O139)*(CAT_Procesos!$F$2:$F$1581=_xlfn.TEXTJOIN(" + ",TRUE,IF((TRIM(P139:S139)="")+(LOWER(TRIM(P139:S139))="(seleccione)"),"",PROPER(TRIM(P139:S139)))))*(CAT_Procesos!$D$2:$D$1581=IFERROR(VLOOKUP(N139&amp;"*",CAT_Procesos!$D:$D,1,FALSE),""))))=0,"Combinación no existente",IF(SUMPRODUCT(((CAT_Procesos!$E$2:$E$1581=O139)*(CAT_Procesos!$F$2:$F$1581=_xlfn.TEXTJOIN(" + ",TRUE,IF((TRIM(P139:S139)="")+(LOWER(TRIM(P139:S139))="(seleccione)"),"",PROPER(TRIM(P139:S139)))))*(CAT_Procesos!$D$2:$D$1581=IFERROR(VLOOKUP(N139&amp;"*",CAT_Procesos!$D:$D,1,FALSE),"")))*(CAT_Procesos!$G$2:$G$1581=INDEX(CAT_Procesos!$G$2:$G$1581,MATCH(1,(CAT_Procesos!$E$2:$E$1581=O139)*(CAT_Procesos!$F$2:$F$1581=_xlfn.TEXTJOIN(" + ",TRUE,IF((TRIM(P139:S139)="")+(LOWER(TRIM(P139:S139))="(seleccione)"),"",PROPER(TRIM(P139:S139)))))*(CAT_Procesos!$D$2:$D$1581=IFERROR(VLOOKUP(N139&amp;"*",CAT_Procesos!$D:$D,1,FALSE),"")),0))))=SUMPRODUCT(--((CAT_Procesos!$E$2:$E$1581=O139)*(CAT_Procesos!$F$2:$F$1581=_xlfn.TEXTJOIN(" + ",TRUE,IF((TRIM(P139:S139)="")+(LOWER(TRIM(P139:S139))="(seleccione)"),"",PROPER(TRIM(P139:S139)))))*(CAT_Procesos!$D$2:$D$1581=IFERROR(VLOOKUP(N139&amp;"*",CAT_Procesos!$D:$D,1,FALSE),"")))),INDEX(CAT_Procesos!$G$2:$G$1581,MATCH(1,(CAT_Procesos!$E$2:$E$1581=O139)*(CAT_Procesos!$F$2:$F$1581=_xlfn.TEXTJOIN(" + ",TRUE,IF((TRIM(P139:S139)="")+(LOWER(TRIM(P139:S139))="(seleccione)"),"",PROPER(TRIM(P139:S139)))))*(CAT_Procesos!$D$2:$D$1581=IFERROR(VLOOKUP(N139&amp;"*",CAT_Procesos!$D:$D,1,FALSE),"")),0)),"(seleccione)"))</f>
        <v>Combinación no existente</v>
      </c>
      <c r="V139" s="55" t="s">
        <v>73</v>
      </c>
      <c r="W139" s="56" t="s">
        <v>73</v>
      </c>
      <c r="X139" s="57" t="str">
        <f t="shared" si="8"/>
        <v/>
      </c>
      <c r="Y139" s="58" t="s">
        <v>73</v>
      </c>
      <c r="Z139" s="57" t="str">
        <f t="shared" si="9"/>
        <v/>
      </c>
      <c r="AA139" s="58" t="s">
        <v>73</v>
      </c>
      <c r="AB139" s="57" t="str">
        <f t="shared" si="10"/>
        <v/>
      </c>
      <c r="AC139" s="58" t="s">
        <v>73</v>
      </c>
      <c r="AD139" s="57" t="str">
        <f t="shared" si="11"/>
        <v/>
      </c>
      <c r="AE139" s="59"/>
      <c r="AF139" s="59"/>
      <c r="AG139" s="59"/>
      <c r="AH139" s="59"/>
      <c r="AI139" s="59" t="s">
        <v>73</v>
      </c>
      <c r="AJ139" s="59"/>
      <c r="AK139" s="59" t="s">
        <v>73</v>
      </c>
      <c r="AL139" s="59"/>
      <c r="AM139" s="59" t="s">
        <v>73</v>
      </c>
      <c r="AN139" s="59"/>
      <c r="AO139" s="59" t="s">
        <v>73</v>
      </c>
      <c r="AP139" s="59"/>
      <c r="AQ139" s="59" t="s">
        <v>73</v>
      </c>
      <c r="AR139" s="59"/>
      <c r="AS139" s="59" t="s">
        <v>72</v>
      </c>
      <c r="AT139" s="59"/>
      <c r="AU139" s="59"/>
      <c r="AV139" s="59"/>
      <c r="AW139" s="59"/>
      <c r="AX139" s="59"/>
      <c r="AY139" s="60" t="str">
        <f>IF('Cálculo MP'!K149="","",'Cálculo MP'!K149)</f>
        <v/>
      </c>
      <c r="AZ139" s="60" t="str">
        <f>IF('Cálculo MP'!L149="","",'Cálculo MP'!L149)</f>
        <v/>
      </c>
      <c r="BA139" s="60" t="str">
        <f>IF('Cálculo MP'!M149="","",'Cálculo MP'!M149)</f>
        <v/>
      </c>
      <c r="BB139" s="60" t="str">
        <f>IF('Cálculo MP'!N149="","",'Cálculo MP'!N149)</f>
        <v/>
      </c>
      <c r="BC139" s="60" t="str">
        <f>IF('Cálculo MP'!O149="","",'Cálculo MP'!O149)</f>
        <v/>
      </c>
      <c r="BD139" s="60" t="str">
        <f>IF('Cálculo MP'!P149="","",'Cálculo MP'!P149)</f>
        <v/>
      </c>
      <c r="BE139" s="60" t="str">
        <f>IF('Cálculo MP'!Q149="","",'Cálculo MP'!Q149)</f>
        <v/>
      </c>
      <c r="BF139" s="60" t="str">
        <f>IF('Cálculo MP'!R149="","",'Cálculo MP'!R149)</f>
        <v/>
      </c>
      <c r="BG139" s="60" t="str">
        <f>IF('Cálculo MP'!S149="","",'Cálculo MP'!S149)</f>
        <v/>
      </c>
      <c r="BH139" s="59"/>
      <c r="BI139" s="59"/>
      <c r="BJ139" s="59"/>
      <c r="BK139" s="59"/>
      <c r="BL139" s="59"/>
      <c r="BM139" s="59"/>
      <c r="BN139" s="59"/>
      <c r="BO139" s="59"/>
    </row>
    <row r="140" spans="1:67" ht="19.5" customHeight="1" x14ac:dyDescent="0.15">
      <c r="A140" s="123" t="s">
        <v>1856</v>
      </c>
      <c r="B140" s="122" t="s">
        <v>1854</v>
      </c>
      <c r="C140" s="49"/>
      <c r="D140" s="48" t="s">
        <v>73</v>
      </c>
      <c r="E140" s="49"/>
      <c r="F140" s="50"/>
      <c r="G140" s="62"/>
      <c r="H140" s="48" t="s">
        <v>72</v>
      </c>
      <c r="I140" s="52">
        <v>1</v>
      </c>
      <c r="J140" s="52"/>
      <c r="K140" s="52" t="s">
        <v>73</v>
      </c>
      <c r="L140" s="52" t="s">
        <v>74</v>
      </c>
      <c r="M140" s="53" t="s">
        <v>942</v>
      </c>
      <c r="N140" s="58" t="s">
        <v>73</v>
      </c>
      <c r="O140" s="48" t="s">
        <v>72</v>
      </c>
      <c r="P140" s="48" t="s">
        <v>73</v>
      </c>
      <c r="Q140" s="54" t="s">
        <v>73</v>
      </c>
      <c r="R140" s="55" t="s">
        <v>73</v>
      </c>
      <c r="S140" s="48" t="s">
        <v>73</v>
      </c>
      <c r="T140" s="130"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8" t="str" cm="1">
        <f t="array" ref="U140">IF(SUMPRODUCT(--((CAT_Procesos!$E$2:$E$1581=O140)*(CAT_Procesos!$F$2:$F$1581=_xlfn.TEXTJOIN(" + ",TRUE,IF((TRIM(P140:S140)="")+(LOWER(TRIM(P140:S140))="(seleccione)"),"",PROPER(TRIM(P140:S140)))))*(CAT_Procesos!$D$2:$D$1581=IFERROR(VLOOKUP(N140&amp;"*",CAT_Procesos!$D:$D,1,FALSE),""))))=0,"Combinación no existente",IF(SUMPRODUCT(((CAT_Procesos!$E$2:$E$1581=O140)*(CAT_Procesos!$F$2:$F$1581=_xlfn.TEXTJOIN(" + ",TRUE,IF((TRIM(P140:S140)="")+(LOWER(TRIM(P140:S140))="(seleccione)"),"",PROPER(TRIM(P140:S140)))))*(CAT_Procesos!$D$2:$D$1581=IFERROR(VLOOKUP(N140&amp;"*",CAT_Procesos!$D:$D,1,FALSE),"")))*(CAT_Procesos!$G$2:$G$1581=INDEX(CAT_Procesos!$G$2:$G$1581,MATCH(1,(CAT_Procesos!$E$2:$E$1581=O140)*(CAT_Procesos!$F$2:$F$1581=_xlfn.TEXTJOIN(" + ",TRUE,IF((TRIM(P140:S140)="")+(LOWER(TRIM(P140:S140))="(seleccione)"),"",PROPER(TRIM(P140:S140)))))*(CAT_Procesos!$D$2:$D$1581=IFERROR(VLOOKUP(N140&amp;"*",CAT_Procesos!$D:$D,1,FALSE),"")),0))))=SUMPRODUCT(--((CAT_Procesos!$E$2:$E$1581=O140)*(CAT_Procesos!$F$2:$F$1581=_xlfn.TEXTJOIN(" + ",TRUE,IF((TRIM(P140:S140)="")+(LOWER(TRIM(P140:S140))="(seleccione)"),"",PROPER(TRIM(P140:S140)))))*(CAT_Procesos!$D$2:$D$1581=IFERROR(VLOOKUP(N140&amp;"*",CAT_Procesos!$D:$D,1,FALSE),"")))),INDEX(CAT_Procesos!$G$2:$G$1581,MATCH(1,(CAT_Procesos!$E$2:$E$1581=O140)*(CAT_Procesos!$F$2:$F$1581=_xlfn.TEXTJOIN(" + ",TRUE,IF((TRIM(P140:S140)="")+(LOWER(TRIM(P140:S140))="(seleccione)"),"",PROPER(TRIM(P140:S140)))))*(CAT_Procesos!$D$2:$D$1581=IFERROR(VLOOKUP(N140&amp;"*",CAT_Procesos!$D:$D,1,FALSE),"")),0)),"(seleccione)"))</f>
        <v>Combinación no existente</v>
      </c>
      <c r="V140" s="55" t="s">
        <v>73</v>
      </c>
      <c r="W140" s="56" t="s">
        <v>73</v>
      </c>
      <c r="X140" s="57" t="str">
        <f t="shared" si="8"/>
        <v/>
      </c>
      <c r="Y140" s="58" t="s">
        <v>73</v>
      </c>
      <c r="Z140" s="57" t="str">
        <f t="shared" si="9"/>
        <v/>
      </c>
      <c r="AA140" s="58" t="s">
        <v>73</v>
      </c>
      <c r="AB140" s="57" t="str">
        <f t="shared" si="10"/>
        <v/>
      </c>
      <c r="AC140" s="58" t="s">
        <v>73</v>
      </c>
      <c r="AD140" s="57" t="str">
        <f t="shared" si="11"/>
        <v/>
      </c>
      <c r="AE140" s="59"/>
      <c r="AF140" s="59"/>
      <c r="AG140" s="59"/>
      <c r="AH140" s="59"/>
      <c r="AI140" s="59" t="s">
        <v>73</v>
      </c>
      <c r="AJ140" s="59"/>
      <c r="AK140" s="59" t="s">
        <v>73</v>
      </c>
      <c r="AL140" s="59"/>
      <c r="AM140" s="59" t="s">
        <v>73</v>
      </c>
      <c r="AN140" s="59"/>
      <c r="AO140" s="59" t="s">
        <v>73</v>
      </c>
      <c r="AP140" s="59"/>
      <c r="AQ140" s="59" t="s">
        <v>73</v>
      </c>
      <c r="AR140" s="59"/>
      <c r="AS140" s="59" t="s">
        <v>72</v>
      </c>
      <c r="AT140" s="59"/>
      <c r="AU140" s="59"/>
      <c r="AV140" s="59"/>
      <c r="AW140" s="59"/>
      <c r="AX140" s="59"/>
      <c r="AY140" s="60" t="str">
        <f>IF('Cálculo MP'!K150="","",'Cálculo MP'!K150)</f>
        <v/>
      </c>
      <c r="AZ140" s="60" t="str">
        <f>IF('Cálculo MP'!L150="","",'Cálculo MP'!L150)</f>
        <v/>
      </c>
      <c r="BA140" s="60" t="str">
        <f>IF('Cálculo MP'!M150="","",'Cálculo MP'!M150)</f>
        <v/>
      </c>
      <c r="BB140" s="60" t="str">
        <f>IF('Cálculo MP'!N150="","",'Cálculo MP'!N150)</f>
        <v/>
      </c>
      <c r="BC140" s="60" t="str">
        <f>IF('Cálculo MP'!O150="","",'Cálculo MP'!O150)</f>
        <v/>
      </c>
      <c r="BD140" s="60" t="str">
        <f>IF('Cálculo MP'!P150="","",'Cálculo MP'!P150)</f>
        <v/>
      </c>
      <c r="BE140" s="60" t="str">
        <f>IF('Cálculo MP'!Q150="","",'Cálculo MP'!Q150)</f>
        <v/>
      </c>
      <c r="BF140" s="60" t="str">
        <f>IF('Cálculo MP'!R150="","",'Cálculo MP'!R150)</f>
        <v/>
      </c>
      <c r="BG140" s="60" t="str">
        <f>IF('Cálculo MP'!S150="","",'Cálculo MP'!S150)</f>
        <v/>
      </c>
      <c r="BH140" s="59"/>
      <c r="BI140" s="59"/>
      <c r="BJ140" s="59"/>
      <c r="BK140" s="59"/>
      <c r="BL140" s="59"/>
      <c r="BM140" s="59"/>
      <c r="BN140" s="59"/>
      <c r="BO140" s="59"/>
    </row>
    <row r="141" spans="1:67" ht="19.5" customHeight="1" x14ac:dyDescent="0.15">
      <c r="A141" s="123" t="s">
        <v>1856</v>
      </c>
      <c r="B141" s="122" t="s">
        <v>1854</v>
      </c>
      <c r="C141" s="49"/>
      <c r="D141" s="48" t="s">
        <v>73</v>
      </c>
      <c r="E141" s="49"/>
      <c r="F141" s="50"/>
      <c r="G141" s="62"/>
      <c r="H141" s="48" t="s">
        <v>72</v>
      </c>
      <c r="I141" s="52">
        <v>1</v>
      </c>
      <c r="J141" s="52"/>
      <c r="K141" s="52" t="s">
        <v>73</v>
      </c>
      <c r="L141" s="52" t="s">
        <v>74</v>
      </c>
      <c r="M141" s="53" t="s">
        <v>942</v>
      </c>
      <c r="N141" s="58" t="s">
        <v>73</v>
      </c>
      <c r="O141" s="48" t="s">
        <v>72</v>
      </c>
      <c r="P141" s="48" t="s">
        <v>73</v>
      </c>
      <c r="Q141" s="54" t="s">
        <v>73</v>
      </c>
      <c r="R141" s="55" t="s">
        <v>73</v>
      </c>
      <c r="S141" s="48" t="s">
        <v>73</v>
      </c>
      <c r="T141" s="130"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8" t="str" cm="1">
        <f t="array" ref="U141">IF(SUMPRODUCT(--((CAT_Procesos!$E$2:$E$1581=O141)*(CAT_Procesos!$F$2:$F$1581=_xlfn.TEXTJOIN(" + ",TRUE,IF((TRIM(P141:S141)="")+(LOWER(TRIM(P141:S141))="(seleccione)"),"",PROPER(TRIM(P141:S141)))))*(CAT_Procesos!$D$2:$D$1581=IFERROR(VLOOKUP(N141&amp;"*",CAT_Procesos!$D:$D,1,FALSE),""))))=0,"Combinación no existente",IF(SUMPRODUCT(((CAT_Procesos!$E$2:$E$1581=O141)*(CAT_Procesos!$F$2:$F$1581=_xlfn.TEXTJOIN(" + ",TRUE,IF((TRIM(P141:S141)="")+(LOWER(TRIM(P141:S141))="(seleccione)"),"",PROPER(TRIM(P141:S141)))))*(CAT_Procesos!$D$2:$D$1581=IFERROR(VLOOKUP(N141&amp;"*",CAT_Procesos!$D:$D,1,FALSE),"")))*(CAT_Procesos!$G$2:$G$1581=INDEX(CAT_Procesos!$G$2:$G$1581,MATCH(1,(CAT_Procesos!$E$2:$E$1581=O141)*(CAT_Procesos!$F$2:$F$1581=_xlfn.TEXTJOIN(" + ",TRUE,IF((TRIM(P141:S141)="")+(LOWER(TRIM(P141:S141))="(seleccione)"),"",PROPER(TRIM(P141:S141)))))*(CAT_Procesos!$D$2:$D$1581=IFERROR(VLOOKUP(N141&amp;"*",CAT_Procesos!$D:$D,1,FALSE),"")),0))))=SUMPRODUCT(--((CAT_Procesos!$E$2:$E$1581=O141)*(CAT_Procesos!$F$2:$F$1581=_xlfn.TEXTJOIN(" + ",TRUE,IF((TRIM(P141:S141)="")+(LOWER(TRIM(P141:S141))="(seleccione)"),"",PROPER(TRIM(P141:S141)))))*(CAT_Procesos!$D$2:$D$1581=IFERROR(VLOOKUP(N141&amp;"*",CAT_Procesos!$D:$D,1,FALSE),"")))),INDEX(CAT_Procesos!$G$2:$G$1581,MATCH(1,(CAT_Procesos!$E$2:$E$1581=O141)*(CAT_Procesos!$F$2:$F$1581=_xlfn.TEXTJOIN(" + ",TRUE,IF((TRIM(P141:S141)="")+(LOWER(TRIM(P141:S141))="(seleccione)"),"",PROPER(TRIM(P141:S141)))))*(CAT_Procesos!$D$2:$D$1581=IFERROR(VLOOKUP(N141&amp;"*",CAT_Procesos!$D:$D,1,FALSE),"")),0)),"(seleccione)"))</f>
        <v>Combinación no existente</v>
      </c>
      <c r="V141" s="55" t="s">
        <v>73</v>
      </c>
      <c r="W141" s="56" t="s">
        <v>73</v>
      </c>
      <c r="X141" s="57" t="str">
        <f t="shared" si="8"/>
        <v/>
      </c>
      <c r="Y141" s="58" t="s">
        <v>73</v>
      </c>
      <c r="Z141" s="57" t="str">
        <f t="shared" si="9"/>
        <v/>
      </c>
      <c r="AA141" s="58" t="s">
        <v>73</v>
      </c>
      <c r="AB141" s="57" t="str">
        <f t="shared" si="10"/>
        <v/>
      </c>
      <c r="AC141" s="58" t="s">
        <v>73</v>
      </c>
      <c r="AD141" s="57" t="str">
        <f t="shared" si="11"/>
        <v/>
      </c>
      <c r="AE141" s="59"/>
      <c r="AF141" s="59"/>
      <c r="AG141" s="59"/>
      <c r="AH141" s="59"/>
      <c r="AI141" s="59" t="s">
        <v>73</v>
      </c>
      <c r="AJ141" s="59"/>
      <c r="AK141" s="59" t="s">
        <v>73</v>
      </c>
      <c r="AL141" s="59"/>
      <c r="AM141" s="59" t="s">
        <v>73</v>
      </c>
      <c r="AN141" s="59"/>
      <c r="AO141" s="59" t="s">
        <v>73</v>
      </c>
      <c r="AP141" s="59"/>
      <c r="AQ141" s="59" t="s">
        <v>73</v>
      </c>
      <c r="AR141" s="59"/>
      <c r="AS141" s="59" t="s">
        <v>72</v>
      </c>
      <c r="AT141" s="59"/>
      <c r="AU141" s="59"/>
      <c r="AV141" s="59"/>
      <c r="AW141" s="59"/>
      <c r="AX141" s="59"/>
      <c r="AY141" s="60" t="str">
        <f>IF('Cálculo MP'!K151="","",'Cálculo MP'!K151)</f>
        <v/>
      </c>
      <c r="AZ141" s="60" t="str">
        <f>IF('Cálculo MP'!L151="","",'Cálculo MP'!L151)</f>
        <v/>
      </c>
      <c r="BA141" s="60" t="str">
        <f>IF('Cálculo MP'!M151="","",'Cálculo MP'!M151)</f>
        <v/>
      </c>
      <c r="BB141" s="60" t="str">
        <f>IF('Cálculo MP'!N151="","",'Cálculo MP'!N151)</f>
        <v/>
      </c>
      <c r="BC141" s="60" t="str">
        <f>IF('Cálculo MP'!O151="","",'Cálculo MP'!O151)</f>
        <v/>
      </c>
      <c r="BD141" s="60" t="str">
        <f>IF('Cálculo MP'!P151="","",'Cálculo MP'!P151)</f>
        <v/>
      </c>
      <c r="BE141" s="60" t="str">
        <f>IF('Cálculo MP'!Q151="","",'Cálculo MP'!Q151)</f>
        <v/>
      </c>
      <c r="BF141" s="60" t="str">
        <f>IF('Cálculo MP'!R151="","",'Cálculo MP'!R151)</f>
        <v/>
      </c>
      <c r="BG141" s="60" t="str">
        <f>IF('Cálculo MP'!S151="","",'Cálculo MP'!S151)</f>
        <v/>
      </c>
      <c r="BH141" s="59"/>
      <c r="BI141" s="59"/>
      <c r="BJ141" s="59"/>
      <c r="BK141" s="59"/>
      <c r="BL141" s="59"/>
      <c r="BM141" s="59"/>
      <c r="BN141" s="59"/>
      <c r="BO141" s="59"/>
    </row>
    <row r="142" spans="1:67" ht="19.5" customHeight="1" x14ac:dyDescent="0.15">
      <c r="A142" s="123" t="s">
        <v>1856</v>
      </c>
      <c r="B142" s="122" t="s">
        <v>1854</v>
      </c>
      <c r="C142" s="49"/>
      <c r="D142" s="48" t="s">
        <v>73</v>
      </c>
      <c r="E142" s="49"/>
      <c r="F142" s="50"/>
      <c r="G142" s="62"/>
      <c r="H142" s="48" t="s">
        <v>72</v>
      </c>
      <c r="I142" s="52">
        <v>1</v>
      </c>
      <c r="J142" s="52"/>
      <c r="K142" s="52" t="s">
        <v>73</v>
      </c>
      <c r="L142" s="52" t="s">
        <v>74</v>
      </c>
      <c r="M142" s="53" t="s">
        <v>942</v>
      </c>
      <c r="N142" s="58" t="s">
        <v>73</v>
      </c>
      <c r="O142" s="48" t="s">
        <v>72</v>
      </c>
      <c r="P142" s="48" t="s">
        <v>73</v>
      </c>
      <c r="Q142" s="54" t="s">
        <v>73</v>
      </c>
      <c r="R142" s="55" t="s">
        <v>73</v>
      </c>
      <c r="S142" s="48" t="s">
        <v>73</v>
      </c>
      <c r="T142" s="130"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8" t="str" cm="1">
        <f t="array" ref="U142">IF(SUMPRODUCT(--((CAT_Procesos!$E$2:$E$1581=O142)*(CAT_Procesos!$F$2:$F$1581=_xlfn.TEXTJOIN(" + ",TRUE,IF((TRIM(P142:S142)="")+(LOWER(TRIM(P142:S142))="(seleccione)"),"",PROPER(TRIM(P142:S142)))))*(CAT_Procesos!$D$2:$D$1581=IFERROR(VLOOKUP(N142&amp;"*",CAT_Procesos!$D:$D,1,FALSE),""))))=0,"Combinación no existente",IF(SUMPRODUCT(((CAT_Procesos!$E$2:$E$1581=O142)*(CAT_Procesos!$F$2:$F$1581=_xlfn.TEXTJOIN(" + ",TRUE,IF((TRIM(P142:S142)="")+(LOWER(TRIM(P142:S142))="(seleccione)"),"",PROPER(TRIM(P142:S142)))))*(CAT_Procesos!$D$2:$D$1581=IFERROR(VLOOKUP(N142&amp;"*",CAT_Procesos!$D:$D,1,FALSE),"")))*(CAT_Procesos!$G$2:$G$1581=INDEX(CAT_Procesos!$G$2:$G$1581,MATCH(1,(CAT_Procesos!$E$2:$E$1581=O142)*(CAT_Procesos!$F$2:$F$1581=_xlfn.TEXTJOIN(" + ",TRUE,IF((TRIM(P142:S142)="")+(LOWER(TRIM(P142:S142))="(seleccione)"),"",PROPER(TRIM(P142:S142)))))*(CAT_Procesos!$D$2:$D$1581=IFERROR(VLOOKUP(N142&amp;"*",CAT_Procesos!$D:$D,1,FALSE),"")),0))))=SUMPRODUCT(--((CAT_Procesos!$E$2:$E$1581=O142)*(CAT_Procesos!$F$2:$F$1581=_xlfn.TEXTJOIN(" + ",TRUE,IF((TRIM(P142:S142)="")+(LOWER(TRIM(P142:S142))="(seleccione)"),"",PROPER(TRIM(P142:S142)))))*(CAT_Procesos!$D$2:$D$1581=IFERROR(VLOOKUP(N142&amp;"*",CAT_Procesos!$D:$D,1,FALSE),"")))),INDEX(CAT_Procesos!$G$2:$G$1581,MATCH(1,(CAT_Procesos!$E$2:$E$1581=O142)*(CAT_Procesos!$F$2:$F$1581=_xlfn.TEXTJOIN(" + ",TRUE,IF((TRIM(P142:S142)="")+(LOWER(TRIM(P142:S142))="(seleccione)"),"",PROPER(TRIM(P142:S142)))))*(CAT_Procesos!$D$2:$D$1581=IFERROR(VLOOKUP(N142&amp;"*",CAT_Procesos!$D:$D,1,FALSE),"")),0)),"(seleccione)"))</f>
        <v>Combinación no existente</v>
      </c>
      <c r="V142" s="55" t="s">
        <v>73</v>
      </c>
      <c r="W142" s="56" t="s">
        <v>73</v>
      </c>
      <c r="X142" s="57" t="str">
        <f t="shared" si="8"/>
        <v/>
      </c>
      <c r="Y142" s="58" t="s">
        <v>73</v>
      </c>
      <c r="Z142" s="57" t="str">
        <f t="shared" si="9"/>
        <v/>
      </c>
      <c r="AA142" s="58" t="s">
        <v>73</v>
      </c>
      <c r="AB142" s="57" t="str">
        <f t="shared" si="10"/>
        <v/>
      </c>
      <c r="AC142" s="58" t="s">
        <v>73</v>
      </c>
      <c r="AD142" s="57" t="str">
        <f t="shared" si="11"/>
        <v/>
      </c>
      <c r="AE142" s="59"/>
      <c r="AF142" s="59"/>
      <c r="AG142" s="59"/>
      <c r="AH142" s="59"/>
      <c r="AI142" s="59" t="s">
        <v>73</v>
      </c>
      <c r="AJ142" s="59"/>
      <c r="AK142" s="59" t="s">
        <v>73</v>
      </c>
      <c r="AL142" s="59"/>
      <c r="AM142" s="59" t="s">
        <v>73</v>
      </c>
      <c r="AN142" s="59"/>
      <c r="AO142" s="59" t="s">
        <v>73</v>
      </c>
      <c r="AP142" s="59"/>
      <c r="AQ142" s="59" t="s">
        <v>73</v>
      </c>
      <c r="AR142" s="59"/>
      <c r="AS142" s="59" t="s">
        <v>72</v>
      </c>
      <c r="AT142" s="59"/>
      <c r="AU142" s="59"/>
      <c r="AV142" s="59"/>
      <c r="AW142" s="59"/>
      <c r="AX142" s="59"/>
      <c r="AY142" s="60" t="str">
        <f>IF('Cálculo MP'!K152="","",'Cálculo MP'!K152)</f>
        <v/>
      </c>
      <c r="AZ142" s="60" t="str">
        <f>IF('Cálculo MP'!L152="","",'Cálculo MP'!L152)</f>
        <v/>
      </c>
      <c r="BA142" s="60" t="str">
        <f>IF('Cálculo MP'!M152="","",'Cálculo MP'!M152)</f>
        <v/>
      </c>
      <c r="BB142" s="60" t="str">
        <f>IF('Cálculo MP'!N152="","",'Cálculo MP'!N152)</f>
        <v/>
      </c>
      <c r="BC142" s="60" t="str">
        <f>IF('Cálculo MP'!O152="","",'Cálculo MP'!O152)</f>
        <v/>
      </c>
      <c r="BD142" s="60" t="str">
        <f>IF('Cálculo MP'!P152="","",'Cálculo MP'!P152)</f>
        <v/>
      </c>
      <c r="BE142" s="60" t="str">
        <f>IF('Cálculo MP'!Q152="","",'Cálculo MP'!Q152)</f>
        <v/>
      </c>
      <c r="BF142" s="60" t="str">
        <f>IF('Cálculo MP'!R152="","",'Cálculo MP'!R152)</f>
        <v/>
      </c>
      <c r="BG142" s="60" t="str">
        <f>IF('Cálculo MP'!S152="","",'Cálculo MP'!S152)</f>
        <v/>
      </c>
      <c r="BH142" s="59"/>
      <c r="BI142" s="59"/>
      <c r="BJ142" s="59"/>
      <c r="BK142" s="59"/>
      <c r="BL142" s="59"/>
      <c r="BM142" s="59"/>
      <c r="BN142" s="59"/>
      <c r="BO142" s="59"/>
    </row>
    <row r="143" spans="1:67" ht="19.5" customHeight="1" x14ac:dyDescent="0.15">
      <c r="A143" s="123" t="s">
        <v>1856</v>
      </c>
      <c r="B143" s="122" t="s">
        <v>1854</v>
      </c>
      <c r="C143" s="49"/>
      <c r="D143" s="48" t="s">
        <v>73</v>
      </c>
      <c r="E143" s="49"/>
      <c r="F143" s="50"/>
      <c r="G143" s="62"/>
      <c r="H143" s="48" t="s">
        <v>72</v>
      </c>
      <c r="I143" s="52">
        <v>1</v>
      </c>
      <c r="J143" s="52"/>
      <c r="K143" s="52" t="s">
        <v>73</v>
      </c>
      <c r="L143" s="52" t="s">
        <v>74</v>
      </c>
      <c r="M143" s="53" t="s">
        <v>942</v>
      </c>
      <c r="N143" s="58" t="s">
        <v>73</v>
      </c>
      <c r="O143" s="48" t="s">
        <v>72</v>
      </c>
      <c r="P143" s="48" t="s">
        <v>73</v>
      </c>
      <c r="Q143" s="54" t="s">
        <v>73</v>
      </c>
      <c r="R143" s="55" t="s">
        <v>73</v>
      </c>
      <c r="S143" s="48" t="s">
        <v>73</v>
      </c>
      <c r="T143" s="130"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8" t="str" cm="1">
        <f t="array" ref="U143">IF(SUMPRODUCT(--((CAT_Procesos!$E$2:$E$1581=O143)*(CAT_Procesos!$F$2:$F$1581=_xlfn.TEXTJOIN(" + ",TRUE,IF((TRIM(P143:S143)="")+(LOWER(TRIM(P143:S143))="(seleccione)"),"",PROPER(TRIM(P143:S143)))))*(CAT_Procesos!$D$2:$D$1581=IFERROR(VLOOKUP(N143&amp;"*",CAT_Procesos!$D:$D,1,FALSE),""))))=0,"Combinación no existente",IF(SUMPRODUCT(((CAT_Procesos!$E$2:$E$1581=O143)*(CAT_Procesos!$F$2:$F$1581=_xlfn.TEXTJOIN(" + ",TRUE,IF((TRIM(P143:S143)="")+(LOWER(TRIM(P143:S143))="(seleccione)"),"",PROPER(TRIM(P143:S143)))))*(CAT_Procesos!$D$2:$D$1581=IFERROR(VLOOKUP(N143&amp;"*",CAT_Procesos!$D:$D,1,FALSE),"")))*(CAT_Procesos!$G$2:$G$1581=INDEX(CAT_Procesos!$G$2:$G$1581,MATCH(1,(CAT_Procesos!$E$2:$E$1581=O143)*(CAT_Procesos!$F$2:$F$1581=_xlfn.TEXTJOIN(" + ",TRUE,IF((TRIM(P143:S143)="")+(LOWER(TRIM(P143:S143))="(seleccione)"),"",PROPER(TRIM(P143:S143)))))*(CAT_Procesos!$D$2:$D$1581=IFERROR(VLOOKUP(N143&amp;"*",CAT_Procesos!$D:$D,1,FALSE),"")),0))))=SUMPRODUCT(--((CAT_Procesos!$E$2:$E$1581=O143)*(CAT_Procesos!$F$2:$F$1581=_xlfn.TEXTJOIN(" + ",TRUE,IF((TRIM(P143:S143)="")+(LOWER(TRIM(P143:S143))="(seleccione)"),"",PROPER(TRIM(P143:S143)))))*(CAT_Procesos!$D$2:$D$1581=IFERROR(VLOOKUP(N143&amp;"*",CAT_Procesos!$D:$D,1,FALSE),"")))),INDEX(CAT_Procesos!$G$2:$G$1581,MATCH(1,(CAT_Procesos!$E$2:$E$1581=O143)*(CAT_Procesos!$F$2:$F$1581=_xlfn.TEXTJOIN(" + ",TRUE,IF((TRIM(P143:S143)="")+(LOWER(TRIM(P143:S143))="(seleccione)"),"",PROPER(TRIM(P143:S143)))))*(CAT_Procesos!$D$2:$D$1581=IFERROR(VLOOKUP(N143&amp;"*",CAT_Procesos!$D:$D,1,FALSE),"")),0)),"(seleccione)"))</f>
        <v>Combinación no existente</v>
      </c>
      <c r="V143" s="55" t="s">
        <v>73</v>
      </c>
      <c r="W143" s="56" t="s">
        <v>73</v>
      </c>
      <c r="X143" s="57" t="str">
        <f t="shared" si="8"/>
        <v/>
      </c>
      <c r="Y143" s="58" t="s">
        <v>73</v>
      </c>
      <c r="Z143" s="57" t="str">
        <f t="shared" si="9"/>
        <v/>
      </c>
      <c r="AA143" s="58" t="s">
        <v>73</v>
      </c>
      <c r="AB143" s="57" t="str">
        <f t="shared" si="10"/>
        <v/>
      </c>
      <c r="AC143" s="58" t="s">
        <v>73</v>
      </c>
      <c r="AD143" s="57" t="str">
        <f t="shared" si="11"/>
        <v/>
      </c>
      <c r="AE143" s="59"/>
      <c r="AF143" s="59"/>
      <c r="AG143" s="59"/>
      <c r="AH143" s="59"/>
      <c r="AI143" s="59" t="s">
        <v>73</v>
      </c>
      <c r="AJ143" s="59"/>
      <c r="AK143" s="59" t="s">
        <v>73</v>
      </c>
      <c r="AL143" s="59"/>
      <c r="AM143" s="59" t="s">
        <v>73</v>
      </c>
      <c r="AN143" s="59"/>
      <c r="AO143" s="59" t="s">
        <v>73</v>
      </c>
      <c r="AP143" s="59"/>
      <c r="AQ143" s="59" t="s">
        <v>73</v>
      </c>
      <c r="AR143" s="59"/>
      <c r="AS143" s="59" t="s">
        <v>72</v>
      </c>
      <c r="AT143" s="59"/>
      <c r="AU143" s="59"/>
      <c r="AV143" s="59"/>
      <c r="AW143" s="59"/>
      <c r="AX143" s="59"/>
      <c r="AY143" s="60" t="str">
        <f>IF('Cálculo MP'!K153="","",'Cálculo MP'!K153)</f>
        <v/>
      </c>
      <c r="AZ143" s="60" t="str">
        <f>IF('Cálculo MP'!L153="","",'Cálculo MP'!L153)</f>
        <v/>
      </c>
      <c r="BA143" s="60" t="str">
        <f>IF('Cálculo MP'!M153="","",'Cálculo MP'!M153)</f>
        <v/>
      </c>
      <c r="BB143" s="60" t="str">
        <f>IF('Cálculo MP'!N153="","",'Cálculo MP'!N153)</f>
        <v/>
      </c>
      <c r="BC143" s="60" t="str">
        <f>IF('Cálculo MP'!O153="","",'Cálculo MP'!O153)</f>
        <v/>
      </c>
      <c r="BD143" s="60" t="str">
        <f>IF('Cálculo MP'!P153="","",'Cálculo MP'!P153)</f>
        <v/>
      </c>
      <c r="BE143" s="60" t="str">
        <f>IF('Cálculo MP'!Q153="","",'Cálculo MP'!Q153)</f>
        <v/>
      </c>
      <c r="BF143" s="60" t="str">
        <f>IF('Cálculo MP'!R153="","",'Cálculo MP'!R153)</f>
        <v/>
      </c>
      <c r="BG143" s="60" t="str">
        <f>IF('Cálculo MP'!S153="","",'Cálculo MP'!S153)</f>
        <v/>
      </c>
      <c r="BH143" s="59"/>
      <c r="BI143" s="59"/>
      <c r="BJ143" s="59"/>
      <c r="BK143" s="59"/>
      <c r="BL143" s="59"/>
      <c r="BM143" s="59"/>
      <c r="BN143" s="59"/>
      <c r="BO143" s="59"/>
    </row>
    <row r="144" spans="1:67" ht="19.5" customHeight="1" x14ac:dyDescent="0.15">
      <c r="A144" s="123" t="s">
        <v>1856</v>
      </c>
      <c r="B144" s="122" t="s">
        <v>1854</v>
      </c>
      <c r="C144" s="49"/>
      <c r="D144" s="48" t="s">
        <v>73</v>
      </c>
      <c r="E144" s="49"/>
      <c r="F144" s="50"/>
      <c r="G144" s="62"/>
      <c r="H144" s="48" t="s">
        <v>72</v>
      </c>
      <c r="I144" s="52">
        <v>1</v>
      </c>
      <c r="J144" s="52"/>
      <c r="K144" s="52" t="s">
        <v>73</v>
      </c>
      <c r="L144" s="52" t="s">
        <v>74</v>
      </c>
      <c r="M144" s="53" t="s">
        <v>942</v>
      </c>
      <c r="N144" s="58" t="s">
        <v>73</v>
      </c>
      <c r="O144" s="48" t="s">
        <v>72</v>
      </c>
      <c r="P144" s="48" t="s">
        <v>73</v>
      </c>
      <c r="Q144" s="54" t="s">
        <v>73</v>
      </c>
      <c r="R144" s="55" t="s">
        <v>73</v>
      </c>
      <c r="S144" s="48" t="s">
        <v>73</v>
      </c>
      <c r="T144" s="130"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8" t="str" cm="1">
        <f t="array" ref="U144">IF(SUMPRODUCT(--((CAT_Procesos!$E$2:$E$1581=O144)*(CAT_Procesos!$F$2:$F$1581=_xlfn.TEXTJOIN(" + ",TRUE,IF((TRIM(P144:S144)="")+(LOWER(TRIM(P144:S144))="(seleccione)"),"",PROPER(TRIM(P144:S144)))))*(CAT_Procesos!$D$2:$D$1581=IFERROR(VLOOKUP(N144&amp;"*",CAT_Procesos!$D:$D,1,FALSE),""))))=0,"Combinación no existente",IF(SUMPRODUCT(((CAT_Procesos!$E$2:$E$1581=O144)*(CAT_Procesos!$F$2:$F$1581=_xlfn.TEXTJOIN(" + ",TRUE,IF((TRIM(P144:S144)="")+(LOWER(TRIM(P144:S144))="(seleccione)"),"",PROPER(TRIM(P144:S144)))))*(CAT_Procesos!$D$2:$D$1581=IFERROR(VLOOKUP(N144&amp;"*",CAT_Procesos!$D:$D,1,FALSE),"")))*(CAT_Procesos!$G$2:$G$1581=INDEX(CAT_Procesos!$G$2:$G$1581,MATCH(1,(CAT_Procesos!$E$2:$E$1581=O144)*(CAT_Procesos!$F$2:$F$1581=_xlfn.TEXTJOIN(" + ",TRUE,IF((TRIM(P144:S144)="")+(LOWER(TRIM(P144:S144))="(seleccione)"),"",PROPER(TRIM(P144:S144)))))*(CAT_Procesos!$D$2:$D$1581=IFERROR(VLOOKUP(N144&amp;"*",CAT_Procesos!$D:$D,1,FALSE),"")),0))))=SUMPRODUCT(--((CAT_Procesos!$E$2:$E$1581=O144)*(CAT_Procesos!$F$2:$F$1581=_xlfn.TEXTJOIN(" + ",TRUE,IF((TRIM(P144:S144)="")+(LOWER(TRIM(P144:S144))="(seleccione)"),"",PROPER(TRIM(P144:S144)))))*(CAT_Procesos!$D$2:$D$1581=IFERROR(VLOOKUP(N144&amp;"*",CAT_Procesos!$D:$D,1,FALSE),"")))),INDEX(CAT_Procesos!$G$2:$G$1581,MATCH(1,(CAT_Procesos!$E$2:$E$1581=O144)*(CAT_Procesos!$F$2:$F$1581=_xlfn.TEXTJOIN(" + ",TRUE,IF((TRIM(P144:S144)="")+(LOWER(TRIM(P144:S144))="(seleccione)"),"",PROPER(TRIM(P144:S144)))))*(CAT_Procesos!$D$2:$D$1581=IFERROR(VLOOKUP(N144&amp;"*",CAT_Procesos!$D:$D,1,FALSE),"")),0)),"(seleccione)"))</f>
        <v>Combinación no existente</v>
      </c>
      <c r="V144" s="55" t="s">
        <v>73</v>
      </c>
      <c r="W144" s="56" t="s">
        <v>73</v>
      </c>
      <c r="X144" s="57" t="str">
        <f t="shared" si="8"/>
        <v/>
      </c>
      <c r="Y144" s="58" t="s">
        <v>73</v>
      </c>
      <c r="Z144" s="57" t="str">
        <f t="shared" si="9"/>
        <v/>
      </c>
      <c r="AA144" s="58" t="s">
        <v>73</v>
      </c>
      <c r="AB144" s="57" t="str">
        <f t="shared" si="10"/>
        <v/>
      </c>
      <c r="AC144" s="58" t="s">
        <v>73</v>
      </c>
      <c r="AD144" s="57" t="str">
        <f t="shared" si="11"/>
        <v/>
      </c>
      <c r="AE144" s="59"/>
      <c r="AF144" s="59"/>
      <c r="AG144" s="59"/>
      <c r="AH144" s="59"/>
      <c r="AI144" s="59" t="s">
        <v>73</v>
      </c>
      <c r="AJ144" s="59"/>
      <c r="AK144" s="59" t="s">
        <v>73</v>
      </c>
      <c r="AL144" s="59"/>
      <c r="AM144" s="59" t="s">
        <v>73</v>
      </c>
      <c r="AN144" s="59"/>
      <c r="AO144" s="59" t="s">
        <v>73</v>
      </c>
      <c r="AP144" s="59"/>
      <c r="AQ144" s="59" t="s">
        <v>73</v>
      </c>
      <c r="AR144" s="59"/>
      <c r="AS144" s="59" t="s">
        <v>72</v>
      </c>
      <c r="AT144" s="59"/>
      <c r="AU144" s="59"/>
      <c r="AV144" s="59"/>
      <c r="AW144" s="59"/>
      <c r="AX144" s="59"/>
      <c r="AY144" s="60" t="str">
        <f>IF('Cálculo MP'!K154="","",'Cálculo MP'!K154)</f>
        <v/>
      </c>
      <c r="AZ144" s="60" t="str">
        <f>IF('Cálculo MP'!L154="","",'Cálculo MP'!L154)</f>
        <v/>
      </c>
      <c r="BA144" s="60" t="str">
        <f>IF('Cálculo MP'!M154="","",'Cálculo MP'!M154)</f>
        <v/>
      </c>
      <c r="BB144" s="60" t="str">
        <f>IF('Cálculo MP'!N154="","",'Cálculo MP'!N154)</f>
        <v/>
      </c>
      <c r="BC144" s="60" t="str">
        <f>IF('Cálculo MP'!O154="","",'Cálculo MP'!O154)</f>
        <v/>
      </c>
      <c r="BD144" s="60" t="str">
        <f>IF('Cálculo MP'!P154="","",'Cálculo MP'!P154)</f>
        <v/>
      </c>
      <c r="BE144" s="60" t="str">
        <f>IF('Cálculo MP'!Q154="","",'Cálculo MP'!Q154)</f>
        <v/>
      </c>
      <c r="BF144" s="60" t="str">
        <f>IF('Cálculo MP'!R154="","",'Cálculo MP'!R154)</f>
        <v/>
      </c>
      <c r="BG144" s="60" t="str">
        <f>IF('Cálculo MP'!S154="","",'Cálculo MP'!S154)</f>
        <v/>
      </c>
      <c r="BH144" s="59"/>
      <c r="BI144" s="59"/>
      <c r="BJ144" s="59"/>
      <c r="BK144" s="59"/>
      <c r="BL144" s="59"/>
      <c r="BM144" s="59"/>
      <c r="BN144" s="59"/>
      <c r="BO144" s="59"/>
    </row>
    <row r="145" spans="1:67" ht="19.5" customHeight="1" x14ac:dyDescent="0.15">
      <c r="A145" s="123" t="s">
        <v>1856</v>
      </c>
      <c r="B145" s="122" t="s">
        <v>1854</v>
      </c>
      <c r="C145" s="49"/>
      <c r="D145" s="48" t="s">
        <v>73</v>
      </c>
      <c r="E145" s="49"/>
      <c r="F145" s="50"/>
      <c r="G145" s="62"/>
      <c r="H145" s="48" t="s">
        <v>72</v>
      </c>
      <c r="I145" s="52">
        <v>1</v>
      </c>
      <c r="J145" s="52"/>
      <c r="K145" s="52" t="s">
        <v>73</v>
      </c>
      <c r="L145" s="52" t="s">
        <v>74</v>
      </c>
      <c r="M145" s="53" t="s">
        <v>942</v>
      </c>
      <c r="N145" s="58" t="s">
        <v>73</v>
      </c>
      <c r="O145" s="48" t="s">
        <v>72</v>
      </c>
      <c r="P145" s="48" t="s">
        <v>73</v>
      </c>
      <c r="Q145" s="54" t="s">
        <v>73</v>
      </c>
      <c r="R145" s="55" t="s">
        <v>73</v>
      </c>
      <c r="S145" s="48" t="s">
        <v>73</v>
      </c>
      <c r="T145" s="130"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8" t="str" cm="1">
        <f t="array" ref="U145">IF(SUMPRODUCT(--((CAT_Procesos!$E$2:$E$1581=O145)*(CAT_Procesos!$F$2:$F$1581=_xlfn.TEXTJOIN(" + ",TRUE,IF((TRIM(P145:S145)="")+(LOWER(TRIM(P145:S145))="(seleccione)"),"",PROPER(TRIM(P145:S145)))))*(CAT_Procesos!$D$2:$D$1581=IFERROR(VLOOKUP(N145&amp;"*",CAT_Procesos!$D:$D,1,FALSE),""))))=0,"Combinación no existente",IF(SUMPRODUCT(((CAT_Procesos!$E$2:$E$1581=O145)*(CAT_Procesos!$F$2:$F$1581=_xlfn.TEXTJOIN(" + ",TRUE,IF((TRIM(P145:S145)="")+(LOWER(TRIM(P145:S145))="(seleccione)"),"",PROPER(TRIM(P145:S145)))))*(CAT_Procesos!$D$2:$D$1581=IFERROR(VLOOKUP(N145&amp;"*",CAT_Procesos!$D:$D,1,FALSE),"")))*(CAT_Procesos!$G$2:$G$1581=INDEX(CAT_Procesos!$G$2:$G$1581,MATCH(1,(CAT_Procesos!$E$2:$E$1581=O145)*(CAT_Procesos!$F$2:$F$1581=_xlfn.TEXTJOIN(" + ",TRUE,IF((TRIM(P145:S145)="")+(LOWER(TRIM(P145:S145))="(seleccione)"),"",PROPER(TRIM(P145:S145)))))*(CAT_Procesos!$D$2:$D$1581=IFERROR(VLOOKUP(N145&amp;"*",CAT_Procesos!$D:$D,1,FALSE),"")),0))))=SUMPRODUCT(--((CAT_Procesos!$E$2:$E$1581=O145)*(CAT_Procesos!$F$2:$F$1581=_xlfn.TEXTJOIN(" + ",TRUE,IF((TRIM(P145:S145)="")+(LOWER(TRIM(P145:S145))="(seleccione)"),"",PROPER(TRIM(P145:S145)))))*(CAT_Procesos!$D$2:$D$1581=IFERROR(VLOOKUP(N145&amp;"*",CAT_Procesos!$D:$D,1,FALSE),"")))),INDEX(CAT_Procesos!$G$2:$G$1581,MATCH(1,(CAT_Procesos!$E$2:$E$1581=O145)*(CAT_Procesos!$F$2:$F$1581=_xlfn.TEXTJOIN(" + ",TRUE,IF((TRIM(P145:S145)="")+(LOWER(TRIM(P145:S145))="(seleccione)"),"",PROPER(TRIM(P145:S145)))))*(CAT_Procesos!$D$2:$D$1581=IFERROR(VLOOKUP(N145&amp;"*",CAT_Procesos!$D:$D,1,FALSE),"")),0)),"(seleccione)"))</f>
        <v>Combinación no existente</v>
      </c>
      <c r="V145" s="55" t="s">
        <v>73</v>
      </c>
      <c r="W145" s="56" t="s">
        <v>73</v>
      </c>
      <c r="X145" s="57" t="str">
        <f t="shared" si="8"/>
        <v/>
      </c>
      <c r="Y145" s="58" t="s">
        <v>73</v>
      </c>
      <c r="Z145" s="57" t="str">
        <f t="shared" si="9"/>
        <v/>
      </c>
      <c r="AA145" s="58" t="s">
        <v>73</v>
      </c>
      <c r="AB145" s="57" t="str">
        <f t="shared" si="10"/>
        <v/>
      </c>
      <c r="AC145" s="58" t="s">
        <v>73</v>
      </c>
      <c r="AD145" s="57" t="str">
        <f t="shared" si="11"/>
        <v/>
      </c>
      <c r="AE145" s="59"/>
      <c r="AF145" s="59"/>
      <c r="AG145" s="59"/>
      <c r="AH145" s="59"/>
      <c r="AI145" s="59" t="s">
        <v>73</v>
      </c>
      <c r="AJ145" s="59"/>
      <c r="AK145" s="59" t="s">
        <v>73</v>
      </c>
      <c r="AL145" s="59"/>
      <c r="AM145" s="59" t="s">
        <v>73</v>
      </c>
      <c r="AN145" s="59"/>
      <c r="AO145" s="59" t="s">
        <v>73</v>
      </c>
      <c r="AP145" s="59"/>
      <c r="AQ145" s="59" t="s">
        <v>73</v>
      </c>
      <c r="AR145" s="59"/>
      <c r="AS145" s="59" t="s">
        <v>72</v>
      </c>
      <c r="AT145" s="59"/>
      <c r="AU145" s="59"/>
      <c r="AV145" s="59"/>
      <c r="AW145" s="59"/>
      <c r="AX145" s="59"/>
      <c r="AY145" s="60" t="str">
        <f>IF('Cálculo MP'!K155="","",'Cálculo MP'!K155)</f>
        <v/>
      </c>
      <c r="AZ145" s="60" t="str">
        <f>IF('Cálculo MP'!L155="","",'Cálculo MP'!L155)</f>
        <v/>
      </c>
      <c r="BA145" s="60" t="str">
        <f>IF('Cálculo MP'!M155="","",'Cálculo MP'!M155)</f>
        <v/>
      </c>
      <c r="BB145" s="60" t="str">
        <f>IF('Cálculo MP'!N155="","",'Cálculo MP'!N155)</f>
        <v/>
      </c>
      <c r="BC145" s="60" t="str">
        <f>IF('Cálculo MP'!O155="","",'Cálculo MP'!O155)</f>
        <v/>
      </c>
      <c r="BD145" s="60" t="str">
        <f>IF('Cálculo MP'!P155="","",'Cálculo MP'!P155)</f>
        <v/>
      </c>
      <c r="BE145" s="60" t="str">
        <f>IF('Cálculo MP'!Q155="","",'Cálculo MP'!Q155)</f>
        <v/>
      </c>
      <c r="BF145" s="60" t="str">
        <f>IF('Cálculo MP'!R155="","",'Cálculo MP'!R155)</f>
        <v/>
      </c>
      <c r="BG145" s="60" t="str">
        <f>IF('Cálculo MP'!S155="","",'Cálculo MP'!S155)</f>
        <v/>
      </c>
      <c r="BH145" s="59"/>
      <c r="BI145" s="59"/>
      <c r="BJ145" s="59"/>
      <c r="BK145" s="59"/>
      <c r="BL145" s="59"/>
      <c r="BM145" s="59"/>
      <c r="BN145" s="59"/>
      <c r="BO145" s="59"/>
    </row>
    <row r="146" spans="1:67" ht="19.5" customHeight="1" x14ac:dyDescent="0.15">
      <c r="A146" s="123" t="s">
        <v>1856</v>
      </c>
      <c r="B146" s="122" t="s">
        <v>1854</v>
      </c>
      <c r="C146" s="49"/>
      <c r="D146" s="48" t="s">
        <v>73</v>
      </c>
      <c r="E146" s="49"/>
      <c r="F146" s="50"/>
      <c r="G146" s="62"/>
      <c r="H146" s="48" t="s">
        <v>72</v>
      </c>
      <c r="I146" s="52">
        <v>1</v>
      </c>
      <c r="J146" s="52"/>
      <c r="K146" s="52" t="s">
        <v>73</v>
      </c>
      <c r="L146" s="52" t="s">
        <v>74</v>
      </c>
      <c r="M146" s="53" t="s">
        <v>942</v>
      </c>
      <c r="N146" s="58" t="s">
        <v>73</v>
      </c>
      <c r="O146" s="48" t="s">
        <v>72</v>
      </c>
      <c r="P146" s="48" t="s">
        <v>73</v>
      </c>
      <c r="Q146" s="54" t="s">
        <v>73</v>
      </c>
      <c r="R146" s="55" t="s">
        <v>73</v>
      </c>
      <c r="S146" s="48" t="s">
        <v>73</v>
      </c>
      <c r="T146" s="130"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8" t="str" cm="1">
        <f t="array" ref="U146">IF(SUMPRODUCT(--((CAT_Procesos!$E$2:$E$1581=O146)*(CAT_Procesos!$F$2:$F$1581=_xlfn.TEXTJOIN(" + ",TRUE,IF((TRIM(P146:S146)="")+(LOWER(TRIM(P146:S146))="(seleccione)"),"",PROPER(TRIM(P146:S146)))))*(CAT_Procesos!$D$2:$D$1581=IFERROR(VLOOKUP(N146&amp;"*",CAT_Procesos!$D:$D,1,FALSE),""))))=0,"Combinación no existente",IF(SUMPRODUCT(((CAT_Procesos!$E$2:$E$1581=O146)*(CAT_Procesos!$F$2:$F$1581=_xlfn.TEXTJOIN(" + ",TRUE,IF((TRIM(P146:S146)="")+(LOWER(TRIM(P146:S146))="(seleccione)"),"",PROPER(TRIM(P146:S146)))))*(CAT_Procesos!$D$2:$D$1581=IFERROR(VLOOKUP(N146&amp;"*",CAT_Procesos!$D:$D,1,FALSE),"")))*(CAT_Procesos!$G$2:$G$1581=INDEX(CAT_Procesos!$G$2:$G$1581,MATCH(1,(CAT_Procesos!$E$2:$E$1581=O146)*(CAT_Procesos!$F$2:$F$1581=_xlfn.TEXTJOIN(" + ",TRUE,IF((TRIM(P146:S146)="")+(LOWER(TRIM(P146:S146))="(seleccione)"),"",PROPER(TRIM(P146:S146)))))*(CAT_Procesos!$D$2:$D$1581=IFERROR(VLOOKUP(N146&amp;"*",CAT_Procesos!$D:$D,1,FALSE),"")),0))))=SUMPRODUCT(--((CAT_Procesos!$E$2:$E$1581=O146)*(CAT_Procesos!$F$2:$F$1581=_xlfn.TEXTJOIN(" + ",TRUE,IF((TRIM(P146:S146)="")+(LOWER(TRIM(P146:S146))="(seleccione)"),"",PROPER(TRIM(P146:S146)))))*(CAT_Procesos!$D$2:$D$1581=IFERROR(VLOOKUP(N146&amp;"*",CAT_Procesos!$D:$D,1,FALSE),"")))),INDEX(CAT_Procesos!$G$2:$G$1581,MATCH(1,(CAT_Procesos!$E$2:$E$1581=O146)*(CAT_Procesos!$F$2:$F$1581=_xlfn.TEXTJOIN(" + ",TRUE,IF((TRIM(P146:S146)="")+(LOWER(TRIM(P146:S146))="(seleccione)"),"",PROPER(TRIM(P146:S146)))))*(CAT_Procesos!$D$2:$D$1581=IFERROR(VLOOKUP(N146&amp;"*",CAT_Procesos!$D:$D,1,FALSE),"")),0)),"(seleccione)"))</f>
        <v>Combinación no existente</v>
      </c>
      <c r="V146" s="55" t="s">
        <v>73</v>
      </c>
      <c r="W146" s="56" t="s">
        <v>73</v>
      </c>
      <c r="X146" s="57" t="str">
        <f t="shared" si="8"/>
        <v/>
      </c>
      <c r="Y146" s="58" t="s">
        <v>73</v>
      </c>
      <c r="Z146" s="57" t="str">
        <f t="shared" si="9"/>
        <v/>
      </c>
      <c r="AA146" s="58" t="s">
        <v>73</v>
      </c>
      <c r="AB146" s="57" t="str">
        <f t="shared" si="10"/>
        <v/>
      </c>
      <c r="AC146" s="58" t="s">
        <v>73</v>
      </c>
      <c r="AD146" s="57" t="str">
        <f t="shared" si="11"/>
        <v/>
      </c>
      <c r="AE146" s="59"/>
      <c r="AF146" s="59"/>
      <c r="AG146" s="59"/>
      <c r="AH146" s="59"/>
      <c r="AI146" s="59" t="s">
        <v>73</v>
      </c>
      <c r="AJ146" s="59"/>
      <c r="AK146" s="59" t="s">
        <v>73</v>
      </c>
      <c r="AL146" s="59"/>
      <c r="AM146" s="59" t="s">
        <v>73</v>
      </c>
      <c r="AN146" s="59"/>
      <c r="AO146" s="59" t="s">
        <v>73</v>
      </c>
      <c r="AP146" s="59"/>
      <c r="AQ146" s="59" t="s">
        <v>73</v>
      </c>
      <c r="AR146" s="59"/>
      <c r="AS146" s="59" t="s">
        <v>72</v>
      </c>
      <c r="AT146" s="59"/>
      <c r="AU146" s="59"/>
      <c r="AV146" s="59"/>
      <c r="AW146" s="59"/>
      <c r="AX146" s="59"/>
      <c r="AY146" s="60" t="str">
        <f>IF('Cálculo MP'!K156="","",'Cálculo MP'!K156)</f>
        <v/>
      </c>
      <c r="AZ146" s="60" t="str">
        <f>IF('Cálculo MP'!L156="","",'Cálculo MP'!L156)</f>
        <v/>
      </c>
      <c r="BA146" s="60" t="str">
        <f>IF('Cálculo MP'!M156="","",'Cálculo MP'!M156)</f>
        <v/>
      </c>
      <c r="BB146" s="60" t="str">
        <f>IF('Cálculo MP'!N156="","",'Cálculo MP'!N156)</f>
        <v/>
      </c>
      <c r="BC146" s="60" t="str">
        <f>IF('Cálculo MP'!O156="","",'Cálculo MP'!O156)</f>
        <v/>
      </c>
      <c r="BD146" s="60" t="str">
        <f>IF('Cálculo MP'!P156="","",'Cálculo MP'!P156)</f>
        <v/>
      </c>
      <c r="BE146" s="60" t="str">
        <f>IF('Cálculo MP'!Q156="","",'Cálculo MP'!Q156)</f>
        <v/>
      </c>
      <c r="BF146" s="60" t="str">
        <f>IF('Cálculo MP'!R156="","",'Cálculo MP'!R156)</f>
        <v/>
      </c>
      <c r="BG146" s="60" t="str">
        <f>IF('Cálculo MP'!S156="","",'Cálculo MP'!S156)</f>
        <v/>
      </c>
      <c r="BH146" s="59"/>
      <c r="BI146" s="59"/>
      <c r="BJ146" s="59"/>
      <c r="BK146" s="59"/>
      <c r="BL146" s="59"/>
      <c r="BM146" s="59"/>
      <c r="BN146" s="59"/>
      <c r="BO146" s="59"/>
    </row>
    <row r="147" spans="1:67" ht="19.5" customHeight="1" x14ac:dyDescent="0.15">
      <c r="A147" s="123" t="s">
        <v>1856</v>
      </c>
      <c r="B147" s="122" t="s">
        <v>1854</v>
      </c>
      <c r="C147" s="49"/>
      <c r="D147" s="48" t="s">
        <v>73</v>
      </c>
      <c r="E147" s="49"/>
      <c r="F147" s="50"/>
      <c r="G147" s="62"/>
      <c r="H147" s="48" t="s">
        <v>72</v>
      </c>
      <c r="I147" s="52">
        <v>1</v>
      </c>
      <c r="J147" s="52"/>
      <c r="K147" s="52" t="s">
        <v>73</v>
      </c>
      <c r="L147" s="52" t="s">
        <v>74</v>
      </c>
      <c r="M147" s="53" t="s">
        <v>942</v>
      </c>
      <c r="N147" s="58" t="s">
        <v>73</v>
      </c>
      <c r="O147" s="48" t="s">
        <v>72</v>
      </c>
      <c r="P147" s="48" t="s">
        <v>73</v>
      </c>
      <c r="Q147" s="54" t="s">
        <v>73</v>
      </c>
      <c r="R147" s="55" t="s">
        <v>73</v>
      </c>
      <c r="S147" s="48" t="s">
        <v>73</v>
      </c>
      <c r="T147" s="130"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8" t="str" cm="1">
        <f t="array" ref="U147">IF(SUMPRODUCT(--((CAT_Procesos!$E$2:$E$1581=O147)*(CAT_Procesos!$F$2:$F$1581=_xlfn.TEXTJOIN(" + ",TRUE,IF((TRIM(P147:S147)="")+(LOWER(TRIM(P147:S147))="(seleccione)"),"",PROPER(TRIM(P147:S147)))))*(CAT_Procesos!$D$2:$D$1581=IFERROR(VLOOKUP(N147&amp;"*",CAT_Procesos!$D:$D,1,FALSE),""))))=0,"Combinación no existente",IF(SUMPRODUCT(((CAT_Procesos!$E$2:$E$1581=O147)*(CAT_Procesos!$F$2:$F$1581=_xlfn.TEXTJOIN(" + ",TRUE,IF((TRIM(P147:S147)="")+(LOWER(TRIM(P147:S147))="(seleccione)"),"",PROPER(TRIM(P147:S147)))))*(CAT_Procesos!$D$2:$D$1581=IFERROR(VLOOKUP(N147&amp;"*",CAT_Procesos!$D:$D,1,FALSE),"")))*(CAT_Procesos!$G$2:$G$1581=INDEX(CAT_Procesos!$G$2:$G$1581,MATCH(1,(CAT_Procesos!$E$2:$E$1581=O147)*(CAT_Procesos!$F$2:$F$1581=_xlfn.TEXTJOIN(" + ",TRUE,IF((TRIM(P147:S147)="")+(LOWER(TRIM(P147:S147))="(seleccione)"),"",PROPER(TRIM(P147:S147)))))*(CAT_Procesos!$D$2:$D$1581=IFERROR(VLOOKUP(N147&amp;"*",CAT_Procesos!$D:$D,1,FALSE),"")),0))))=SUMPRODUCT(--((CAT_Procesos!$E$2:$E$1581=O147)*(CAT_Procesos!$F$2:$F$1581=_xlfn.TEXTJOIN(" + ",TRUE,IF((TRIM(P147:S147)="")+(LOWER(TRIM(P147:S147))="(seleccione)"),"",PROPER(TRIM(P147:S147)))))*(CAT_Procesos!$D$2:$D$1581=IFERROR(VLOOKUP(N147&amp;"*",CAT_Procesos!$D:$D,1,FALSE),"")))),INDEX(CAT_Procesos!$G$2:$G$1581,MATCH(1,(CAT_Procesos!$E$2:$E$1581=O147)*(CAT_Procesos!$F$2:$F$1581=_xlfn.TEXTJOIN(" + ",TRUE,IF((TRIM(P147:S147)="")+(LOWER(TRIM(P147:S147))="(seleccione)"),"",PROPER(TRIM(P147:S147)))))*(CAT_Procesos!$D$2:$D$1581=IFERROR(VLOOKUP(N147&amp;"*",CAT_Procesos!$D:$D,1,FALSE),"")),0)),"(seleccione)"))</f>
        <v>Combinación no existente</v>
      </c>
      <c r="V147" s="55" t="s">
        <v>73</v>
      </c>
      <c r="W147" s="56" t="s">
        <v>73</v>
      </c>
      <c r="X147" s="57" t="str">
        <f t="shared" si="8"/>
        <v/>
      </c>
      <c r="Y147" s="58" t="s">
        <v>73</v>
      </c>
      <c r="Z147" s="57" t="str">
        <f t="shared" si="9"/>
        <v/>
      </c>
      <c r="AA147" s="58" t="s">
        <v>73</v>
      </c>
      <c r="AB147" s="57" t="str">
        <f t="shared" si="10"/>
        <v/>
      </c>
      <c r="AC147" s="58" t="s">
        <v>73</v>
      </c>
      <c r="AD147" s="57" t="str">
        <f t="shared" si="11"/>
        <v/>
      </c>
      <c r="AE147" s="59"/>
      <c r="AF147" s="59"/>
      <c r="AG147" s="59"/>
      <c r="AH147" s="59"/>
      <c r="AI147" s="59" t="s">
        <v>73</v>
      </c>
      <c r="AJ147" s="59"/>
      <c r="AK147" s="59" t="s">
        <v>73</v>
      </c>
      <c r="AL147" s="59"/>
      <c r="AM147" s="59" t="s">
        <v>73</v>
      </c>
      <c r="AN147" s="59"/>
      <c r="AO147" s="59" t="s">
        <v>73</v>
      </c>
      <c r="AP147" s="59"/>
      <c r="AQ147" s="59" t="s">
        <v>73</v>
      </c>
      <c r="AR147" s="59"/>
      <c r="AS147" s="59" t="s">
        <v>72</v>
      </c>
      <c r="AT147" s="59"/>
      <c r="AU147" s="59"/>
      <c r="AV147" s="59"/>
      <c r="AW147" s="59"/>
      <c r="AX147" s="59"/>
      <c r="AY147" s="60" t="str">
        <f>IF('Cálculo MP'!K157="","",'Cálculo MP'!K157)</f>
        <v/>
      </c>
      <c r="AZ147" s="60" t="str">
        <f>IF('Cálculo MP'!L157="","",'Cálculo MP'!L157)</f>
        <v/>
      </c>
      <c r="BA147" s="60" t="str">
        <f>IF('Cálculo MP'!M157="","",'Cálculo MP'!M157)</f>
        <v/>
      </c>
      <c r="BB147" s="60" t="str">
        <f>IF('Cálculo MP'!N157="","",'Cálculo MP'!N157)</f>
        <v/>
      </c>
      <c r="BC147" s="60" t="str">
        <f>IF('Cálculo MP'!O157="","",'Cálculo MP'!O157)</f>
        <v/>
      </c>
      <c r="BD147" s="60" t="str">
        <f>IF('Cálculo MP'!P157="","",'Cálculo MP'!P157)</f>
        <v/>
      </c>
      <c r="BE147" s="60" t="str">
        <f>IF('Cálculo MP'!Q157="","",'Cálculo MP'!Q157)</f>
        <v/>
      </c>
      <c r="BF147" s="60" t="str">
        <f>IF('Cálculo MP'!R157="","",'Cálculo MP'!R157)</f>
        <v/>
      </c>
      <c r="BG147" s="60" t="str">
        <f>IF('Cálculo MP'!S157="","",'Cálculo MP'!S157)</f>
        <v/>
      </c>
      <c r="BH147" s="59"/>
      <c r="BI147" s="59"/>
      <c r="BJ147" s="59"/>
      <c r="BK147" s="59"/>
      <c r="BL147" s="59"/>
      <c r="BM147" s="59"/>
      <c r="BN147" s="59"/>
      <c r="BO147" s="59"/>
    </row>
    <row r="148" spans="1:67" ht="19.5" customHeight="1" x14ac:dyDescent="0.15">
      <c r="A148" s="123" t="s">
        <v>1856</v>
      </c>
      <c r="B148" s="122" t="s">
        <v>1854</v>
      </c>
      <c r="C148" s="49"/>
      <c r="D148" s="48" t="s">
        <v>73</v>
      </c>
      <c r="E148" s="49"/>
      <c r="F148" s="50"/>
      <c r="G148" s="62"/>
      <c r="H148" s="48" t="s">
        <v>72</v>
      </c>
      <c r="I148" s="52">
        <v>1</v>
      </c>
      <c r="J148" s="52"/>
      <c r="K148" s="52" t="s">
        <v>73</v>
      </c>
      <c r="L148" s="52" t="s">
        <v>74</v>
      </c>
      <c r="M148" s="53" t="s">
        <v>942</v>
      </c>
      <c r="N148" s="58" t="s">
        <v>73</v>
      </c>
      <c r="O148" s="48" t="s">
        <v>72</v>
      </c>
      <c r="P148" s="48" t="s">
        <v>73</v>
      </c>
      <c r="Q148" s="54" t="s">
        <v>73</v>
      </c>
      <c r="R148" s="55" t="s">
        <v>73</v>
      </c>
      <c r="S148" s="48" t="s">
        <v>73</v>
      </c>
      <c r="T148" s="130"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8" t="str" cm="1">
        <f t="array" ref="U148">IF(SUMPRODUCT(--((CAT_Procesos!$E$2:$E$1581=O148)*(CAT_Procesos!$F$2:$F$1581=_xlfn.TEXTJOIN(" + ",TRUE,IF((TRIM(P148:S148)="")+(LOWER(TRIM(P148:S148))="(seleccione)"),"",PROPER(TRIM(P148:S148)))))*(CAT_Procesos!$D$2:$D$1581=IFERROR(VLOOKUP(N148&amp;"*",CAT_Procesos!$D:$D,1,FALSE),""))))=0,"Combinación no existente",IF(SUMPRODUCT(((CAT_Procesos!$E$2:$E$1581=O148)*(CAT_Procesos!$F$2:$F$1581=_xlfn.TEXTJOIN(" + ",TRUE,IF((TRIM(P148:S148)="")+(LOWER(TRIM(P148:S148))="(seleccione)"),"",PROPER(TRIM(P148:S148)))))*(CAT_Procesos!$D$2:$D$1581=IFERROR(VLOOKUP(N148&amp;"*",CAT_Procesos!$D:$D,1,FALSE),"")))*(CAT_Procesos!$G$2:$G$1581=INDEX(CAT_Procesos!$G$2:$G$1581,MATCH(1,(CAT_Procesos!$E$2:$E$1581=O148)*(CAT_Procesos!$F$2:$F$1581=_xlfn.TEXTJOIN(" + ",TRUE,IF((TRIM(P148:S148)="")+(LOWER(TRIM(P148:S148))="(seleccione)"),"",PROPER(TRIM(P148:S148)))))*(CAT_Procesos!$D$2:$D$1581=IFERROR(VLOOKUP(N148&amp;"*",CAT_Procesos!$D:$D,1,FALSE),"")),0))))=SUMPRODUCT(--((CAT_Procesos!$E$2:$E$1581=O148)*(CAT_Procesos!$F$2:$F$1581=_xlfn.TEXTJOIN(" + ",TRUE,IF((TRIM(P148:S148)="")+(LOWER(TRIM(P148:S148))="(seleccione)"),"",PROPER(TRIM(P148:S148)))))*(CAT_Procesos!$D$2:$D$1581=IFERROR(VLOOKUP(N148&amp;"*",CAT_Procesos!$D:$D,1,FALSE),"")))),INDEX(CAT_Procesos!$G$2:$G$1581,MATCH(1,(CAT_Procesos!$E$2:$E$1581=O148)*(CAT_Procesos!$F$2:$F$1581=_xlfn.TEXTJOIN(" + ",TRUE,IF((TRIM(P148:S148)="")+(LOWER(TRIM(P148:S148))="(seleccione)"),"",PROPER(TRIM(P148:S148)))))*(CAT_Procesos!$D$2:$D$1581=IFERROR(VLOOKUP(N148&amp;"*",CAT_Procesos!$D:$D,1,FALSE),"")),0)),"(seleccione)"))</f>
        <v>Combinación no existente</v>
      </c>
      <c r="V148" s="55" t="s">
        <v>73</v>
      </c>
      <c r="W148" s="56" t="s">
        <v>73</v>
      </c>
      <c r="X148" s="57" t="str">
        <f t="shared" si="8"/>
        <v/>
      </c>
      <c r="Y148" s="58" t="s">
        <v>73</v>
      </c>
      <c r="Z148" s="57" t="str">
        <f t="shared" si="9"/>
        <v/>
      </c>
      <c r="AA148" s="58" t="s">
        <v>73</v>
      </c>
      <c r="AB148" s="57" t="str">
        <f t="shared" si="10"/>
        <v/>
      </c>
      <c r="AC148" s="58" t="s">
        <v>73</v>
      </c>
      <c r="AD148" s="57" t="str">
        <f t="shared" si="11"/>
        <v/>
      </c>
      <c r="AE148" s="59"/>
      <c r="AF148" s="59"/>
      <c r="AG148" s="59"/>
      <c r="AH148" s="59"/>
      <c r="AI148" s="59" t="s">
        <v>73</v>
      </c>
      <c r="AJ148" s="59"/>
      <c r="AK148" s="59" t="s">
        <v>73</v>
      </c>
      <c r="AL148" s="59"/>
      <c r="AM148" s="59" t="s">
        <v>73</v>
      </c>
      <c r="AN148" s="59"/>
      <c r="AO148" s="59" t="s">
        <v>73</v>
      </c>
      <c r="AP148" s="59"/>
      <c r="AQ148" s="59" t="s">
        <v>73</v>
      </c>
      <c r="AR148" s="59"/>
      <c r="AS148" s="59" t="s">
        <v>72</v>
      </c>
      <c r="AT148" s="59"/>
      <c r="AU148" s="59"/>
      <c r="AV148" s="59"/>
      <c r="AW148" s="59"/>
      <c r="AX148" s="59"/>
      <c r="AY148" s="60" t="str">
        <f>IF('Cálculo MP'!K158="","",'Cálculo MP'!K158)</f>
        <v/>
      </c>
      <c r="AZ148" s="60" t="str">
        <f>IF('Cálculo MP'!L158="","",'Cálculo MP'!L158)</f>
        <v/>
      </c>
      <c r="BA148" s="60" t="str">
        <f>IF('Cálculo MP'!M158="","",'Cálculo MP'!M158)</f>
        <v/>
      </c>
      <c r="BB148" s="60" t="str">
        <f>IF('Cálculo MP'!N158="","",'Cálculo MP'!N158)</f>
        <v/>
      </c>
      <c r="BC148" s="60" t="str">
        <f>IF('Cálculo MP'!O158="","",'Cálculo MP'!O158)</f>
        <v/>
      </c>
      <c r="BD148" s="60" t="str">
        <f>IF('Cálculo MP'!P158="","",'Cálculo MP'!P158)</f>
        <v/>
      </c>
      <c r="BE148" s="60" t="str">
        <f>IF('Cálculo MP'!Q158="","",'Cálculo MP'!Q158)</f>
        <v/>
      </c>
      <c r="BF148" s="60" t="str">
        <f>IF('Cálculo MP'!R158="","",'Cálculo MP'!R158)</f>
        <v/>
      </c>
      <c r="BG148" s="60" t="str">
        <f>IF('Cálculo MP'!S158="","",'Cálculo MP'!S158)</f>
        <v/>
      </c>
      <c r="BH148" s="59"/>
      <c r="BI148" s="59"/>
      <c r="BJ148" s="59"/>
      <c r="BK148" s="59"/>
      <c r="BL148" s="59"/>
      <c r="BM148" s="59"/>
      <c r="BN148" s="59"/>
      <c r="BO148" s="59"/>
    </row>
    <row r="149" spans="1:67" ht="19.5" customHeight="1" x14ac:dyDescent="0.15">
      <c r="A149" s="123" t="s">
        <v>1856</v>
      </c>
      <c r="B149" s="122" t="s">
        <v>1854</v>
      </c>
      <c r="C149" s="49"/>
      <c r="D149" s="48" t="s">
        <v>73</v>
      </c>
      <c r="E149" s="49"/>
      <c r="F149" s="50"/>
      <c r="G149" s="62"/>
      <c r="H149" s="48" t="s">
        <v>72</v>
      </c>
      <c r="I149" s="52">
        <v>1</v>
      </c>
      <c r="J149" s="52"/>
      <c r="K149" s="52" t="s">
        <v>73</v>
      </c>
      <c r="L149" s="52" t="s">
        <v>74</v>
      </c>
      <c r="M149" s="53" t="s">
        <v>942</v>
      </c>
      <c r="N149" s="58" t="s">
        <v>73</v>
      </c>
      <c r="O149" s="48" t="s">
        <v>72</v>
      </c>
      <c r="P149" s="48" t="s">
        <v>73</v>
      </c>
      <c r="Q149" s="54" t="s">
        <v>73</v>
      </c>
      <c r="R149" s="55" t="s">
        <v>73</v>
      </c>
      <c r="S149" s="48" t="s">
        <v>73</v>
      </c>
      <c r="T149" s="130"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8" t="str" cm="1">
        <f t="array" ref="U149">IF(SUMPRODUCT(--((CAT_Procesos!$E$2:$E$1581=O149)*(CAT_Procesos!$F$2:$F$1581=_xlfn.TEXTJOIN(" + ",TRUE,IF((TRIM(P149:S149)="")+(LOWER(TRIM(P149:S149))="(seleccione)"),"",PROPER(TRIM(P149:S149)))))*(CAT_Procesos!$D$2:$D$1581=IFERROR(VLOOKUP(N149&amp;"*",CAT_Procesos!$D:$D,1,FALSE),""))))=0,"Combinación no existente",IF(SUMPRODUCT(((CAT_Procesos!$E$2:$E$1581=O149)*(CAT_Procesos!$F$2:$F$1581=_xlfn.TEXTJOIN(" + ",TRUE,IF((TRIM(P149:S149)="")+(LOWER(TRIM(P149:S149))="(seleccione)"),"",PROPER(TRIM(P149:S149)))))*(CAT_Procesos!$D$2:$D$1581=IFERROR(VLOOKUP(N149&amp;"*",CAT_Procesos!$D:$D,1,FALSE),"")))*(CAT_Procesos!$G$2:$G$1581=INDEX(CAT_Procesos!$G$2:$G$1581,MATCH(1,(CAT_Procesos!$E$2:$E$1581=O149)*(CAT_Procesos!$F$2:$F$1581=_xlfn.TEXTJOIN(" + ",TRUE,IF((TRIM(P149:S149)="")+(LOWER(TRIM(P149:S149))="(seleccione)"),"",PROPER(TRIM(P149:S149)))))*(CAT_Procesos!$D$2:$D$1581=IFERROR(VLOOKUP(N149&amp;"*",CAT_Procesos!$D:$D,1,FALSE),"")),0))))=SUMPRODUCT(--((CAT_Procesos!$E$2:$E$1581=O149)*(CAT_Procesos!$F$2:$F$1581=_xlfn.TEXTJOIN(" + ",TRUE,IF((TRIM(P149:S149)="")+(LOWER(TRIM(P149:S149))="(seleccione)"),"",PROPER(TRIM(P149:S149)))))*(CAT_Procesos!$D$2:$D$1581=IFERROR(VLOOKUP(N149&amp;"*",CAT_Procesos!$D:$D,1,FALSE),"")))),INDEX(CAT_Procesos!$G$2:$G$1581,MATCH(1,(CAT_Procesos!$E$2:$E$1581=O149)*(CAT_Procesos!$F$2:$F$1581=_xlfn.TEXTJOIN(" + ",TRUE,IF((TRIM(P149:S149)="")+(LOWER(TRIM(P149:S149))="(seleccione)"),"",PROPER(TRIM(P149:S149)))))*(CAT_Procesos!$D$2:$D$1581=IFERROR(VLOOKUP(N149&amp;"*",CAT_Procesos!$D:$D,1,FALSE),"")),0)),"(seleccione)"))</f>
        <v>Combinación no existente</v>
      </c>
      <c r="V149" s="55" t="s">
        <v>73</v>
      </c>
      <c r="W149" s="56" t="s">
        <v>73</v>
      </c>
      <c r="X149" s="57" t="str">
        <f t="shared" si="8"/>
        <v/>
      </c>
      <c r="Y149" s="58" t="s">
        <v>73</v>
      </c>
      <c r="Z149" s="57" t="str">
        <f t="shared" si="9"/>
        <v/>
      </c>
      <c r="AA149" s="58" t="s">
        <v>73</v>
      </c>
      <c r="AB149" s="57" t="str">
        <f t="shared" si="10"/>
        <v/>
      </c>
      <c r="AC149" s="58" t="s">
        <v>73</v>
      </c>
      <c r="AD149" s="57" t="str">
        <f t="shared" si="11"/>
        <v/>
      </c>
      <c r="AE149" s="59"/>
      <c r="AF149" s="59"/>
      <c r="AG149" s="59"/>
      <c r="AH149" s="59"/>
      <c r="AI149" s="59" t="s">
        <v>73</v>
      </c>
      <c r="AJ149" s="59"/>
      <c r="AK149" s="59" t="s">
        <v>73</v>
      </c>
      <c r="AL149" s="59"/>
      <c r="AM149" s="59" t="s">
        <v>73</v>
      </c>
      <c r="AN149" s="59"/>
      <c r="AO149" s="59" t="s">
        <v>73</v>
      </c>
      <c r="AP149" s="59"/>
      <c r="AQ149" s="59" t="s">
        <v>73</v>
      </c>
      <c r="AR149" s="59"/>
      <c r="AS149" s="59" t="s">
        <v>72</v>
      </c>
      <c r="AT149" s="59"/>
      <c r="AU149" s="59"/>
      <c r="AV149" s="59"/>
      <c r="AW149" s="59"/>
      <c r="AX149" s="59"/>
      <c r="AY149" s="60" t="str">
        <f>IF('Cálculo MP'!K159="","",'Cálculo MP'!K159)</f>
        <v/>
      </c>
      <c r="AZ149" s="60" t="str">
        <f>IF('Cálculo MP'!L159="","",'Cálculo MP'!L159)</f>
        <v/>
      </c>
      <c r="BA149" s="60" t="str">
        <f>IF('Cálculo MP'!M159="","",'Cálculo MP'!M159)</f>
        <v/>
      </c>
      <c r="BB149" s="60" t="str">
        <f>IF('Cálculo MP'!N159="","",'Cálculo MP'!N159)</f>
        <v/>
      </c>
      <c r="BC149" s="60" t="str">
        <f>IF('Cálculo MP'!O159="","",'Cálculo MP'!O159)</f>
        <v/>
      </c>
      <c r="BD149" s="60" t="str">
        <f>IF('Cálculo MP'!P159="","",'Cálculo MP'!P159)</f>
        <v/>
      </c>
      <c r="BE149" s="60" t="str">
        <f>IF('Cálculo MP'!Q159="","",'Cálculo MP'!Q159)</f>
        <v/>
      </c>
      <c r="BF149" s="60" t="str">
        <f>IF('Cálculo MP'!R159="","",'Cálculo MP'!R159)</f>
        <v/>
      </c>
      <c r="BG149" s="60" t="str">
        <f>IF('Cálculo MP'!S159="","",'Cálculo MP'!S159)</f>
        <v/>
      </c>
      <c r="BH149" s="59"/>
      <c r="BI149" s="59"/>
      <c r="BJ149" s="59"/>
      <c r="BK149" s="59"/>
      <c r="BL149" s="59"/>
      <c r="BM149" s="59"/>
      <c r="BN149" s="59"/>
      <c r="BO149" s="59"/>
    </row>
    <row r="150" spans="1:67" ht="19.5" customHeight="1" x14ac:dyDescent="0.15">
      <c r="A150" s="123" t="s">
        <v>1856</v>
      </c>
      <c r="B150" s="122" t="s">
        <v>1854</v>
      </c>
      <c r="C150" s="49"/>
      <c r="D150" s="48" t="s">
        <v>73</v>
      </c>
      <c r="E150" s="49"/>
      <c r="F150" s="50"/>
      <c r="G150" s="62"/>
      <c r="H150" s="48" t="s">
        <v>72</v>
      </c>
      <c r="I150" s="52">
        <v>1</v>
      </c>
      <c r="J150" s="52"/>
      <c r="K150" s="52" t="s">
        <v>73</v>
      </c>
      <c r="L150" s="52" t="s">
        <v>74</v>
      </c>
      <c r="M150" s="53" t="s">
        <v>942</v>
      </c>
      <c r="N150" s="58" t="s">
        <v>73</v>
      </c>
      <c r="O150" s="48" t="s">
        <v>72</v>
      </c>
      <c r="P150" s="48" t="s">
        <v>73</v>
      </c>
      <c r="Q150" s="54" t="s">
        <v>73</v>
      </c>
      <c r="R150" s="55" t="s">
        <v>73</v>
      </c>
      <c r="S150" s="48" t="s">
        <v>73</v>
      </c>
      <c r="T150" s="130"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8" t="str" cm="1">
        <f t="array" ref="U150">IF(SUMPRODUCT(--((CAT_Procesos!$E$2:$E$1581=O150)*(CAT_Procesos!$F$2:$F$1581=_xlfn.TEXTJOIN(" + ",TRUE,IF((TRIM(P150:S150)="")+(LOWER(TRIM(P150:S150))="(seleccione)"),"",PROPER(TRIM(P150:S150)))))*(CAT_Procesos!$D$2:$D$1581=IFERROR(VLOOKUP(N150&amp;"*",CAT_Procesos!$D:$D,1,FALSE),""))))=0,"Combinación no existente",IF(SUMPRODUCT(((CAT_Procesos!$E$2:$E$1581=O150)*(CAT_Procesos!$F$2:$F$1581=_xlfn.TEXTJOIN(" + ",TRUE,IF((TRIM(P150:S150)="")+(LOWER(TRIM(P150:S150))="(seleccione)"),"",PROPER(TRIM(P150:S150)))))*(CAT_Procesos!$D$2:$D$1581=IFERROR(VLOOKUP(N150&amp;"*",CAT_Procesos!$D:$D,1,FALSE),"")))*(CAT_Procesos!$G$2:$G$1581=INDEX(CAT_Procesos!$G$2:$G$1581,MATCH(1,(CAT_Procesos!$E$2:$E$1581=O150)*(CAT_Procesos!$F$2:$F$1581=_xlfn.TEXTJOIN(" + ",TRUE,IF((TRIM(P150:S150)="")+(LOWER(TRIM(P150:S150))="(seleccione)"),"",PROPER(TRIM(P150:S150)))))*(CAT_Procesos!$D$2:$D$1581=IFERROR(VLOOKUP(N150&amp;"*",CAT_Procesos!$D:$D,1,FALSE),"")),0))))=SUMPRODUCT(--((CAT_Procesos!$E$2:$E$1581=O150)*(CAT_Procesos!$F$2:$F$1581=_xlfn.TEXTJOIN(" + ",TRUE,IF((TRIM(P150:S150)="")+(LOWER(TRIM(P150:S150))="(seleccione)"),"",PROPER(TRIM(P150:S150)))))*(CAT_Procesos!$D$2:$D$1581=IFERROR(VLOOKUP(N150&amp;"*",CAT_Procesos!$D:$D,1,FALSE),"")))),INDEX(CAT_Procesos!$G$2:$G$1581,MATCH(1,(CAT_Procesos!$E$2:$E$1581=O150)*(CAT_Procesos!$F$2:$F$1581=_xlfn.TEXTJOIN(" + ",TRUE,IF((TRIM(P150:S150)="")+(LOWER(TRIM(P150:S150))="(seleccione)"),"",PROPER(TRIM(P150:S150)))))*(CAT_Procesos!$D$2:$D$1581=IFERROR(VLOOKUP(N150&amp;"*",CAT_Procesos!$D:$D,1,FALSE),"")),0)),"(seleccione)"))</f>
        <v>Combinación no existente</v>
      </c>
      <c r="V150" s="55" t="s">
        <v>73</v>
      </c>
      <c r="W150" s="56" t="s">
        <v>73</v>
      </c>
      <c r="X150" s="57" t="str">
        <f t="shared" si="8"/>
        <v/>
      </c>
      <c r="Y150" s="58" t="s">
        <v>73</v>
      </c>
      <c r="Z150" s="57" t="str">
        <f t="shared" si="9"/>
        <v/>
      </c>
      <c r="AA150" s="58" t="s">
        <v>73</v>
      </c>
      <c r="AB150" s="57" t="str">
        <f t="shared" si="10"/>
        <v/>
      </c>
      <c r="AC150" s="58" t="s">
        <v>73</v>
      </c>
      <c r="AD150" s="57" t="str">
        <f t="shared" si="11"/>
        <v/>
      </c>
      <c r="AE150" s="59"/>
      <c r="AF150" s="59"/>
      <c r="AG150" s="59"/>
      <c r="AH150" s="59"/>
      <c r="AI150" s="59" t="s">
        <v>73</v>
      </c>
      <c r="AJ150" s="59"/>
      <c r="AK150" s="59" t="s">
        <v>73</v>
      </c>
      <c r="AL150" s="59"/>
      <c r="AM150" s="59" t="s">
        <v>73</v>
      </c>
      <c r="AN150" s="59"/>
      <c r="AO150" s="59" t="s">
        <v>73</v>
      </c>
      <c r="AP150" s="59"/>
      <c r="AQ150" s="59" t="s">
        <v>73</v>
      </c>
      <c r="AR150" s="59"/>
      <c r="AS150" s="59" t="s">
        <v>72</v>
      </c>
      <c r="AT150" s="59"/>
      <c r="AU150" s="59"/>
      <c r="AV150" s="59"/>
      <c r="AW150" s="59"/>
      <c r="AX150" s="59"/>
      <c r="AY150" s="60" t="str">
        <f>IF('Cálculo MP'!K160="","",'Cálculo MP'!K160)</f>
        <v/>
      </c>
      <c r="AZ150" s="60" t="str">
        <f>IF('Cálculo MP'!L160="","",'Cálculo MP'!L160)</f>
        <v/>
      </c>
      <c r="BA150" s="60" t="str">
        <f>IF('Cálculo MP'!M160="","",'Cálculo MP'!M160)</f>
        <v/>
      </c>
      <c r="BB150" s="60" t="str">
        <f>IF('Cálculo MP'!N160="","",'Cálculo MP'!N160)</f>
        <v/>
      </c>
      <c r="BC150" s="60" t="str">
        <f>IF('Cálculo MP'!O160="","",'Cálculo MP'!O160)</f>
        <v/>
      </c>
      <c r="BD150" s="60" t="str">
        <f>IF('Cálculo MP'!P160="","",'Cálculo MP'!P160)</f>
        <v/>
      </c>
      <c r="BE150" s="60" t="str">
        <f>IF('Cálculo MP'!Q160="","",'Cálculo MP'!Q160)</f>
        <v/>
      </c>
      <c r="BF150" s="60" t="str">
        <f>IF('Cálculo MP'!R160="","",'Cálculo MP'!R160)</f>
        <v/>
      </c>
      <c r="BG150" s="60" t="str">
        <f>IF('Cálculo MP'!S160="","",'Cálculo MP'!S160)</f>
        <v/>
      </c>
      <c r="BH150" s="59"/>
      <c r="BI150" s="59"/>
      <c r="BJ150" s="59"/>
      <c r="BK150" s="59"/>
      <c r="BL150" s="59"/>
      <c r="BM150" s="59"/>
      <c r="BN150" s="59"/>
      <c r="BO150" s="59"/>
    </row>
    <row r="151" spans="1:67" ht="19.5" customHeight="1" x14ac:dyDescent="0.15">
      <c r="A151" s="123" t="s">
        <v>1856</v>
      </c>
      <c r="B151" s="122" t="s">
        <v>1854</v>
      </c>
      <c r="C151" s="49"/>
      <c r="D151" s="48" t="s">
        <v>73</v>
      </c>
      <c r="E151" s="49"/>
      <c r="F151" s="50"/>
      <c r="G151" s="62"/>
      <c r="H151" s="48" t="s">
        <v>72</v>
      </c>
      <c r="I151" s="52">
        <v>1</v>
      </c>
      <c r="J151" s="52"/>
      <c r="K151" s="52" t="s">
        <v>73</v>
      </c>
      <c r="L151" s="52" t="s">
        <v>74</v>
      </c>
      <c r="M151" s="53" t="s">
        <v>942</v>
      </c>
      <c r="N151" s="58" t="s">
        <v>73</v>
      </c>
      <c r="O151" s="48" t="s">
        <v>72</v>
      </c>
      <c r="P151" s="48" t="s">
        <v>73</v>
      </c>
      <c r="Q151" s="54" t="s">
        <v>73</v>
      </c>
      <c r="R151" s="55" t="s">
        <v>73</v>
      </c>
      <c r="S151" s="48" t="s">
        <v>73</v>
      </c>
      <c r="T151" s="130"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8" t="str" cm="1">
        <f t="array" ref="U151">IF(SUMPRODUCT(--((CAT_Procesos!$E$2:$E$1581=O151)*(CAT_Procesos!$F$2:$F$1581=_xlfn.TEXTJOIN(" + ",TRUE,IF((TRIM(P151:S151)="")+(LOWER(TRIM(P151:S151))="(seleccione)"),"",PROPER(TRIM(P151:S151)))))*(CAT_Procesos!$D$2:$D$1581=IFERROR(VLOOKUP(N151&amp;"*",CAT_Procesos!$D:$D,1,FALSE),""))))=0,"Combinación no existente",IF(SUMPRODUCT(((CAT_Procesos!$E$2:$E$1581=O151)*(CAT_Procesos!$F$2:$F$1581=_xlfn.TEXTJOIN(" + ",TRUE,IF((TRIM(P151:S151)="")+(LOWER(TRIM(P151:S151))="(seleccione)"),"",PROPER(TRIM(P151:S151)))))*(CAT_Procesos!$D$2:$D$1581=IFERROR(VLOOKUP(N151&amp;"*",CAT_Procesos!$D:$D,1,FALSE),"")))*(CAT_Procesos!$G$2:$G$1581=INDEX(CAT_Procesos!$G$2:$G$1581,MATCH(1,(CAT_Procesos!$E$2:$E$1581=O151)*(CAT_Procesos!$F$2:$F$1581=_xlfn.TEXTJOIN(" + ",TRUE,IF((TRIM(P151:S151)="")+(LOWER(TRIM(P151:S151))="(seleccione)"),"",PROPER(TRIM(P151:S151)))))*(CAT_Procesos!$D$2:$D$1581=IFERROR(VLOOKUP(N151&amp;"*",CAT_Procesos!$D:$D,1,FALSE),"")),0))))=SUMPRODUCT(--((CAT_Procesos!$E$2:$E$1581=O151)*(CAT_Procesos!$F$2:$F$1581=_xlfn.TEXTJOIN(" + ",TRUE,IF((TRIM(P151:S151)="")+(LOWER(TRIM(P151:S151))="(seleccione)"),"",PROPER(TRIM(P151:S151)))))*(CAT_Procesos!$D$2:$D$1581=IFERROR(VLOOKUP(N151&amp;"*",CAT_Procesos!$D:$D,1,FALSE),"")))),INDEX(CAT_Procesos!$G$2:$G$1581,MATCH(1,(CAT_Procesos!$E$2:$E$1581=O151)*(CAT_Procesos!$F$2:$F$1581=_xlfn.TEXTJOIN(" + ",TRUE,IF((TRIM(P151:S151)="")+(LOWER(TRIM(P151:S151))="(seleccione)"),"",PROPER(TRIM(P151:S151)))))*(CAT_Procesos!$D$2:$D$1581=IFERROR(VLOOKUP(N151&amp;"*",CAT_Procesos!$D:$D,1,FALSE),"")),0)),"(seleccione)"))</f>
        <v>Combinación no existente</v>
      </c>
      <c r="V151" s="55" t="s">
        <v>73</v>
      </c>
      <c r="W151" s="56" t="s">
        <v>73</v>
      </c>
      <c r="X151" s="57" t="str">
        <f t="shared" si="8"/>
        <v/>
      </c>
      <c r="Y151" s="58" t="s">
        <v>73</v>
      </c>
      <c r="Z151" s="57" t="str">
        <f t="shared" si="9"/>
        <v/>
      </c>
      <c r="AA151" s="58" t="s">
        <v>73</v>
      </c>
      <c r="AB151" s="57" t="str">
        <f t="shared" si="10"/>
        <v/>
      </c>
      <c r="AC151" s="58" t="s">
        <v>73</v>
      </c>
      <c r="AD151" s="57" t="str">
        <f t="shared" si="11"/>
        <v/>
      </c>
      <c r="AE151" s="59"/>
      <c r="AF151" s="59"/>
      <c r="AG151" s="59"/>
      <c r="AH151" s="59"/>
      <c r="AI151" s="59" t="s">
        <v>73</v>
      </c>
      <c r="AJ151" s="59"/>
      <c r="AK151" s="59" t="s">
        <v>73</v>
      </c>
      <c r="AL151" s="59"/>
      <c r="AM151" s="59" t="s">
        <v>73</v>
      </c>
      <c r="AN151" s="59"/>
      <c r="AO151" s="59" t="s">
        <v>73</v>
      </c>
      <c r="AP151" s="59"/>
      <c r="AQ151" s="59" t="s">
        <v>73</v>
      </c>
      <c r="AR151" s="59"/>
      <c r="AS151" s="59" t="s">
        <v>72</v>
      </c>
      <c r="AT151" s="59"/>
      <c r="AU151" s="59"/>
      <c r="AV151" s="59"/>
      <c r="AW151" s="59"/>
      <c r="AX151" s="59"/>
      <c r="AY151" s="60" t="str">
        <f>IF('Cálculo MP'!K161="","",'Cálculo MP'!K161)</f>
        <v/>
      </c>
      <c r="AZ151" s="60" t="str">
        <f>IF('Cálculo MP'!L161="","",'Cálculo MP'!L161)</f>
        <v/>
      </c>
      <c r="BA151" s="60" t="str">
        <f>IF('Cálculo MP'!M161="","",'Cálculo MP'!M161)</f>
        <v/>
      </c>
      <c r="BB151" s="60" t="str">
        <f>IF('Cálculo MP'!N161="","",'Cálculo MP'!N161)</f>
        <v/>
      </c>
      <c r="BC151" s="60" t="str">
        <f>IF('Cálculo MP'!O161="","",'Cálculo MP'!O161)</f>
        <v/>
      </c>
      <c r="BD151" s="60" t="str">
        <f>IF('Cálculo MP'!P161="","",'Cálculo MP'!P161)</f>
        <v/>
      </c>
      <c r="BE151" s="60" t="str">
        <f>IF('Cálculo MP'!Q161="","",'Cálculo MP'!Q161)</f>
        <v/>
      </c>
      <c r="BF151" s="60" t="str">
        <f>IF('Cálculo MP'!R161="","",'Cálculo MP'!R161)</f>
        <v/>
      </c>
      <c r="BG151" s="60" t="str">
        <f>IF('Cálculo MP'!S161="","",'Cálculo MP'!S161)</f>
        <v/>
      </c>
      <c r="BH151" s="59"/>
      <c r="BI151" s="59"/>
      <c r="BJ151" s="59"/>
      <c r="BK151" s="59"/>
      <c r="BL151" s="59"/>
      <c r="BM151" s="59"/>
      <c r="BN151" s="59"/>
      <c r="BO151" s="59"/>
    </row>
    <row r="152" spans="1:67" ht="19.5" customHeight="1" x14ac:dyDescent="0.15">
      <c r="A152" s="123" t="s">
        <v>1856</v>
      </c>
      <c r="B152" s="122" t="s">
        <v>1854</v>
      </c>
      <c r="C152" s="49"/>
      <c r="D152" s="48" t="s">
        <v>73</v>
      </c>
      <c r="E152" s="49"/>
      <c r="F152" s="50"/>
      <c r="G152" s="62"/>
      <c r="H152" s="48" t="s">
        <v>72</v>
      </c>
      <c r="I152" s="52">
        <v>1</v>
      </c>
      <c r="J152" s="52"/>
      <c r="K152" s="52" t="s">
        <v>73</v>
      </c>
      <c r="L152" s="52" t="s">
        <v>74</v>
      </c>
      <c r="M152" s="53" t="s">
        <v>942</v>
      </c>
      <c r="N152" s="58" t="s">
        <v>73</v>
      </c>
      <c r="O152" s="48" t="s">
        <v>72</v>
      </c>
      <c r="P152" s="48" t="s">
        <v>73</v>
      </c>
      <c r="Q152" s="54" t="s">
        <v>73</v>
      </c>
      <c r="R152" s="55" t="s">
        <v>73</v>
      </c>
      <c r="S152" s="48" t="s">
        <v>73</v>
      </c>
      <c r="T152" s="130"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8" t="str" cm="1">
        <f t="array" ref="U152">IF(SUMPRODUCT(--((CAT_Procesos!$E$2:$E$1581=O152)*(CAT_Procesos!$F$2:$F$1581=_xlfn.TEXTJOIN(" + ",TRUE,IF((TRIM(P152:S152)="")+(LOWER(TRIM(P152:S152))="(seleccione)"),"",PROPER(TRIM(P152:S152)))))*(CAT_Procesos!$D$2:$D$1581=IFERROR(VLOOKUP(N152&amp;"*",CAT_Procesos!$D:$D,1,FALSE),""))))=0,"Combinación no existente",IF(SUMPRODUCT(((CAT_Procesos!$E$2:$E$1581=O152)*(CAT_Procesos!$F$2:$F$1581=_xlfn.TEXTJOIN(" + ",TRUE,IF((TRIM(P152:S152)="")+(LOWER(TRIM(P152:S152))="(seleccione)"),"",PROPER(TRIM(P152:S152)))))*(CAT_Procesos!$D$2:$D$1581=IFERROR(VLOOKUP(N152&amp;"*",CAT_Procesos!$D:$D,1,FALSE),"")))*(CAT_Procesos!$G$2:$G$1581=INDEX(CAT_Procesos!$G$2:$G$1581,MATCH(1,(CAT_Procesos!$E$2:$E$1581=O152)*(CAT_Procesos!$F$2:$F$1581=_xlfn.TEXTJOIN(" + ",TRUE,IF((TRIM(P152:S152)="")+(LOWER(TRIM(P152:S152))="(seleccione)"),"",PROPER(TRIM(P152:S152)))))*(CAT_Procesos!$D$2:$D$1581=IFERROR(VLOOKUP(N152&amp;"*",CAT_Procesos!$D:$D,1,FALSE),"")),0))))=SUMPRODUCT(--((CAT_Procesos!$E$2:$E$1581=O152)*(CAT_Procesos!$F$2:$F$1581=_xlfn.TEXTJOIN(" + ",TRUE,IF((TRIM(P152:S152)="")+(LOWER(TRIM(P152:S152))="(seleccione)"),"",PROPER(TRIM(P152:S152)))))*(CAT_Procesos!$D$2:$D$1581=IFERROR(VLOOKUP(N152&amp;"*",CAT_Procesos!$D:$D,1,FALSE),"")))),INDEX(CAT_Procesos!$G$2:$G$1581,MATCH(1,(CAT_Procesos!$E$2:$E$1581=O152)*(CAT_Procesos!$F$2:$F$1581=_xlfn.TEXTJOIN(" + ",TRUE,IF((TRIM(P152:S152)="")+(LOWER(TRIM(P152:S152))="(seleccione)"),"",PROPER(TRIM(P152:S152)))))*(CAT_Procesos!$D$2:$D$1581=IFERROR(VLOOKUP(N152&amp;"*",CAT_Procesos!$D:$D,1,FALSE),"")),0)),"(seleccione)"))</f>
        <v>Combinación no existente</v>
      </c>
      <c r="V152" s="55" t="s">
        <v>73</v>
      </c>
      <c r="W152" s="56" t="s">
        <v>73</v>
      </c>
      <c r="X152" s="57" t="str">
        <f t="shared" si="8"/>
        <v/>
      </c>
      <c r="Y152" s="58" t="s">
        <v>73</v>
      </c>
      <c r="Z152" s="57" t="str">
        <f t="shared" si="9"/>
        <v/>
      </c>
      <c r="AA152" s="58" t="s">
        <v>73</v>
      </c>
      <c r="AB152" s="57" t="str">
        <f t="shared" si="10"/>
        <v/>
      </c>
      <c r="AC152" s="58" t="s">
        <v>73</v>
      </c>
      <c r="AD152" s="57" t="str">
        <f t="shared" si="11"/>
        <v/>
      </c>
      <c r="AE152" s="59"/>
      <c r="AF152" s="59"/>
      <c r="AG152" s="59"/>
      <c r="AH152" s="59"/>
      <c r="AI152" s="59" t="s">
        <v>73</v>
      </c>
      <c r="AJ152" s="59"/>
      <c r="AK152" s="59" t="s">
        <v>73</v>
      </c>
      <c r="AL152" s="59"/>
      <c r="AM152" s="59" t="s">
        <v>73</v>
      </c>
      <c r="AN152" s="59"/>
      <c r="AO152" s="59" t="s">
        <v>73</v>
      </c>
      <c r="AP152" s="59"/>
      <c r="AQ152" s="59" t="s">
        <v>73</v>
      </c>
      <c r="AR152" s="59"/>
      <c r="AS152" s="59" t="s">
        <v>72</v>
      </c>
      <c r="AT152" s="59"/>
      <c r="AU152" s="59"/>
      <c r="AV152" s="59"/>
      <c r="AW152" s="59"/>
      <c r="AX152" s="59"/>
      <c r="AY152" s="60" t="str">
        <f>IF('Cálculo MP'!K162="","",'Cálculo MP'!K162)</f>
        <v/>
      </c>
      <c r="AZ152" s="60" t="str">
        <f>IF('Cálculo MP'!L162="","",'Cálculo MP'!L162)</f>
        <v/>
      </c>
      <c r="BA152" s="60" t="str">
        <f>IF('Cálculo MP'!M162="","",'Cálculo MP'!M162)</f>
        <v/>
      </c>
      <c r="BB152" s="60" t="str">
        <f>IF('Cálculo MP'!N162="","",'Cálculo MP'!N162)</f>
        <v/>
      </c>
      <c r="BC152" s="60" t="str">
        <f>IF('Cálculo MP'!O162="","",'Cálculo MP'!O162)</f>
        <v/>
      </c>
      <c r="BD152" s="60" t="str">
        <f>IF('Cálculo MP'!P162="","",'Cálculo MP'!P162)</f>
        <v/>
      </c>
      <c r="BE152" s="60" t="str">
        <f>IF('Cálculo MP'!Q162="","",'Cálculo MP'!Q162)</f>
        <v/>
      </c>
      <c r="BF152" s="60" t="str">
        <f>IF('Cálculo MP'!R162="","",'Cálculo MP'!R162)</f>
        <v/>
      </c>
      <c r="BG152" s="60" t="str">
        <f>IF('Cálculo MP'!S162="","",'Cálculo MP'!S162)</f>
        <v/>
      </c>
      <c r="BH152" s="59"/>
      <c r="BI152" s="59"/>
      <c r="BJ152" s="59"/>
      <c r="BK152" s="59"/>
      <c r="BL152" s="59"/>
      <c r="BM152" s="59"/>
      <c r="BN152" s="59"/>
      <c r="BO152" s="59"/>
    </row>
    <row r="153" spans="1:67" ht="19.5" customHeight="1" x14ac:dyDescent="0.15">
      <c r="A153" s="123" t="s">
        <v>1856</v>
      </c>
      <c r="B153" s="122" t="s">
        <v>1854</v>
      </c>
      <c r="C153" s="49"/>
      <c r="D153" s="48" t="s">
        <v>73</v>
      </c>
      <c r="E153" s="49"/>
      <c r="F153" s="50"/>
      <c r="G153" s="62"/>
      <c r="H153" s="48" t="s">
        <v>72</v>
      </c>
      <c r="I153" s="52">
        <v>1</v>
      </c>
      <c r="J153" s="52"/>
      <c r="K153" s="52" t="s">
        <v>73</v>
      </c>
      <c r="L153" s="52" t="s">
        <v>74</v>
      </c>
      <c r="M153" s="53" t="s">
        <v>942</v>
      </c>
      <c r="N153" s="58" t="s">
        <v>73</v>
      </c>
      <c r="O153" s="48" t="s">
        <v>72</v>
      </c>
      <c r="P153" s="48" t="s">
        <v>73</v>
      </c>
      <c r="Q153" s="54" t="s">
        <v>73</v>
      </c>
      <c r="R153" s="55" t="s">
        <v>73</v>
      </c>
      <c r="S153" s="48" t="s">
        <v>73</v>
      </c>
      <c r="T153" s="130"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8" t="str" cm="1">
        <f t="array" ref="U153">IF(SUMPRODUCT(--((CAT_Procesos!$E$2:$E$1581=O153)*(CAT_Procesos!$F$2:$F$1581=_xlfn.TEXTJOIN(" + ",TRUE,IF((TRIM(P153:S153)="")+(LOWER(TRIM(P153:S153))="(seleccione)"),"",PROPER(TRIM(P153:S153)))))*(CAT_Procesos!$D$2:$D$1581=IFERROR(VLOOKUP(N153&amp;"*",CAT_Procesos!$D:$D,1,FALSE),""))))=0,"Combinación no existente",IF(SUMPRODUCT(((CAT_Procesos!$E$2:$E$1581=O153)*(CAT_Procesos!$F$2:$F$1581=_xlfn.TEXTJOIN(" + ",TRUE,IF((TRIM(P153:S153)="")+(LOWER(TRIM(P153:S153))="(seleccione)"),"",PROPER(TRIM(P153:S153)))))*(CAT_Procesos!$D$2:$D$1581=IFERROR(VLOOKUP(N153&amp;"*",CAT_Procesos!$D:$D,1,FALSE),"")))*(CAT_Procesos!$G$2:$G$1581=INDEX(CAT_Procesos!$G$2:$G$1581,MATCH(1,(CAT_Procesos!$E$2:$E$1581=O153)*(CAT_Procesos!$F$2:$F$1581=_xlfn.TEXTJOIN(" + ",TRUE,IF((TRIM(P153:S153)="")+(LOWER(TRIM(P153:S153))="(seleccione)"),"",PROPER(TRIM(P153:S153)))))*(CAT_Procesos!$D$2:$D$1581=IFERROR(VLOOKUP(N153&amp;"*",CAT_Procesos!$D:$D,1,FALSE),"")),0))))=SUMPRODUCT(--((CAT_Procesos!$E$2:$E$1581=O153)*(CAT_Procesos!$F$2:$F$1581=_xlfn.TEXTJOIN(" + ",TRUE,IF((TRIM(P153:S153)="")+(LOWER(TRIM(P153:S153))="(seleccione)"),"",PROPER(TRIM(P153:S153)))))*(CAT_Procesos!$D$2:$D$1581=IFERROR(VLOOKUP(N153&amp;"*",CAT_Procesos!$D:$D,1,FALSE),"")))),INDEX(CAT_Procesos!$G$2:$G$1581,MATCH(1,(CAT_Procesos!$E$2:$E$1581=O153)*(CAT_Procesos!$F$2:$F$1581=_xlfn.TEXTJOIN(" + ",TRUE,IF((TRIM(P153:S153)="")+(LOWER(TRIM(P153:S153))="(seleccione)"),"",PROPER(TRIM(P153:S153)))))*(CAT_Procesos!$D$2:$D$1581=IFERROR(VLOOKUP(N153&amp;"*",CAT_Procesos!$D:$D,1,FALSE),"")),0)),"(seleccione)"))</f>
        <v>Combinación no existente</v>
      </c>
      <c r="V153" s="55" t="s">
        <v>73</v>
      </c>
      <c r="W153" s="56" t="s">
        <v>73</v>
      </c>
      <c r="X153" s="57" t="str">
        <f t="shared" si="8"/>
        <v/>
      </c>
      <c r="Y153" s="58" t="s">
        <v>73</v>
      </c>
      <c r="Z153" s="57" t="str">
        <f t="shared" si="9"/>
        <v/>
      </c>
      <c r="AA153" s="58" t="s">
        <v>73</v>
      </c>
      <c r="AB153" s="57" t="str">
        <f t="shared" si="10"/>
        <v/>
      </c>
      <c r="AC153" s="58" t="s">
        <v>73</v>
      </c>
      <c r="AD153" s="57" t="str">
        <f t="shared" si="11"/>
        <v/>
      </c>
      <c r="AE153" s="59"/>
      <c r="AF153" s="59"/>
      <c r="AG153" s="59"/>
      <c r="AH153" s="59"/>
      <c r="AI153" s="59" t="s">
        <v>73</v>
      </c>
      <c r="AJ153" s="59"/>
      <c r="AK153" s="59" t="s">
        <v>73</v>
      </c>
      <c r="AL153" s="59"/>
      <c r="AM153" s="59" t="s">
        <v>73</v>
      </c>
      <c r="AN153" s="59"/>
      <c r="AO153" s="59" t="s">
        <v>73</v>
      </c>
      <c r="AP153" s="59"/>
      <c r="AQ153" s="59" t="s">
        <v>73</v>
      </c>
      <c r="AR153" s="59"/>
      <c r="AS153" s="59" t="s">
        <v>72</v>
      </c>
      <c r="AT153" s="59"/>
      <c r="AU153" s="59"/>
      <c r="AV153" s="59"/>
      <c r="AW153" s="59"/>
      <c r="AX153" s="59"/>
      <c r="AY153" s="60" t="str">
        <f>IF('Cálculo MP'!K163="","",'Cálculo MP'!K163)</f>
        <v/>
      </c>
      <c r="AZ153" s="60" t="str">
        <f>IF('Cálculo MP'!L163="","",'Cálculo MP'!L163)</f>
        <v/>
      </c>
      <c r="BA153" s="60" t="str">
        <f>IF('Cálculo MP'!M163="","",'Cálculo MP'!M163)</f>
        <v/>
      </c>
      <c r="BB153" s="60" t="str">
        <f>IF('Cálculo MP'!N163="","",'Cálculo MP'!N163)</f>
        <v/>
      </c>
      <c r="BC153" s="60" t="str">
        <f>IF('Cálculo MP'!O163="","",'Cálculo MP'!O163)</f>
        <v/>
      </c>
      <c r="BD153" s="60" t="str">
        <f>IF('Cálculo MP'!P163="","",'Cálculo MP'!P163)</f>
        <v/>
      </c>
      <c r="BE153" s="60" t="str">
        <f>IF('Cálculo MP'!Q163="","",'Cálculo MP'!Q163)</f>
        <v/>
      </c>
      <c r="BF153" s="60" t="str">
        <f>IF('Cálculo MP'!R163="","",'Cálculo MP'!R163)</f>
        <v/>
      </c>
      <c r="BG153" s="60" t="str">
        <f>IF('Cálculo MP'!S163="","",'Cálculo MP'!S163)</f>
        <v/>
      </c>
      <c r="BH153" s="59"/>
      <c r="BI153" s="59"/>
      <c r="BJ153" s="59"/>
      <c r="BK153" s="59"/>
      <c r="BL153" s="59"/>
      <c r="BM153" s="59"/>
      <c r="BN153" s="59"/>
      <c r="BO153" s="59"/>
    </row>
    <row r="154" spans="1:67" ht="19.5" customHeight="1" x14ac:dyDescent="0.15">
      <c r="A154" s="123" t="s">
        <v>1856</v>
      </c>
      <c r="B154" s="122" t="s">
        <v>1854</v>
      </c>
      <c r="C154" s="49"/>
      <c r="D154" s="48" t="s">
        <v>73</v>
      </c>
      <c r="E154" s="49"/>
      <c r="F154" s="50"/>
      <c r="G154" s="62"/>
      <c r="H154" s="48" t="s">
        <v>72</v>
      </c>
      <c r="I154" s="52">
        <v>1</v>
      </c>
      <c r="J154" s="52"/>
      <c r="K154" s="52" t="s">
        <v>73</v>
      </c>
      <c r="L154" s="52" t="s">
        <v>74</v>
      </c>
      <c r="M154" s="53" t="s">
        <v>942</v>
      </c>
      <c r="N154" s="58" t="s">
        <v>73</v>
      </c>
      <c r="O154" s="48" t="s">
        <v>72</v>
      </c>
      <c r="P154" s="48" t="s">
        <v>73</v>
      </c>
      <c r="Q154" s="54" t="s">
        <v>73</v>
      </c>
      <c r="R154" s="55" t="s">
        <v>73</v>
      </c>
      <c r="S154" s="48" t="s">
        <v>73</v>
      </c>
      <c r="T154" s="130"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8" t="str" cm="1">
        <f t="array" ref="U154">IF(SUMPRODUCT(--((CAT_Procesos!$E$2:$E$1581=O154)*(CAT_Procesos!$F$2:$F$1581=_xlfn.TEXTJOIN(" + ",TRUE,IF((TRIM(P154:S154)="")+(LOWER(TRIM(P154:S154))="(seleccione)"),"",PROPER(TRIM(P154:S154)))))*(CAT_Procesos!$D$2:$D$1581=IFERROR(VLOOKUP(N154&amp;"*",CAT_Procesos!$D:$D,1,FALSE),""))))=0,"Combinación no existente",IF(SUMPRODUCT(((CAT_Procesos!$E$2:$E$1581=O154)*(CAT_Procesos!$F$2:$F$1581=_xlfn.TEXTJOIN(" + ",TRUE,IF((TRIM(P154:S154)="")+(LOWER(TRIM(P154:S154))="(seleccione)"),"",PROPER(TRIM(P154:S154)))))*(CAT_Procesos!$D$2:$D$1581=IFERROR(VLOOKUP(N154&amp;"*",CAT_Procesos!$D:$D,1,FALSE),"")))*(CAT_Procesos!$G$2:$G$1581=INDEX(CAT_Procesos!$G$2:$G$1581,MATCH(1,(CAT_Procesos!$E$2:$E$1581=O154)*(CAT_Procesos!$F$2:$F$1581=_xlfn.TEXTJOIN(" + ",TRUE,IF((TRIM(P154:S154)="")+(LOWER(TRIM(P154:S154))="(seleccione)"),"",PROPER(TRIM(P154:S154)))))*(CAT_Procesos!$D$2:$D$1581=IFERROR(VLOOKUP(N154&amp;"*",CAT_Procesos!$D:$D,1,FALSE),"")),0))))=SUMPRODUCT(--((CAT_Procesos!$E$2:$E$1581=O154)*(CAT_Procesos!$F$2:$F$1581=_xlfn.TEXTJOIN(" + ",TRUE,IF((TRIM(P154:S154)="")+(LOWER(TRIM(P154:S154))="(seleccione)"),"",PROPER(TRIM(P154:S154)))))*(CAT_Procesos!$D$2:$D$1581=IFERROR(VLOOKUP(N154&amp;"*",CAT_Procesos!$D:$D,1,FALSE),"")))),INDEX(CAT_Procesos!$G$2:$G$1581,MATCH(1,(CAT_Procesos!$E$2:$E$1581=O154)*(CAT_Procesos!$F$2:$F$1581=_xlfn.TEXTJOIN(" + ",TRUE,IF((TRIM(P154:S154)="")+(LOWER(TRIM(P154:S154))="(seleccione)"),"",PROPER(TRIM(P154:S154)))))*(CAT_Procesos!$D$2:$D$1581=IFERROR(VLOOKUP(N154&amp;"*",CAT_Procesos!$D:$D,1,FALSE),"")),0)),"(seleccione)"))</f>
        <v>Combinación no existente</v>
      </c>
      <c r="V154" s="55" t="s">
        <v>73</v>
      </c>
      <c r="W154" s="56" t="s">
        <v>73</v>
      </c>
      <c r="X154" s="57" t="str">
        <f t="shared" si="8"/>
        <v/>
      </c>
      <c r="Y154" s="58" t="s">
        <v>73</v>
      </c>
      <c r="Z154" s="57" t="str">
        <f t="shared" si="9"/>
        <v/>
      </c>
      <c r="AA154" s="58" t="s">
        <v>73</v>
      </c>
      <c r="AB154" s="57" t="str">
        <f t="shared" si="10"/>
        <v/>
      </c>
      <c r="AC154" s="58" t="s">
        <v>73</v>
      </c>
      <c r="AD154" s="57" t="str">
        <f t="shared" si="11"/>
        <v/>
      </c>
      <c r="AE154" s="59"/>
      <c r="AF154" s="59"/>
      <c r="AG154" s="59"/>
      <c r="AH154" s="59"/>
      <c r="AI154" s="59" t="s">
        <v>73</v>
      </c>
      <c r="AJ154" s="59"/>
      <c r="AK154" s="59" t="s">
        <v>73</v>
      </c>
      <c r="AL154" s="59"/>
      <c r="AM154" s="59" t="s">
        <v>73</v>
      </c>
      <c r="AN154" s="59"/>
      <c r="AO154" s="59" t="s">
        <v>73</v>
      </c>
      <c r="AP154" s="59"/>
      <c r="AQ154" s="59" t="s">
        <v>73</v>
      </c>
      <c r="AR154" s="59"/>
      <c r="AS154" s="59" t="s">
        <v>72</v>
      </c>
      <c r="AT154" s="59"/>
      <c r="AU154" s="59"/>
      <c r="AV154" s="59"/>
      <c r="AW154" s="59"/>
      <c r="AX154" s="59"/>
      <c r="AY154" s="60" t="str">
        <f>IF('Cálculo MP'!K164="","",'Cálculo MP'!K164)</f>
        <v/>
      </c>
      <c r="AZ154" s="60" t="str">
        <f>IF('Cálculo MP'!L164="","",'Cálculo MP'!L164)</f>
        <v/>
      </c>
      <c r="BA154" s="60" t="str">
        <f>IF('Cálculo MP'!M164="","",'Cálculo MP'!M164)</f>
        <v/>
      </c>
      <c r="BB154" s="60" t="str">
        <f>IF('Cálculo MP'!N164="","",'Cálculo MP'!N164)</f>
        <v/>
      </c>
      <c r="BC154" s="60" t="str">
        <f>IF('Cálculo MP'!O164="","",'Cálculo MP'!O164)</f>
        <v/>
      </c>
      <c r="BD154" s="60" t="str">
        <f>IF('Cálculo MP'!P164="","",'Cálculo MP'!P164)</f>
        <v/>
      </c>
      <c r="BE154" s="60" t="str">
        <f>IF('Cálculo MP'!Q164="","",'Cálculo MP'!Q164)</f>
        <v/>
      </c>
      <c r="BF154" s="60" t="str">
        <f>IF('Cálculo MP'!R164="","",'Cálculo MP'!R164)</f>
        <v/>
      </c>
      <c r="BG154" s="60" t="str">
        <f>IF('Cálculo MP'!S164="","",'Cálculo MP'!S164)</f>
        <v/>
      </c>
      <c r="BH154" s="59"/>
      <c r="BI154" s="59"/>
      <c r="BJ154" s="59"/>
      <c r="BK154" s="59"/>
      <c r="BL154" s="59"/>
      <c r="BM154" s="59"/>
      <c r="BN154" s="59"/>
      <c r="BO154" s="59"/>
    </row>
    <row r="155" spans="1:67" ht="19.5" customHeight="1" x14ac:dyDescent="0.15">
      <c r="A155" s="123" t="s">
        <v>1856</v>
      </c>
      <c r="B155" s="122" t="s">
        <v>1854</v>
      </c>
      <c r="C155" s="49"/>
      <c r="D155" s="48" t="s">
        <v>73</v>
      </c>
      <c r="E155" s="49"/>
      <c r="F155" s="50"/>
      <c r="G155" s="62"/>
      <c r="H155" s="48" t="s">
        <v>72</v>
      </c>
      <c r="I155" s="52">
        <v>1</v>
      </c>
      <c r="J155" s="52"/>
      <c r="K155" s="52" t="s">
        <v>73</v>
      </c>
      <c r="L155" s="52" t="s">
        <v>74</v>
      </c>
      <c r="M155" s="53" t="s">
        <v>942</v>
      </c>
      <c r="N155" s="58" t="s">
        <v>73</v>
      </c>
      <c r="O155" s="48" t="s">
        <v>72</v>
      </c>
      <c r="P155" s="48" t="s">
        <v>73</v>
      </c>
      <c r="Q155" s="54" t="s">
        <v>73</v>
      </c>
      <c r="R155" s="55" t="s">
        <v>73</v>
      </c>
      <c r="S155" s="48" t="s">
        <v>73</v>
      </c>
      <c r="T155" s="130"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8" t="str" cm="1">
        <f t="array" ref="U155">IF(SUMPRODUCT(--((CAT_Procesos!$E$2:$E$1581=O155)*(CAT_Procesos!$F$2:$F$1581=_xlfn.TEXTJOIN(" + ",TRUE,IF((TRIM(P155:S155)="")+(LOWER(TRIM(P155:S155))="(seleccione)"),"",PROPER(TRIM(P155:S155)))))*(CAT_Procesos!$D$2:$D$1581=IFERROR(VLOOKUP(N155&amp;"*",CAT_Procesos!$D:$D,1,FALSE),""))))=0,"Combinación no existente",IF(SUMPRODUCT(((CAT_Procesos!$E$2:$E$1581=O155)*(CAT_Procesos!$F$2:$F$1581=_xlfn.TEXTJOIN(" + ",TRUE,IF((TRIM(P155:S155)="")+(LOWER(TRIM(P155:S155))="(seleccione)"),"",PROPER(TRIM(P155:S155)))))*(CAT_Procesos!$D$2:$D$1581=IFERROR(VLOOKUP(N155&amp;"*",CAT_Procesos!$D:$D,1,FALSE),"")))*(CAT_Procesos!$G$2:$G$1581=INDEX(CAT_Procesos!$G$2:$G$1581,MATCH(1,(CAT_Procesos!$E$2:$E$1581=O155)*(CAT_Procesos!$F$2:$F$1581=_xlfn.TEXTJOIN(" + ",TRUE,IF((TRIM(P155:S155)="")+(LOWER(TRIM(P155:S155))="(seleccione)"),"",PROPER(TRIM(P155:S155)))))*(CAT_Procesos!$D$2:$D$1581=IFERROR(VLOOKUP(N155&amp;"*",CAT_Procesos!$D:$D,1,FALSE),"")),0))))=SUMPRODUCT(--((CAT_Procesos!$E$2:$E$1581=O155)*(CAT_Procesos!$F$2:$F$1581=_xlfn.TEXTJOIN(" + ",TRUE,IF((TRIM(P155:S155)="")+(LOWER(TRIM(P155:S155))="(seleccione)"),"",PROPER(TRIM(P155:S155)))))*(CAT_Procesos!$D$2:$D$1581=IFERROR(VLOOKUP(N155&amp;"*",CAT_Procesos!$D:$D,1,FALSE),"")))),INDEX(CAT_Procesos!$G$2:$G$1581,MATCH(1,(CAT_Procesos!$E$2:$E$1581=O155)*(CAT_Procesos!$F$2:$F$1581=_xlfn.TEXTJOIN(" + ",TRUE,IF((TRIM(P155:S155)="")+(LOWER(TRIM(P155:S155))="(seleccione)"),"",PROPER(TRIM(P155:S155)))))*(CAT_Procesos!$D$2:$D$1581=IFERROR(VLOOKUP(N155&amp;"*",CAT_Procesos!$D:$D,1,FALSE),"")),0)),"(seleccione)"))</f>
        <v>Combinación no existente</v>
      </c>
      <c r="V155" s="55" t="s">
        <v>73</v>
      </c>
      <c r="W155" s="56" t="s">
        <v>73</v>
      </c>
      <c r="X155" s="57" t="str">
        <f t="shared" si="8"/>
        <v/>
      </c>
      <c r="Y155" s="58" t="s">
        <v>73</v>
      </c>
      <c r="Z155" s="57" t="str">
        <f t="shared" si="9"/>
        <v/>
      </c>
      <c r="AA155" s="58" t="s">
        <v>73</v>
      </c>
      <c r="AB155" s="57" t="str">
        <f t="shared" si="10"/>
        <v/>
      </c>
      <c r="AC155" s="58" t="s">
        <v>73</v>
      </c>
      <c r="AD155" s="57" t="str">
        <f t="shared" si="11"/>
        <v/>
      </c>
      <c r="AE155" s="59"/>
      <c r="AF155" s="59"/>
      <c r="AG155" s="59"/>
      <c r="AH155" s="59"/>
      <c r="AI155" s="59" t="s">
        <v>73</v>
      </c>
      <c r="AJ155" s="59"/>
      <c r="AK155" s="59" t="s">
        <v>73</v>
      </c>
      <c r="AL155" s="59"/>
      <c r="AM155" s="59" t="s">
        <v>73</v>
      </c>
      <c r="AN155" s="59"/>
      <c r="AO155" s="59" t="s">
        <v>73</v>
      </c>
      <c r="AP155" s="59"/>
      <c r="AQ155" s="59" t="s">
        <v>73</v>
      </c>
      <c r="AR155" s="59"/>
      <c r="AS155" s="59" t="s">
        <v>72</v>
      </c>
      <c r="AT155" s="59"/>
      <c r="AU155" s="59"/>
      <c r="AV155" s="59"/>
      <c r="AW155" s="59"/>
      <c r="AX155" s="59"/>
      <c r="AY155" s="60" t="str">
        <f>IF('Cálculo MP'!K165="","",'Cálculo MP'!K165)</f>
        <v/>
      </c>
      <c r="AZ155" s="60" t="str">
        <f>IF('Cálculo MP'!L165="","",'Cálculo MP'!L165)</f>
        <v/>
      </c>
      <c r="BA155" s="60" t="str">
        <f>IF('Cálculo MP'!M165="","",'Cálculo MP'!M165)</f>
        <v/>
      </c>
      <c r="BB155" s="60" t="str">
        <f>IF('Cálculo MP'!N165="","",'Cálculo MP'!N165)</f>
        <v/>
      </c>
      <c r="BC155" s="60" t="str">
        <f>IF('Cálculo MP'!O165="","",'Cálculo MP'!O165)</f>
        <v/>
      </c>
      <c r="BD155" s="60" t="str">
        <f>IF('Cálculo MP'!P165="","",'Cálculo MP'!P165)</f>
        <v/>
      </c>
      <c r="BE155" s="60" t="str">
        <f>IF('Cálculo MP'!Q165="","",'Cálculo MP'!Q165)</f>
        <v/>
      </c>
      <c r="BF155" s="60" t="str">
        <f>IF('Cálculo MP'!R165="","",'Cálculo MP'!R165)</f>
        <v/>
      </c>
      <c r="BG155" s="60" t="str">
        <f>IF('Cálculo MP'!S165="","",'Cálculo MP'!S165)</f>
        <v/>
      </c>
      <c r="BH155" s="59"/>
      <c r="BI155" s="59"/>
      <c r="BJ155" s="59"/>
      <c r="BK155" s="59"/>
      <c r="BL155" s="59"/>
      <c r="BM155" s="59"/>
      <c r="BN155" s="59"/>
      <c r="BO155" s="59"/>
    </row>
    <row r="156" spans="1:67" ht="19.5" customHeight="1" x14ac:dyDescent="0.15">
      <c r="A156" s="123" t="s">
        <v>1856</v>
      </c>
      <c r="B156" s="122" t="s">
        <v>1854</v>
      </c>
      <c r="C156" s="49"/>
      <c r="D156" s="48" t="s">
        <v>73</v>
      </c>
      <c r="E156" s="49"/>
      <c r="F156" s="50"/>
      <c r="G156" s="62"/>
      <c r="H156" s="48" t="s">
        <v>72</v>
      </c>
      <c r="I156" s="52">
        <v>1</v>
      </c>
      <c r="J156" s="52"/>
      <c r="K156" s="52" t="s">
        <v>73</v>
      </c>
      <c r="L156" s="52" t="s">
        <v>74</v>
      </c>
      <c r="M156" s="53" t="s">
        <v>942</v>
      </c>
      <c r="N156" s="58" t="s">
        <v>73</v>
      </c>
      <c r="O156" s="48" t="s">
        <v>72</v>
      </c>
      <c r="P156" s="48" t="s">
        <v>73</v>
      </c>
      <c r="Q156" s="54" t="s">
        <v>73</v>
      </c>
      <c r="R156" s="55" t="s">
        <v>73</v>
      </c>
      <c r="S156" s="48" t="s">
        <v>73</v>
      </c>
      <c r="T156" s="130"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8" t="str" cm="1">
        <f t="array" ref="U156">IF(SUMPRODUCT(--((CAT_Procesos!$E$2:$E$1581=O156)*(CAT_Procesos!$F$2:$F$1581=_xlfn.TEXTJOIN(" + ",TRUE,IF((TRIM(P156:S156)="")+(LOWER(TRIM(P156:S156))="(seleccione)"),"",PROPER(TRIM(P156:S156)))))*(CAT_Procesos!$D$2:$D$1581=IFERROR(VLOOKUP(N156&amp;"*",CAT_Procesos!$D:$D,1,FALSE),""))))=0,"Combinación no existente",IF(SUMPRODUCT(((CAT_Procesos!$E$2:$E$1581=O156)*(CAT_Procesos!$F$2:$F$1581=_xlfn.TEXTJOIN(" + ",TRUE,IF((TRIM(P156:S156)="")+(LOWER(TRIM(P156:S156))="(seleccione)"),"",PROPER(TRIM(P156:S156)))))*(CAT_Procesos!$D$2:$D$1581=IFERROR(VLOOKUP(N156&amp;"*",CAT_Procesos!$D:$D,1,FALSE),"")))*(CAT_Procesos!$G$2:$G$1581=INDEX(CAT_Procesos!$G$2:$G$1581,MATCH(1,(CAT_Procesos!$E$2:$E$1581=O156)*(CAT_Procesos!$F$2:$F$1581=_xlfn.TEXTJOIN(" + ",TRUE,IF((TRIM(P156:S156)="")+(LOWER(TRIM(P156:S156))="(seleccione)"),"",PROPER(TRIM(P156:S156)))))*(CAT_Procesos!$D$2:$D$1581=IFERROR(VLOOKUP(N156&amp;"*",CAT_Procesos!$D:$D,1,FALSE),"")),0))))=SUMPRODUCT(--((CAT_Procesos!$E$2:$E$1581=O156)*(CAT_Procesos!$F$2:$F$1581=_xlfn.TEXTJOIN(" + ",TRUE,IF((TRIM(P156:S156)="")+(LOWER(TRIM(P156:S156))="(seleccione)"),"",PROPER(TRIM(P156:S156)))))*(CAT_Procesos!$D$2:$D$1581=IFERROR(VLOOKUP(N156&amp;"*",CAT_Procesos!$D:$D,1,FALSE),"")))),INDEX(CAT_Procesos!$G$2:$G$1581,MATCH(1,(CAT_Procesos!$E$2:$E$1581=O156)*(CAT_Procesos!$F$2:$F$1581=_xlfn.TEXTJOIN(" + ",TRUE,IF((TRIM(P156:S156)="")+(LOWER(TRIM(P156:S156))="(seleccione)"),"",PROPER(TRIM(P156:S156)))))*(CAT_Procesos!$D$2:$D$1581=IFERROR(VLOOKUP(N156&amp;"*",CAT_Procesos!$D:$D,1,FALSE),"")),0)),"(seleccione)"))</f>
        <v>Combinación no existente</v>
      </c>
      <c r="V156" s="55" t="s">
        <v>73</v>
      </c>
      <c r="W156" s="56" t="s">
        <v>73</v>
      </c>
      <c r="X156" s="57" t="str">
        <f t="shared" si="8"/>
        <v/>
      </c>
      <c r="Y156" s="58" t="s">
        <v>73</v>
      </c>
      <c r="Z156" s="57" t="str">
        <f t="shared" si="9"/>
        <v/>
      </c>
      <c r="AA156" s="58" t="s">
        <v>73</v>
      </c>
      <c r="AB156" s="57" t="str">
        <f t="shared" si="10"/>
        <v/>
      </c>
      <c r="AC156" s="58" t="s">
        <v>73</v>
      </c>
      <c r="AD156" s="57" t="str">
        <f t="shared" si="11"/>
        <v/>
      </c>
      <c r="AE156" s="59"/>
      <c r="AF156" s="59"/>
      <c r="AG156" s="59"/>
      <c r="AH156" s="59"/>
      <c r="AI156" s="59" t="s">
        <v>73</v>
      </c>
      <c r="AJ156" s="59"/>
      <c r="AK156" s="59" t="s">
        <v>73</v>
      </c>
      <c r="AL156" s="59"/>
      <c r="AM156" s="59" t="s">
        <v>73</v>
      </c>
      <c r="AN156" s="59"/>
      <c r="AO156" s="59" t="s">
        <v>73</v>
      </c>
      <c r="AP156" s="59"/>
      <c r="AQ156" s="59" t="s">
        <v>73</v>
      </c>
      <c r="AR156" s="59"/>
      <c r="AS156" s="59" t="s">
        <v>72</v>
      </c>
      <c r="AT156" s="59"/>
      <c r="AU156" s="59"/>
      <c r="AV156" s="59"/>
      <c r="AW156" s="59"/>
      <c r="AX156" s="59"/>
      <c r="AY156" s="60" t="str">
        <f>IF('Cálculo MP'!K166="","",'Cálculo MP'!K166)</f>
        <v/>
      </c>
      <c r="AZ156" s="60" t="str">
        <f>IF('Cálculo MP'!L166="","",'Cálculo MP'!L166)</f>
        <v/>
      </c>
      <c r="BA156" s="60" t="str">
        <f>IF('Cálculo MP'!M166="","",'Cálculo MP'!M166)</f>
        <v/>
      </c>
      <c r="BB156" s="60" t="str">
        <f>IF('Cálculo MP'!N166="","",'Cálculo MP'!N166)</f>
        <v/>
      </c>
      <c r="BC156" s="60" t="str">
        <f>IF('Cálculo MP'!O166="","",'Cálculo MP'!O166)</f>
        <v/>
      </c>
      <c r="BD156" s="60" t="str">
        <f>IF('Cálculo MP'!P166="","",'Cálculo MP'!P166)</f>
        <v/>
      </c>
      <c r="BE156" s="60" t="str">
        <f>IF('Cálculo MP'!Q166="","",'Cálculo MP'!Q166)</f>
        <v/>
      </c>
      <c r="BF156" s="60" t="str">
        <f>IF('Cálculo MP'!R166="","",'Cálculo MP'!R166)</f>
        <v/>
      </c>
      <c r="BG156" s="60" t="str">
        <f>IF('Cálculo MP'!S166="","",'Cálculo MP'!S166)</f>
        <v/>
      </c>
      <c r="BH156" s="59"/>
      <c r="BI156" s="59"/>
      <c r="BJ156" s="59"/>
      <c r="BK156" s="59"/>
      <c r="BL156" s="59"/>
      <c r="BM156" s="59"/>
      <c r="BN156" s="59"/>
      <c r="BO156" s="59"/>
    </row>
    <row r="157" spans="1:67" ht="19.5" customHeight="1" x14ac:dyDescent="0.15">
      <c r="A157" s="123" t="s">
        <v>1856</v>
      </c>
      <c r="B157" s="122" t="s">
        <v>1854</v>
      </c>
      <c r="C157" s="49"/>
      <c r="D157" s="48" t="s">
        <v>73</v>
      </c>
      <c r="E157" s="49"/>
      <c r="F157" s="50"/>
      <c r="G157" s="62"/>
      <c r="H157" s="48" t="s">
        <v>72</v>
      </c>
      <c r="I157" s="52">
        <v>1</v>
      </c>
      <c r="J157" s="52"/>
      <c r="K157" s="52" t="s">
        <v>73</v>
      </c>
      <c r="L157" s="52" t="s">
        <v>74</v>
      </c>
      <c r="M157" s="53" t="s">
        <v>942</v>
      </c>
      <c r="N157" s="58" t="s">
        <v>73</v>
      </c>
      <c r="O157" s="48" t="s">
        <v>72</v>
      </c>
      <c r="P157" s="48" t="s">
        <v>73</v>
      </c>
      <c r="Q157" s="54" t="s">
        <v>73</v>
      </c>
      <c r="R157" s="55" t="s">
        <v>73</v>
      </c>
      <c r="S157" s="48" t="s">
        <v>73</v>
      </c>
      <c r="T157" s="130"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8" t="str" cm="1">
        <f t="array" ref="U157">IF(SUMPRODUCT(--((CAT_Procesos!$E$2:$E$1581=O157)*(CAT_Procesos!$F$2:$F$1581=_xlfn.TEXTJOIN(" + ",TRUE,IF((TRIM(P157:S157)="")+(LOWER(TRIM(P157:S157))="(seleccione)"),"",PROPER(TRIM(P157:S157)))))*(CAT_Procesos!$D$2:$D$1581=IFERROR(VLOOKUP(N157&amp;"*",CAT_Procesos!$D:$D,1,FALSE),""))))=0,"Combinación no existente",IF(SUMPRODUCT(((CAT_Procesos!$E$2:$E$1581=O157)*(CAT_Procesos!$F$2:$F$1581=_xlfn.TEXTJOIN(" + ",TRUE,IF((TRIM(P157:S157)="")+(LOWER(TRIM(P157:S157))="(seleccione)"),"",PROPER(TRIM(P157:S157)))))*(CAT_Procesos!$D$2:$D$1581=IFERROR(VLOOKUP(N157&amp;"*",CAT_Procesos!$D:$D,1,FALSE),"")))*(CAT_Procesos!$G$2:$G$1581=INDEX(CAT_Procesos!$G$2:$G$1581,MATCH(1,(CAT_Procesos!$E$2:$E$1581=O157)*(CAT_Procesos!$F$2:$F$1581=_xlfn.TEXTJOIN(" + ",TRUE,IF((TRIM(P157:S157)="")+(LOWER(TRIM(P157:S157))="(seleccione)"),"",PROPER(TRIM(P157:S157)))))*(CAT_Procesos!$D$2:$D$1581=IFERROR(VLOOKUP(N157&amp;"*",CAT_Procesos!$D:$D,1,FALSE),"")),0))))=SUMPRODUCT(--((CAT_Procesos!$E$2:$E$1581=O157)*(CAT_Procesos!$F$2:$F$1581=_xlfn.TEXTJOIN(" + ",TRUE,IF((TRIM(P157:S157)="")+(LOWER(TRIM(P157:S157))="(seleccione)"),"",PROPER(TRIM(P157:S157)))))*(CAT_Procesos!$D$2:$D$1581=IFERROR(VLOOKUP(N157&amp;"*",CAT_Procesos!$D:$D,1,FALSE),"")))),INDEX(CAT_Procesos!$G$2:$G$1581,MATCH(1,(CAT_Procesos!$E$2:$E$1581=O157)*(CAT_Procesos!$F$2:$F$1581=_xlfn.TEXTJOIN(" + ",TRUE,IF((TRIM(P157:S157)="")+(LOWER(TRIM(P157:S157))="(seleccione)"),"",PROPER(TRIM(P157:S157)))))*(CAT_Procesos!$D$2:$D$1581=IFERROR(VLOOKUP(N157&amp;"*",CAT_Procesos!$D:$D,1,FALSE),"")),0)),"(seleccione)"))</f>
        <v>Combinación no existente</v>
      </c>
      <c r="V157" s="55" t="s">
        <v>73</v>
      </c>
      <c r="W157" s="56" t="s">
        <v>73</v>
      </c>
      <c r="X157" s="57" t="str">
        <f t="shared" si="8"/>
        <v/>
      </c>
      <c r="Y157" s="58" t="s">
        <v>73</v>
      </c>
      <c r="Z157" s="57" t="str">
        <f t="shared" si="9"/>
        <v/>
      </c>
      <c r="AA157" s="58" t="s">
        <v>73</v>
      </c>
      <c r="AB157" s="57" t="str">
        <f t="shared" si="10"/>
        <v/>
      </c>
      <c r="AC157" s="58" t="s">
        <v>73</v>
      </c>
      <c r="AD157" s="57" t="str">
        <f t="shared" si="11"/>
        <v/>
      </c>
      <c r="AE157" s="59"/>
      <c r="AF157" s="59"/>
      <c r="AG157" s="59"/>
      <c r="AH157" s="59"/>
      <c r="AI157" s="59" t="s">
        <v>73</v>
      </c>
      <c r="AJ157" s="59"/>
      <c r="AK157" s="59" t="s">
        <v>73</v>
      </c>
      <c r="AL157" s="59"/>
      <c r="AM157" s="59" t="s">
        <v>73</v>
      </c>
      <c r="AN157" s="59"/>
      <c r="AO157" s="59" t="s">
        <v>73</v>
      </c>
      <c r="AP157" s="59"/>
      <c r="AQ157" s="59" t="s">
        <v>73</v>
      </c>
      <c r="AR157" s="59"/>
      <c r="AS157" s="59" t="s">
        <v>72</v>
      </c>
      <c r="AT157" s="59"/>
      <c r="AU157" s="59"/>
      <c r="AV157" s="59"/>
      <c r="AW157" s="59"/>
      <c r="AX157" s="59"/>
      <c r="AY157" s="60" t="str">
        <f>IF('Cálculo MP'!K167="","",'Cálculo MP'!K167)</f>
        <v/>
      </c>
      <c r="AZ157" s="60" t="str">
        <f>IF('Cálculo MP'!L167="","",'Cálculo MP'!L167)</f>
        <v/>
      </c>
      <c r="BA157" s="60" t="str">
        <f>IF('Cálculo MP'!M167="","",'Cálculo MP'!M167)</f>
        <v/>
      </c>
      <c r="BB157" s="60" t="str">
        <f>IF('Cálculo MP'!N167="","",'Cálculo MP'!N167)</f>
        <v/>
      </c>
      <c r="BC157" s="60" t="str">
        <f>IF('Cálculo MP'!O167="","",'Cálculo MP'!O167)</f>
        <v/>
      </c>
      <c r="BD157" s="60" t="str">
        <f>IF('Cálculo MP'!P167="","",'Cálculo MP'!P167)</f>
        <v/>
      </c>
      <c r="BE157" s="60" t="str">
        <f>IF('Cálculo MP'!Q167="","",'Cálculo MP'!Q167)</f>
        <v/>
      </c>
      <c r="BF157" s="60" t="str">
        <f>IF('Cálculo MP'!R167="","",'Cálculo MP'!R167)</f>
        <v/>
      </c>
      <c r="BG157" s="60" t="str">
        <f>IF('Cálculo MP'!S167="","",'Cálculo MP'!S167)</f>
        <v/>
      </c>
      <c r="BH157" s="59"/>
      <c r="BI157" s="59"/>
      <c r="BJ157" s="59"/>
      <c r="BK157" s="59"/>
      <c r="BL157" s="59"/>
      <c r="BM157" s="59"/>
      <c r="BN157" s="59"/>
      <c r="BO157" s="59"/>
    </row>
    <row r="158" spans="1:67" ht="19.5" customHeight="1" x14ac:dyDescent="0.15">
      <c r="A158" s="123" t="s">
        <v>1856</v>
      </c>
      <c r="B158" s="122" t="s">
        <v>1854</v>
      </c>
      <c r="C158" s="49"/>
      <c r="D158" s="48" t="s">
        <v>73</v>
      </c>
      <c r="E158" s="49"/>
      <c r="F158" s="50"/>
      <c r="G158" s="62"/>
      <c r="H158" s="48" t="s">
        <v>72</v>
      </c>
      <c r="I158" s="52">
        <v>1</v>
      </c>
      <c r="J158" s="52"/>
      <c r="K158" s="52" t="s">
        <v>73</v>
      </c>
      <c r="L158" s="52" t="s">
        <v>74</v>
      </c>
      <c r="M158" s="53" t="s">
        <v>942</v>
      </c>
      <c r="N158" s="58" t="s">
        <v>73</v>
      </c>
      <c r="O158" s="48" t="s">
        <v>72</v>
      </c>
      <c r="P158" s="48" t="s">
        <v>73</v>
      </c>
      <c r="Q158" s="54" t="s">
        <v>73</v>
      </c>
      <c r="R158" s="55" t="s">
        <v>73</v>
      </c>
      <c r="S158" s="48" t="s">
        <v>73</v>
      </c>
      <c r="T158" s="130"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8" t="str" cm="1">
        <f t="array" ref="U158">IF(SUMPRODUCT(--((CAT_Procesos!$E$2:$E$1581=O158)*(CAT_Procesos!$F$2:$F$1581=_xlfn.TEXTJOIN(" + ",TRUE,IF((TRIM(P158:S158)="")+(LOWER(TRIM(P158:S158))="(seleccione)"),"",PROPER(TRIM(P158:S158)))))*(CAT_Procesos!$D$2:$D$1581=IFERROR(VLOOKUP(N158&amp;"*",CAT_Procesos!$D:$D,1,FALSE),""))))=0,"Combinación no existente",IF(SUMPRODUCT(((CAT_Procesos!$E$2:$E$1581=O158)*(CAT_Procesos!$F$2:$F$1581=_xlfn.TEXTJOIN(" + ",TRUE,IF((TRIM(P158:S158)="")+(LOWER(TRIM(P158:S158))="(seleccione)"),"",PROPER(TRIM(P158:S158)))))*(CAT_Procesos!$D$2:$D$1581=IFERROR(VLOOKUP(N158&amp;"*",CAT_Procesos!$D:$D,1,FALSE),"")))*(CAT_Procesos!$G$2:$G$1581=INDEX(CAT_Procesos!$G$2:$G$1581,MATCH(1,(CAT_Procesos!$E$2:$E$1581=O158)*(CAT_Procesos!$F$2:$F$1581=_xlfn.TEXTJOIN(" + ",TRUE,IF((TRIM(P158:S158)="")+(LOWER(TRIM(P158:S158))="(seleccione)"),"",PROPER(TRIM(P158:S158)))))*(CAT_Procesos!$D$2:$D$1581=IFERROR(VLOOKUP(N158&amp;"*",CAT_Procesos!$D:$D,1,FALSE),"")),0))))=SUMPRODUCT(--((CAT_Procesos!$E$2:$E$1581=O158)*(CAT_Procesos!$F$2:$F$1581=_xlfn.TEXTJOIN(" + ",TRUE,IF((TRIM(P158:S158)="")+(LOWER(TRIM(P158:S158))="(seleccione)"),"",PROPER(TRIM(P158:S158)))))*(CAT_Procesos!$D$2:$D$1581=IFERROR(VLOOKUP(N158&amp;"*",CAT_Procesos!$D:$D,1,FALSE),"")))),INDEX(CAT_Procesos!$G$2:$G$1581,MATCH(1,(CAT_Procesos!$E$2:$E$1581=O158)*(CAT_Procesos!$F$2:$F$1581=_xlfn.TEXTJOIN(" + ",TRUE,IF((TRIM(P158:S158)="")+(LOWER(TRIM(P158:S158))="(seleccione)"),"",PROPER(TRIM(P158:S158)))))*(CAT_Procesos!$D$2:$D$1581=IFERROR(VLOOKUP(N158&amp;"*",CAT_Procesos!$D:$D,1,FALSE),"")),0)),"(seleccione)"))</f>
        <v>Combinación no existente</v>
      </c>
      <c r="V158" s="55" t="s">
        <v>73</v>
      </c>
      <c r="W158" s="56" t="s">
        <v>73</v>
      </c>
      <c r="X158" s="57" t="str">
        <f t="shared" si="8"/>
        <v/>
      </c>
      <c r="Y158" s="58" t="s">
        <v>73</v>
      </c>
      <c r="Z158" s="57" t="str">
        <f t="shared" si="9"/>
        <v/>
      </c>
      <c r="AA158" s="58" t="s">
        <v>73</v>
      </c>
      <c r="AB158" s="57" t="str">
        <f t="shared" si="10"/>
        <v/>
      </c>
      <c r="AC158" s="58" t="s">
        <v>73</v>
      </c>
      <c r="AD158" s="57" t="str">
        <f t="shared" si="11"/>
        <v/>
      </c>
      <c r="AE158" s="59"/>
      <c r="AF158" s="59"/>
      <c r="AG158" s="59"/>
      <c r="AH158" s="59"/>
      <c r="AI158" s="59" t="s">
        <v>73</v>
      </c>
      <c r="AJ158" s="59"/>
      <c r="AK158" s="59" t="s">
        <v>73</v>
      </c>
      <c r="AL158" s="59"/>
      <c r="AM158" s="59" t="s">
        <v>73</v>
      </c>
      <c r="AN158" s="59"/>
      <c r="AO158" s="59" t="s">
        <v>73</v>
      </c>
      <c r="AP158" s="59"/>
      <c r="AQ158" s="59" t="s">
        <v>73</v>
      </c>
      <c r="AR158" s="59"/>
      <c r="AS158" s="59" t="s">
        <v>72</v>
      </c>
      <c r="AT158" s="59"/>
      <c r="AU158" s="59"/>
      <c r="AV158" s="59"/>
      <c r="AW158" s="59"/>
      <c r="AX158" s="59"/>
      <c r="AY158" s="60" t="str">
        <f>IF('Cálculo MP'!K168="","",'Cálculo MP'!K168)</f>
        <v/>
      </c>
      <c r="AZ158" s="60" t="str">
        <f>IF('Cálculo MP'!L168="","",'Cálculo MP'!L168)</f>
        <v/>
      </c>
      <c r="BA158" s="60" t="str">
        <f>IF('Cálculo MP'!M168="","",'Cálculo MP'!M168)</f>
        <v/>
      </c>
      <c r="BB158" s="60" t="str">
        <f>IF('Cálculo MP'!N168="","",'Cálculo MP'!N168)</f>
        <v/>
      </c>
      <c r="BC158" s="60" t="str">
        <f>IF('Cálculo MP'!O168="","",'Cálculo MP'!O168)</f>
        <v/>
      </c>
      <c r="BD158" s="60" t="str">
        <f>IF('Cálculo MP'!P168="","",'Cálculo MP'!P168)</f>
        <v/>
      </c>
      <c r="BE158" s="60" t="str">
        <f>IF('Cálculo MP'!Q168="","",'Cálculo MP'!Q168)</f>
        <v/>
      </c>
      <c r="BF158" s="60" t="str">
        <f>IF('Cálculo MP'!R168="","",'Cálculo MP'!R168)</f>
        <v/>
      </c>
      <c r="BG158" s="60" t="str">
        <f>IF('Cálculo MP'!S168="","",'Cálculo MP'!S168)</f>
        <v/>
      </c>
      <c r="BH158" s="59"/>
      <c r="BI158" s="59"/>
      <c r="BJ158" s="59"/>
      <c r="BK158" s="59"/>
      <c r="BL158" s="59"/>
      <c r="BM158" s="59"/>
      <c r="BN158" s="59"/>
      <c r="BO158" s="59"/>
    </row>
    <row r="159" spans="1:67" ht="19.5" customHeight="1" x14ac:dyDescent="0.15">
      <c r="A159" s="123" t="s">
        <v>1856</v>
      </c>
      <c r="B159" s="122" t="s">
        <v>1854</v>
      </c>
      <c r="C159" s="49"/>
      <c r="D159" s="48" t="s">
        <v>73</v>
      </c>
      <c r="E159" s="49"/>
      <c r="F159" s="50"/>
      <c r="G159" s="62"/>
      <c r="H159" s="48" t="s">
        <v>72</v>
      </c>
      <c r="I159" s="52">
        <v>1</v>
      </c>
      <c r="J159" s="52"/>
      <c r="K159" s="52" t="s">
        <v>73</v>
      </c>
      <c r="L159" s="52" t="s">
        <v>74</v>
      </c>
      <c r="M159" s="53" t="s">
        <v>942</v>
      </c>
      <c r="N159" s="58" t="s">
        <v>73</v>
      </c>
      <c r="O159" s="48" t="s">
        <v>72</v>
      </c>
      <c r="P159" s="48" t="s">
        <v>73</v>
      </c>
      <c r="Q159" s="54" t="s">
        <v>73</v>
      </c>
      <c r="R159" s="55" t="s">
        <v>73</v>
      </c>
      <c r="S159" s="48" t="s">
        <v>73</v>
      </c>
      <c r="T159" s="130"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8" t="str" cm="1">
        <f t="array" ref="U159">IF(SUMPRODUCT(--((CAT_Procesos!$E$2:$E$1581=O159)*(CAT_Procesos!$F$2:$F$1581=_xlfn.TEXTJOIN(" + ",TRUE,IF((TRIM(P159:S159)="")+(LOWER(TRIM(P159:S159))="(seleccione)"),"",PROPER(TRIM(P159:S159)))))*(CAT_Procesos!$D$2:$D$1581=IFERROR(VLOOKUP(N159&amp;"*",CAT_Procesos!$D:$D,1,FALSE),""))))=0,"Combinación no existente",IF(SUMPRODUCT(((CAT_Procesos!$E$2:$E$1581=O159)*(CAT_Procesos!$F$2:$F$1581=_xlfn.TEXTJOIN(" + ",TRUE,IF((TRIM(P159:S159)="")+(LOWER(TRIM(P159:S159))="(seleccione)"),"",PROPER(TRIM(P159:S159)))))*(CAT_Procesos!$D$2:$D$1581=IFERROR(VLOOKUP(N159&amp;"*",CAT_Procesos!$D:$D,1,FALSE),"")))*(CAT_Procesos!$G$2:$G$1581=INDEX(CAT_Procesos!$G$2:$G$1581,MATCH(1,(CAT_Procesos!$E$2:$E$1581=O159)*(CAT_Procesos!$F$2:$F$1581=_xlfn.TEXTJOIN(" + ",TRUE,IF((TRIM(P159:S159)="")+(LOWER(TRIM(P159:S159))="(seleccione)"),"",PROPER(TRIM(P159:S159)))))*(CAT_Procesos!$D$2:$D$1581=IFERROR(VLOOKUP(N159&amp;"*",CAT_Procesos!$D:$D,1,FALSE),"")),0))))=SUMPRODUCT(--((CAT_Procesos!$E$2:$E$1581=O159)*(CAT_Procesos!$F$2:$F$1581=_xlfn.TEXTJOIN(" + ",TRUE,IF((TRIM(P159:S159)="")+(LOWER(TRIM(P159:S159))="(seleccione)"),"",PROPER(TRIM(P159:S159)))))*(CAT_Procesos!$D$2:$D$1581=IFERROR(VLOOKUP(N159&amp;"*",CAT_Procesos!$D:$D,1,FALSE),"")))),INDEX(CAT_Procesos!$G$2:$G$1581,MATCH(1,(CAT_Procesos!$E$2:$E$1581=O159)*(CAT_Procesos!$F$2:$F$1581=_xlfn.TEXTJOIN(" + ",TRUE,IF((TRIM(P159:S159)="")+(LOWER(TRIM(P159:S159))="(seleccione)"),"",PROPER(TRIM(P159:S159)))))*(CAT_Procesos!$D$2:$D$1581=IFERROR(VLOOKUP(N159&amp;"*",CAT_Procesos!$D:$D,1,FALSE),"")),0)),"(seleccione)"))</f>
        <v>Combinación no existente</v>
      </c>
      <c r="V159" s="55" t="s">
        <v>73</v>
      </c>
      <c r="W159" s="56" t="s">
        <v>73</v>
      </c>
      <c r="X159" s="57" t="str">
        <f t="shared" si="8"/>
        <v/>
      </c>
      <c r="Y159" s="58" t="s">
        <v>73</v>
      </c>
      <c r="Z159" s="57" t="str">
        <f t="shared" si="9"/>
        <v/>
      </c>
      <c r="AA159" s="58" t="s">
        <v>73</v>
      </c>
      <c r="AB159" s="57" t="str">
        <f t="shared" si="10"/>
        <v/>
      </c>
      <c r="AC159" s="58" t="s">
        <v>73</v>
      </c>
      <c r="AD159" s="57" t="str">
        <f t="shared" si="11"/>
        <v/>
      </c>
      <c r="AE159" s="59"/>
      <c r="AF159" s="59"/>
      <c r="AG159" s="59"/>
      <c r="AH159" s="59"/>
      <c r="AI159" s="59" t="s">
        <v>73</v>
      </c>
      <c r="AJ159" s="59"/>
      <c r="AK159" s="59" t="s">
        <v>73</v>
      </c>
      <c r="AL159" s="59"/>
      <c r="AM159" s="59" t="s">
        <v>73</v>
      </c>
      <c r="AN159" s="59"/>
      <c r="AO159" s="59" t="s">
        <v>73</v>
      </c>
      <c r="AP159" s="59"/>
      <c r="AQ159" s="59" t="s">
        <v>73</v>
      </c>
      <c r="AR159" s="59"/>
      <c r="AS159" s="59" t="s">
        <v>72</v>
      </c>
      <c r="AT159" s="59"/>
      <c r="AU159" s="59"/>
      <c r="AV159" s="59"/>
      <c r="AW159" s="59"/>
      <c r="AX159" s="59"/>
      <c r="AY159" s="60" t="str">
        <f>IF('Cálculo MP'!K169="","",'Cálculo MP'!K169)</f>
        <v/>
      </c>
      <c r="AZ159" s="60" t="str">
        <f>IF('Cálculo MP'!L169="","",'Cálculo MP'!L169)</f>
        <v/>
      </c>
      <c r="BA159" s="60" t="str">
        <f>IF('Cálculo MP'!M169="","",'Cálculo MP'!M169)</f>
        <v/>
      </c>
      <c r="BB159" s="60" t="str">
        <f>IF('Cálculo MP'!N169="","",'Cálculo MP'!N169)</f>
        <v/>
      </c>
      <c r="BC159" s="60" t="str">
        <f>IF('Cálculo MP'!O169="","",'Cálculo MP'!O169)</f>
        <v/>
      </c>
      <c r="BD159" s="60" t="str">
        <f>IF('Cálculo MP'!P169="","",'Cálculo MP'!P169)</f>
        <v/>
      </c>
      <c r="BE159" s="60" t="str">
        <f>IF('Cálculo MP'!Q169="","",'Cálculo MP'!Q169)</f>
        <v/>
      </c>
      <c r="BF159" s="60" t="str">
        <f>IF('Cálculo MP'!R169="","",'Cálculo MP'!R169)</f>
        <v/>
      </c>
      <c r="BG159" s="60" t="str">
        <f>IF('Cálculo MP'!S169="","",'Cálculo MP'!S169)</f>
        <v/>
      </c>
      <c r="BH159" s="59"/>
      <c r="BI159" s="59"/>
      <c r="BJ159" s="59"/>
      <c r="BK159" s="59"/>
      <c r="BL159" s="59"/>
      <c r="BM159" s="59"/>
      <c r="BN159" s="59"/>
      <c r="BO159" s="59"/>
    </row>
    <row r="160" spans="1:67" ht="19.5" customHeight="1" x14ac:dyDescent="0.15">
      <c r="A160" s="123" t="s">
        <v>1856</v>
      </c>
      <c r="B160" s="122" t="s">
        <v>1854</v>
      </c>
      <c r="C160" s="49"/>
      <c r="D160" s="48" t="s">
        <v>73</v>
      </c>
      <c r="E160" s="49"/>
      <c r="F160" s="50"/>
      <c r="G160" s="62"/>
      <c r="H160" s="48" t="s">
        <v>72</v>
      </c>
      <c r="I160" s="52">
        <v>1</v>
      </c>
      <c r="J160" s="52"/>
      <c r="K160" s="52" t="s">
        <v>73</v>
      </c>
      <c r="L160" s="52" t="s">
        <v>74</v>
      </c>
      <c r="M160" s="53" t="s">
        <v>942</v>
      </c>
      <c r="N160" s="58" t="s">
        <v>73</v>
      </c>
      <c r="O160" s="48" t="s">
        <v>72</v>
      </c>
      <c r="P160" s="48" t="s">
        <v>73</v>
      </c>
      <c r="Q160" s="54" t="s">
        <v>73</v>
      </c>
      <c r="R160" s="55" t="s">
        <v>73</v>
      </c>
      <c r="S160" s="48" t="s">
        <v>73</v>
      </c>
      <c r="T160" s="130"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8" t="str" cm="1">
        <f t="array" ref="U160">IF(SUMPRODUCT(--((CAT_Procesos!$E$2:$E$1581=O160)*(CAT_Procesos!$F$2:$F$1581=_xlfn.TEXTJOIN(" + ",TRUE,IF((TRIM(P160:S160)="")+(LOWER(TRIM(P160:S160))="(seleccione)"),"",PROPER(TRIM(P160:S160)))))*(CAT_Procesos!$D$2:$D$1581=IFERROR(VLOOKUP(N160&amp;"*",CAT_Procesos!$D:$D,1,FALSE),""))))=0,"Combinación no existente",IF(SUMPRODUCT(((CAT_Procesos!$E$2:$E$1581=O160)*(CAT_Procesos!$F$2:$F$1581=_xlfn.TEXTJOIN(" + ",TRUE,IF((TRIM(P160:S160)="")+(LOWER(TRIM(P160:S160))="(seleccione)"),"",PROPER(TRIM(P160:S160)))))*(CAT_Procesos!$D$2:$D$1581=IFERROR(VLOOKUP(N160&amp;"*",CAT_Procesos!$D:$D,1,FALSE),"")))*(CAT_Procesos!$G$2:$G$1581=INDEX(CAT_Procesos!$G$2:$G$1581,MATCH(1,(CAT_Procesos!$E$2:$E$1581=O160)*(CAT_Procesos!$F$2:$F$1581=_xlfn.TEXTJOIN(" + ",TRUE,IF((TRIM(P160:S160)="")+(LOWER(TRIM(P160:S160))="(seleccione)"),"",PROPER(TRIM(P160:S160)))))*(CAT_Procesos!$D$2:$D$1581=IFERROR(VLOOKUP(N160&amp;"*",CAT_Procesos!$D:$D,1,FALSE),"")),0))))=SUMPRODUCT(--((CAT_Procesos!$E$2:$E$1581=O160)*(CAT_Procesos!$F$2:$F$1581=_xlfn.TEXTJOIN(" + ",TRUE,IF((TRIM(P160:S160)="")+(LOWER(TRIM(P160:S160))="(seleccione)"),"",PROPER(TRIM(P160:S160)))))*(CAT_Procesos!$D$2:$D$1581=IFERROR(VLOOKUP(N160&amp;"*",CAT_Procesos!$D:$D,1,FALSE),"")))),INDEX(CAT_Procesos!$G$2:$G$1581,MATCH(1,(CAT_Procesos!$E$2:$E$1581=O160)*(CAT_Procesos!$F$2:$F$1581=_xlfn.TEXTJOIN(" + ",TRUE,IF((TRIM(P160:S160)="")+(LOWER(TRIM(P160:S160))="(seleccione)"),"",PROPER(TRIM(P160:S160)))))*(CAT_Procesos!$D$2:$D$1581=IFERROR(VLOOKUP(N160&amp;"*",CAT_Procesos!$D:$D,1,FALSE),"")),0)),"(seleccione)"))</f>
        <v>Combinación no existente</v>
      </c>
      <c r="V160" s="55" t="s">
        <v>73</v>
      </c>
      <c r="W160" s="56" t="s">
        <v>73</v>
      </c>
      <c r="X160" s="57" t="str">
        <f t="shared" si="8"/>
        <v/>
      </c>
      <c r="Y160" s="58" t="s">
        <v>73</v>
      </c>
      <c r="Z160" s="57" t="str">
        <f t="shared" si="9"/>
        <v/>
      </c>
      <c r="AA160" s="58" t="s">
        <v>73</v>
      </c>
      <c r="AB160" s="57" t="str">
        <f t="shared" si="10"/>
        <v/>
      </c>
      <c r="AC160" s="58" t="s">
        <v>73</v>
      </c>
      <c r="AD160" s="57" t="str">
        <f t="shared" si="11"/>
        <v/>
      </c>
      <c r="AE160" s="59"/>
      <c r="AF160" s="59"/>
      <c r="AG160" s="59"/>
      <c r="AH160" s="59"/>
      <c r="AI160" s="59" t="s">
        <v>73</v>
      </c>
      <c r="AJ160" s="59"/>
      <c r="AK160" s="59" t="s">
        <v>73</v>
      </c>
      <c r="AL160" s="59"/>
      <c r="AM160" s="59" t="s">
        <v>73</v>
      </c>
      <c r="AN160" s="59"/>
      <c r="AO160" s="59" t="s">
        <v>73</v>
      </c>
      <c r="AP160" s="59"/>
      <c r="AQ160" s="59" t="s">
        <v>73</v>
      </c>
      <c r="AR160" s="59"/>
      <c r="AS160" s="59" t="s">
        <v>72</v>
      </c>
      <c r="AT160" s="59"/>
      <c r="AU160" s="59"/>
      <c r="AV160" s="59"/>
      <c r="AW160" s="59"/>
      <c r="AX160" s="59"/>
      <c r="AY160" s="60" t="str">
        <f>IF('Cálculo MP'!K170="","",'Cálculo MP'!K170)</f>
        <v/>
      </c>
      <c r="AZ160" s="60" t="str">
        <f>IF('Cálculo MP'!L170="","",'Cálculo MP'!L170)</f>
        <v/>
      </c>
      <c r="BA160" s="60" t="str">
        <f>IF('Cálculo MP'!M170="","",'Cálculo MP'!M170)</f>
        <v/>
      </c>
      <c r="BB160" s="60" t="str">
        <f>IF('Cálculo MP'!N170="","",'Cálculo MP'!N170)</f>
        <v/>
      </c>
      <c r="BC160" s="60" t="str">
        <f>IF('Cálculo MP'!O170="","",'Cálculo MP'!O170)</f>
        <v/>
      </c>
      <c r="BD160" s="60" t="str">
        <f>IF('Cálculo MP'!P170="","",'Cálculo MP'!P170)</f>
        <v/>
      </c>
      <c r="BE160" s="60" t="str">
        <f>IF('Cálculo MP'!Q170="","",'Cálculo MP'!Q170)</f>
        <v/>
      </c>
      <c r="BF160" s="60" t="str">
        <f>IF('Cálculo MP'!R170="","",'Cálculo MP'!R170)</f>
        <v/>
      </c>
      <c r="BG160" s="60" t="str">
        <f>IF('Cálculo MP'!S170="","",'Cálculo MP'!S170)</f>
        <v/>
      </c>
      <c r="BH160" s="59"/>
      <c r="BI160" s="59"/>
      <c r="BJ160" s="59"/>
      <c r="BK160" s="59"/>
      <c r="BL160" s="59"/>
      <c r="BM160" s="59"/>
      <c r="BN160" s="59"/>
      <c r="BO160" s="59"/>
    </row>
    <row r="161" spans="1:67" ht="19.5" customHeight="1" x14ac:dyDescent="0.15">
      <c r="A161" s="123" t="s">
        <v>1856</v>
      </c>
      <c r="B161" s="122" t="s">
        <v>1854</v>
      </c>
      <c r="C161" s="49"/>
      <c r="D161" s="48" t="s">
        <v>73</v>
      </c>
      <c r="E161" s="49"/>
      <c r="F161" s="50"/>
      <c r="G161" s="62"/>
      <c r="H161" s="48" t="s">
        <v>72</v>
      </c>
      <c r="I161" s="52">
        <v>1</v>
      </c>
      <c r="J161" s="52"/>
      <c r="K161" s="52" t="s">
        <v>73</v>
      </c>
      <c r="L161" s="52" t="s">
        <v>74</v>
      </c>
      <c r="M161" s="53" t="s">
        <v>942</v>
      </c>
      <c r="N161" s="58" t="s">
        <v>73</v>
      </c>
      <c r="O161" s="48" t="s">
        <v>72</v>
      </c>
      <c r="P161" s="48" t="s">
        <v>73</v>
      </c>
      <c r="Q161" s="54" t="s">
        <v>73</v>
      </c>
      <c r="R161" s="55" t="s">
        <v>73</v>
      </c>
      <c r="S161" s="48" t="s">
        <v>73</v>
      </c>
      <c r="T161" s="130"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8" t="str" cm="1">
        <f t="array" ref="U161">IF(SUMPRODUCT(--((CAT_Procesos!$E$2:$E$1581=O161)*(CAT_Procesos!$F$2:$F$1581=_xlfn.TEXTJOIN(" + ",TRUE,IF((TRIM(P161:S161)="")+(LOWER(TRIM(P161:S161))="(seleccione)"),"",PROPER(TRIM(P161:S161)))))*(CAT_Procesos!$D$2:$D$1581=IFERROR(VLOOKUP(N161&amp;"*",CAT_Procesos!$D:$D,1,FALSE),""))))=0,"Combinación no existente",IF(SUMPRODUCT(((CAT_Procesos!$E$2:$E$1581=O161)*(CAT_Procesos!$F$2:$F$1581=_xlfn.TEXTJOIN(" + ",TRUE,IF((TRIM(P161:S161)="")+(LOWER(TRIM(P161:S161))="(seleccione)"),"",PROPER(TRIM(P161:S161)))))*(CAT_Procesos!$D$2:$D$1581=IFERROR(VLOOKUP(N161&amp;"*",CAT_Procesos!$D:$D,1,FALSE),"")))*(CAT_Procesos!$G$2:$G$1581=INDEX(CAT_Procesos!$G$2:$G$1581,MATCH(1,(CAT_Procesos!$E$2:$E$1581=O161)*(CAT_Procesos!$F$2:$F$1581=_xlfn.TEXTJOIN(" + ",TRUE,IF((TRIM(P161:S161)="")+(LOWER(TRIM(P161:S161))="(seleccione)"),"",PROPER(TRIM(P161:S161)))))*(CAT_Procesos!$D$2:$D$1581=IFERROR(VLOOKUP(N161&amp;"*",CAT_Procesos!$D:$D,1,FALSE),"")),0))))=SUMPRODUCT(--((CAT_Procesos!$E$2:$E$1581=O161)*(CAT_Procesos!$F$2:$F$1581=_xlfn.TEXTJOIN(" + ",TRUE,IF((TRIM(P161:S161)="")+(LOWER(TRIM(P161:S161))="(seleccione)"),"",PROPER(TRIM(P161:S161)))))*(CAT_Procesos!$D$2:$D$1581=IFERROR(VLOOKUP(N161&amp;"*",CAT_Procesos!$D:$D,1,FALSE),"")))),INDEX(CAT_Procesos!$G$2:$G$1581,MATCH(1,(CAT_Procesos!$E$2:$E$1581=O161)*(CAT_Procesos!$F$2:$F$1581=_xlfn.TEXTJOIN(" + ",TRUE,IF((TRIM(P161:S161)="")+(LOWER(TRIM(P161:S161))="(seleccione)"),"",PROPER(TRIM(P161:S161)))))*(CAT_Procesos!$D$2:$D$1581=IFERROR(VLOOKUP(N161&amp;"*",CAT_Procesos!$D:$D,1,FALSE),"")),0)),"(seleccione)"))</f>
        <v>Combinación no existente</v>
      </c>
      <c r="V161" s="55" t="s">
        <v>73</v>
      </c>
      <c r="W161" s="56" t="s">
        <v>73</v>
      </c>
      <c r="X161" s="57" t="str">
        <f t="shared" si="8"/>
        <v/>
      </c>
      <c r="Y161" s="58" t="s">
        <v>73</v>
      </c>
      <c r="Z161" s="57" t="str">
        <f t="shared" si="9"/>
        <v/>
      </c>
      <c r="AA161" s="58" t="s">
        <v>73</v>
      </c>
      <c r="AB161" s="57" t="str">
        <f t="shared" si="10"/>
        <v/>
      </c>
      <c r="AC161" s="58" t="s">
        <v>73</v>
      </c>
      <c r="AD161" s="57" t="str">
        <f t="shared" si="11"/>
        <v/>
      </c>
      <c r="AE161" s="59"/>
      <c r="AF161" s="59"/>
      <c r="AG161" s="59"/>
      <c r="AH161" s="59"/>
      <c r="AI161" s="59" t="s">
        <v>73</v>
      </c>
      <c r="AJ161" s="59"/>
      <c r="AK161" s="59" t="s">
        <v>73</v>
      </c>
      <c r="AL161" s="59"/>
      <c r="AM161" s="59" t="s">
        <v>73</v>
      </c>
      <c r="AN161" s="59"/>
      <c r="AO161" s="59" t="s">
        <v>73</v>
      </c>
      <c r="AP161" s="59"/>
      <c r="AQ161" s="59" t="s">
        <v>73</v>
      </c>
      <c r="AR161" s="59"/>
      <c r="AS161" s="59" t="s">
        <v>72</v>
      </c>
      <c r="AT161" s="59"/>
      <c r="AU161" s="59"/>
      <c r="AV161" s="59"/>
      <c r="AW161" s="59"/>
      <c r="AX161" s="59"/>
      <c r="AY161" s="60" t="str">
        <f>IF('Cálculo MP'!K171="","",'Cálculo MP'!K171)</f>
        <v/>
      </c>
      <c r="AZ161" s="60" t="str">
        <f>IF('Cálculo MP'!L171="","",'Cálculo MP'!L171)</f>
        <v/>
      </c>
      <c r="BA161" s="60" t="str">
        <f>IF('Cálculo MP'!M171="","",'Cálculo MP'!M171)</f>
        <v/>
      </c>
      <c r="BB161" s="60" t="str">
        <f>IF('Cálculo MP'!N171="","",'Cálculo MP'!N171)</f>
        <v/>
      </c>
      <c r="BC161" s="60" t="str">
        <f>IF('Cálculo MP'!O171="","",'Cálculo MP'!O171)</f>
        <v/>
      </c>
      <c r="BD161" s="60" t="str">
        <f>IF('Cálculo MP'!P171="","",'Cálculo MP'!P171)</f>
        <v/>
      </c>
      <c r="BE161" s="60" t="str">
        <f>IF('Cálculo MP'!Q171="","",'Cálculo MP'!Q171)</f>
        <v/>
      </c>
      <c r="BF161" s="60" t="str">
        <f>IF('Cálculo MP'!R171="","",'Cálculo MP'!R171)</f>
        <v/>
      </c>
      <c r="BG161" s="60" t="str">
        <f>IF('Cálculo MP'!S171="","",'Cálculo MP'!S171)</f>
        <v/>
      </c>
      <c r="BH161" s="59"/>
      <c r="BI161" s="59"/>
      <c r="BJ161" s="59"/>
      <c r="BK161" s="59"/>
      <c r="BL161" s="59"/>
      <c r="BM161" s="59"/>
      <c r="BN161" s="59"/>
      <c r="BO161" s="59"/>
    </row>
    <row r="162" spans="1:67" ht="19.5" customHeight="1" x14ac:dyDescent="0.15">
      <c r="A162" s="123" t="s">
        <v>1856</v>
      </c>
      <c r="B162" s="122" t="s">
        <v>1854</v>
      </c>
      <c r="C162" s="49"/>
      <c r="D162" s="48" t="s">
        <v>73</v>
      </c>
      <c r="E162" s="49"/>
      <c r="F162" s="50"/>
      <c r="G162" s="62"/>
      <c r="H162" s="48" t="s">
        <v>72</v>
      </c>
      <c r="I162" s="52">
        <v>1</v>
      </c>
      <c r="J162" s="52"/>
      <c r="K162" s="52" t="s">
        <v>73</v>
      </c>
      <c r="L162" s="52" t="s">
        <v>74</v>
      </c>
      <c r="M162" s="53" t="s">
        <v>942</v>
      </c>
      <c r="N162" s="58" t="s">
        <v>73</v>
      </c>
      <c r="O162" s="48" t="s">
        <v>72</v>
      </c>
      <c r="P162" s="48" t="s">
        <v>73</v>
      </c>
      <c r="Q162" s="54" t="s">
        <v>73</v>
      </c>
      <c r="R162" s="55" t="s">
        <v>73</v>
      </c>
      <c r="S162" s="48" t="s">
        <v>73</v>
      </c>
      <c r="T162" s="130"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8" t="str" cm="1">
        <f t="array" ref="U162">IF(SUMPRODUCT(--((CAT_Procesos!$E$2:$E$1581=O162)*(CAT_Procesos!$F$2:$F$1581=_xlfn.TEXTJOIN(" + ",TRUE,IF((TRIM(P162:S162)="")+(LOWER(TRIM(P162:S162))="(seleccione)"),"",PROPER(TRIM(P162:S162)))))*(CAT_Procesos!$D$2:$D$1581=IFERROR(VLOOKUP(N162&amp;"*",CAT_Procesos!$D:$D,1,FALSE),""))))=0,"Combinación no existente",IF(SUMPRODUCT(((CAT_Procesos!$E$2:$E$1581=O162)*(CAT_Procesos!$F$2:$F$1581=_xlfn.TEXTJOIN(" + ",TRUE,IF((TRIM(P162:S162)="")+(LOWER(TRIM(P162:S162))="(seleccione)"),"",PROPER(TRIM(P162:S162)))))*(CAT_Procesos!$D$2:$D$1581=IFERROR(VLOOKUP(N162&amp;"*",CAT_Procesos!$D:$D,1,FALSE),"")))*(CAT_Procesos!$G$2:$G$1581=INDEX(CAT_Procesos!$G$2:$G$1581,MATCH(1,(CAT_Procesos!$E$2:$E$1581=O162)*(CAT_Procesos!$F$2:$F$1581=_xlfn.TEXTJOIN(" + ",TRUE,IF((TRIM(P162:S162)="")+(LOWER(TRIM(P162:S162))="(seleccione)"),"",PROPER(TRIM(P162:S162)))))*(CAT_Procesos!$D$2:$D$1581=IFERROR(VLOOKUP(N162&amp;"*",CAT_Procesos!$D:$D,1,FALSE),"")),0))))=SUMPRODUCT(--((CAT_Procesos!$E$2:$E$1581=O162)*(CAT_Procesos!$F$2:$F$1581=_xlfn.TEXTJOIN(" + ",TRUE,IF((TRIM(P162:S162)="")+(LOWER(TRIM(P162:S162))="(seleccione)"),"",PROPER(TRIM(P162:S162)))))*(CAT_Procesos!$D$2:$D$1581=IFERROR(VLOOKUP(N162&amp;"*",CAT_Procesos!$D:$D,1,FALSE),"")))),INDEX(CAT_Procesos!$G$2:$G$1581,MATCH(1,(CAT_Procesos!$E$2:$E$1581=O162)*(CAT_Procesos!$F$2:$F$1581=_xlfn.TEXTJOIN(" + ",TRUE,IF((TRIM(P162:S162)="")+(LOWER(TRIM(P162:S162))="(seleccione)"),"",PROPER(TRIM(P162:S162)))))*(CAT_Procesos!$D$2:$D$1581=IFERROR(VLOOKUP(N162&amp;"*",CAT_Procesos!$D:$D,1,FALSE),"")),0)),"(seleccione)"))</f>
        <v>Combinación no existente</v>
      </c>
      <c r="V162" s="55" t="s">
        <v>73</v>
      </c>
      <c r="W162" s="56" t="s">
        <v>73</v>
      </c>
      <c r="X162" s="57" t="str">
        <f t="shared" si="8"/>
        <v/>
      </c>
      <c r="Y162" s="58" t="s">
        <v>73</v>
      </c>
      <c r="Z162" s="57" t="str">
        <f t="shared" si="9"/>
        <v/>
      </c>
      <c r="AA162" s="58" t="s">
        <v>73</v>
      </c>
      <c r="AB162" s="57" t="str">
        <f t="shared" si="10"/>
        <v/>
      </c>
      <c r="AC162" s="58" t="s">
        <v>73</v>
      </c>
      <c r="AD162" s="57" t="str">
        <f t="shared" si="11"/>
        <v/>
      </c>
      <c r="AE162" s="59"/>
      <c r="AF162" s="59"/>
      <c r="AG162" s="59"/>
      <c r="AH162" s="59"/>
      <c r="AI162" s="59" t="s">
        <v>73</v>
      </c>
      <c r="AJ162" s="59"/>
      <c r="AK162" s="59" t="s">
        <v>73</v>
      </c>
      <c r="AL162" s="59"/>
      <c r="AM162" s="59" t="s">
        <v>73</v>
      </c>
      <c r="AN162" s="59"/>
      <c r="AO162" s="59" t="s">
        <v>73</v>
      </c>
      <c r="AP162" s="59"/>
      <c r="AQ162" s="59" t="s">
        <v>73</v>
      </c>
      <c r="AR162" s="59"/>
      <c r="AS162" s="59" t="s">
        <v>72</v>
      </c>
      <c r="AT162" s="59"/>
      <c r="AU162" s="59"/>
      <c r="AV162" s="59"/>
      <c r="AW162" s="59"/>
      <c r="AX162" s="59"/>
      <c r="AY162" s="60" t="str">
        <f>IF('Cálculo MP'!K172="","",'Cálculo MP'!K172)</f>
        <v/>
      </c>
      <c r="AZ162" s="60" t="str">
        <f>IF('Cálculo MP'!L172="","",'Cálculo MP'!L172)</f>
        <v/>
      </c>
      <c r="BA162" s="60" t="str">
        <f>IF('Cálculo MP'!M172="","",'Cálculo MP'!M172)</f>
        <v/>
      </c>
      <c r="BB162" s="60" t="str">
        <f>IF('Cálculo MP'!N172="","",'Cálculo MP'!N172)</f>
        <v/>
      </c>
      <c r="BC162" s="60" t="str">
        <f>IF('Cálculo MP'!O172="","",'Cálculo MP'!O172)</f>
        <v/>
      </c>
      <c r="BD162" s="60" t="str">
        <f>IF('Cálculo MP'!P172="","",'Cálculo MP'!P172)</f>
        <v/>
      </c>
      <c r="BE162" s="60" t="str">
        <f>IF('Cálculo MP'!Q172="","",'Cálculo MP'!Q172)</f>
        <v/>
      </c>
      <c r="BF162" s="60" t="str">
        <f>IF('Cálculo MP'!R172="","",'Cálculo MP'!R172)</f>
        <v/>
      </c>
      <c r="BG162" s="60" t="str">
        <f>IF('Cálculo MP'!S172="","",'Cálculo MP'!S172)</f>
        <v/>
      </c>
      <c r="BH162" s="59"/>
      <c r="BI162" s="59"/>
      <c r="BJ162" s="59"/>
      <c r="BK162" s="59"/>
      <c r="BL162" s="59"/>
      <c r="BM162" s="59"/>
      <c r="BN162" s="59"/>
      <c r="BO162" s="59"/>
    </row>
    <row r="163" spans="1:67" ht="19.5" customHeight="1" x14ac:dyDescent="0.15">
      <c r="A163" s="123" t="s">
        <v>1856</v>
      </c>
      <c r="B163" s="122" t="s">
        <v>1854</v>
      </c>
      <c r="C163" s="49"/>
      <c r="D163" s="48" t="s">
        <v>73</v>
      </c>
      <c r="E163" s="49"/>
      <c r="F163" s="50"/>
      <c r="G163" s="62"/>
      <c r="H163" s="48" t="s">
        <v>72</v>
      </c>
      <c r="I163" s="52">
        <v>1</v>
      </c>
      <c r="J163" s="52"/>
      <c r="K163" s="52" t="s">
        <v>73</v>
      </c>
      <c r="L163" s="52" t="s">
        <v>74</v>
      </c>
      <c r="M163" s="53" t="s">
        <v>942</v>
      </c>
      <c r="N163" s="58" t="s">
        <v>73</v>
      </c>
      <c r="O163" s="48" t="s">
        <v>72</v>
      </c>
      <c r="P163" s="48" t="s">
        <v>73</v>
      </c>
      <c r="Q163" s="54" t="s">
        <v>73</v>
      </c>
      <c r="R163" s="55" t="s">
        <v>73</v>
      </c>
      <c r="S163" s="48" t="s">
        <v>73</v>
      </c>
      <c r="T163" s="130"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8" t="str" cm="1">
        <f t="array" ref="U163">IF(SUMPRODUCT(--((CAT_Procesos!$E$2:$E$1581=O163)*(CAT_Procesos!$F$2:$F$1581=_xlfn.TEXTJOIN(" + ",TRUE,IF((TRIM(P163:S163)="")+(LOWER(TRIM(P163:S163))="(seleccione)"),"",PROPER(TRIM(P163:S163)))))*(CAT_Procesos!$D$2:$D$1581=IFERROR(VLOOKUP(N163&amp;"*",CAT_Procesos!$D:$D,1,FALSE),""))))=0,"Combinación no existente",IF(SUMPRODUCT(((CAT_Procesos!$E$2:$E$1581=O163)*(CAT_Procesos!$F$2:$F$1581=_xlfn.TEXTJOIN(" + ",TRUE,IF((TRIM(P163:S163)="")+(LOWER(TRIM(P163:S163))="(seleccione)"),"",PROPER(TRIM(P163:S163)))))*(CAT_Procesos!$D$2:$D$1581=IFERROR(VLOOKUP(N163&amp;"*",CAT_Procesos!$D:$D,1,FALSE),"")))*(CAT_Procesos!$G$2:$G$1581=INDEX(CAT_Procesos!$G$2:$G$1581,MATCH(1,(CAT_Procesos!$E$2:$E$1581=O163)*(CAT_Procesos!$F$2:$F$1581=_xlfn.TEXTJOIN(" + ",TRUE,IF((TRIM(P163:S163)="")+(LOWER(TRIM(P163:S163))="(seleccione)"),"",PROPER(TRIM(P163:S163)))))*(CAT_Procesos!$D$2:$D$1581=IFERROR(VLOOKUP(N163&amp;"*",CAT_Procesos!$D:$D,1,FALSE),"")),0))))=SUMPRODUCT(--((CAT_Procesos!$E$2:$E$1581=O163)*(CAT_Procesos!$F$2:$F$1581=_xlfn.TEXTJOIN(" + ",TRUE,IF((TRIM(P163:S163)="")+(LOWER(TRIM(P163:S163))="(seleccione)"),"",PROPER(TRIM(P163:S163)))))*(CAT_Procesos!$D$2:$D$1581=IFERROR(VLOOKUP(N163&amp;"*",CAT_Procesos!$D:$D,1,FALSE),"")))),INDEX(CAT_Procesos!$G$2:$G$1581,MATCH(1,(CAT_Procesos!$E$2:$E$1581=O163)*(CAT_Procesos!$F$2:$F$1581=_xlfn.TEXTJOIN(" + ",TRUE,IF((TRIM(P163:S163)="")+(LOWER(TRIM(P163:S163))="(seleccione)"),"",PROPER(TRIM(P163:S163)))))*(CAT_Procesos!$D$2:$D$1581=IFERROR(VLOOKUP(N163&amp;"*",CAT_Procesos!$D:$D,1,FALSE),"")),0)),"(seleccione)"))</f>
        <v>Combinación no existente</v>
      </c>
      <c r="V163" s="55" t="s">
        <v>73</v>
      </c>
      <c r="W163" s="56" t="s">
        <v>73</v>
      </c>
      <c r="X163" s="57" t="str">
        <f t="shared" si="8"/>
        <v/>
      </c>
      <c r="Y163" s="58" t="s">
        <v>73</v>
      </c>
      <c r="Z163" s="57" t="str">
        <f t="shared" si="9"/>
        <v/>
      </c>
      <c r="AA163" s="58" t="s">
        <v>73</v>
      </c>
      <c r="AB163" s="57" t="str">
        <f t="shared" si="10"/>
        <v/>
      </c>
      <c r="AC163" s="58" t="s">
        <v>73</v>
      </c>
      <c r="AD163" s="57" t="str">
        <f t="shared" si="11"/>
        <v/>
      </c>
      <c r="AE163" s="59"/>
      <c r="AF163" s="59"/>
      <c r="AG163" s="59"/>
      <c r="AH163" s="59"/>
      <c r="AI163" s="59" t="s">
        <v>73</v>
      </c>
      <c r="AJ163" s="59"/>
      <c r="AK163" s="59" t="s">
        <v>73</v>
      </c>
      <c r="AL163" s="59"/>
      <c r="AM163" s="59" t="s">
        <v>73</v>
      </c>
      <c r="AN163" s="59"/>
      <c r="AO163" s="59" t="s">
        <v>73</v>
      </c>
      <c r="AP163" s="59"/>
      <c r="AQ163" s="59" t="s">
        <v>73</v>
      </c>
      <c r="AR163" s="59"/>
      <c r="AS163" s="59" t="s">
        <v>72</v>
      </c>
      <c r="AT163" s="59"/>
      <c r="AU163" s="59"/>
      <c r="AV163" s="59"/>
      <c r="AW163" s="59"/>
      <c r="AX163" s="59"/>
      <c r="AY163" s="60" t="str">
        <f>IF('Cálculo MP'!K173="","",'Cálculo MP'!K173)</f>
        <v/>
      </c>
      <c r="AZ163" s="60" t="str">
        <f>IF('Cálculo MP'!L173="","",'Cálculo MP'!L173)</f>
        <v/>
      </c>
      <c r="BA163" s="60" t="str">
        <f>IF('Cálculo MP'!M173="","",'Cálculo MP'!M173)</f>
        <v/>
      </c>
      <c r="BB163" s="60" t="str">
        <f>IF('Cálculo MP'!N173="","",'Cálculo MP'!N173)</f>
        <v/>
      </c>
      <c r="BC163" s="60" t="str">
        <f>IF('Cálculo MP'!O173="","",'Cálculo MP'!O173)</f>
        <v/>
      </c>
      <c r="BD163" s="60" t="str">
        <f>IF('Cálculo MP'!P173="","",'Cálculo MP'!P173)</f>
        <v/>
      </c>
      <c r="BE163" s="60" t="str">
        <f>IF('Cálculo MP'!Q173="","",'Cálculo MP'!Q173)</f>
        <v/>
      </c>
      <c r="BF163" s="60" t="str">
        <f>IF('Cálculo MP'!R173="","",'Cálculo MP'!R173)</f>
        <v/>
      </c>
      <c r="BG163" s="60" t="str">
        <f>IF('Cálculo MP'!S173="","",'Cálculo MP'!S173)</f>
        <v/>
      </c>
      <c r="BH163" s="59"/>
      <c r="BI163" s="59"/>
      <c r="BJ163" s="59"/>
      <c r="BK163" s="59"/>
      <c r="BL163" s="59"/>
      <c r="BM163" s="59"/>
      <c r="BN163" s="59"/>
      <c r="BO163" s="59"/>
    </row>
    <row r="164" spans="1:67" ht="19.5" customHeight="1" x14ac:dyDescent="0.15">
      <c r="A164" s="123" t="s">
        <v>1856</v>
      </c>
      <c r="B164" s="122" t="s">
        <v>1854</v>
      </c>
      <c r="C164" s="49"/>
      <c r="D164" s="48" t="s">
        <v>73</v>
      </c>
      <c r="E164" s="49"/>
      <c r="F164" s="50"/>
      <c r="G164" s="62"/>
      <c r="H164" s="48" t="s">
        <v>72</v>
      </c>
      <c r="I164" s="52">
        <v>1</v>
      </c>
      <c r="J164" s="52"/>
      <c r="K164" s="52" t="s">
        <v>73</v>
      </c>
      <c r="L164" s="52" t="s">
        <v>74</v>
      </c>
      <c r="M164" s="53" t="s">
        <v>942</v>
      </c>
      <c r="N164" s="58" t="s">
        <v>73</v>
      </c>
      <c r="O164" s="48" t="s">
        <v>72</v>
      </c>
      <c r="P164" s="48" t="s">
        <v>73</v>
      </c>
      <c r="Q164" s="54" t="s">
        <v>73</v>
      </c>
      <c r="R164" s="55" t="s">
        <v>73</v>
      </c>
      <c r="S164" s="48" t="s">
        <v>73</v>
      </c>
      <c r="T164" s="130"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8" t="str" cm="1">
        <f t="array" ref="U164">IF(SUMPRODUCT(--((CAT_Procesos!$E$2:$E$1581=O164)*(CAT_Procesos!$F$2:$F$1581=_xlfn.TEXTJOIN(" + ",TRUE,IF((TRIM(P164:S164)="")+(LOWER(TRIM(P164:S164))="(seleccione)"),"",PROPER(TRIM(P164:S164)))))*(CAT_Procesos!$D$2:$D$1581=IFERROR(VLOOKUP(N164&amp;"*",CAT_Procesos!$D:$D,1,FALSE),""))))=0,"Combinación no existente",IF(SUMPRODUCT(((CAT_Procesos!$E$2:$E$1581=O164)*(CAT_Procesos!$F$2:$F$1581=_xlfn.TEXTJOIN(" + ",TRUE,IF((TRIM(P164:S164)="")+(LOWER(TRIM(P164:S164))="(seleccione)"),"",PROPER(TRIM(P164:S164)))))*(CAT_Procesos!$D$2:$D$1581=IFERROR(VLOOKUP(N164&amp;"*",CAT_Procesos!$D:$D,1,FALSE),"")))*(CAT_Procesos!$G$2:$G$1581=INDEX(CAT_Procesos!$G$2:$G$1581,MATCH(1,(CAT_Procesos!$E$2:$E$1581=O164)*(CAT_Procesos!$F$2:$F$1581=_xlfn.TEXTJOIN(" + ",TRUE,IF((TRIM(P164:S164)="")+(LOWER(TRIM(P164:S164))="(seleccione)"),"",PROPER(TRIM(P164:S164)))))*(CAT_Procesos!$D$2:$D$1581=IFERROR(VLOOKUP(N164&amp;"*",CAT_Procesos!$D:$D,1,FALSE),"")),0))))=SUMPRODUCT(--((CAT_Procesos!$E$2:$E$1581=O164)*(CAT_Procesos!$F$2:$F$1581=_xlfn.TEXTJOIN(" + ",TRUE,IF((TRIM(P164:S164)="")+(LOWER(TRIM(P164:S164))="(seleccione)"),"",PROPER(TRIM(P164:S164)))))*(CAT_Procesos!$D$2:$D$1581=IFERROR(VLOOKUP(N164&amp;"*",CAT_Procesos!$D:$D,1,FALSE),"")))),INDEX(CAT_Procesos!$G$2:$G$1581,MATCH(1,(CAT_Procesos!$E$2:$E$1581=O164)*(CAT_Procesos!$F$2:$F$1581=_xlfn.TEXTJOIN(" + ",TRUE,IF((TRIM(P164:S164)="")+(LOWER(TRIM(P164:S164))="(seleccione)"),"",PROPER(TRIM(P164:S164)))))*(CAT_Procesos!$D$2:$D$1581=IFERROR(VLOOKUP(N164&amp;"*",CAT_Procesos!$D:$D,1,FALSE),"")),0)),"(seleccione)"))</f>
        <v>Combinación no existente</v>
      </c>
      <c r="V164" s="55" t="s">
        <v>73</v>
      </c>
      <c r="W164" s="56" t="s">
        <v>73</v>
      </c>
      <c r="X164" s="57" t="str">
        <f t="shared" si="8"/>
        <v/>
      </c>
      <c r="Y164" s="58" t="s">
        <v>73</v>
      </c>
      <c r="Z164" s="57" t="str">
        <f t="shared" si="9"/>
        <v/>
      </c>
      <c r="AA164" s="58" t="s">
        <v>73</v>
      </c>
      <c r="AB164" s="57" t="str">
        <f t="shared" si="10"/>
        <v/>
      </c>
      <c r="AC164" s="58" t="s">
        <v>73</v>
      </c>
      <c r="AD164" s="57" t="str">
        <f t="shared" si="11"/>
        <v/>
      </c>
      <c r="AE164" s="59"/>
      <c r="AF164" s="59"/>
      <c r="AG164" s="59"/>
      <c r="AH164" s="59"/>
      <c r="AI164" s="59" t="s">
        <v>73</v>
      </c>
      <c r="AJ164" s="59"/>
      <c r="AK164" s="59" t="s">
        <v>73</v>
      </c>
      <c r="AL164" s="59"/>
      <c r="AM164" s="59" t="s">
        <v>73</v>
      </c>
      <c r="AN164" s="59"/>
      <c r="AO164" s="59" t="s">
        <v>73</v>
      </c>
      <c r="AP164" s="59"/>
      <c r="AQ164" s="59" t="s">
        <v>73</v>
      </c>
      <c r="AR164" s="59"/>
      <c r="AS164" s="59" t="s">
        <v>72</v>
      </c>
      <c r="AT164" s="59"/>
      <c r="AU164" s="59"/>
      <c r="AV164" s="59"/>
      <c r="AW164" s="59"/>
      <c r="AX164" s="59"/>
      <c r="AY164" s="60" t="str">
        <f>IF('Cálculo MP'!K174="","",'Cálculo MP'!K174)</f>
        <v/>
      </c>
      <c r="AZ164" s="60" t="str">
        <f>IF('Cálculo MP'!L174="","",'Cálculo MP'!L174)</f>
        <v/>
      </c>
      <c r="BA164" s="60" t="str">
        <f>IF('Cálculo MP'!M174="","",'Cálculo MP'!M174)</f>
        <v/>
      </c>
      <c r="BB164" s="60" t="str">
        <f>IF('Cálculo MP'!N174="","",'Cálculo MP'!N174)</f>
        <v/>
      </c>
      <c r="BC164" s="60" t="str">
        <f>IF('Cálculo MP'!O174="","",'Cálculo MP'!O174)</f>
        <v/>
      </c>
      <c r="BD164" s="60" t="str">
        <f>IF('Cálculo MP'!P174="","",'Cálculo MP'!P174)</f>
        <v/>
      </c>
      <c r="BE164" s="60" t="str">
        <f>IF('Cálculo MP'!Q174="","",'Cálculo MP'!Q174)</f>
        <v/>
      </c>
      <c r="BF164" s="60" t="str">
        <f>IF('Cálculo MP'!R174="","",'Cálculo MP'!R174)</f>
        <v/>
      </c>
      <c r="BG164" s="60" t="str">
        <f>IF('Cálculo MP'!S174="","",'Cálculo MP'!S174)</f>
        <v/>
      </c>
      <c r="BH164" s="59"/>
      <c r="BI164" s="59"/>
      <c r="BJ164" s="59"/>
      <c r="BK164" s="59"/>
      <c r="BL164" s="59"/>
      <c r="BM164" s="59"/>
      <c r="BN164" s="59"/>
      <c r="BO164" s="59"/>
    </row>
    <row r="165" spans="1:67" ht="19.5" customHeight="1" x14ac:dyDescent="0.15">
      <c r="A165" s="123" t="s">
        <v>1856</v>
      </c>
      <c r="B165" s="122" t="s">
        <v>1854</v>
      </c>
      <c r="C165" s="49"/>
      <c r="D165" s="48" t="s">
        <v>73</v>
      </c>
      <c r="E165" s="49"/>
      <c r="F165" s="50"/>
      <c r="G165" s="62"/>
      <c r="H165" s="48" t="s">
        <v>72</v>
      </c>
      <c r="I165" s="52">
        <v>1</v>
      </c>
      <c r="J165" s="52"/>
      <c r="K165" s="52" t="s">
        <v>73</v>
      </c>
      <c r="L165" s="52" t="s">
        <v>74</v>
      </c>
      <c r="M165" s="53" t="s">
        <v>942</v>
      </c>
      <c r="N165" s="58" t="s">
        <v>73</v>
      </c>
      <c r="O165" s="48" t="s">
        <v>72</v>
      </c>
      <c r="P165" s="48" t="s">
        <v>73</v>
      </c>
      <c r="Q165" s="54" t="s">
        <v>73</v>
      </c>
      <c r="R165" s="55" t="s">
        <v>73</v>
      </c>
      <c r="S165" s="48" t="s">
        <v>73</v>
      </c>
      <c r="T165" s="130"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8" t="str" cm="1">
        <f t="array" ref="U165">IF(SUMPRODUCT(--((CAT_Procesos!$E$2:$E$1581=O165)*(CAT_Procesos!$F$2:$F$1581=_xlfn.TEXTJOIN(" + ",TRUE,IF((TRIM(P165:S165)="")+(LOWER(TRIM(P165:S165))="(seleccione)"),"",PROPER(TRIM(P165:S165)))))*(CAT_Procesos!$D$2:$D$1581=IFERROR(VLOOKUP(N165&amp;"*",CAT_Procesos!$D:$D,1,FALSE),""))))=0,"Combinación no existente",IF(SUMPRODUCT(((CAT_Procesos!$E$2:$E$1581=O165)*(CAT_Procesos!$F$2:$F$1581=_xlfn.TEXTJOIN(" + ",TRUE,IF((TRIM(P165:S165)="")+(LOWER(TRIM(P165:S165))="(seleccione)"),"",PROPER(TRIM(P165:S165)))))*(CAT_Procesos!$D$2:$D$1581=IFERROR(VLOOKUP(N165&amp;"*",CAT_Procesos!$D:$D,1,FALSE),"")))*(CAT_Procesos!$G$2:$G$1581=INDEX(CAT_Procesos!$G$2:$G$1581,MATCH(1,(CAT_Procesos!$E$2:$E$1581=O165)*(CAT_Procesos!$F$2:$F$1581=_xlfn.TEXTJOIN(" + ",TRUE,IF((TRIM(P165:S165)="")+(LOWER(TRIM(P165:S165))="(seleccione)"),"",PROPER(TRIM(P165:S165)))))*(CAT_Procesos!$D$2:$D$1581=IFERROR(VLOOKUP(N165&amp;"*",CAT_Procesos!$D:$D,1,FALSE),"")),0))))=SUMPRODUCT(--((CAT_Procesos!$E$2:$E$1581=O165)*(CAT_Procesos!$F$2:$F$1581=_xlfn.TEXTJOIN(" + ",TRUE,IF((TRIM(P165:S165)="")+(LOWER(TRIM(P165:S165))="(seleccione)"),"",PROPER(TRIM(P165:S165)))))*(CAT_Procesos!$D$2:$D$1581=IFERROR(VLOOKUP(N165&amp;"*",CAT_Procesos!$D:$D,1,FALSE),"")))),INDEX(CAT_Procesos!$G$2:$G$1581,MATCH(1,(CAT_Procesos!$E$2:$E$1581=O165)*(CAT_Procesos!$F$2:$F$1581=_xlfn.TEXTJOIN(" + ",TRUE,IF((TRIM(P165:S165)="")+(LOWER(TRIM(P165:S165))="(seleccione)"),"",PROPER(TRIM(P165:S165)))))*(CAT_Procesos!$D$2:$D$1581=IFERROR(VLOOKUP(N165&amp;"*",CAT_Procesos!$D:$D,1,FALSE),"")),0)),"(seleccione)"))</f>
        <v>Combinación no existente</v>
      </c>
      <c r="V165" s="55" t="s">
        <v>73</v>
      </c>
      <c r="W165" s="56" t="s">
        <v>73</v>
      </c>
      <c r="X165" s="57" t="str">
        <f t="shared" si="8"/>
        <v/>
      </c>
      <c r="Y165" s="58" t="s">
        <v>73</v>
      </c>
      <c r="Z165" s="57" t="str">
        <f t="shared" si="9"/>
        <v/>
      </c>
      <c r="AA165" s="58" t="s">
        <v>73</v>
      </c>
      <c r="AB165" s="57" t="str">
        <f t="shared" si="10"/>
        <v/>
      </c>
      <c r="AC165" s="58" t="s">
        <v>73</v>
      </c>
      <c r="AD165" s="57" t="str">
        <f t="shared" si="11"/>
        <v/>
      </c>
      <c r="AE165" s="59"/>
      <c r="AF165" s="59"/>
      <c r="AG165" s="59"/>
      <c r="AH165" s="59"/>
      <c r="AI165" s="59" t="s">
        <v>73</v>
      </c>
      <c r="AJ165" s="59"/>
      <c r="AK165" s="59" t="s">
        <v>73</v>
      </c>
      <c r="AL165" s="59"/>
      <c r="AM165" s="59" t="s">
        <v>73</v>
      </c>
      <c r="AN165" s="59"/>
      <c r="AO165" s="59" t="s">
        <v>73</v>
      </c>
      <c r="AP165" s="59"/>
      <c r="AQ165" s="59" t="s">
        <v>73</v>
      </c>
      <c r="AR165" s="59"/>
      <c r="AS165" s="59" t="s">
        <v>72</v>
      </c>
      <c r="AT165" s="59"/>
      <c r="AU165" s="59"/>
      <c r="AV165" s="59"/>
      <c r="AW165" s="59"/>
      <c r="AX165" s="59"/>
      <c r="AY165" s="60" t="str">
        <f>IF('Cálculo MP'!K175="","",'Cálculo MP'!K175)</f>
        <v/>
      </c>
      <c r="AZ165" s="60" t="str">
        <f>IF('Cálculo MP'!L175="","",'Cálculo MP'!L175)</f>
        <v/>
      </c>
      <c r="BA165" s="60" t="str">
        <f>IF('Cálculo MP'!M175="","",'Cálculo MP'!M175)</f>
        <v/>
      </c>
      <c r="BB165" s="60" t="str">
        <f>IF('Cálculo MP'!N175="","",'Cálculo MP'!N175)</f>
        <v/>
      </c>
      <c r="BC165" s="60" t="str">
        <f>IF('Cálculo MP'!O175="","",'Cálculo MP'!O175)</f>
        <v/>
      </c>
      <c r="BD165" s="60" t="str">
        <f>IF('Cálculo MP'!P175="","",'Cálculo MP'!P175)</f>
        <v/>
      </c>
      <c r="BE165" s="60" t="str">
        <f>IF('Cálculo MP'!Q175="","",'Cálculo MP'!Q175)</f>
        <v/>
      </c>
      <c r="BF165" s="60" t="str">
        <f>IF('Cálculo MP'!R175="","",'Cálculo MP'!R175)</f>
        <v/>
      </c>
      <c r="BG165" s="60" t="str">
        <f>IF('Cálculo MP'!S175="","",'Cálculo MP'!S175)</f>
        <v/>
      </c>
      <c r="BH165" s="59"/>
      <c r="BI165" s="59"/>
      <c r="BJ165" s="59"/>
      <c r="BK165" s="59"/>
      <c r="BL165" s="59"/>
      <c r="BM165" s="59"/>
      <c r="BN165" s="59"/>
      <c r="BO165" s="59"/>
    </row>
    <row r="166" spans="1:67" ht="19.5" customHeight="1" x14ac:dyDescent="0.15">
      <c r="A166" s="123" t="s">
        <v>1856</v>
      </c>
      <c r="B166" s="122" t="s">
        <v>1854</v>
      </c>
      <c r="C166" s="49"/>
      <c r="D166" s="48" t="s">
        <v>73</v>
      </c>
      <c r="E166" s="49"/>
      <c r="F166" s="50"/>
      <c r="G166" s="62"/>
      <c r="H166" s="48" t="s">
        <v>72</v>
      </c>
      <c r="I166" s="52">
        <v>1</v>
      </c>
      <c r="J166" s="52"/>
      <c r="K166" s="52" t="s">
        <v>73</v>
      </c>
      <c r="L166" s="52" t="s">
        <v>74</v>
      </c>
      <c r="M166" s="53" t="s">
        <v>942</v>
      </c>
      <c r="N166" s="58" t="s">
        <v>73</v>
      </c>
      <c r="O166" s="48" t="s">
        <v>72</v>
      </c>
      <c r="P166" s="48" t="s">
        <v>73</v>
      </c>
      <c r="Q166" s="54" t="s">
        <v>73</v>
      </c>
      <c r="R166" s="55" t="s">
        <v>73</v>
      </c>
      <c r="S166" s="48" t="s">
        <v>73</v>
      </c>
      <c r="T166" s="130"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8" t="str" cm="1">
        <f t="array" ref="U166">IF(SUMPRODUCT(--((CAT_Procesos!$E$2:$E$1581=O166)*(CAT_Procesos!$F$2:$F$1581=_xlfn.TEXTJOIN(" + ",TRUE,IF((TRIM(P166:S166)="")+(LOWER(TRIM(P166:S166))="(seleccione)"),"",PROPER(TRIM(P166:S166)))))*(CAT_Procesos!$D$2:$D$1581=IFERROR(VLOOKUP(N166&amp;"*",CAT_Procesos!$D:$D,1,FALSE),""))))=0,"Combinación no existente",IF(SUMPRODUCT(((CAT_Procesos!$E$2:$E$1581=O166)*(CAT_Procesos!$F$2:$F$1581=_xlfn.TEXTJOIN(" + ",TRUE,IF((TRIM(P166:S166)="")+(LOWER(TRIM(P166:S166))="(seleccione)"),"",PROPER(TRIM(P166:S166)))))*(CAT_Procesos!$D$2:$D$1581=IFERROR(VLOOKUP(N166&amp;"*",CAT_Procesos!$D:$D,1,FALSE),"")))*(CAT_Procesos!$G$2:$G$1581=INDEX(CAT_Procesos!$G$2:$G$1581,MATCH(1,(CAT_Procesos!$E$2:$E$1581=O166)*(CAT_Procesos!$F$2:$F$1581=_xlfn.TEXTJOIN(" + ",TRUE,IF((TRIM(P166:S166)="")+(LOWER(TRIM(P166:S166))="(seleccione)"),"",PROPER(TRIM(P166:S166)))))*(CAT_Procesos!$D$2:$D$1581=IFERROR(VLOOKUP(N166&amp;"*",CAT_Procesos!$D:$D,1,FALSE),"")),0))))=SUMPRODUCT(--((CAT_Procesos!$E$2:$E$1581=O166)*(CAT_Procesos!$F$2:$F$1581=_xlfn.TEXTJOIN(" + ",TRUE,IF((TRIM(P166:S166)="")+(LOWER(TRIM(P166:S166))="(seleccione)"),"",PROPER(TRIM(P166:S166)))))*(CAT_Procesos!$D$2:$D$1581=IFERROR(VLOOKUP(N166&amp;"*",CAT_Procesos!$D:$D,1,FALSE),"")))),INDEX(CAT_Procesos!$G$2:$G$1581,MATCH(1,(CAT_Procesos!$E$2:$E$1581=O166)*(CAT_Procesos!$F$2:$F$1581=_xlfn.TEXTJOIN(" + ",TRUE,IF((TRIM(P166:S166)="")+(LOWER(TRIM(P166:S166))="(seleccione)"),"",PROPER(TRIM(P166:S166)))))*(CAT_Procesos!$D$2:$D$1581=IFERROR(VLOOKUP(N166&amp;"*",CAT_Procesos!$D:$D,1,FALSE),"")),0)),"(seleccione)"))</f>
        <v>Combinación no existente</v>
      </c>
      <c r="V166" s="55" t="s">
        <v>73</v>
      </c>
      <c r="W166" s="56" t="s">
        <v>73</v>
      </c>
      <c r="X166" s="57" t="str">
        <f t="shared" si="8"/>
        <v/>
      </c>
      <c r="Y166" s="58" t="s">
        <v>73</v>
      </c>
      <c r="Z166" s="57" t="str">
        <f t="shared" si="9"/>
        <v/>
      </c>
      <c r="AA166" s="58" t="s">
        <v>73</v>
      </c>
      <c r="AB166" s="57" t="str">
        <f t="shared" si="10"/>
        <v/>
      </c>
      <c r="AC166" s="58" t="s">
        <v>73</v>
      </c>
      <c r="AD166" s="57" t="str">
        <f t="shared" si="11"/>
        <v/>
      </c>
      <c r="AE166" s="59"/>
      <c r="AF166" s="59"/>
      <c r="AG166" s="59"/>
      <c r="AH166" s="59"/>
      <c r="AI166" s="59" t="s">
        <v>73</v>
      </c>
      <c r="AJ166" s="59"/>
      <c r="AK166" s="59" t="s">
        <v>73</v>
      </c>
      <c r="AL166" s="59"/>
      <c r="AM166" s="59" t="s">
        <v>73</v>
      </c>
      <c r="AN166" s="59"/>
      <c r="AO166" s="59" t="s">
        <v>73</v>
      </c>
      <c r="AP166" s="59"/>
      <c r="AQ166" s="59" t="s">
        <v>73</v>
      </c>
      <c r="AR166" s="59"/>
      <c r="AS166" s="59" t="s">
        <v>72</v>
      </c>
      <c r="AT166" s="59"/>
      <c r="AU166" s="59"/>
      <c r="AV166" s="59"/>
      <c r="AW166" s="59"/>
      <c r="AX166" s="59"/>
      <c r="AY166" s="60" t="str">
        <f>IF('Cálculo MP'!K176="","",'Cálculo MP'!K176)</f>
        <v/>
      </c>
      <c r="AZ166" s="60" t="str">
        <f>IF('Cálculo MP'!L176="","",'Cálculo MP'!L176)</f>
        <v/>
      </c>
      <c r="BA166" s="60" t="str">
        <f>IF('Cálculo MP'!M176="","",'Cálculo MP'!M176)</f>
        <v/>
      </c>
      <c r="BB166" s="60" t="str">
        <f>IF('Cálculo MP'!N176="","",'Cálculo MP'!N176)</f>
        <v/>
      </c>
      <c r="BC166" s="60" t="str">
        <f>IF('Cálculo MP'!O176="","",'Cálculo MP'!O176)</f>
        <v/>
      </c>
      <c r="BD166" s="60" t="str">
        <f>IF('Cálculo MP'!P176="","",'Cálculo MP'!P176)</f>
        <v/>
      </c>
      <c r="BE166" s="60" t="str">
        <f>IF('Cálculo MP'!Q176="","",'Cálculo MP'!Q176)</f>
        <v/>
      </c>
      <c r="BF166" s="60" t="str">
        <f>IF('Cálculo MP'!R176="","",'Cálculo MP'!R176)</f>
        <v/>
      </c>
      <c r="BG166" s="60" t="str">
        <f>IF('Cálculo MP'!S176="","",'Cálculo MP'!S176)</f>
        <v/>
      </c>
      <c r="BH166" s="59"/>
      <c r="BI166" s="59"/>
      <c r="BJ166" s="59"/>
      <c r="BK166" s="59"/>
      <c r="BL166" s="59"/>
      <c r="BM166" s="59"/>
      <c r="BN166" s="59"/>
      <c r="BO166" s="59"/>
    </row>
    <row r="167" spans="1:67" ht="19.5" customHeight="1" x14ac:dyDescent="0.15">
      <c r="A167" s="123" t="s">
        <v>1856</v>
      </c>
      <c r="B167" s="122" t="s">
        <v>1854</v>
      </c>
      <c r="C167" s="49"/>
      <c r="D167" s="48" t="s">
        <v>73</v>
      </c>
      <c r="E167" s="49"/>
      <c r="F167" s="50"/>
      <c r="G167" s="62"/>
      <c r="H167" s="48" t="s">
        <v>72</v>
      </c>
      <c r="I167" s="52">
        <v>1</v>
      </c>
      <c r="J167" s="52"/>
      <c r="K167" s="52" t="s">
        <v>73</v>
      </c>
      <c r="L167" s="52" t="s">
        <v>74</v>
      </c>
      <c r="M167" s="53" t="s">
        <v>942</v>
      </c>
      <c r="N167" s="58" t="s">
        <v>73</v>
      </c>
      <c r="O167" s="48" t="s">
        <v>72</v>
      </c>
      <c r="P167" s="48" t="s">
        <v>73</v>
      </c>
      <c r="Q167" s="54" t="s">
        <v>73</v>
      </c>
      <c r="R167" s="55" t="s">
        <v>73</v>
      </c>
      <c r="S167" s="48" t="s">
        <v>73</v>
      </c>
      <c r="T167" s="130"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8" t="str" cm="1">
        <f t="array" ref="U167">IF(SUMPRODUCT(--((CAT_Procesos!$E$2:$E$1581=O167)*(CAT_Procesos!$F$2:$F$1581=_xlfn.TEXTJOIN(" + ",TRUE,IF((TRIM(P167:S167)="")+(LOWER(TRIM(P167:S167))="(seleccione)"),"",PROPER(TRIM(P167:S167)))))*(CAT_Procesos!$D$2:$D$1581=IFERROR(VLOOKUP(N167&amp;"*",CAT_Procesos!$D:$D,1,FALSE),""))))=0,"Combinación no existente",IF(SUMPRODUCT(((CAT_Procesos!$E$2:$E$1581=O167)*(CAT_Procesos!$F$2:$F$1581=_xlfn.TEXTJOIN(" + ",TRUE,IF((TRIM(P167:S167)="")+(LOWER(TRIM(P167:S167))="(seleccione)"),"",PROPER(TRIM(P167:S167)))))*(CAT_Procesos!$D$2:$D$1581=IFERROR(VLOOKUP(N167&amp;"*",CAT_Procesos!$D:$D,1,FALSE),"")))*(CAT_Procesos!$G$2:$G$1581=INDEX(CAT_Procesos!$G$2:$G$1581,MATCH(1,(CAT_Procesos!$E$2:$E$1581=O167)*(CAT_Procesos!$F$2:$F$1581=_xlfn.TEXTJOIN(" + ",TRUE,IF((TRIM(P167:S167)="")+(LOWER(TRIM(P167:S167))="(seleccione)"),"",PROPER(TRIM(P167:S167)))))*(CAT_Procesos!$D$2:$D$1581=IFERROR(VLOOKUP(N167&amp;"*",CAT_Procesos!$D:$D,1,FALSE),"")),0))))=SUMPRODUCT(--((CAT_Procesos!$E$2:$E$1581=O167)*(CAT_Procesos!$F$2:$F$1581=_xlfn.TEXTJOIN(" + ",TRUE,IF((TRIM(P167:S167)="")+(LOWER(TRIM(P167:S167))="(seleccione)"),"",PROPER(TRIM(P167:S167)))))*(CAT_Procesos!$D$2:$D$1581=IFERROR(VLOOKUP(N167&amp;"*",CAT_Procesos!$D:$D,1,FALSE),"")))),INDEX(CAT_Procesos!$G$2:$G$1581,MATCH(1,(CAT_Procesos!$E$2:$E$1581=O167)*(CAT_Procesos!$F$2:$F$1581=_xlfn.TEXTJOIN(" + ",TRUE,IF((TRIM(P167:S167)="")+(LOWER(TRIM(P167:S167))="(seleccione)"),"",PROPER(TRIM(P167:S167)))))*(CAT_Procesos!$D$2:$D$1581=IFERROR(VLOOKUP(N167&amp;"*",CAT_Procesos!$D:$D,1,FALSE),"")),0)),"(seleccione)"))</f>
        <v>Combinación no existente</v>
      </c>
      <c r="V167" s="55" t="s">
        <v>73</v>
      </c>
      <c r="W167" s="56" t="s">
        <v>73</v>
      </c>
      <c r="X167" s="57" t="str">
        <f t="shared" si="8"/>
        <v/>
      </c>
      <c r="Y167" s="58" t="s">
        <v>73</v>
      </c>
      <c r="Z167" s="57" t="str">
        <f t="shared" si="9"/>
        <v/>
      </c>
      <c r="AA167" s="58" t="s">
        <v>73</v>
      </c>
      <c r="AB167" s="57" t="str">
        <f t="shared" si="10"/>
        <v/>
      </c>
      <c r="AC167" s="58" t="s">
        <v>73</v>
      </c>
      <c r="AD167" s="57" t="str">
        <f t="shared" si="11"/>
        <v/>
      </c>
      <c r="AE167" s="59"/>
      <c r="AF167" s="59"/>
      <c r="AG167" s="59"/>
      <c r="AH167" s="59"/>
      <c r="AI167" s="59" t="s">
        <v>73</v>
      </c>
      <c r="AJ167" s="59"/>
      <c r="AK167" s="59" t="s">
        <v>73</v>
      </c>
      <c r="AL167" s="59"/>
      <c r="AM167" s="59" t="s">
        <v>73</v>
      </c>
      <c r="AN167" s="59"/>
      <c r="AO167" s="59" t="s">
        <v>73</v>
      </c>
      <c r="AP167" s="59"/>
      <c r="AQ167" s="59" t="s">
        <v>73</v>
      </c>
      <c r="AR167" s="59"/>
      <c r="AS167" s="59" t="s">
        <v>72</v>
      </c>
      <c r="AT167" s="59"/>
      <c r="AU167" s="59"/>
      <c r="AV167" s="59"/>
      <c r="AW167" s="59"/>
      <c r="AX167" s="59"/>
      <c r="AY167" s="60" t="str">
        <f>IF('Cálculo MP'!K177="","",'Cálculo MP'!K177)</f>
        <v/>
      </c>
      <c r="AZ167" s="60" t="str">
        <f>IF('Cálculo MP'!L177="","",'Cálculo MP'!L177)</f>
        <v/>
      </c>
      <c r="BA167" s="60" t="str">
        <f>IF('Cálculo MP'!M177="","",'Cálculo MP'!M177)</f>
        <v/>
      </c>
      <c r="BB167" s="60" t="str">
        <f>IF('Cálculo MP'!N177="","",'Cálculo MP'!N177)</f>
        <v/>
      </c>
      <c r="BC167" s="60" t="str">
        <f>IF('Cálculo MP'!O177="","",'Cálculo MP'!O177)</f>
        <v/>
      </c>
      <c r="BD167" s="60" t="str">
        <f>IF('Cálculo MP'!P177="","",'Cálculo MP'!P177)</f>
        <v/>
      </c>
      <c r="BE167" s="60" t="str">
        <f>IF('Cálculo MP'!Q177="","",'Cálculo MP'!Q177)</f>
        <v/>
      </c>
      <c r="BF167" s="60" t="str">
        <f>IF('Cálculo MP'!R177="","",'Cálculo MP'!R177)</f>
        <v/>
      </c>
      <c r="BG167" s="60" t="str">
        <f>IF('Cálculo MP'!S177="","",'Cálculo MP'!S177)</f>
        <v/>
      </c>
      <c r="BH167" s="59"/>
      <c r="BI167" s="59"/>
      <c r="BJ167" s="59"/>
      <c r="BK167" s="59"/>
      <c r="BL167" s="59"/>
      <c r="BM167" s="59"/>
      <c r="BN167" s="59"/>
      <c r="BO167" s="59"/>
    </row>
    <row r="168" spans="1:67" ht="19.5" customHeight="1" x14ac:dyDescent="0.15">
      <c r="A168" s="123" t="s">
        <v>1856</v>
      </c>
      <c r="B168" s="122" t="s">
        <v>1854</v>
      </c>
      <c r="C168" s="49"/>
      <c r="D168" s="48" t="s">
        <v>73</v>
      </c>
      <c r="E168" s="49"/>
      <c r="F168" s="50"/>
      <c r="G168" s="62"/>
      <c r="H168" s="48" t="s">
        <v>72</v>
      </c>
      <c r="I168" s="52">
        <v>1</v>
      </c>
      <c r="J168" s="52"/>
      <c r="K168" s="52" t="s">
        <v>73</v>
      </c>
      <c r="L168" s="52" t="s">
        <v>74</v>
      </c>
      <c r="M168" s="53" t="s">
        <v>942</v>
      </c>
      <c r="N168" s="58" t="s">
        <v>73</v>
      </c>
      <c r="O168" s="48" t="s">
        <v>72</v>
      </c>
      <c r="P168" s="48" t="s">
        <v>73</v>
      </c>
      <c r="Q168" s="54" t="s">
        <v>73</v>
      </c>
      <c r="R168" s="55" t="s">
        <v>73</v>
      </c>
      <c r="S168" s="48" t="s">
        <v>73</v>
      </c>
      <c r="T168" s="130"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8" t="str" cm="1">
        <f t="array" ref="U168">IF(SUMPRODUCT(--((CAT_Procesos!$E$2:$E$1581=O168)*(CAT_Procesos!$F$2:$F$1581=_xlfn.TEXTJOIN(" + ",TRUE,IF((TRIM(P168:S168)="")+(LOWER(TRIM(P168:S168))="(seleccione)"),"",PROPER(TRIM(P168:S168)))))*(CAT_Procesos!$D$2:$D$1581=IFERROR(VLOOKUP(N168&amp;"*",CAT_Procesos!$D:$D,1,FALSE),""))))=0,"Combinación no existente",IF(SUMPRODUCT(((CAT_Procesos!$E$2:$E$1581=O168)*(CAT_Procesos!$F$2:$F$1581=_xlfn.TEXTJOIN(" + ",TRUE,IF((TRIM(P168:S168)="")+(LOWER(TRIM(P168:S168))="(seleccione)"),"",PROPER(TRIM(P168:S168)))))*(CAT_Procesos!$D$2:$D$1581=IFERROR(VLOOKUP(N168&amp;"*",CAT_Procesos!$D:$D,1,FALSE),"")))*(CAT_Procesos!$G$2:$G$1581=INDEX(CAT_Procesos!$G$2:$G$1581,MATCH(1,(CAT_Procesos!$E$2:$E$1581=O168)*(CAT_Procesos!$F$2:$F$1581=_xlfn.TEXTJOIN(" + ",TRUE,IF((TRIM(P168:S168)="")+(LOWER(TRIM(P168:S168))="(seleccione)"),"",PROPER(TRIM(P168:S168)))))*(CAT_Procesos!$D$2:$D$1581=IFERROR(VLOOKUP(N168&amp;"*",CAT_Procesos!$D:$D,1,FALSE),"")),0))))=SUMPRODUCT(--((CAT_Procesos!$E$2:$E$1581=O168)*(CAT_Procesos!$F$2:$F$1581=_xlfn.TEXTJOIN(" + ",TRUE,IF((TRIM(P168:S168)="")+(LOWER(TRIM(P168:S168))="(seleccione)"),"",PROPER(TRIM(P168:S168)))))*(CAT_Procesos!$D$2:$D$1581=IFERROR(VLOOKUP(N168&amp;"*",CAT_Procesos!$D:$D,1,FALSE),"")))),INDEX(CAT_Procesos!$G$2:$G$1581,MATCH(1,(CAT_Procesos!$E$2:$E$1581=O168)*(CAT_Procesos!$F$2:$F$1581=_xlfn.TEXTJOIN(" + ",TRUE,IF((TRIM(P168:S168)="")+(LOWER(TRIM(P168:S168))="(seleccione)"),"",PROPER(TRIM(P168:S168)))))*(CAT_Procesos!$D$2:$D$1581=IFERROR(VLOOKUP(N168&amp;"*",CAT_Procesos!$D:$D,1,FALSE),"")),0)),"(seleccione)"))</f>
        <v>Combinación no existente</v>
      </c>
      <c r="V168" s="55" t="s">
        <v>73</v>
      </c>
      <c r="W168" s="56" t="s">
        <v>73</v>
      </c>
      <c r="X168" s="57" t="str">
        <f t="shared" si="8"/>
        <v/>
      </c>
      <c r="Y168" s="58" t="s">
        <v>73</v>
      </c>
      <c r="Z168" s="57" t="str">
        <f t="shared" si="9"/>
        <v/>
      </c>
      <c r="AA168" s="58" t="s">
        <v>73</v>
      </c>
      <c r="AB168" s="57" t="str">
        <f t="shared" si="10"/>
        <v/>
      </c>
      <c r="AC168" s="58" t="s">
        <v>73</v>
      </c>
      <c r="AD168" s="57" t="str">
        <f t="shared" si="11"/>
        <v/>
      </c>
      <c r="AE168" s="59"/>
      <c r="AF168" s="59"/>
      <c r="AG168" s="59"/>
      <c r="AH168" s="59"/>
      <c r="AI168" s="59" t="s">
        <v>73</v>
      </c>
      <c r="AJ168" s="59"/>
      <c r="AK168" s="59" t="s">
        <v>73</v>
      </c>
      <c r="AL168" s="59"/>
      <c r="AM168" s="59" t="s">
        <v>73</v>
      </c>
      <c r="AN168" s="59"/>
      <c r="AO168" s="59" t="s">
        <v>73</v>
      </c>
      <c r="AP168" s="59"/>
      <c r="AQ168" s="59" t="s">
        <v>73</v>
      </c>
      <c r="AR168" s="59"/>
      <c r="AS168" s="59" t="s">
        <v>72</v>
      </c>
      <c r="AT168" s="59"/>
      <c r="AU168" s="59"/>
      <c r="AV168" s="59"/>
      <c r="AW168" s="59"/>
      <c r="AX168" s="59"/>
      <c r="AY168" s="60" t="str">
        <f>IF('Cálculo MP'!K178="","",'Cálculo MP'!K178)</f>
        <v/>
      </c>
      <c r="AZ168" s="60" t="str">
        <f>IF('Cálculo MP'!L178="","",'Cálculo MP'!L178)</f>
        <v/>
      </c>
      <c r="BA168" s="60" t="str">
        <f>IF('Cálculo MP'!M178="","",'Cálculo MP'!M178)</f>
        <v/>
      </c>
      <c r="BB168" s="60" t="str">
        <f>IF('Cálculo MP'!N178="","",'Cálculo MP'!N178)</f>
        <v/>
      </c>
      <c r="BC168" s="60" t="str">
        <f>IF('Cálculo MP'!O178="","",'Cálculo MP'!O178)</f>
        <v/>
      </c>
      <c r="BD168" s="60" t="str">
        <f>IF('Cálculo MP'!P178="","",'Cálculo MP'!P178)</f>
        <v/>
      </c>
      <c r="BE168" s="60" t="str">
        <f>IF('Cálculo MP'!Q178="","",'Cálculo MP'!Q178)</f>
        <v/>
      </c>
      <c r="BF168" s="60" t="str">
        <f>IF('Cálculo MP'!R178="","",'Cálculo MP'!R178)</f>
        <v/>
      </c>
      <c r="BG168" s="60" t="str">
        <f>IF('Cálculo MP'!S178="","",'Cálculo MP'!S178)</f>
        <v/>
      </c>
      <c r="BH168" s="59"/>
      <c r="BI168" s="59"/>
      <c r="BJ168" s="59"/>
      <c r="BK168" s="59"/>
      <c r="BL168" s="59"/>
      <c r="BM168" s="59"/>
      <c r="BN168" s="59"/>
      <c r="BO168" s="59"/>
    </row>
    <row r="169" spans="1:67" ht="19.5" customHeight="1" x14ac:dyDescent="0.15">
      <c r="A169" s="123" t="s">
        <v>1856</v>
      </c>
      <c r="B169" s="122" t="s">
        <v>1854</v>
      </c>
      <c r="C169" s="49"/>
      <c r="D169" s="48" t="s">
        <v>73</v>
      </c>
      <c r="E169" s="49"/>
      <c r="F169" s="50"/>
      <c r="G169" s="62"/>
      <c r="H169" s="48" t="s">
        <v>72</v>
      </c>
      <c r="I169" s="52">
        <v>1</v>
      </c>
      <c r="J169" s="52"/>
      <c r="K169" s="52" t="s">
        <v>73</v>
      </c>
      <c r="L169" s="52" t="s">
        <v>74</v>
      </c>
      <c r="M169" s="53" t="s">
        <v>942</v>
      </c>
      <c r="N169" s="58" t="s">
        <v>73</v>
      </c>
      <c r="O169" s="48" t="s">
        <v>72</v>
      </c>
      <c r="P169" s="48" t="s">
        <v>73</v>
      </c>
      <c r="Q169" s="54" t="s">
        <v>73</v>
      </c>
      <c r="R169" s="55" t="s">
        <v>73</v>
      </c>
      <c r="S169" s="48" t="s">
        <v>73</v>
      </c>
      <c r="T169" s="130"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8" t="str" cm="1">
        <f t="array" ref="U169">IF(SUMPRODUCT(--((CAT_Procesos!$E$2:$E$1581=O169)*(CAT_Procesos!$F$2:$F$1581=_xlfn.TEXTJOIN(" + ",TRUE,IF((TRIM(P169:S169)="")+(LOWER(TRIM(P169:S169))="(seleccione)"),"",PROPER(TRIM(P169:S169)))))*(CAT_Procesos!$D$2:$D$1581=IFERROR(VLOOKUP(N169&amp;"*",CAT_Procesos!$D:$D,1,FALSE),""))))=0,"Combinación no existente",IF(SUMPRODUCT(((CAT_Procesos!$E$2:$E$1581=O169)*(CAT_Procesos!$F$2:$F$1581=_xlfn.TEXTJOIN(" + ",TRUE,IF((TRIM(P169:S169)="")+(LOWER(TRIM(P169:S169))="(seleccione)"),"",PROPER(TRIM(P169:S169)))))*(CAT_Procesos!$D$2:$D$1581=IFERROR(VLOOKUP(N169&amp;"*",CAT_Procesos!$D:$D,1,FALSE),"")))*(CAT_Procesos!$G$2:$G$1581=INDEX(CAT_Procesos!$G$2:$G$1581,MATCH(1,(CAT_Procesos!$E$2:$E$1581=O169)*(CAT_Procesos!$F$2:$F$1581=_xlfn.TEXTJOIN(" + ",TRUE,IF((TRIM(P169:S169)="")+(LOWER(TRIM(P169:S169))="(seleccione)"),"",PROPER(TRIM(P169:S169)))))*(CAT_Procesos!$D$2:$D$1581=IFERROR(VLOOKUP(N169&amp;"*",CAT_Procesos!$D:$D,1,FALSE),"")),0))))=SUMPRODUCT(--((CAT_Procesos!$E$2:$E$1581=O169)*(CAT_Procesos!$F$2:$F$1581=_xlfn.TEXTJOIN(" + ",TRUE,IF((TRIM(P169:S169)="")+(LOWER(TRIM(P169:S169))="(seleccione)"),"",PROPER(TRIM(P169:S169)))))*(CAT_Procesos!$D$2:$D$1581=IFERROR(VLOOKUP(N169&amp;"*",CAT_Procesos!$D:$D,1,FALSE),"")))),INDEX(CAT_Procesos!$G$2:$G$1581,MATCH(1,(CAT_Procesos!$E$2:$E$1581=O169)*(CAT_Procesos!$F$2:$F$1581=_xlfn.TEXTJOIN(" + ",TRUE,IF((TRIM(P169:S169)="")+(LOWER(TRIM(P169:S169))="(seleccione)"),"",PROPER(TRIM(P169:S169)))))*(CAT_Procesos!$D$2:$D$1581=IFERROR(VLOOKUP(N169&amp;"*",CAT_Procesos!$D:$D,1,FALSE),"")),0)),"(seleccione)"))</f>
        <v>Combinación no existente</v>
      </c>
      <c r="V169" s="55" t="s">
        <v>73</v>
      </c>
      <c r="W169" s="56" t="s">
        <v>73</v>
      </c>
      <c r="X169" s="57" t="str">
        <f t="shared" si="8"/>
        <v/>
      </c>
      <c r="Y169" s="58" t="s">
        <v>73</v>
      </c>
      <c r="Z169" s="57" t="str">
        <f t="shared" si="9"/>
        <v/>
      </c>
      <c r="AA169" s="58" t="s">
        <v>73</v>
      </c>
      <c r="AB169" s="57" t="str">
        <f t="shared" si="10"/>
        <v/>
      </c>
      <c r="AC169" s="58" t="s">
        <v>73</v>
      </c>
      <c r="AD169" s="57" t="str">
        <f t="shared" si="11"/>
        <v/>
      </c>
      <c r="AE169" s="59"/>
      <c r="AF169" s="59"/>
      <c r="AG169" s="59"/>
      <c r="AH169" s="59"/>
      <c r="AI169" s="59" t="s">
        <v>73</v>
      </c>
      <c r="AJ169" s="59"/>
      <c r="AK169" s="59" t="s">
        <v>73</v>
      </c>
      <c r="AL169" s="59"/>
      <c r="AM169" s="59" t="s">
        <v>73</v>
      </c>
      <c r="AN169" s="59"/>
      <c r="AO169" s="59" t="s">
        <v>73</v>
      </c>
      <c r="AP169" s="59"/>
      <c r="AQ169" s="59" t="s">
        <v>73</v>
      </c>
      <c r="AR169" s="59"/>
      <c r="AS169" s="59" t="s">
        <v>72</v>
      </c>
      <c r="AT169" s="59"/>
      <c r="AU169" s="59"/>
      <c r="AV169" s="59"/>
      <c r="AW169" s="59"/>
      <c r="AX169" s="59"/>
      <c r="AY169" s="60" t="str">
        <f>IF('Cálculo MP'!K179="","",'Cálculo MP'!K179)</f>
        <v/>
      </c>
      <c r="AZ169" s="60" t="str">
        <f>IF('Cálculo MP'!L179="","",'Cálculo MP'!L179)</f>
        <v/>
      </c>
      <c r="BA169" s="60" t="str">
        <f>IF('Cálculo MP'!M179="","",'Cálculo MP'!M179)</f>
        <v/>
      </c>
      <c r="BB169" s="60" t="str">
        <f>IF('Cálculo MP'!N179="","",'Cálculo MP'!N179)</f>
        <v/>
      </c>
      <c r="BC169" s="60" t="str">
        <f>IF('Cálculo MP'!O179="","",'Cálculo MP'!O179)</f>
        <v/>
      </c>
      <c r="BD169" s="60" t="str">
        <f>IF('Cálculo MP'!P179="","",'Cálculo MP'!P179)</f>
        <v/>
      </c>
      <c r="BE169" s="60" t="str">
        <f>IF('Cálculo MP'!Q179="","",'Cálculo MP'!Q179)</f>
        <v/>
      </c>
      <c r="BF169" s="60" t="str">
        <f>IF('Cálculo MP'!R179="","",'Cálculo MP'!R179)</f>
        <v/>
      </c>
      <c r="BG169" s="60" t="str">
        <f>IF('Cálculo MP'!S179="","",'Cálculo MP'!S179)</f>
        <v/>
      </c>
      <c r="BH169" s="59"/>
      <c r="BI169" s="59"/>
      <c r="BJ169" s="59"/>
      <c r="BK169" s="59"/>
      <c r="BL169" s="59"/>
      <c r="BM169" s="59"/>
      <c r="BN169" s="59"/>
      <c r="BO169" s="59"/>
    </row>
    <row r="170" spans="1:67" ht="19.5" customHeight="1" x14ac:dyDescent="0.15">
      <c r="A170" s="123" t="s">
        <v>1856</v>
      </c>
      <c r="B170" s="122" t="s">
        <v>1854</v>
      </c>
      <c r="C170" s="49"/>
      <c r="D170" s="48" t="s">
        <v>73</v>
      </c>
      <c r="E170" s="49"/>
      <c r="F170" s="50"/>
      <c r="G170" s="62"/>
      <c r="H170" s="48" t="s">
        <v>72</v>
      </c>
      <c r="I170" s="52">
        <v>1</v>
      </c>
      <c r="J170" s="52"/>
      <c r="K170" s="52" t="s">
        <v>73</v>
      </c>
      <c r="L170" s="52" t="s">
        <v>74</v>
      </c>
      <c r="M170" s="53" t="s">
        <v>942</v>
      </c>
      <c r="N170" s="58" t="s">
        <v>73</v>
      </c>
      <c r="O170" s="48" t="s">
        <v>72</v>
      </c>
      <c r="P170" s="48" t="s">
        <v>73</v>
      </c>
      <c r="Q170" s="54" t="s">
        <v>73</v>
      </c>
      <c r="R170" s="55" t="s">
        <v>73</v>
      </c>
      <c r="S170" s="48" t="s">
        <v>73</v>
      </c>
      <c r="T170" s="130"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8" t="str" cm="1">
        <f t="array" ref="U170">IF(SUMPRODUCT(--((CAT_Procesos!$E$2:$E$1581=O170)*(CAT_Procesos!$F$2:$F$1581=_xlfn.TEXTJOIN(" + ",TRUE,IF((TRIM(P170:S170)="")+(LOWER(TRIM(P170:S170))="(seleccione)"),"",PROPER(TRIM(P170:S170)))))*(CAT_Procesos!$D$2:$D$1581=IFERROR(VLOOKUP(N170&amp;"*",CAT_Procesos!$D:$D,1,FALSE),""))))=0,"Combinación no existente",IF(SUMPRODUCT(((CAT_Procesos!$E$2:$E$1581=O170)*(CAT_Procesos!$F$2:$F$1581=_xlfn.TEXTJOIN(" + ",TRUE,IF((TRIM(P170:S170)="")+(LOWER(TRIM(P170:S170))="(seleccione)"),"",PROPER(TRIM(P170:S170)))))*(CAT_Procesos!$D$2:$D$1581=IFERROR(VLOOKUP(N170&amp;"*",CAT_Procesos!$D:$D,1,FALSE),"")))*(CAT_Procesos!$G$2:$G$1581=INDEX(CAT_Procesos!$G$2:$G$1581,MATCH(1,(CAT_Procesos!$E$2:$E$1581=O170)*(CAT_Procesos!$F$2:$F$1581=_xlfn.TEXTJOIN(" + ",TRUE,IF((TRIM(P170:S170)="")+(LOWER(TRIM(P170:S170))="(seleccione)"),"",PROPER(TRIM(P170:S170)))))*(CAT_Procesos!$D$2:$D$1581=IFERROR(VLOOKUP(N170&amp;"*",CAT_Procesos!$D:$D,1,FALSE),"")),0))))=SUMPRODUCT(--((CAT_Procesos!$E$2:$E$1581=O170)*(CAT_Procesos!$F$2:$F$1581=_xlfn.TEXTJOIN(" + ",TRUE,IF((TRIM(P170:S170)="")+(LOWER(TRIM(P170:S170))="(seleccione)"),"",PROPER(TRIM(P170:S170)))))*(CAT_Procesos!$D$2:$D$1581=IFERROR(VLOOKUP(N170&amp;"*",CAT_Procesos!$D:$D,1,FALSE),"")))),INDEX(CAT_Procesos!$G$2:$G$1581,MATCH(1,(CAT_Procesos!$E$2:$E$1581=O170)*(CAT_Procesos!$F$2:$F$1581=_xlfn.TEXTJOIN(" + ",TRUE,IF((TRIM(P170:S170)="")+(LOWER(TRIM(P170:S170))="(seleccione)"),"",PROPER(TRIM(P170:S170)))))*(CAT_Procesos!$D$2:$D$1581=IFERROR(VLOOKUP(N170&amp;"*",CAT_Procesos!$D:$D,1,FALSE),"")),0)),"(seleccione)"))</f>
        <v>Combinación no existente</v>
      </c>
      <c r="V170" s="55" t="s">
        <v>73</v>
      </c>
      <c r="W170" s="56" t="s">
        <v>73</v>
      </c>
      <c r="X170" s="57" t="str">
        <f t="shared" si="8"/>
        <v/>
      </c>
      <c r="Y170" s="58" t="s">
        <v>73</v>
      </c>
      <c r="Z170" s="57" t="str">
        <f t="shared" si="9"/>
        <v/>
      </c>
      <c r="AA170" s="58" t="s">
        <v>73</v>
      </c>
      <c r="AB170" s="57" t="str">
        <f t="shared" si="10"/>
        <v/>
      </c>
      <c r="AC170" s="58" t="s">
        <v>73</v>
      </c>
      <c r="AD170" s="57" t="str">
        <f t="shared" si="11"/>
        <v/>
      </c>
      <c r="AE170" s="59"/>
      <c r="AF170" s="59"/>
      <c r="AG170" s="59"/>
      <c r="AH170" s="59"/>
      <c r="AI170" s="59" t="s">
        <v>73</v>
      </c>
      <c r="AJ170" s="59"/>
      <c r="AK170" s="59" t="s">
        <v>73</v>
      </c>
      <c r="AL170" s="59"/>
      <c r="AM170" s="59" t="s">
        <v>73</v>
      </c>
      <c r="AN170" s="59"/>
      <c r="AO170" s="59" t="s">
        <v>73</v>
      </c>
      <c r="AP170" s="59"/>
      <c r="AQ170" s="59" t="s">
        <v>73</v>
      </c>
      <c r="AR170" s="59"/>
      <c r="AS170" s="59" t="s">
        <v>72</v>
      </c>
      <c r="AT170" s="59"/>
      <c r="AU170" s="59"/>
      <c r="AV170" s="59"/>
      <c r="AW170" s="59"/>
      <c r="AX170" s="59"/>
      <c r="AY170" s="60" t="str">
        <f>IF('Cálculo MP'!K180="","",'Cálculo MP'!K180)</f>
        <v/>
      </c>
      <c r="AZ170" s="60" t="str">
        <f>IF('Cálculo MP'!L180="","",'Cálculo MP'!L180)</f>
        <v/>
      </c>
      <c r="BA170" s="60" t="str">
        <f>IF('Cálculo MP'!M180="","",'Cálculo MP'!M180)</f>
        <v/>
      </c>
      <c r="BB170" s="60" t="str">
        <f>IF('Cálculo MP'!N180="","",'Cálculo MP'!N180)</f>
        <v/>
      </c>
      <c r="BC170" s="60" t="str">
        <f>IF('Cálculo MP'!O180="","",'Cálculo MP'!O180)</f>
        <v/>
      </c>
      <c r="BD170" s="60" t="str">
        <f>IF('Cálculo MP'!P180="","",'Cálculo MP'!P180)</f>
        <v/>
      </c>
      <c r="BE170" s="60" t="str">
        <f>IF('Cálculo MP'!Q180="","",'Cálculo MP'!Q180)</f>
        <v/>
      </c>
      <c r="BF170" s="60" t="str">
        <f>IF('Cálculo MP'!R180="","",'Cálculo MP'!R180)</f>
        <v/>
      </c>
      <c r="BG170" s="60" t="str">
        <f>IF('Cálculo MP'!S180="","",'Cálculo MP'!S180)</f>
        <v/>
      </c>
      <c r="BH170" s="59"/>
      <c r="BI170" s="59"/>
      <c r="BJ170" s="59"/>
      <c r="BK170" s="59"/>
      <c r="BL170" s="59"/>
      <c r="BM170" s="59"/>
      <c r="BN170" s="59"/>
      <c r="BO170" s="59"/>
    </row>
    <row r="171" spans="1:67" ht="19.5" customHeight="1" x14ac:dyDescent="0.15">
      <c r="A171" s="123" t="s">
        <v>1856</v>
      </c>
      <c r="B171" s="122" t="s">
        <v>1854</v>
      </c>
      <c r="C171" s="49"/>
      <c r="D171" s="48" t="s">
        <v>73</v>
      </c>
      <c r="E171" s="49"/>
      <c r="F171" s="50"/>
      <c r="G171" s="62"/>
      <c r="H171" s="48" t="s">
        <v>72</v>
      </c>
      <c r="I171" s="52">
        <v>1</v>
      </c>
      <c r="J171" s="52"/>
      <c r="K171" s="52" t="s">
        <v>73</v>
      </c>
      <c r="L171" s="52" t="s">
        <v>74</v>
      </c>
      <c r="M171" s="53" t="s">
        <v>942</v>
      </c>
      <c r="N171" s="58" t="s">
        <v>73</v>
      </c>
      <c r="O171" s="48" t="s">
        <v>72</v>
      </c>
      <c r="P171" s="48" t="s">
        <v>73</v>
      </c>
      <c r="Q171" s="54" t="s">
        <v>73</v>
      </c>
      <c r="R171" s="55" t="s">
        <v>73</v>
      </c>
      <c r="S171" s="48" t="s">
        <v>73</v>
      </c>
      <c r="T171" s="130"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8" t="str" cm="1">
        <f t="array" ref="U171">IF(SUMPRODUCT(--((CAT_Procesos!$E$2:$E$1581=O171)*(CAT_Procesos!$F$2:$F$1581=_xlfn.TEXTJOIN(" + ",TRUE,IF((TRIM(P171:S171)="")+(LOWER(TRIM(P171:S171))="(seleccione)"),"",PROPER(TRIM(P171:S171)))))*(CAT_Procesos!$D$2:$D$1581=IFERROR(VLOOKUP(N171&amp;"*",CAT_Procesos!$D:$D,1,FALSE),""))))=0,"Combinación no existente",IF(SUMPRODUCT(((CAT_Procesos!$E$2:$E$1581=O171)*(CAT_Procesos!$F$2:$F$1581=_xlfn.TEXTJOIN(" + ",TRUE,IF((TRIM(P171:S171)="")+(LOWER(TRIM(P171:S171))="(seleccione)"),"",PROPER(TRIM(P171:S171)))))*(CAT_Procesos!$D$2:$D$1581=IFERROR(VLOOKUP(N171&amp;"*",CAT_Procesos!$D:$D,1,FALSE),"")))*(CAT_Procesos!$G$2:$G$1581=INDEX(CAT_Procesos!$G$2:$G$1581,MATCH(1,(CAT_Procesos!$E$2:$E$1581=O171)*(CAT_Procesos!$F$2:$F$1581=_xlfn.TEXTJOIN(" + ",TRUE,IF((TRIM(P171:S171)="")+(LOWER(TRIM(P171:S171))="(seleccione)"),"",PROPER(TRIM(P171:S171)))))*(CAT_Procesos!$D$2:$D$1581=IFERROR(VLOOKUP(N171&amp;"*",CAT_Procesos!$D:$D,1,FALSE),"")),0))))=SUMPRODUCT(--((CAT_Procesos!$E$2:$E$1581=O171)*(CAT_Procesos!$F$2:$F$1581=_xlfn.TEXTJOIN(" + ",TRUE,IF((TRIM(P171:S171)="")+(LOWER(TRIM(P171:S171))="(seleccione)"),"",PROPER(TRIM(P171:S171)))))*(CAT_Procesos!$D$2:$D$1581=IFERROR(VLOOKUP(N171&amp;"*",CAT_Procesos!$D:$D,1,FALSE),"")))),INDEX(CAT_Procesos!$G$2:$G$1581,MATCH(1,(CAT_Procesos!$E$2:$E$1581=O171)*(CAT_Procesos!$F$2:$F$1581=_xlfn.TEXTJOIN(" + ",TRUE,IF((TRIM(P171:S171)="")+(LOWER(TRIM(P171:S171))="(seleccione)"),"",PROPER(TRIM(P171:S171)))))*(CAT_Procesos!$D$2:$D$1581=IFERROR(VLOOKUP(N171&amp;"*",CAT_Procesos!$D:$D,1,FALSE),"")),0)),"(seleccione)"))</f>
        <v>Combinación no existente</v>
      </c>
      <c r="V171" s="55" t="s">
        <v>73</v>
      </c>
      <c r="W171" s="56" t="s">
        <v>73</v>
      </c>
      <c r="X171" s="57" t="str">
        <f t="shared" si="8"/>
        <v/>
      </c>
      <c r="Y171" s="58" t="s">
        <v>73</v>
      </c>
      <c r="Z171" s="57" t="str">
        <f t="shared" si="9"/>
        <v/>
      </c>
      <c r="AA171" s="58" t="s">
        <v>73</v>
      </c>
      <c r="AB171" s="57" t="str">
        <f t="shared" si="10"/>
        <v/>
      </c>
      <c r="AC171" s="58" t="s">
        <v>73</v>
      </c>
      <c r="AD171" s="57" t="str">
        <f t="shared" si="11"/>
        <v/>
      </c>
      <c r="AE171" s="59"/>
      <c r="AF171" s="59"/>
      <c r="AG171" s="59"/>
      <c r="AH171" s="59"/>
      <c r="AI171" s="59" t="s">
        <v>73</v>
      </c>
      <c r="AJ171" s="59"/>
      <c r="AK171" s="59" t="s">
        <v>73</v>
      </c>
      <c r="AL171" s="59"/>
      <c r="AM171" s="59" t="s">
        <v>73</v>
      </c>
      <c r="AN171" s="59"/>
      <c r="AO171" s="59" t="s">
        <v>73</v>
      </c>
      <c r="AP171" s="59"/>
      <c r="AQ171" s="59" t="s">
        <v>73</v>
      </c>
      <c r="AR171" s="59"/>
      <c r="AS171" s="59" t="s">
        <v>72</v>
      </c>
      <c r="AT171" s="59"/>
      <c r="AU171" s="59"/>
      <c r="AV171" s="59"/>
      <c r="AW171" s="59"/>
      <c r="AX171" s="59"/>
      <c r="AY171" s="60" t="str">
        <f>IF('Cálculo MP'!K181="","",'Cálculo MP'!K181)</f>
        <v/>
      </c>
      <c r="AZ171" s="60" t="str">
        <f>IF('Cálculo MP'!L181="","",'Cálculo MP'!L181)</f>
        <v/>
      </c>
      <c r="BA171" s="60" t="str">
        <f>IF('Cálculo MP'!M181="","",'Cálculo MP'!M181)</f>
        <v/>
      </c>
      <c r="BB171" s="60" t="str">
        <f>IF('Cálculo MP'!N181="","",'Cálculo MP'!N181)</f>
        <v/>
      </c>
      <c r="BC171" s="60" t="str">
        <f>IF('Cálculo MP'!O181="","",'Cálculo MP'!O181)</f>
        <v/>
      </c>
      <c r="BD171" s="60" t="str">
        <f>IF('Cálculo MP'!P181="","",'Cálculo MP'!P181)</f>
        <v/>
      </c>
      <c r="BE171" s="60" t="str">
        <f>IF('Cálculo MP'!Q181="","",'Cálculo MP'!Q181)</f>
        <v/>
      </c>
      <c r="BF171" s="60" t="str">
        <f>IF('Cálculo MP'!R181="","",'Cálculo MP'!R181)</f>
        <v/>
      </c>
      <c r="BG171" s="60" t="str">
        <f>IF('Cálculo MP'!S181="","",'Cálculo MP'!S181)</f>
        <v/>
      </c>
      <c r="BH171" s="59"/>
      <c r="BI171" s="59"/>
      <c r="BJ171" s="59"/>
      <c r="BK171" s="59"/>
      <c r="BL171" s="59"/>
      <c r="BM171" s="59"/>
      <c r="BN171" s="59"/>
      <c r="BO171" s="59"/>
    </row>
    <row r="172" spans="1:67" ht="19.5" customHeight="1" x14ac:dyDescent="0.15">
      <c r="A172" s="123" t="s">
        <v>1856</v>
      </c>
      <c r="B172" s="122" t="s">
        <v>1854</v>
      </c>
      <c r="C172" s="49"/>
      <c r="D172" s="48" t="s">
        <v>73</v>
      </c>
      <c r="E172" s="49"/>
      <c r="F172" s="50"/>
      <c r="G172" s="62"/>
      <c r="H172" s="48" t="s">
        <v>72</v>
      </c>
      <c r="I172" s="52">
        <v>1</v>
      </c>
      <c r="J172" s="52"/>
      <c r="K172" s="52" t="s">
        <v>73</v>
      </c>
      <c r="L172" s="52" t="s">
        <v>74</v>
      </c>
      <c r="M172" s="53" t="s">
        <v>942</v>
      </c>
      <c r="N172" s="58" t="s">
        <v>73</v>
      </c>
      <c r="O172" s="48" t="s">
        <v>72</v>
      </c>
      <c r="P172" s="48" t="s">
        <v>73</v>
      </c>
      <c r="Q172" s="54" t="s">
        <v>73</v>
      </c>
      <c r="R172" s="55" t="s">
        <v>73</v>
      </c>
      <c r="S172" s="48" t="s">
        <v>73</v>
      </c>
      <c r="T172" s="130"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8" t="str" cm="1">
        <f t="array" ref="U172">IF(SUMPRODUCT(--((CAT_Procesos!$E$2:$E$1581=O172)*(CAT_Procesos!$F$2:$F$1581=_xlfn.TEXTJOIN(" + ",TRUE,IF((TRIM(P172:S172)="")+(LOWER(TRIM(P172:S172))="(seleccione)"),"",PROPER(TRIM(P172:S172)))))*(CAT_Procesos!$D$2:$D$1581=IFERROR(VLOOKUP(N172&amp;"*",CAT_Procesos!$D:$D,1,FALSE),""))))=0,"Combinación no existente",IF(SUMPRODUCT(((CAT_Procesos!$E$2:$E$1581=O172)*(CAT_Procesos!$F$2:$F$1581=_xlfn.TEXTJOIN(" + ",TRUE,IF((TRIM(P172:S172)="")+(LOWER(TRIM(P172:S172))="(seleccione)"),"",PROPER(TRIM(P172:S172)))))*(CAT_Procesos!$D$2:$D$1581=IFERROR(VLOOKUP(N172&amp;"*",CAT_Procesos!$D:$D,1,FALSE),"")))*(CAT_Procesos!$G$2:$G$1581=INDEX(CAT_Procesos!$G$2:$G$1581,MATCH(1,(CAT_Procesos!$E$2:$E$1581=O172)*(CAT_Procesos!$F$2:$F$1581=_xlfn.TEXTJOIN(" + ",TRUE,IF((TRIM(P172:S172)="")+(LOWER(TRIM(P172:S172))="(seleccione)"),"",PROPER(TRIM(P172:S172)))))*(CAT_Procesos!$D$2:$D$1581=IFERROR(VLOOKUP(N172&amp;"*",CAT_Procesos!$D:$D,1,FALSE),"")),0))))=SUMPRODUCT(--((CAT_Procesos!$E$2:$E$1581=O172)*(CAT_Procesos!$F$2:$F$1581=_xlfn.TEXTJOIN(" + ",TRUE,IF((TRIM(P172:S172)="")+(LOWER(TRIM(P172:S172))="(seleccione)"),"",PROPER(TRIM(P172:S172)))))*(CAT_Procesos!$D$2:$D$1581=IFERROR(VLOOKUP(N172&amp;"*",CAT_Procesos!$D:$D,1,FALSE),"")))),INDEX(CAT_Procesos!$G$2:$G$1581,MATCH(1,(CAT_Procesos!$E$2:$E$1581=O172)*(CAT_Procesos!$F$2:$F$1581=_xlfn.TEXTJOIN(" + ",TRUE,IF((TRIM(P172:S172)="")+(LOWER(TRIM(P172:S172))="(seleccione)"),"",PROPER(TRIM(P172:S172)))))*(CAT_Procesos!$D$2:$D$1581=IFERROR(VLOOKUP(N172&amp;"*",CAT_Procesos!$D:$D,1,FALSE),"")),0)),"(seleccione)"))</f>
        <v>Combinación no existente</v>
      </c>
      <c r="V172" s="55" t="s">
        <v>73</v>
      </c>
      <c r="W172" s="56" t="s">
        <v>73</v>
      </c>
      <c r="X172" s="57" t="str">
        <f t="shared" si="8"/>
        <v/>
      </c>
      <c r="Y172" s="58" t="s">
        <v>73</v>
      </c>
      <c r="Z172" s="57" t="str">
        <f t="shared" si="9"/>
        <v/>
      </c>
      <c r="AA172" s="58" t="s">
        <v>73</v>
      </c>
      <c r="AB172" s="57" t="str">
        <f t="shared" si="10"/>
        <v/>
      </c>
      <c r="AC172" s="58" t="s">
        <v>73</v>
      </c>
      <c r="AD172" s="57" t="str">
        <f t="shared" si="11"/>
        <v/>
      </c>
      <c r="AE172" s="59"/>
      <c r="AF172" s="59"/>
      <c r="AG172" s="59"/>
      <c r="AH172" s="59"/>
      <c r="AI172" s="59" t="s">
        <v>73</v>
      </c>
      <c r="AJ172" s="59"/>
      <c r="AK172" s="59" t="s">
        <v>73</v>
      </c>
      <c r="AL172" s="59"/>
      <c r="AM172" s="59" t="s">
        <v>73</v>
      </c>
      <c r="AN172" s="59"/>
      <c r="AO172" s="59" t="s">
        <v>73</v>
      </c>
      <c r="AP172" s="59"/>
      <c r="AQ172" s="59" t="s">
        <v>73</v>
      </c>
      <c r="AR172" s="59"/>
      <c r="AS172" s="59" t="s">
        <v>72</v>
      </c>
      <c r="AT172" s="59"/>
      <c r="AU172" s="59"/>
      <c r="AV172" s="59"/>
      <c r="AW172" s="59"/>
      <c r="AX172" s="59"/>
      <c r="AY172" s="60" t="str">
        <f>IF('Cálculo MP'!K182="","",'Cálculo MP'!K182)</f>
        <v/>
      </c>
      <c r="AZ172" s="60" t="str">
        <f>IF('Cálculo MP'!L182="","",'Cálculo MP'!L182)</f>
        <v/>
      </c>
      <c r="BA172" s="60" t="str">
        <f>IF('Cálculo MP'!M182="","",'Cálculo MP'!M182)</f>
        <v/>
      </c>
      <c r="BB172" s="60" t="str">
        <f>IF('Cálculo MP'!N182="","",'Cálculo MP'!N182)</f>
        <v/>
      </c>
      <c r="BC172" s="60" t="str">
        <f>IF('Cálculo MP'!O182="","",'Cálculo MP'!O182)</f>
        <v/>
      </c>
      <c r="BD172" s="60" t="str">
        <f>IF('Cálculo MP'!P182="","",'Cálculo MP'!P182)</f>
        <v/>
      </c>
      <c r="BE172" s="60" t="str">
        <f>IF('Cálculo MP'!Q182="","",'Cálculo MP'!Q182)</f>
        <v/>
      </c>
      <c r="BF172" s="60" t="str">
        <f>IF('Cálculo MP'!R182="","",'Cálculo MP'!R182)</f>
        <v/>
      </c>
      <c r="BG172" s="60" t="str">
        <f>IF('Cálculo MP'!S182="","",'Cálculo MP'!S182)</f>
        <v/>
      </c>
      <c r="BH172" s="59"/>
      <c r="BI172" s="59"/>
      <c r="BJ172" s="59"/>
      <c r="BK172" s="59"/>
      <c r="BL172" s="59"/>
      <c r="BM172" s="59"/>
      <c r="BN172" s="59"/>
      <c r="BO172" s="59"/>
    </row>
    <row r="173" spans="1:67" ht="19.5" customHeight="1" x14ac:dyDescent="0.15">
      <c r="A173" s="123" t="s">
        <v>1856</v>
      </c>
      <c r="B173" s="122" t="s">
        <v>1854</v>
      </c>
      <c r="C173" s="49"/>
      <c r="D173" s="48" t="s">
        <v>73</v>
      </c>
      <c r="E173" s="49"/>
      <c r="F173" s="50"/>
      <c r="G173" s="62"/>
      <c r="H173" s="48" t="s">
        <v>72</v>
      </c>
      <c r="I173" s="52">
        <v>1</v>
      </c>
      <c r="J173" s="52"/>
      <c r="K173" s="52" t="s">
        <v>73</v>
      </c>
      <c r="L173" s="52" t="s">
        <v>74</v>
      </c>
      <c r="M173" s="53" t="s">
        <v>942</v>
      </c>
      <c r="N173" s="58" t="s">
        <v>73</v>
      </c>
      <c r="O173" s="48" t="s">
        <v>72</v>
      </c>
      <c r="P173" s="48" t="s">
        <v>73</v>
      </c>
      <c r="Q173" s="54" t="s">
        <v>73</v>
      </c>
      <c r="R173" s="55" t="s">
        <v>73</v>
      </c>
      <c r="S173" s="48" t="s">
        <v>73</v>
      </c>
      <c r="T173" s="130"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8" t="str" cm="1">
        <f t="array" ref="U173">IF(SUMPRODUCT(--((CAT_Procesos!$E$2:$E$1581=O173)*(CAT_Procesos!$F$2:$F$1581=_xlfn.TEXTJOIN(" + ",TRUE,IF((TRIM(P173:S173)="")+(LOWER(TRIM(P173:S173))="(seleccione)"),"",PROPER(TRIM(P173:S173)))))*(CAT_Procesos!$D$2:$D$1581=IFERROR(VLOOKUP(N173&amp;"*",CAT_Procesos!$D:$D,1,FALSE),""))))=0,"Combinación no existente",IF(SUMPRODUCT(((CAT_Procesos!$E$2:$E$1581=O173)*(CAT_Procesos!$F$2:$F$1581=_xlfn.TEXTJOIN(" + ",TRUE,IF((TRIM(P173:S173)="")+(LOWER(TRIM(P173:S173))="(seleccione)"),"",PROPER(TRIM(P173:S173)))))*(CAT_Procesos!$D$2:$D$1581=IFERROR(VLOOKUP(N173&amp;"*",CAT_Procesos!$D:$D,1,FALSE),"")))*(CAT_Procesos!$G$2:$G$1581=INDEX(CAT_Procesos!$G$2:$G$1581,MATCH(1,(CAT_Procesos!$E$2:$E$1581=O173)*(CAT_Procesos!$F$2:$F$1581=_xlfn.TEXTJOIN(" + ",TRUE,IF((TRIM(P173:S173)="")+(LOWER(TRIM(P173:S173))="(seleccione)"),"",PROPER(TRIM(P173:S173)))))*(CAT_Procesos!$D$2:$D$1581=IFERROR(VLOOKUP(N173&amp;"*",CAT_Procesos!$D:$D,1,FALSE),"")),0))))=SUMPRODUCT(--((CAT_Procesos!$E$2:$E$1581=O173)*(CAT_Procesos!$F$2:$F$1581=_xlfn.TEXTJOIN(" + ",TRUE,IF((TRIM(P173:S173)="")+(LOWER(TRIM(P173:S173))="(seleccione)"),"",PROPER(TRIM(P173:S173)))))*(CAT_Procesos!$D$2:$D$1581=IFERROR(VLOOKUP(N173&amp;"*",CAT_Procesos!$D:$D,1,FALSE),"")))),INDEX(CAT_Procesos!$G$2:$G$1581,MATCH(1,(CAT_Procesos!$E$2:$E$1581=O173)*(CAT_Procesos!$F$2:$F$1581=_xlfn.TEXTJOIN(" + ",TRUE,IF((TRIM(P173:S173)="")+(LOWER(TRIM(P173:S173))="(seleccione)"),"",PROPER(TRIM(P173:S173)))))*(CAT_Procesos!$D$2:$D$1581=IFERROR(VLOOKUP(N173&amp;"*",CAT_Procesos!$D:$D,1,FALSE),"")),0)),"(seleccione)"))</f>
        <v>Combinación no existente</v>
      </c>
      <c r="V173" s="55" t="s">
        <v>73</v>
      </c>
      <c r="W173" s="56" t="s">
        <v>73</v>
      </c>
      <c r="X173" s="57" t="str">
        <f t="shared" si="8"/>
        <v/>
      </c>
      <c r="Y173" s="58" t="s">
        <v>73</v>
      </c>
      <c r="Z173" s="57" t="str">
        <f t="shared" si="9"/>
        <v/>
      </c>
      <c r="AA173" s="58" t="s">
        <v>73</v>
      </c>
      <c r="AB173" s="57" t="str">
        <f t="shared" si="10"/>
        <v/>
      </c>
      <c r="AC173" s="58" t="s">
        <v>73</v>
      </c>
      <c r="AD173" s="57" t="str">
        <f t="shared" si="11"/>
        <v/>
      </c>
      <c r="AE173" s="59"/>
      <c r="AF173" s="59"/>
      <c r="AG173" s="59"/>
      <c r="AH173" s="59"/>
      <c r="AI173" s="59" t="s">
        <v>73</v>
      </c>
      <c r="AJ173" s="59"/>
      <c r="AK173" s="59" t="s">
        <v>73</v>
      </c>
      <c r="AL173" s="59"/>
      <c r="AM173" s="59" t="s">
        <v>73</v>
      </c>
      <c r="AN173" s="59"/>
      <c r="AO173" s="59" t="s">
        <v>73</v>
      </c>
      <c r="AP173" s="59"/>
      <c r="AQ173" s="59" t="s">
        <v>73</v>
      </c>
      <c r="AR173" s="59"/>
      <c r="AS173" s="59" t="s">
        <v>72</v>
      </c>
      <c r="AT173" s="59"/>
      <c r="AU173" s="59"/>
      <c r="AV173" s="59"/>
      <c r="AW173" s="59"/>
      <c r="AX173" s="59"/>
      <c r="AY173" s="60" t="str">
        <f>IF('Cálculo MP'!K183="","",'Cálculo MP'!K183)</f>
        <v/>
      </c>
      <c r="AZ173" s="60" t="str">
        <f>IF('Cálculo MP'!L183="","",'Cálculo MP'!L183)</f>
        <v/>
      </c>
      <c r="BA173" s="60" t="str">
        <f>IF('Cálculo MP'!M183="","",'Cálculo MP'!M183)</f>
        <v/>
      </c>
      <c r="BB173" s="60" t="str">
        <f>IF('Cálculo MP'!N183="","",'Cálculo MP'!N183)</f>
        <v/>
      </c>
      <c r="BC173" s="60" t="str">
        <f>IF('Cálculo MP'!O183="","",'Cálculo MP'!O183)</f>
        <v/>
      </c>
      <c r="BD173" s="60" t="str">
        <f>IF('Cálculo MP'!P183="","",'Cálculo MP'!P183)</f>
        <v/>
      </c>
      <c r="BE173" s="60" t="str">
        <f>IF('Cálculo MP'!Q183="","",'Cálculo MP'!Q183)</f>
        <v/>
      </c>
      <c r="BF173" s="60" t="str">
        <f>IF('Cálculo MP'!R183="","",'Cálculo MP'!R183)</f>
        <v/>
      </c>
      <c r="BG173" s="60" t="str">
        <f>IF('Cálculo MP'!S183="","",'Cálculo MP'!S183)</f>
        <v/>
      </c>
      <c r="BH173" s="59"/>
      <c r="BI173" s="59"/>
      <c r="BJ173" s="59"/>
      <c r="BK173" s="59"/>
      <c r="BL173" s="59"/>
      <c r="BM173" s="59"/>
      <c r="BN173" s="59"/>
      <c r="BO173" s="59"/>
    </row>
    <row r="174" spans="1:67" ht="19.5" customHeight="1" x14ac:dyDescent="0.15">
      <c r="A174" s="123" t="s">
        <v>1856</v>
      </c>
      <c r="B174" s="122" t="s">
        <v>1854</v>
      </c>
      <c r="C174" s="49"/>
      <c r="D174" s="48" t="s">
        <v>73</v>
      </c>
      <c r="E174" s="49"/>
      <c r="F174" s="50"/>
      <c r="G174" s="62"/>
      <c r="H174" s="48" t="s">
        <v>72</v>
      </c>
      <c r="I174" s="52">
        <v>1</v>
      </c>
      <c r="J174" s="52"/>
      <c r="K174" s="52" t="s">
        <v>73</v>
      </c>
      <c r="L174" s="52" t="s">
        <v>74</v>
      </c>
      <c r="M174" s="53" t="s">
        <v>942</v>
      </c>
      <c r="N174" s="58" t="s">
        <v>73</v>
      </c>
      <c r="O174" s="48" t="s">
        <v>72</v>
      </c>
      <c r="P174" s="48" t="s">
        <v>73</v>
      </c>
      <c r="Q174" s="54" t="s">
        <v>73</v>
      </c>
      <c r="R174" s="55" t="s">
        <v>73</v>
      </c>
      <c r="S174" s="48" t="s">
        <v>73</v>
      </c>
      <c r="T174" s="130"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8" t="str" cm="1">
        <f t="array" ref="U174">IF(SUMPRODUCT(--((CAT_Procesos!$E$2:$E$1581=O174)*(CAT_Procesos!$F$2:$F$1581=_xlfn.TEXTJOIN(" + ",TRUE,IF((TRIM(P174:S174)="")+(LOWER(TRIM(P174:S174))="(seleccione)"),"",PROPER(TRIM(P174:S174)))))*(CAT_Procesos!$D$2:$D$1581=IFERROR(VLOOKUP(N174&amp;"*",CAT_Procesos!$D:$D,1,FALSE),""))))=0,"Combinación no existente",IF(SUMPRODUCT(((CAT_Procesos!$E$2:$E$1581=O174)*(CAT_Procesos!$F$2:$F$1581=_xlfn.TEXTJOIN(" + ",TRUE,IF((TRIM(P174:S174)="")+(LOWER(TRIM(P174:S174))="(seleccione)"),"",PROPER(TRIM(P174:S174)))))*(CAT_Procesos!$D$2:$D$1581=IFERROR(VLOOKUP(N174&amp;"*",CAT_Procesos!$D:$D,1,FALSE),"")))*(CAT_Procesos!$G$2:$G$1581=INDEX(CAT_Procesos!$G$2:$G$1581,MATCH(1,(CAT_Procesos!$E$2:$E$1581=O174)*(CAT_Procesos!$F$2:$F$1581=_xlfn.TEXTJOIN(" + ",TRUE,IF((TRIM(P174:S174)="")+(LOWER(TRIM(P174:S174))="(seleccione)"),"",PROPER(TRIM(P174:S174)))))*(CAT_Procesos!$D$2:$D$1581=IFERROR(VLOOKUP(N174&amp;"*",CAT_Procesos!$D:$D,1,FALSE),"")),0))))=SUMPRODUCT(--((CAT_Procesos!$E$2:$E$1581=O174)*(CAT_Procesos!$F$2:$F$1581=_xlfn.TEXTJOIN(" + ",TRUE,IF((TRIM(P174:S174)="")+(LOWER(TRIM(P174:S174))="(seleccione)"),"",PROPER(TRIM(P174:S174)))))*(CAT_Procesos!$D$2:$D$1581=IFERROR(VLOOKUP(N174&amp;"*",CAT_Procesos!$D:$D,1,FALSE),"")))),INDEX(CAT_Procesos!$G$2:$G$1581,MATCH(1,(CAT_Procesos!$E$2:$E$1581=O174)*(CAT_Procesos!$F$2:$F$1581=_xlfn.TEXTJOIN(" + ",TRUE,IF((TRIM(P174:S174)="")+(LOWER(TRIM(P174:S174))="(seleccione)"),"",PROPER(TRIM(P174:S174)))))*(CAT_Procesos!$D$2:$D$1581=IFERROR(VLOOKUP(N174&amp;"*",CAT_Procesos!$D:$D,1,FALSE),"")),0)),"(seleccione)"))</f>
        <v>Combinación no existente</v>
      </c>
      <c r="V174" s="55" t="s">
        <v>73</v>
      </c>
      <c r="W174" s="56" t="s">
        <v>73</v>
      </c>
      <c r="X174" s="57" t="str">
        <f t="shared" si="8"/>
        <v/>
      </c>
      <c r="Y174" s="58" t="s">
        <v>73</v>
      </c>
      <c r="Z174" s="57" t="str">
        <f t="shared" si="9"/>
        <v/>
      </c>
      <c r="AA174" s="58" t="s">
        <v>73</v>
      </c>
      <c r="AB174" s="57" t="str">
        <f t="shared" si="10"/>
        <v/>
      </c>
      <c r="AC174" s="58" t="s">
        <v>73</v>
      </c>
      <c r="AD174" s="57" t="str">
        <f t="shared" si="11"/>
        <v/>
      </c>
      <c r="AE174" s="59"/>
      <c r="AF174" s="59"/>
      <c r="AG174" s="59"/>
      <c r="AH174" s="59"/>
      <c r="AI174" s="59" t="s">
        <v>73</v>
      </c>
      <c r="AJ174" s="59"/>
      <c r="AK174" s="59" t="s">
        <v>73</v>
      </c>
      <c r="AL174" s="59"/>
      <c r="AM174" s="59" t="s">
        <v>73</v>
      </c>
      <c r="AN174" s="59"/>
      <c r="AO174" s="59" t="s">
        <v>73</v>
      </c>
      <c r="AP174" s="59"/>
      <c r="AQ174" s="59" t="s">
        <v>73</v>
      </c>
      <c r="AR174" s="59"/>
      <c r="AS174" s="59" t="s">
        <v>72</v>
      </c>
      <c r="AT174" s="59"/>
      <c r="AU174" s="59"/>
      <c r="AV174" s="59"/>
      <c r="AW174" s="59"/>
      <c r="AX174" s="59"/>
      <c r="AY174" s="60" t="str">
        <f>IF('Cálculo MP'!K184="","",'Cálculo MP'!K184)</f>
        <v/>
      </c>
      <c r="AZ174" s="60" t="str">
        <f>IF('Cálculo MP'!L184="","",'Cálculo MP'!L184)</f>
        <v/>
      </c>
      <c r="BA174" s="60" t="str">
        <f>IF('Cálculo MP'!M184="","",'Cálculo MP'!M184)</f>
        <v/>
      </c>
      <c r="BB174" s="60" t="str">
        <f>IF('Cálculo MP'!N184="","",'Cálculo MP'!N184)</f>
        <v/>
      </c>
      <c r="BC174" s="60" t="str">
        <f>IF('Cálculo MP'!O184="","",'Cálculo MP'!O184)</f>
        <v/>
      </c>
      <c r="BD174" s="60" t="str">
        <f>IF('Cálculo MP'!P184="","",'Cálculo MP'!P184)</f>
        <v/>
      </c>
      <c r="BE174" s="60" t="str">
        <f>IF('Cálculo MP'!Q184="","",'Cálculo MP'!Q184)</f>
        <v/>
      </c>
      <c r="BF174" s="60" t="str">
        <f>IF('Cálculo MP'!R184="","",'Cálculo MP'!R184)</f>
        <v/>
      </c>
      <c r="BG174" s="60" t="str">
        <f>IF('Cálculo MP'!S184="","",'Cálculo MP'!S184)</f>
        <v/>
      </c>
      <c r="BH174" s="59"/>
      <c r="BI174" s="59"/>
      <c r="BJ174" s="59"/>
      <c r="BK174" s="59"/>
      <c r="BL174" s="59"/>
      <c r="BM174" s="59"/>
      <c r="BN174" s="59"/>
      <c r="BO174" s="59"/>
    </row>
    <row r="175" spans="1:67" ht="19.5" customHeight="1" x14ac:dyDescent="0.15">
      <c r="A175" s="123" t="s">
        <v>1856</v>
      </c>
      <c r="B175" s="122" t="s">
        <v>1854</v>
      </c>
      <c r="C175" s="49"/>
      <c r="D175" s="48" t="s">
        <v>73</v>
      </c>
      <c r="E175" s="49"/>
      <c r="F175" s="50"/>
      <c r="G175" s="62"/>
      <c r="H175" s="48" t="s">
        <v>72</v>
      </c>
      <c r="I175" s="52">
        <v>1</v>
      </c>
      <c r="J175" s="52"/>
      <c r="K175" s="52" t="s">
        <v>73</v>
      </c>
      <c r="L175" s="52" t="s">
        <v>74</v>
      </c>
      <c r="M175" s="53" t="s">
        <v>942</v>
      </c>
      <c r="N175" s="58" t="s">
        <v>73</v>
      </c>
      <c r="O175" s="48" t="s">
        <v>72</v>
      </c>
      <c r="P175" s="48" t="s">
        <v>73</v>
      </c>
      <c r="Q175" s="54" t="s">
        <v>73</v>
      </c>
      <c r="R175" s="55" t="s">
        <v>73</v>
      </c>
      <c r="S175" s="48" t="s">
        <v>73</v>
      </c>
      <c r="T175" s="130"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8" t="str" cm="1">
        <f t="array" ref="U175">IF(SUMPRODUCT(--((CAT_Procesos!$E$2:$E$1581=O175)*(CAT_Procesos!$F$2:$F$1581=_xlfn.TEXTJOIN(" + ",TRUE,IF((TRIM(P175:S175)="")+(LOWER(TRIM(P175:S175))="(seleccione)"),"",PROPER(TRIM(P175:S175)))))*(CAT_Procesos!$D$2:$D$1581=IFERROR(VLOOKUP(N175&amp;"*",CAT_Procesos!$D:$D,1,FALSE),""))))=0,"Combinación no existente",IF(SUMPRODUCT(((CAT_Procesos!$E$2:$E$1581=O175)*(CAT_Procesos!$F$2:$F$1581=_xlfn.TEXTJOIN(" + ",TRUE,IF((TRIM(P175:S175)="")+(LOWER(TRIM(P175:S175))="(seleccione)"),"",PROPER(TRIM(P175:S175)))))*(CAT_Procesos!$D$2:$D$1581=IFERROR(VLOOKUP(N175&amp;"*",CAT_Procesos!$D:$D,1,FALSE),"")))*(CAT_Procesos!$G$2:$G$1581=INDEX(CAT_Procesos!$G$2:$G$1581,MATCH(1,(CAT_Procesos!$E$2:$E$1581=O175)*(CAT_Procesos!$F$2:$F$1581=_xlfn.TEXTJOIN(" + ",TRUE,IF((TRIM(P175:S175)="")+(LOWER(TRIM(P175:S175))="(seleccione)"),"",PROPER(TRIM(P175:S175)))))*(CAT_Procesos!$D$2:$D$1581=IFERROR(VLOOKUP(N175&amp;"*",CAT_Procesos!$D:$D,1,FALSE),"")),0))))=SUMPRODUCT(--((CAT_Procesos!$E$2:$E$1581=O175)*(CAT_Procesos!$F$2:$F$1581=_xlfn.TEXTJOIN(" + ",TRUE,IF((TRIM(P175:S175)="")+(LOWER(TRIM(P175:S175))="(seleccione)"),"",PROPER(TRIM(P175:S175)))))*(CAT_Procesos!$D$2:$D$1581=IFERROR(VLOOKUP(N175&amp;"*",CAT_Procesos!$D:$D,1,FALSE),"")))),INDEX(CAT_Procesos!$G$2:$G$1581,MATCH(1,(CAT_Procesos!$E$2:$E$1581=O175)*(CAT_Procesos!$F$2:$F$1581=_xlfn.TEXTJOIN(" + ",TRUE,IF((TRIM(P175:S175)="")+(LOWER(TRIM(P175:S175))="(seleccione)"),"",PROPER(TRIM(P175:S175)))))*(CAT_Procesos!$D$2:$D$1581=IFERROR(VLOOKUP(N175&amp;"*",CAT_Procesos!$D:$D,1,FALSE),"")),0)),"(seleccione)"))</f>
        <v>Combinación no existente</v>
      </c>
      <c r="V175" s="55" t="s">
        <v>73</v>
      </c>
      <c r="W175" s="56" t="s">
        <v>73</v>
      </c>
      <c r="X175" s="57" t="str">
        <f t="shared" si="8"/>
        <v/>
      </c>
      <c r="Y175" s="58" t="s">
        <v>73</v>
      </c>
      <c r="Z175" s="57" t="str">
        <f t="shared" si="9"/>
        <v/>
      </c>
      <c r="AA175" s="58" t="s">
        <v>73</v>
      </c>
      <c r="AB175" s="57" t="str">
        <f t="shared" si="10"/>
        <v/>
      </c>
      <c r="AC175" s="58" t="s">
        <v>73</v>
      </c>
      <c r="AD175" s="57" t="str">
        <f t="shared" si="11"/>
        <v/>
      </c>
      <c r="AE175" s="59"/>
      <c r="AF175" s="59"/>
      <c r="AG175" s="59"/>
      <c r="AH175" s="59"/>
      <c r="AI175" s="59" t="s">
        <v>73</v>
      </c>
      <c r="AJ175" s="59"/>
      <c r="AK175" s="59" t="s">
        <v>73</v>
      </c>
      <c r="AL175" s="59"/>
      <c r="AM175" s="59" t="s">
        <v>73</v>
      </c>
      <c r="AN175" s="59"/>
      <c r="AO175" s="59" t="s">
        <v>73</v>
      </c>
      <c r="AP175" s="59"/>
      <c r="AQ175" s="59" t="s">
        <v>73</v>
      </c>
      <c r="AR175" s="59"/>
      <c r="AS175" s="59" t="s">
        <v>72</v>
      </c>
      <c r="AT175" s="59"/>
      <c r="AU175" s="59"/>
      <c r="AV175" s="59"/>
      <c r="AW175" s="59"/>
      <c r="AX175" s="59"/>
      <c r="AY175" s="60" t="str">
        <f>IF('Cálculo MP'!K185="","",'Cálculo MP'!K185)</f>
        <v/>
      </c>
      <c r="AZ175" s="60" t="str">
        <f>IF('Cálculo MP'!L185="","",'Cálculo MP'!L185)</f>
        <v/>
      </c>
      <c r="BA175" s="60" t="str">
        <f>IF('Cálculo MP'!M185="","",'Cálculo MP'!M185)</f>
        <v/>
      </c>
      <c r="BB175" s="60" t="str">
        <f>IF('Cálculo MP'!N185="","",'Cálculo MP'!N185)</f>
        <v/>
      </c>
      <c r="BC175" s="60" t="str">
        <f>IF('Cálculo MP'!O185="","",'Cálculo MP'!O185)</f>
        <v/>
      </c>
      <c r="BD175" s="60" t="str">
        <f>IF('Cálculo MP'!P185="","",'Cálculo MP'!P185)</f>
        <v/>
      </c>
      <c r="BE175" s="60" t="str">
        <f>IF('Cálculo MP'!Q185="","",'Cálculo MP'!Q185)</f>
        <v/>
      </c>
      <c r="BF175" s="60" t="str">
        <f>IF('Cálculo MP'!R185="","",'Cálculo MP'!R185)</f>
        <v/>
      </c>
      <c r="BG175" s="60" t="str">
        <f>IF('Cálculo MP'!S185="","",'Cálculo MP'!S185)</f>
        <v/>
      </c>
      <c r="BH175" s="59"/>
      <c r="BI175" s="59"/>
      <c r="BJ175" s="59"/>
      <c r="BK175" s="59"/>
      <c r="BL175" s="59"/>
      <c r="BM175" s="59"/>
      <c r="BN175" s="59"/>
      <c r="BO175" s="59"/>
    </row>
    <row r="176" spans="1:67" ht="19.5" customHeight="1" x14ac:dyDescent="0.15">
      <c r="A176" s="123" t="s">
        <v>1856</v>
      </c>
      <c r="B176" s="122" t="s">
        <v>1854</v>
      </c>
      <c r="C176" s="49"/>
      <c r="D176" s="48" t="s">
        <v>73</v>
      </c>
      <c r="E176" s="49"/>
      <c r="F176" s="50"/>
      <c r="G176" s="62"/>
      <c r="H176" s="48" t="s">
        <v>72</v>
      </c>
      <c r="I176" s="52">
        <v>1</v>
      </c>
      <c r="J176" s="52"/>
      <c r="K176" s="52" t="s">
        <v>73</v>
      </c>
      <c r="L176" s="52" t="s">
        <v>74</v>
      </c>
      <c r="M176" s="53" t="s">
        <v>942</v>
      </c>
      <c r="N176" s="58" t="s">
        <v>73</v>
      </c>
      <c r="O176" s="48" t="s">
        <v>72</v>
      </c>
      <c r="P176" s="48" t="s">
        <v>73</v>
      </c>
      <c r="Q176" s="54" t="s">
        <v>73</v>
      </c>
      <c r="R176" s="55" t="s">
        <v>73</v>
      </c>
      <c r="S176" s="48" t="s">
        <v>73</v>
      </c>
      <c r="T176" s="130"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8" t="str" cm="1">
        <f t="array" ref="U176">IF(SUMPRODUCT(--((CAT_Procesos!$E$2:$E$1581=O176)*(CAT_Procesos!$F$2:$F$1581=_xlfn.TEXTJOIN(" + ",TRUE,IF((TRIM(P176:S176)="")+(LOWER(TRIM(P176:S176))="(seleccione)"),"",PROPER(TRIM(P176:S176)))))*(CAT_Procesos!$D$2:$D$1581=IFERROR(VLOOKUP(N176&amp;"*",CAT_Procesos!$D:$D,1,FALSE),""))))=0,"Combinación no existente",IF(SUMPRODUCT(((CAT_Procesos!$E$2:$E$1581=O176)*(CAT_Procesos!$F$2:$F$1581=_xlfn.TEXTJOIN(" + ",TRUE,IF((TRIM(P176:S176)="")+(LOWER(TRIM(P176:S176))="(seleccione)"),"",PROPER(TRIM(P176:S176)))))*(CAT_Procesos!$D$2:$D$1581=IFERROR(VLOOKUP(N176&amp;"*",CAT_Procesos!$D:$D,1,FALSE),"")))*(CAT_Procesos!$G$2:$G$1581=INDEX(CAT_Procesos!$G$2:$G$1581,MATCH(1,(CAT_Procesos!$E$2:$E$1581=O176)*(CAT_Procesos!$F$2:$F$1581=_xlfn.TEXTJOIN(" + ",TRUE,IF((TRIM(P176:S176)="")+(LOWER(TRIM(P176:S176))="(seleccione)"),"",PROPER(TRIM(P176:S176)))))*(CAT_Procesos!$D$2:$D$1581=IFERROR(VLOOKUP(N176&amp;"*",CAT_Procesos!$D:$D,1,FALSE),"")),0))))=SUMPRODUCT(--((CAT_Procesos!$E$2:$E$1581=O176)*(CAT_Procesos!$F$2:$F$1581=_xlfn.TEXTJOIN(" + ",TRUE,IF((TRIM(P176:S176)="")+(LOWER(TRIM(P176:S176))="(seleccione)"),"",PROPER(TRIM(P176:S176)))))*(CAT_Procesos!$D$2:$D$1581=IFERROR(VLOOKUP(N176&amp;"*",CAT_Procesos!$D:$D,1,FALSE),"")))),INDEX(CAT_Procesos!$G$2:$G$1581,MATCH(1,(CAT_Procesos!$E$2:$E$1581=O176)*(CAT_Procesos!$F$2:$F$1581=_xlfn.TEXTJOIN(" + ",TRUE,IF((TRIM(P176:S176)="")+(LOWER(TRIM(P176:S176))="(seleccione)"),"",PROPER(TRIM(P176:S176)))))*(CAT_Procesos!$D$2:$D$1581=IFERROR(VLOOKUP(N176&amp;"*",CAT_Procesos!$D:$D,1,FALSE),"")),0)),"(seleccione)"))</f>
        <v>Combinación no existente</v>
      </c>
      <c r="V176" s="55" t="s">
        <v>73</v>
      </c>
      <c r="W176" s="56" t="s">
        <v>73</v>
      </c>
      <c r="X176" s="57" t="str">
        <f t="shared" si="8"/>
        <v/>
      </c>
      <c r="Y176" s="58" t="s">
        <v>73</v>
      </c>
      <c r="Z176" s="57" t="str">
        <f t="shared" si="9"/>
        <v/>
      </c>
      <c r="AA176" s="58" t="s">
        <v>73</v>
      </c>
      <c r="AB176" s="57" t="str">
        <f t="shared" si="10"/>
        <v/>
      </c>
      <c r="AC176" s="58" t="s">
        <v>73</v>
      </c>
      <c r="AD176" s="57" t="str">
        <f t="shared" si="11"/>
        <v/>
      </c>
      <c r="AE176" s="59"/>
      <c r="AF176" s="59"/>
      <c r="AG176" s="59"/>
      <c r="AH176" s="59"/>
      <c r="AI176" s="59" t="s">
        <v>73</v>
      </c>
      <c r="AJ176" s="59"/>
      <c r="AK176" s="59" t="s">
        <v>73</v>
      </c>
      <c r="AL176" s="59"/>
      <c r="AM176" s="59" t="s">
        <v>73</v>
      </c>
      <c r="AN176" s="59"/>
      <c r="AO176" s="59" t="s">
        <v>73</v>
      </c>
      <c r="AP176" s="59"/>
      <c r="AQ176" s="59" t="s">
        <v>73</v>
      </c>
      <c r="AR176" s="59"/>
      <c r="AS176" s="59" t="s">
        <v>72</v>
      </c>
      <c r="AT176" s="59"/>
      <c r="AU176" s="59"/>
      <c r="AV176" s="59"/>
      <c r="AW176" s="59"/>
      <c r="AX176" s="59"/>
      <c r="AY176" s="60" t="str">
        <f>IF('Cálculo MP'!K186="","",'Cálculo MP'!K186)</f>
        <v/>
      </c>
      <c r="AZ176" s="60" t="str">
        <f>IF('Cálculo MP'!L186="","",'Cálculo MP'!L186)</f>
        <v/>
      </c>
      <c r="BA176" s="60" t="str">
        <f>IF('Cálculo MP'!M186="","",'Cálculo MP'!M186)</f>
        <v/>
      </c>
      <c r="BB176" s="60" t="str">
        <f>IF('Cálculo MP'!N186="","",'Cálculo MP'!N186)</f>
        <v/>
      </c>
      <c r="BC176" s="60" t="str">
        <f>IF('Cálculo MP'!O186="","",'Cálculo MP'!O186)</f>
        <v/>
      </c>
      <c r="BD176" s="60" t="str">
        <f>IF('Cálculo MP'!P186="","",'Cálculo MP'!P186)</f>
        <v/>
      </c>
      <c r="BE176" s="60" t="str">
        <f>IF('Cálculo MP'!Q186="","",'Cálculo MP'!Q186)</f>
        <v/>
      </c>
      <c r="BF176" s="60" t="str">
        <f>IF('Cálculo MP'!R186="","",'Cálculo MP'!R186)</f>
        <v/>
      </c>
      <c r="BG176" s="60" t="str">
        <f>IF('Cálculo MP'!S186="","",'Cálculo MP'!S186)</f>
        <v/>
      </c>
      <c r="BH176" s="59"/>
      <c r="BI176" s="59"/>
      <c r="BJ176" s="59"/>
      <c r="BK176" s="59"/>
      <c r="BL176" s="59"/>
      <c r="BM176" s="59"/>
      <c r="BN176" s="59"/>
      <c r="BO176" s="59"/>
    </row>
    <row r="177" spans="1:67" ht="19.5" customHeight="1" x14ac:dyDescent="0.15">
      <c r="A177" s="123" t="s">
        <v>1856</v>
      </c>
      <c r="B177" s="122" t="s">
        <v>1854</v>
      </c>
      <c r="C177" s="49"/>
      <c r="D177" s="48" t="s">
        <v>73</v>
      </c>
      <c r="E177" s="49"/>
      <c r="F177" s="50"/>
      <c r="G177" s="62"/>
      <c r="H177" s="48" t="s">
        <v>72</v>
      </c>
      <c r="I177" s="52">
        <v>1</v>
      </c>
      <c r="J177" s="52"/>
      <c r="K177" s="52" t="s">
        <v>73</v>
      </c>
      <c r="L177" s="52" t="s">
        <v>74</v>
      </c>
      <c r="M177" s="53" t="s">
        <v>942</v>
      </c>
      <c r="N177" s="58" t="s">
        <v>73</v>
      </c>
      <c r="O177" s="48" t="s">
        <v>72</v>
      </c>
      <c r="P177" s="48" t="s">
        <v>73</v>
      </c>
      <c r="Q177" s="54" t="s">
        <v>73</v>
      </c>
      <c r="R177" s="55" t="s">
        <v>73</v>
      </c>
      <c r="S177" s="48" t="s">
        <v>73</v>
      </c>
      <c r="T177" s="130"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8" t="str" cm="1">
        <f t="array" ref="U177">IF(SUMPRODUCT(--((CAT_Procesos!$E$2:$E$1581=O177)*(CAT_Procesos!$F$2:$F$1581=_xlfn.TEXTJOIN(" + ",TRUE,IF((TRIM(P177:S177)="")+(LOWER(TRIM(P177:S177))="(seleccione)"),"",PROPER(TRIM(P177:S177)))))*(CAT_Procesos!$D$2:$D$1581=IFERROR(VLOOKUP(N177&amp;"*",CAT_Procesos!$D:$D,1,FALSE),""))))=0,"Combinación no existente",IF(SUMPRODUCT(((CAT_Procesos!$E$2:$E$1581=O177)*(CAT_Procesos!$F$2:$F$1581=_xlfn.TEXTJOIN(" + ",TRUE,IF((TRIM(P177:S177)="")+(LOWER(TRIM(P177:S177))="(seleccione)"),"",PROPER(TRIM(P177:S177)))))*(CAT_Procesos!$D$2:$D$1581=IFERROR(VLOOKUP(N177&amp;"*",CAT_Procesos!$D:$D,1,FALSE),"")))*(CAT_Procesos!$G$2:$G$1581=INDEX(CAT_Procesos!$G$2:$G$1581,MATCH(1,(CAT_Procesos!$E$2:$E$1581=O177)*(CAT_Procesos!$F$2:$F$1581=_xlfn.TEXTJOIN(" + ",TRUE,IF((TRIM(P177:S177)="")+(LOWER(TRIM(P177:S177))="(seleccione)"),"",PROPER(TRIM(P177:S177)))))*(CAT_Procesos!$D$2:$D$1581=IFERROR(VLOOKUP(N177&amp;"*",CAT_Procesos!$D:$D,1,FALSE),"")),0))))=SUMPRODUCT(--((CAT_Procesos!$E$2:$E$1581=O177)*(CAT_Procesos!$F$2:$F$1581=_xlfn.TEXTJOIN(" + ",TRUE,IF((TRIM(P177:S177)="")+(LOWER(TRIM(P177:S177))="(seleccione)"),"",PROPER(TRIM(P177:S177)))))*(CAT_Procesos!$D$2:$D$1581=IFERROR(VLOOKUP(N177&amp;"*",CAT_Procesos!$D:$D,1,FALSE),"")))),INDEX(CAT_Procesos!$G$2:$G$1581,MATCH(1,(CAT_Procesos!$E$2:$E$1581=O177)*(CAT_Procesos!$F$2:$F$1581=_xlfn.TEXTJOIN(" + ",TRUE,IF((TRIM(P177:S177)="")+(LOWER(TRIM(P177:S177))="(seleccione)"),"",PROPER(TRIM(P177:S177)))))*(CAT_Procesos!$D$2:$D$1581=IFERROR(VLOOKUP(N177&amp;"*",CAT_Procesos!$D:$D,1,FALSE),"")),0)),"(seleccione)"))</f>
        <v>Combinación no existente</v>
      </c>
      <c r="V177" s="55" t="s">
        <v>73</v>
      </c>
      <c r="W177" s="56" t="s">
        <v>73</v>
      </c>
      <c r="X177" s="57" t="str">
        <f t="shared" si="8"/>
        <v/>
      </c>
      <c r="Y177" s="58" t="s">
        <v>73</v>
      </c>
      <c r="Z177" s="57" t="str">
        <f t="shared" si="9"/>
        <v/>
      </c>
      <c r="AA177" s="58" t="s">
        <v>73</v>
      </c>
      <c r="AB177" s="57" t="str">
        <f t="shared" si="10"/>
        <v/>
      </c>
      <c r="AC177" s="58" t="s">
        <v>73</v>
      </c>
      <c r="AD177" s="57" t="str">
        <f t="shared" si="11"/>
        <v/>
      </c>
      <c r="AE177" s="59"/>
      <c r="AF177" s="59"/>
      <c r="AG177" s="59"/>
      <c r="AH177" s="59"/>
      <c r="AI177" s="59" t="s">
        <v>73</v>
      </c>
      <c r="AJ177" s="59"/>
      <c r="AK177" s="59" t="s">
        <v>73</v>
      </c>
      <c r="AL177" s="59"/>
      <c r="AM177" s="59" t="s">
        <v>73</v>
      </c>
      <c r="AN177" s="59"/>
      <c r="AO177" s="59" t="s">
        <v>73</v>
      </c>
      <c r="AP177" s="59"/>
      <c r="AQ177" s="59" t="s">
        <v>73</v>
      </c>
      <c r="AR177" s="59"/>
      <c r="AS177" s="59" t="s">
        <v>72</v>
      </c>
      <c r="AT177" s="59"/>
      <c r="AU177" s="59"/>
      <c r="AV177" s="59"/>
      <c r="AW177" s="59"/>
      <c r="AX177" s="59"/>
      <c r="AY177" s="60" t="str">
        <f>IF('Cálculo MP'!K187="","",'Cálculo MP'!K187)</f>
        <v/>
      </c>
      <c r="AZ177" s="60" t="str">
        <f>IF('Cálculo MP'!L187="","",'Cálculo MP'!L187)</f>
        <v/>
      </c>
      <c r="BA177" s="60" t="str">
        <f>IF('Cálculo MP'!M187="","",'Cálculo MP'!M187)</f>
        <v/>
      </c>
      <c r="BB177" s="60" t="str">
        <f>IF('Cálculo MP'!N187="","",'Cálculo MP'!N187)</f>
        <v/>
      </c>
      <c r="BC177" s="60" t="str">
        <f>IF('Cálculo MP'!O187="","",'Cálculo MP'!O187)</f>
        <v/>
      </c>
      <c r="BD177" s="60" t="str">
        <f>IF('Cálculo MP'!P187="","",'Cálculo MP'!P187)</f>
        <v/>
      </c>
      <c r="BE177" s="60" t="str">
        <f>IF('Cálculo MP'!Q187="","",'Cálculo MP'!Q187)</f>
        <v/>
      </c>
      <c r="BF177" s="60" t="str">
        <f>IF('Cálculo MP'!R187="","",'Cálculo MP'!R187)</f>
        <v/>
      </c>
      <c r="BG177" s="60" t="str">
        <f>IF('Cálculo MP'!S187="","",'Cálculo MP'!S187)</f>
        <v/>
      </c>
      <c r="BH177" s="59"/>
      <c r="BI177" s="59"/>
      <c r="BJ177" s="59"/>
      <c r="BK177" s="59"/>
      <c r="BL177" s="59"/>
      <c r="BM177" s="59"/>
      <c r="BN177" s="59"/>
      <c r="BO177" s="59"/>
    </row>
    <row r="178" spans="1:67" ht="19.5" customHeight="1" x14ac:dyDescent="0.15">
      <c r="A178" s="123" t="s">
        <v>1856</v>
      </c>
      <c r="B178" s="122" t="s">
        <v>1854</v>
      </c>
      <c r="C178" s="49"/>
      <c r="D178" s="48" t="s">
        <v>73</v>
      </c>
      <c r="E178" s="49"/>
      <c r="F178" s="50"/>
      <c r="G178" s="62"/>
      <c r="H178" s="48" t="s">
        <v>72</v>
      </c>
      <c r="I178" s="52">
        <v>1</v>
      </c>
      <c r="J178" s="52"/>
      <c r="K178" s="52" t="s">
        <v>73</v>
      </c>
      <c r="L178" s="52" t="s">
        <v>74</v>
      </c>
      <c r="M178" s="53" t="s">
        <v>942</v>
      </c>
      <c r="N178" s="58" t="s">
        <v>73</v>
      </c>
      <c r="O178" s="48" t="s">
        <v>72</v>
      </c>
      <c r="P178" s="48" t="s">
        <v>73</v>
      </c>
      <c r="Q178" s="54" t="s">
        <v>73</v>
      </c>
      <c r="R178" s="55" t="s">
        <v>73</v>
      </c>
      <c r="S178" s="48" t="s">
        <v>73</v>
      </c>
      <c r="T178" s="130"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8" t="str" cm="1">
        <f t="array" ref="U178">IF(SUMPRODUCT(--((CAT_Procesos!$E$2:$E$1581=O178)*(CAT_Procesos!$F$2:$F$1581=_xlfn.TEXTJOIN(" + ",TRUE,IF((TRIM(P178:S178)="")+(LOWER(TRIM(P178:S178))="(seleccione)"),"",PROPER(TRIM(P178:S178)))))*(CAT_Procesos!$D$2:$D$1581=IFERROR(VLOOKUP(N178&amp;"*",CAT_Procesos!$D:$D,1,FALSE),""))))=0,"Combinación no existente",IF(SUMPRODUCT(((CAT_Procesos!$E$2:$E$1581=O178)*(CAT_Procesos!$F$2:$F$1581=_xlfn.TEXTJOIN(" + ",TRUE,IF((TRIM(P178:S178)="")+(LOWER(TRIM(P178:S178))="(seleccione)"),"",PROPER(TRIM(P178:S178)))))*(CAT_Procesos!$D$2:$D$1581=IFERROR(VLOOKUP(N178&amp;"*",CAT_Procesos!$D:$D,1,FALSE),"")))*(CAT_Procesos!$G$2:$G$1581=INDEX(CAT_Procesos!$G$2:$G$1581,MATCH(1,(CAT_Procesos!$E$2:$E$1581=O178)*(CAT_Procesos!$F$2:$F$1581=_xlfn.TEXTJOIN(" + ",TRUE,IF((TRIM(P178:S178)="")+(LOWER(TRIM(P178:S178))="(seleccione)"),"",PROPER(TRIM(P178:S178)))))*(CAT_Procesos!$D$2:$D$1581=IFERROR(VLOOKUP(N178&amp;"*",CAT_Procesos!$D:$D,1,FALSE),"")),0))))=SUMPRODUCT(--((CAT_Procesos!$E$2:$E$1581=O178)*(CAT_Procesos!$F$2:$F$1581=_xlfn.TEXTJOIN(" + ",TRUE,IF((TRIM(P178:S178)="")+(LOWER(TRIM(P178:S178))="(seleccione)"),"",PROPER(TRIM(P178:S178)))))*(CAT_Procesos!$D$2:$D$1581=IFERROR(VLOOKUP(N178&amp;"*",CAT_Procesos!$D:$D,1,FALSE),"")))),INDEX(CAT_Procesos!$G$2:$G$1581,MATCH(1,(CAT_Procesos!$E$2:$E$1581=O178)*(CAT_Procesos!$F$2:$F$1581=_xlfn.TEXTJOIN(" + ",TRUE,IF((TRIM(P178:S178)="")+(LOWER(TRIM(P178:S178))="(seleccione)"),"",PROPER(TRIM(P178:S178)))))*(CAT_Procesos!$D$2:$D$1581=IFERROR(VLOOKUP(N178&amp;"*",CAT_Procesos!$D:$D,1,FALSE),"")),0)),"(seleccione)"))</f>
        <v>Combinación no existente</v>
      </c>
      <c r="V178" s="55" t="s">
        <v>73</v>
      </c>
      <c r="W178" s="56" t="s">
        <v>73</v>
      </c>
      <c r="X178" s="57" t="str">
        <f t="shared" si="8"/>
        <v/>
      </c>
      <c r="Y178" s="58" t="s">
        <v>73</v>
      </c>
      <c r="Z178" s="57" t="str">
        <f t="shared" si="9"/>
        <v/>
      </c>
      <c r="AA178" s="58" t="s">
        <v>73</v>
      </c>
      <c r="AB178" s="57" t="str">
        <f t="shared" si="10"/>
        <v/>
      </c>
      <c r="AC178" s="58" t="s">
        <v>73</v>
      </c>
      <c r="AD178" s="57" t="str">
        <f t="shared" si="11"/>
        <v/>
      </c>
      <c r="AE178" s="59"/>
      <c r="AF178" s="59"/>
      <c r="AG178" s="59"/>
      <c r="AH178" s="59"/>
      <c r="AI178" s="59" t="s">
        <v>73</v>
      </c>
      <c r="AJ178" s="59"/>
      <c r="AK178" s="59" t="s">
        <v>73</v>
      </c>
      <c r="AL178" s="59"/>
      <c r="AM178" s="59" t="s">
        <v>73</v>
      </c>
      <c r="AN178" s="59"/>
      <c r="AO178" s="59" t="s">
        <v>73</v>
      </c>
      <c r="AP178" s="59"/>
      <c r="AQ178" s="59" t="s">
        <v>73</v>
      </c>
      <c r="AR178" s="59"/>
      <c r="AS178" s="59" t="s">
        <v>72</v>
      </c>
      <c r="AT178" s="59"/>
      <c r="AU178" s="59"/>
      <c r="AV178" s="59"/>
      <c r="AW178" s="59"/>
      <c r="AX178" s="59"/>
      <c r="AY178" s="60" t="str">
        <f>IF('Cálculo MP'!K188="","",'Cálculo MP'!K188)</f>
        <v/>
      </c>
      <c r="AZ178" s="60" t="str">
        <f>IF('Cálculo MP'!L188="","",'Cálculo MP'!L188)</f>
        <v/>
      </c>
      <c r="BA178" s="60" t="str">
        <f>IF('Cálculo MP'!M188="","",'Cálculo MP'!M188)</f>
        <v/>
      </c>
      <c r="BB178" s="60" t="str">
        <f>IF('Cálculo MP'!N188="","",'Cálculo MP'!N188)</f>
        <v/>
      </c>
      <c r="BC178" s="60" t="str">
        <f>IF('Cálculo MP'!O188="","",'Cálculo MP'!O188)</f>
        <v/>
      </c>
      <c r="BD178" s="60" t="str">
        <f>IF('Cálculo MP'!P188="","",'Cálculo MP'!P188)</f>
        <v/>
      </c>
      <c r="BE178" s="60" t="str">
        <f>IF('Cálculo MP'!Q188="","",'Cálculo MP'!Q188)</f>
        <v/>
      </c>
      <c r="BF178" s="60" t="str">
        <f>IF('Cálculo MP'!R188="","",'Cálculo MP'!R188)</f>
        <v/>
      </c>
      <c r="BG178" s="60" t="str">
        <f>IF('Cálculo MP'!S188="","",'Cálculo MP'!S188)</f>
        <v/>
      </c>
      <c r="BH178" s="59"/>
      <c r="BI178" s="59"/>
      <c r="BJ178" s="59"/>
      <c r="BK178" s="59"/>
      <c r="BL178" s="59"/>
      <c r="BM178" s="59"/>
      <c r="BN178" s="59"/>
      <c r="BO178" s="59"/>
    </row>
    <row r="179" spans="1:67" ht="19.5" customHeight="1" x14ac:dyDescent="0.15">
      <c r="A179" s="123" t="s">
        <v>1856</v>
      </c>
      <c r="B179" s="122" t="s">
        <v>1854</v>
      </c>
      <c r="C179" s="49"/>
      <c r="D179" s="48" t="s">
        <v>73</v>
      </c>
      <c r="E179" s="49"/>
      <c r="F179" s="50"/>
      <c r="G179" s="62"/>
      <c r="H179" s="48" t="s">
        <v>72</v>
      </c>
      <c r="I179" s="52">
        <v>1</v>
      </c>
      <c r="J179" s="52"/>
      <c r="K179" s="52" t="s">
        <v>73</v>
      </c>
      <c r="L179" s="52" t="s">
        <v>74</v>
      </c>
      <c r="M179" s="53" t="s">
        <v>942</v>
      </c>
      <c r="N179" s="58" t="s">
        <v>73</v>
      </c>
      <c r="O179" s="48" t="s">
        <v>72</v>
      </c>
      <c r="P179" s="48" t="s">
        <v>73</v>
      </c>
      <c r="Q179" s="54" t="s">
        <v>73</v>
      </c>
      <c r="R179" s="55" t="s">
        <v>73</v>
      </c>
      <c r="S179" s="48" t="s">
        <v>73</v>
      </c>
      <c r="T179" s="130"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8" t="str" cm="1">
        <f t="array" ref="U179">IF(SUMPRODUCT(--((CAT_Procesos!$E$2:$E$1581=O179)*(CAT_Procesos!$F$2:$F$1581=_xlfn.TEXTJOIN(" + ",TRUE,IF((TRIM(P179:S179)="")+(LOWER(TRIM(P179:S179))="(seleccione)"),"",PROPER(TRIM(P179:S179)))))*(CAT_Procesos!$D$2:$D$1581=IFERROR(VLOOKUP(N179&amp;"*",CAT_Procesos!$D:$D,1,FALSE),""))))=0,"Combinación no existente",IF(SUMPRODUCT(((CAT_Procesos!$E$2:$E$1581=O179)*(CAT_Procesos!$F$2:$F$1581=_xlfn.TEXTJOIN(" + ",TRUE,IF((TRIM(P179:S179)="")+(LOWER(TRIM(P179:S179))="(seleccione)"),"",PROPER(TRIM(P179:S179)))))*(CAT_Procesos!$D$2:$D$1581=IFERROR(VLOOKUP(N179&amp;"*",CAT_Procesos!$D:$D,1,FALSE),"")))*(CAT_Procesos!$G$2:$G$1581=INDEX(CAT_Procesos!$G$2:$G$1581,MATCH(1,(CAT_Procesos!$E$2:$E$1581=O179)*(CAT_Procesos!$F$2:$F$1581=_xlfn.TEXTJOIN(" + ",TRUE,IF((TRIM(P179:S179)="")+(LOWER(TRIM(P179:S179))="(seleccione)"),"",PROPER(TRIM(P179:S179)))))*(CAT_Procesos!$D$2:$D$1581=IFERROR(VLOOKUP(N179&amp;"*",CAT_Procesos!$D:$D,1,FALSE),"")),0))))=SUMPRODUCT(--((CAT_Procesos!$E$2:$E$1581=O179)*(CAT_Procesos!$F$2:$F$1581=_xlfn.TEXTJOIN(" + ",TRUE,IF((TRIM(P179:S179)="")+(LOWER(TRIM(P179:S179))="(seleccione)"),"",PROPER(TRIM(P179:S179)))))*(CAT_Procesos!$D$2:$D$1581=IFERROR(VLOOKUP(N179&amp;"*",CAT_Procesos!$D:$D,1,FALSE),"")))),INDEX(CAT_Procesos!$G$2:$G$1581,MATCH(1,(CAT_Procesos!$E$2:$E$1581=O179)*(CAT_Procesos!$F$2:$F$1581=_xlfn.TEXTJOIN(" + ",TRUE,IF((TRIM(P179:S179)="")+(LOWER(TRIM(P179:S179))="(seleccione)"),"",PROPER(TRIM(P179:S179)))))*(CAT_Procesos!$D$2:$D$1581=IFERROR(VLOOKUP(N179&amp;"*",CAT_Procesos!$D:$D,1,FALSE),"")),0)),"(seleccione)"))</f>
        <v>Combinación no existente</v>
      </c>
      <c r="V179" s="55" t="s">
        <v>73</v>
      </c>
      <c r="W179" s="56" t="s">
        <v>73</v>
      </c>
      <c r="X179" s="57" t="str">
        <f t="shared" si="8"/>
        <v/>
      </c>
      <c r="Y179" s="58" t="s">
        <v>73</v>
      </c>
      <c r="Z179" s="57" t="str">
        <f t="shared" si="9"/>
        <v/>
      </c>
      <c r="AA179" s="58" t="s">
        <v>73</v>
      </c>
      <c r="AB179" s="57" t="str">
        <f t="shared" si="10"/>
        <v/>
      </c>
      <c r="AC179" s="58" t="s">
        <v>73</v>
      </c>
      <c r="AD179" s="57" t="str">
        <f t="shared" si="11"/>
        <v/>
      </c>
      <c r="AE179" s="59"/>
      <c r="AF179" s="59"/>
      <c r="AG179" s="59"/>
      <c r="AH179" s="59"/>
      <c r="AI179" s="59" t="s">
        <v>73</v>
      </c>
      <c r="AJ179" s="59"/>
      <c r="AK179" s="59" t="s">
        <v>73</v>
      </c>
      <c r="AL179" s="59"/>
      <c r="AM179" s="59" t="s">
        <v>73</v>
      </c>
      <c r="AN179" s="59"/>
      <c r="AO179" s="59" t="s">
        <v>73</v>
      </c>
      <c r="AP179" s="59"/>
      <c r="AQ179" s="59" t="s">
        <v>73</v>
      </c>
      <c r="AR179" s="59"/>
      <c r="AS179" s="59" t="s">
        <v>72</v>
      </c>
      <c r="AT179" s="59"/>
      <c r="AU179" s="59"/>
      <c r="AV179" s="59"/>
      <c r="AW179" s="59"/>
      <c r="AX179" s="59"/>
      <c r="AY179" s="60" t="str">
        <f>IF('Cálculo MP'!K189="","",'Cálculo MP'!K189)</f>
        <v/>
      </c>
      <c r="AZ179" s="60" t="str">
        <f>IF('Cálculo MP'!L189="","",'Cálculo MP'!L189)</f>
        <v/>
      </c>
      <c r="BA179" s="60" t="str">
        <f>IF('Cálculo MP'!M189="","",'Cálculo MP'!M189)</f>
        <v/>
      </c>
      <c r="BB179" s="60" t="str">
        <f>IF('Cálculo MP'!N189="","",'Cálculo MP'!N189)</f>
        <v/>
      </c>
      <c r="BC179" s="60" t="str">
        <f>IF('Cálculo MP'!O189="","",'Cálculo MP'!O189)</f>
        <v/>
      </c>
      <c r="BD179" s="60" t="str">
        <f>IF('Cálculo MP'!P189="","",'Cálculo MP'!P189)</f>
        <v/>
      </c>
      <c r="BE179" s="60" t="str">
        <f>IF('Cálculo MP'!Q189="","",'Cálculo MP'!Q189)</f>
        <v/>
      </c>
      <c r="BF179" s="60" t="str">
        <f>IF('Cálculo MP'!R189="","",'Cálculo MP'!R189)</f>
        <v/>
      </c>
      <c r="BG179" s="60" t="str">
        <f>IF('Cálculo MP'!S189="","",'Cálculo MP'!S189)</f>
        <v/>
      </c>
      <c r="BH179" s="59"/>
      <c r="BI179" s="59"/>
      <c r="BJ179" s="59"/>
      <c r="BK179" s="59"/>
      <c r="BL179" s="59"/>
      <c r="BM179" s="59"/>
      <c r="BN179" s="59"/>
      <c r="BO179" s="59"/>
    </row>
    <row r="180" spans="1:67" ht="19.5" customHeight="1" x14ac:dyDescent="0.15">
      <c r="A180" s="123" t="s">
        <v>1856</v>
      </c>
      <c r="B180" s="122" t="s">
        <v>1854</v>
      </c>
      <c r="C180" s="49"/>
      <c r="D180" s="48" t="s">
        <v>73</v>
      </c>
      <c r="E180" s="49"/>
      <c r="F180" s="50"/>
      <c r="G180" s="62"/>
      <c r="H180" s="48" t="s">
        <v>72</v>
      </c>
      <c r="I180" s="52">
        <v>1</v>
      </c>
      <c r="J180" s="52"/>
      <c r="K180" s="52" t="s">
        <v>73</v>
      </c>
      <c r="L180" s="52" t="s">
        <v>74</v>
      </c>
      <c r="M180" s="53" t="s">
        <v>942</v>
      </c>
      <c r="N180" s="58" t="s">
        <v>73</v>
      </c>
      <c r="O180" s="48" t="s">
        <v>72</v>
      </c>
      <c r="P180" s="48" t="s">
        <v>73</v>
      </c>
      <c r="Q180" s="54" t="s">
        <v>73</v>
      </c>
      <c r="R180" s="55" t="s">
        <v>73</v>
      </c>
      <c r="S180" s="48" t="s">
        <v>73</v>
      </c>
      <c r="T180" s="130"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8" t="str" cm="1">
        <f t="array" ref="U180">IF(SUMPRODUCT(--((CAT_Procesos!$E$2:$E$1581=O180)*(CAT_Procesos!$F$2:$F$1581=_xlfn.TEXTJOIN(" + ",TRUE,IF((TRIM(P180:S180)="")+(LOWER(TRIM(P180:S180))="(seleccione)"),"",PROPER(TRIM(P180:S180)))))*(CAT_Procesos!$D$2:$D$1581=IFERROR(VLOOKUP(N180&amp;"*",CAT_Procesos!$D:$D,1,FALSE),""))))=0,"Combinación no existente",IF(SUMPRODUCT(((CAT_Procesos!$E$2:$E$1581=O180)*(CAT_Procesos!$F$2:$F$1581=_xlfn.TEXTJOIN(" + ",TRUE,IF((TRIM(P180:S180)="")+(LOWER(TRIM(P180:S180))="(seleccione)"),"",PROPER(TRIM(P180:S180)))))*(CAT_Procesos!$D$2:$D$1581=IFERROR(VLOOKUP(N180&amp;"*",CAT_Procesos!$D:$D,1,FALSE),"")))*(CAT_Procesos!$G$2:$G$1581=INDEX(CAT_Procesos!$G$2:$G$1581,MATCH(1,(CAT_Procesos!$E$2:$E$1581=O180)*(CAT_Procesos!$F$2:$F$1581=_xlfn.TEXTJOIN(" + ",TRUE,IF((TRIM(P180:S180)="")+(LOWER(TRIM(P180:S180))="(seleccione)"),"",PROPER(TRIM(P180:S180)))))*(CAT_Procesos!$D$2:$D$1581=IFERROR(VLOOKUP(N180&amp;"*",CAT_Procesos!$D:$D,1,FALSE),"")),0))))=SUMPRODUCT(--((CAT_Procesos!$E$2:$E$1581=O180)*(CAT_Procesos!$F$2:$F$1581=_xlfn.TEXTJOIN(" + ",TRUE,IF((TRIM(P180:S180)="")+(LOWER(TRIM(P180:S180))="(seleccione)"),"",PROPER(TRIM(P180:S180)))))*(CAT_Procesos!$D$2:$D$1581=IFERROR(VLOOKUP(N180&amp;"*",CAT_Procesos!$D:$D,1,FALSE),"")))),INDEX(CAT_Procesos!$G$2:$G$1581,MATCH(1,(CAT_Procesos!$E$2:$E$1581=O180)*(CAT_Procesos!$F$2:$F$1581=_xlfn.TEXTJOIN(" + ",TRUE,IF((TRIM(P180:S180)="")+(LOWER(TRIM(P180:S180))="(seleccione)"),"",PROPER(TRIM(P180:S180)))))*(CAT_Procesos!$D$2:$D$1581=IFERROR(VLOOKUP(N180&amp;"*",CAT_Procesos!$D:$D,1,FALSE),"")),0)),"(seleccione)"))</f>
        <v>Combinación no existente</v>
      </c>
      <c r="V180" s="55" t="s">
        <v>73</v>
      </c>
      <c r="W180" s="56" t="s">
        <v>73</v>
      </c>
      <c r="X180" s="57" t="str">
        <f t="shared" si="8"/>
        <v/>
      </c>
      <c r="Y180" s="58" t="s">
        <v>73</v>
      </c>
      <c r="Z180" s="57" t="str">
        <f t="shared" si="9"/>
        <v/>
      </c>
      <c r="AA180" s="58" t="s">
        <v>73</v>
      </c>
      <c r="AB180" s="57" t="str">
        <f t="shared" si="10"/>
        <v/>
      </c>
      <c r="AC180" s="58" t="s">
        <v>73</v>
      </c>
      <c r="AD180" s="57" t="str">
        <f t="shared" si="11"/>
        <v/>
      </c>
      <c r="AE180" s="59"/>
      <c r="AF180" s="59"/>
      <c r="AG180" s="59"/>
      <c r="AH180" s="59"/>
      <c r="AI180" s="59" t="s">
        <v>73</v>
      </c>
      <c r="AJ180" s="59"/>
      <c r="AK180" s="59" t="s">
        <v>73</v>
      </c>
      <c r="AL180" s="59"/>
      <c r="AM180" s="59" t="s">
        <v>73</v>
      </c>
      <c r="AN180" s="59"/>
      <c r="AO180" s="59" t="s">
        <v>73</v>
      </c>
      <c r="AP180" s="59"/>
      <c r="AQ180" s="59" t="s">
        <v>73</v>
      </c>
      <c r="AR180" s="59"/>
      <c r="AS180" s="59" t="s">
        <v>72</v>
      </c>
      <c r="AT180" s="59"/>
      <c r="AU180" s="59"/>
      <c r="AV180" s="59"/>
      <c r="AW180" s="59"/>
      <c r="AX180" s="59"/>
      <c r="AY180" s="60" t="str">
        <f>IF('Cálculo MP'!K190="","",'Cálculo MP'!K190)</f>
        <v/>
      </c>
      <c r="AZ180" s="60" t="str">
        <f>IF('Cálculo MP'!L190="","",'Cálculo MP'!L190)</f>
        <v/>
      </c>
      <c r="BA180" s="60" t="str">
        <f>IF('Cálculo MP'!M190="","",'Cálculo MP'!M190)</f>
        <v/>
      </c>
      <c r="BB180" s="60" t="str">
        <f>IF('Cálculo MP'!N190="","",'Cálculo MP'!N190)</f>
        <v/>
      </c>
      <c r="BC180" s="60" t="str">
        <f>IF('Cálculo MP'!O190="","",'Cálculo MP'!O190)</f>
        <v/>
      </c>
      <c r="BD180" s="60" t="str">
        <f>IF('Cálculo MP'!P190="","",'Cálculo MP'!P190)</f>
        <v/>
      </c>
      <c r="BE180" s="60" t="str">
        <f>IF('Cálculo MP'!Q190="","",'Cálculo MP'!Q190)</f>
        <v/>
      </c>
      <c r="BF180" s="60" t="str">
        <f>IF('Cálculo MP'!R190="","",'Cálculo MP'!R190)</f>
        <v/>
      </c>
      <c r="BG180" s="60" t="str">
        <f>IF('Cálculo MP'!S190="","",'Cálculo MP'!S190)</f>
        <v/>
      </c>
      <c r="BH180" s="59"/>
      <c r="BI180" s="59"/>
      <c r="BJ180" s="59"/>
      <c r="BK180" s="59"/>
      <c r="BL180" s="59"/>
      <c r="BM180" s="59"/>
      <c r="BN180" s="59"/>
      <c r="BO180" s="59"/>
    </row>
    <row r="181" spans="1:67" ht="19.5" customHeight="1" x14ac:dyDescent="0.15">
      <c r="A181" s="123" t="s">
        <v>1856</v>
      </c>
      <c r="B181" s="122" t="s">
        <v>1854</v>
      </c>
      <c r="C181" s="49"/>
      <c r="D181" s="48" t="s">
        <v>73</v>
      </c>
      <c r="E181" s="49"/>
      <c r="F181" s="50"/>
      <c r="G181" s="62"/>
      <c r="H181" s="48" t="s">
        <v>72</v>
      </c>
      <c r="I181" s="52">
        <v>1</v>
      </c>
      <c r="J181" s="52"/>
      <c r="K181" s="52" t="s">
        <v>73</v>
      </c>
      <c r="L181" s="52" t="s">
        <v>74</v>
      </c>
      <c r="M181" s="53" t="s">
        <v>942</v>
      </c>
      <c r="N181" s="58" t="s">
        <v>73</v>
      </c>
      <c r="O181" s="48" t="s">
        <v>72</v>
      </c>
      <c r="P181" s="48" t="s">
        <v>73</v>
      </c>
      <c r="Q181" s="54" t="s">
        <v>73</v>
      </c>
      <c r="R181" s="55" t="s">
        <v>73</v>
      </c>
      <c r="S181" s="48" t="s">
        <v>73</v>
      </c>
      <c r="T181" s="130"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8" t="str" cm="1">
        <f t="array" ref="U181">IF(SUMPRODUCT(--((CAT_Procesos!$E$2:$E$1581=O181)*(CAT_Procesos!$F$2:$F$1581=_xlfn.TEXTJOIN(" + ",TRUE,IF((TRIM(P181:S181)="")+(LOWER(TRIM(P181:S181))="(seleccione)"),"",PROPER(TRIM(P181:S181)))))*(CAT_Procesos!$D$2:$D$1581=IFERROR(VLOOKUP(N181&amp;"*",CAT_Procesos!$D:$D,1,FALSE),""))))=0,"Combinación no existente",IF(SUMPRODUCT(((CAT_Procesos!$E$2:$E$1581=O181)*(CAT_Procesos!$F$2:$F$1581=_xlfn.TEXTJOIN(" + ",TRUE,IF((TRIM(P181:S181)="")+(LOWER(TRIM(P181:S181))="(seleccione)"),"",PROPER(TRIM(P181:S181)))))*(CAT_Procesos!$D$2:$D$1581=IFERROR(VLOOKUP(N181&amp;"*",CAT_Procesos!$D:$D,1,FALSE),"")))*(CAT_Procesos!$G$2:$G$1581=INDEX(CAT_Procesos!$G$2:$G$1581,MATCH(1,(CAT_Procesos!$E$2:$E$1581=O181)*(CAT_Procesos!$F$2:$F$1581=_xlfn.TEXTJOIN(" + ",TRUE,IF((TRIM(P181:S181)="")+(LOWER(TRIM(P181:S181))="(seleccione)"),"",PROPER(TRIM(P181:S181)))))*(CAT_Procesos!$D$2:$D$1581=IFERROR(VLOOKUP(N181&amp;"*",CAT_Procesos!$D:$D,1,FALSE),"")),0))))=SUMPRODUCT(--((CAT_Procesos!$E$2:$E$1581=O181)*(CAT_Procesos!$F$2:$F$1581=_xlfn.TEXTJOIN(" + ",TRUE,IF((TRIM(P181:S181)="")+(LOWER(TRIM(P181:S181))="(seleccione)"),"",PROPER(TRIM(P181:S181)))))*(CAT_Procesos!$D$2:$D$1581=IFERROR(VLOOKUP(N181&amp;"*",CAT_Procesos!$D:$D,1,FALSE),"")))),INDEX(CAT_Procesos!$G$2:$G$1581,MATCH(1,(CAT_Procesos!$E$2:$E$1581=O181)*(CAT_Procesos!$F$2:$F$1581=_xlfn.TEXTJOIN(" + ",TRUE,IF((TRIM(P181:S181)="")+(LOWER(TRIM(P181:S181))="(seleccione)"),"",PROPER(TRIM(P181:S181)))))*(CAT_Procesos!$D$2:$D$1581=IFERROR(VLOOKUP(N181&amp;"*",CAT_Procesos!$D:$D,1,FALSE),"")),0)),"(seleccione)"))</f>
        <v>Combinación no existente</v>
      </c>
      <c r="V181" s="55" t="s">
        <v>73</v>
      </c>
      <c r="W181" s="56" t="s">
        <v>73</v>
      </c>
      <c r="X181" s="57" t="str">
        <f t="shared" si="8"/>
        <v/>
      </c>
      <c r="Y181" s="58" t="s">
        <v>73</v>
      </c>
      <c r="Z181" s="57" t="str">
        <f t="shared" si="9"/>
        <v/>
      </c>
      <c r="AA181" s="58" t="s">
        <v>73</v>
      </c>
      <c r="AB181" s="57" t="str">
        <f t="shared" si="10"/>
        <v/>
      </c>
      <c r="AC181" s="58" t="s">
        <v>73</v>
      </c>
      <c r="AD181" s="57" t="str">
        <f t="shared" si="11"/>
        <v/>
      </c>
      <c r="AE181" s="59"/>
      <c r="AF181" s="59"/>
      <c r="AG181" s="59"/>
      <c r="AH181" s="59"/>
      <c r="AI181" s="59" t="s">
        <v>73</v>
      </c>
      <c r="AJ181" s="59"/>
      <c r="AK181" s="59" t="s">
        <v>73</v>
      </c>
      <c r="AL181" s="59"/>
      <c r="AM181" s="59" t="s">
        <v>73</v>
      </c>
      <c r="AN181" s="59"/>
      <c r="AO181" s="59" t="s">
        <v>73</v>
      </c>
      <c r="AP181" s="59"/>
      <c r="AQ181" s="59" t="s">
        <v>73</v>
      </c>
      <c r="AR181" s="59"/>
      <c r="AS181" s="59" t="s">
        <v>72</v>
      </c>
      <c r="AT181" s="59"/>
      <c r="AU181" s="59"/>
      <c r="AV181" s="59"/>
      <c r="AW181" s="59"/>
      <c r="AX181" s="59"/>
      <c r="AY181" s="60" t="str">
        <f>IF('Cálculo MP'!K191="","",'Cálculo MP'!K191)</f>
        <v/>
      </c>
      <c r="AZ181" s="60" t="str">
        <f>IF('Cálculo MP'!L191="","",'Cálculo MP'!L191)</f>
        <v/>
      </c>
      <c r="BA181" s="60" t="str">
        <f>IF('Cálculo MP'!M191="","",'Cálculo MP'!M191)</f>
        <v/>
      </c>
      <c r="BB181" s="60" t="str">
        <f>IF('Cálculo MP'!N191="","",'Cálculo MP'!N191)</f>
        <v/>
      </c>
      <c r="BC181" s="60" t="str">
        <f>IF('Cálculo MP'!O191="","",'Cálculo MP'!O191)</f>
        <v/>
      </c>
      <c r="BD181" s="60" t="str">
        <f>IF('Cálculo MP'!P191="","",'Cálculo MP'!P191)</f>
        <v/>
      </c>
      <c r="BE181" s="60" t="str">
        <f>IF('Cálculo MP'!Q191="","",'Cálculo MP'!Q191)</f>
        <v/>
      </c>
      <c r="BF181" s="60" t="str">
        <f>IF('Cálculo MP'!R191="","",'Cálculo MP'!R191)</f>
        <v/>
      </c>
      <c r="BG181" s="60" t="str">
        <f>IF('Cálculo MP'!S191="","",'Cálculo MP'!S191)</f>
        <v/>
      </c>
      <c r="BH181" s="59"/>
      <c r="BI181" s="59"/>
      <c r="BJ181" s="59"/>
      <c r="BK181" s="59"/>
      <c r="BL181" s="59"/>
      <c r="BM181" s="59"/>
      <c r="BN181" s="59"/>
      <c r="BO181" s="59"/>
    </row>
    <row r="182" spans="1:67" ht="19.5" customHeight="1" x14ac:dyDescent="0.15">
      <c r="A182" s="123" t="s">
        <v>1856</v>
      </c>
      <c r="B182" s="122" t="s">
        <v>1854</v>
      </c>
      <c r="C182" s="49"/>
      <c r="D182" s="48" t="s">
        <v>73</v>
      </c>
      <c r="E182" s="49"/>
      <c r="F182" s="50"/>
      <c r="G182" s="62"/>
      <c r="H182" s="48" t="s">
        <v>72</v>
      </c>
      <c r="I182" s="52">
        <v>1</v>
      </c>
      <c r="J182" s="52"/>
      <c r="K182" s="52" t="s">
        <v>73</v>
      </c>
      <c r="L182" s="52" t="s">
        <v>74</v>
      </c>
      <c r="M182" s="53" t="s">
        <v>942</v>
      </c>
      <c r="N182" s="58" t="s">
        <v>73</v>
      </c>
      <c r="O182" s="48" t="s">
        <v>72</v>
      </c>
      <c r="P182" s="48" t="s">
        <v>73</v>
      </c>
      <c r="Q182" s="54" t="s">
        <v>73</v>
      </c>
      <c r="R182" s="55" t="s">
        <v>73</v>
      </c>
      <c r="S182" s="48" t="s">
        <v>73</v>
      </c>
      <c r="T182" s="130"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8" t="str" cm="1">
        <f t="array" ref="U182">IF(SUMPRODUCT(--((CAT_Procesos!$E$2:$E$1581=O182)*(CAT_Procesos!$F$2:$F$1581=_xlfn.TEXTJOIN(" + ",TRUE,IF((TRIM(P182:S182)="")+(LOWER(TRIM(P182:S182))="(seleccione)"),"",PROPER(TRIM(P182:S182)))))*(CAT_Procesos!$D$2:$D$1581=IFERROR(VLOOKUP(N182&amp;"*",CAT_Procesos!$D:$D,1,FALSE),""))))=0,"Combinación no existente",IF(SUMPRODUCT(((CAT_Procesos!$E$2:$E$1581=O182)*(CAT_Procesos!$F$2:$F$1581=_xlfn.TEXTJOIN(" + ",TRUE,IF((TRIM(P182:S182)="")+(LOWER(TRIM(P182:S182))="(seleccione)"),"",PROPER(TRIM(P182:S182)))))*(CAT_Procesos!$D$2:$D$1581=IFERROR(VLOOKUP(N182&amp;"*",CAT_Procesos!$D:$D,1,FALSE),"")))*(CAT_Procesos!$G$2:$G$1581=INDEX(CAT_Procesos!$G$2:$G$1581,MATCH(1,(CAT_Procesos!$E$2:$E$1581=O182)*(CAT_Procesos!$F$2:$F$1581=_xlfn.TEXTJOIN(" + ",TRUE,IF((TRIM(P182:S182)="")+(LOWER(TRIM(P182:S182))="(seleccione)"),"",PROPER(TRIM(P182:S182)))))*(CAT_Procesos!$D$2:$D$1581=IFERROR(VLOOKUP(N182&amp;"*",CAT_Procesos!$D:$D,1,FALSE),"")),0))))=SUMPRODUCT(--((CAT_Procesos!$E$2:$E$1581=O182)*(CAT_Procesos!$F$2:$F$1581=_xlfn.TEXTJOIN(" + ",TRUE,IF((TRIM(P182:S182)="")+(LOWER(TRIM(P182:S182))="(seleccione)"),"",PROPER(TRIM(P182:S182)))))*(CAT_Procesos!$D$2:$D$1581=IFERROR(VLOOKUP(N182&amp;"*",CAT_Procesos!$D:$D,1,FALSE),"")))),INDEX(CAT_Procesos!$G$2:$G$1581,MATCH(1,(CAT_Procesos!$E$2:$E$1581=O182)*(CAT_Procesos!$F$2:$F$1581=_xlfn.TEXTJOIN(" + ",TRUE,IF((TRIM(P182:S182)="")+(LOWER(TRIM(P182:S182))="(seleccione)"),"",PROPER(TRIM(P182:S182)))))*(CAT_Procesos!$D$2:$D$1581=IFERROR(VLOOKUP(N182&amp;"*",CAT_Procesos!$D:$D,1,FALSE),"")),0)),"(seleccione)"))</f>
        <v>Combinación no existente</v>
      </c>
      <c r="V182" s="55" t="s">
        <v>73</v>
      </c>
      <c r="W182" s="56" t="s">
        <v>73</v>
      </c>
      <c r="X182" s="57" t="str">
        <f t="shared" si="8"/>
        <v/>
      </c>
      <c r="Y182" s="58" t="s">
        <v>73</v>
      </c>
      <c r="Z182" s="57" t="str">
        <f t="shared" si="9"/>
        <v/>
      </c>
      <c r="AA182" s="58" t="s">
        <v>73</v>
      </c>
      <c r="AB182" s="57" t="str">
        <f t="shared" si="10"/>
        <v/>
      </c>
      <c r="AC182" s="58" t="s">
        <v>73</v>
      </c>
      <c r="AD182" s="57" t="str">
        <f t="shared" si="11"/>
        <v/>
      </c>
      <c r="AE182" s="59"/>
      <c r="AF182" s="59"/>
      <c r="AG182" s="59"/>
      <c r="AH182" s="59"/>
      <c r="AI182" s="59" t="s">
        <v>73</v>
      </c>
      <c r="AJ182" s="59"/>
      <c r="AK182" s="59" t="s">
        <v>73</v>
      </c>
      <c r="AL182" s="59"/>
      <c r="AM182" s="59" t="s">
        <v>73</v>
      </c>
      <c r="AN182" s="59"/>
      <c r="AO182" s="59" t="s">
        <v>73</v>
      </c>
      <c r="AP182" s="59"/>
      <c r="AQ182" s="59" t="s">
        <v>73</v>
      </c>
      <c r="AR182" s="59"/>
      <c r="AS182" s="59" t="s">
        <v>72</v>
      </c>
      <c r="AT182" s="59"/>
      <c r="AU182" s="59"/>
      <c r="AV182" s="59"/>
      <c r="AW182" s="59"/>
      <c r="AX182" s="59"/>
      <c r="AY182" s="60" t="str">
        <f>IF('Cálculo MP'!K192="","",'Cálculo MP'!K192)</f>
        <v/>
      </c>
      <c r="AZ182" s="60" t="str">
        <f>IF('Cálculo MP'!L192="","",'Cálculo MP'!L192)</f>
        <v/>
      </c>
      <c r="BA182" s="60" t="str">
        <f>IF('Cálculo MP'!M192="","",'Cálculo MP'!M192)</f>
        <v/>
      </c>
      <c r="BB182" s="60" t="str">
        <f>IF('Cálculo MP'!N192="","",'Cálculo MP'!N192)</f>
        <v/>
      </c>
      <c r="BC182" s="60" t="str">
        <f>IF('Cálculo MP'!O192="","",'Cálculo MP'!O192)</f>
        <v/>
      </c>
      <c r="BD182" s="60" t="str">
        <f>IF('Cálculo MP'!P192="","",'Cálculo MP'!P192)</f>
        <v/>
      </c>
      <c r="BE182" s="60" t="str">
        <f>IF('Cálculo MP'!Q192="","",'Cálculo MP'!Q192)</f>
        <v/>
      </c>
      <c r="BF182" s="60" t="str">
        <f>IF('Cálculo MP'!R192="","",'Cálculo MP'!R192)</f>
        <v/>
      </c>
      <c r="BG182" s="60" t="str">
        <f>IF('Cálculo MP'!S192="","",'Cálculo MP'!S192)</f>
        <v/>
      </c>
      <c r="BH182" s="59"/>
      <c r="BI182" s="59"/>
      <c r="BJ182" s="59"/>
      <c r="BK182" s="59"/>
      <c r="BL182" s="59"/>
      <c r="BM182" s="59"/>
      <c r="BN182" s="59"/>
      <c r="BO182" s="59"/>
    </row>
    <row r="183" spans="1:67" ht="19.5" customHeight="1" x14ac:dyDescent="0.15">
      <c r="A183" s="123" t="s">
        <v>1856</v>
      </c>
      <c r="B183" s="122" t="s">
        <v>1854</v>
      </c>
      <c r="C183" s="49"/>
      <c r="D183" s="48" t="s">
        <v>73</v>
      </c>
      <c r="E183" s="49"/>
      <c r="F183" s="50"/>
      <c r="G183" s="62"/>
      <c r="H183" s="48" t="s">
        <v>72</v>
      </c>
      <c r="I183" s="52">
        <v>1</v>
      </c>
      <c r="J183" s="52"/>
      <c r="K183" s="52" t="s">
        <v>73</v>
      </c>
      <c r="L183" s="52" t="s">
        <v>74</v>
      </c>
      <c r="M183" s="53" t="s">
        <v>942</v>
      </c>
      <c r="N183" s="58" t="s">
        <v>73</v>
      </c>
      <c r="O183" s="48" t="s">
        <v>72</v>
      </c>
      <c r="P183" s="48" t="s">
        <v>73</v>
      </c>
      <c r="Q183" s="54" t="s">
        <v>73</v>
      </c>
      <c r="R183" s="55" t="s">
        <v>73</v>
      </c>
      <c r="S183" s="48" t="s">
        <v>73</v>
      </c>
      <c r="T183" s="130"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8" t="str" cm="1">
        <f t="array" ref="U183">IF(SUMPRODUCT(--((CAT_Procesos!$E$2:$E$1581=O183)*(CAT_Procesos!$F$2:$F$1581=_xlfn.TEXTJOIN(" + ",TRUE,IF((TRIM(P183:S183)="")+(LOWER(TRIM(P183:S183))="(seleccione)"),"",PROPER(TRIM(P183:S183)))))*(CAT_Procesos!$D$2:$D$1581=IFERROR(VLOOKUP(N183&amp;"*",CAT_Procesos!$D:$D,1,FALSE),""))))=0,"Combinación no existente",IF(SUMPRODUCT(((CAT_Procesos!$E$2:$E$1581=O183)*(CAT_Procesos!$F$2:$F$1581=_xlfn.TEXTJOIN(" + ",TRUE,IF((TRIM(P183:S183)="")+(LOWER(TRIM(P183:S183))="(seleccione)"),"",PROPER(TRIM(P183:S183)))))*(CAT_Procesos!$D$2:$D$1581=IFERROR(VLOOKUP(N183&amp;"*",CAT_Procesos!$D:$D,1,FALSE),"")))*(CAT_Procesos!$G$2:$G$1581=INDEX(CAT_Procesos!$G$2:$G$1581,MATCH(1,(CAT_Procesos!$E$2:$E$1581=O183)*(CAT_Procesos!$F$2:$F$1581=_xlfn.TEXTJOIN(" + ",TRUE,IF((TRIM(P183:S183)="")+(LOWER(TRIM(P183:S183))="(seleccione)"),"",PROPER(TRIM(P183:S183)))))*(CAT_Procesos!$D$2:$D$1581=IFERROR(VLOOKUP(N183&amp;"*",CAT_Procesos!$D:$D,1,FALSE),"")),0))))=SUMPRODUCT(--((CAT_Procesos!$E$2:$E$1581=O183)*(CAT_Procesos!$F$2:$F$1581=_xlfn.TEXTJOIN(" + ",TRUE,IF((TRIM(P183:S183)="")+(LOWER(TRIM(P183:S183))="(seleccione)"),"",PROPER(TRIM(P183:S183)))))*(CAT_Procesos!$D$2:$D$1581=IFERROR(VLOOKUP(N183&amp;"*",CAT_Procesos!$D:$D,1,FALSE),"")))),INDEX(CAT_Procesos!$G$2:$G$1581,MATCH(1,(CAT_Procesos!$E$2:$E$1581=O183)*(CAT_Procesos!$F$2:$F$1581=_xlfn.TEXTJOIN(" + ",TRUE,IF((TRIM(P183:S183)="")+(LOWER(TRIM(P183:S183))="(seleccione)"),"",PROPER(TRIM(P183:S183)))))*(CAT_Procesos!$D$2:$D$1581=IFERROR(VLOOKUP(N183&amp;"*",CAT_Procesos!$D:$D,1,FALSE),"")),0)),"(seleccione)"))</f>
        <v>Combinación no existente</v>
      </c>
      <c r="V183" s="55" t="s">
        <v>73</v>
      </c>
      <c r="W183" s="56" t="s">
        <v>73</v>
      </c>
      <c r="X183" s="57" t="str">
        <f t="shared" si="8"/>
        <v/>
      </c>
      <c r="Y183" s="58" t="s">
        <v>73</v>
      </c>
      <c r="Z183" s="57" t="str">
        <f t="shared" si="9"/>
        <v/>
      </c>
      <c r="AA183" s="58" t="s">
        <v>73</v>
      </c>
      <c r="AB183" s="57" t="str">
        <f t="shared" si="10"/>
        <v/>
      </c>
      <c r="AC183" s="58" t="s">
        <v>73</v>
      </c>
      <c r="AD183" s="57" t="str">
        <f t="shared" si="11"/>
        <v/>
      </c>
      <c r="AE183" s="59"/>
      <c r="AF183" s="59"/>
      <c r="AG183" s="59"/>
      <c r="AH183" s="59"/>
      <c r="AI183" s="59" t="s">
        <v>73</v>
      </c>
      <c r="AJ183" s="59"/>
      <c r="AK183" s="59" t="s">
        <v>73</v>
      </c>
      <c r="AL183" s="59"/>
      <c r="AM183" s="59" t="s">
        <v>73</v>
      </c>
      <c r="AN183" s="59"/>
      <c r="AO183" s="59" t="s">
        <v>73</v>
      </c>
      <c r="AP183" s="59"/>
      <c r="AQ183" s="59" t="s">
        <v>73</v>
      </c>
      <c r="AR183" s="59"/>
      <c r="AS183" s="59" t="s">
        <v>72</v>
      </c>
      <c r="AT183" s="59"/>
      <c r="AU183" s="59"/>
      <c r="AV183" s="59"/>
      <c r="AW183" s="59"/>
      <c r="AX183" s="59"/>
      <c r="AY183" s="60" t="str">
        <f>IF('Cálculo MP'!K193="","",'Cálculo MP'!K193)</f>
        <v/>
      </c>
      <c r="AZ183" s="60" t="str">
        <f>IF('Cálculo MP'!L193="","",'Cálculo MP'!L193)</f>
        <v/>
      </c>
      <c r="BA183" s="60" t="str">
        <f>IF('Cálculo MP'!M193="","",'Cálculo MP'!M193)</f>
        <v/>
      </c>
      <c r="BB183" s="60" t="str">
        <f>IF('Cálculo MP'!N193="","",'Cálculo MP'!N193)</f>
        <v/>
      </c>
      <c r="BC183" s="60" t="str">
        <f>IF('Cálculo MP'!O193="","",'Cálculo MP'!O193)</f>
        <v/>
      </c>
      <c r="BD183" s="60" t="str">
        <f>IF('Cálculo MP'!P193="","",'Cálculo MP'!P193)</f>
        <v/>
      </c>
      <c r="BE183" s="60" t="str">
        <f>IF('Cálculo MP'!Q193="","",'Cálculo MP'!Q193)</f>
        <v/>
      </c>
      <c r="BF183" s="60" t="str">
        <f>IF('Cálculo MP'!R193="","",'Cálculo MP'!R193)</f>
        <v/>
      </c>
      <c r="BG183" s="60" t="str">
        <f>IF('Cálculo MP'!S193="","",'Cálculo MP'!S193)</f>
        <v/>
      </c>
      <c r="BH183" s="59"/>
      <c r="BI183" s="59"/>
      <c r="BJ183" s="59"/>
      <c r="BK183" s="59"/>
      <c r="BL183" s="59"/>
      <c r="BM183" s="59"/>
      <c r="BN183" s="59"/>
      <c r="BO183" s="59"/>
    </row>
    <row r="184" spans="1:67" ht="19.5" customHeight="1" x14ac:dyDescent="0.15">
      <c r="A184" s="123" t="s">
        <v>1856</v>
      </c>
      <c r="B184" s="122" t="s">
        <v>1854</v>
      </c>
      <c r="C184" s="49"/>
      <c r="D184" s="48" t="s">
        <v>73</v>
      </c>
      <c r="E184" s="49"/>
      <c r="F184" s="50"/>
      <c r="G184" s="62"/>
      <c r="H184" s="48" t="s">
        <v>72</v>
      </c>
      <c r="I184" s="52">
        <v>1</v>
      </c>
      <c r="J184" s="52"/>
      <c r="K184" s="52" t="s">
        <v>73</v>
      </c>
      <c r="L184" s="52" t="s">
        <v>74</v>
      </c>
      <c r="M184" s="53" t="s">
        <v>942</v>
      </c>
      <c r="N184" s="58" t="s">
        <v>73</v>
      </c>
      <c r="O184" s="48" t="s">
        <v>72</v>
      </c>
      <c r="P184" s="48" t="s">
        <v>73</v>
      </c>
      <c r="Q184" s="54" t="s">
        <v>73</v>
      </c>
      <c r="R184" s="55" t="s">
        <v>73</v>
      </c>
      <c r="S184" s="48" t="s">
        <v>73</v>
      </c>
      <c r="T184" s="130"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8" t="str" cm="1">
        <f t="array" ref="U184">IF(SUMPRODUCT(--((CAT_Procesos!$E$2:$E$1581=O184)*(CAT_Procesos!$F$2:$F$1581=_xlfn.TEXTJOIN(" + ",TRUE,IF((TRIM(P184:S184)="")+(LOWER(TRIM(P184:S184))="(seleccione)"),"",PROPER(TRIM(P184:S184)))))*(CAT_Procesos!$D$2:$D$1581=IFERROR(VLOOKUP(N184&amp;"*",CAT_Procesos!$D:$D,1,FALSE),""))))=0,"Combinación no existente",IF(SUMPRODUCT(((CAT_Procesos!$E$2:$E$1581=O184)*(CAT_Procesos!$F$2:$F$1581=_xlfn.TEXTJOIN(" + ",TRUE,IF((TRIM(P184:S184)="")+(LOWER(TRIM(P184:S184))="(seleccione)"),"",PROPER(TRIM(P184:S184)))))*(CAT_Procesos!$D$2:$D$1581=IFERROR(VLOOKUP(N184&amp;"*",CAT_Procesos!$D:$D,1,FALSE),"")))*(CAT_Procesos!$G$2:$G$1581=INDEX(CAT_Procesos!$G$2:$G$1581,MATCH(1,(CAT_Procesos!$E$2:$E$1581=O184)*(CAT_Procesos!$F$2:$F$1581=_xlfn.TEXTJOIN(" + ",TRUE,IF((TRIM(P184:S184)="")+(LOWER(TRIM(P184:S184))="(seleccione)"),"",PROPER(TRIM(P184:S184)))))*(CAT_Procesos!$D$2:$D$1581=IFERROR(VLOOKUP(N184&amp;"*",CAT_Procesos!$D:$D,1,FALSE),"")),0))))=SUMPRODUCT(--((CAT_Procesos!$E$2:$E$1581=O184)*(CAT_Procesos!$F$2:$F$1581=_xlfn.TEXTJOIN(" + ",TRUE,IF((TRIM(P184:S184)="")+(LOWER(TRIM(P184:S184))="(seleccione)"),"",PROPER(TRIM(P184:S184)))))*(CAT_Procesos!$D$2:$D$1581=IFERROR(VLOOKUP(N184&amp;"*",CAT_Procesos!$D:$D,1,FALSE),"")))),INDEX(CAT_Procesos!$G$2:$G$1581,MATCH(1,(CAT_Procesos!$E$2:$E$1581=O184)*(CAT_Procesos!$F$2:$F$1581=_xlfn.TEXTJOIN(" + ",TRUE,IF((TRIM(P184:S184)="")+(LOWER(TRIM(P184:S184))="(seleccione)"),"",PROPER(TRIM(P184:S184)))))*(CAT_Procesos!$D$2:$D$1581=IFERROR(VLOOKUP(N184&amp;"*",CAT_Procesos!$D:$D,1,FALSE),"")),0)),"(seleccione)"))</f>
        <v>Combinación no existente</v>
      </c>
      <c r="V184" s="55" t="s">
        <v>73</v>
      </c>
      <c r="W184" s="56" t="s">
        <v>73</v>
      </c>
      <c r="X184" s="57" t="str">
        <f t="shared" si="8"/>
        <v/>
      </c>
      <c r="Y184" s="58" t="s">
        <v>73</v>
      </c>
      <c r="Z184" s="57" t="str">
        <f t="shared" si="9"/>
        <v/>
      </c>
      <c r="AA184" s="58" t="s">
        <v>73</v>
      </c>
      <c r="AB184" s="57" t="str">
        <f t="shared" si="10"/>
        <v/>
      </c>
      <c r="AC184" s="58" t="s">
        <v>73</v>
      </c>
      <c r="AD184" s="57" t="str">
        <f t="shared" si="11"/>
        <v/>
      </c>
      <c r="AE184" s="59"/>
      <c r="AF184" s="59"/>
      <c r="AG184" s="59"/>
      <c r="AH184" s="59"/>
      <c r="AI184" s="59" t="s">
        <v>73</v>
      </c>
      <c r="AJ184" s="59"/>
      <c r="AK184" s="59" t="s">
        <v>73</v>
      </c>
      <c r="AL184" s="59"/>
      <c r="AM184" s="59" t="s">
        <v>73</v>
      </c>
      <c r="AN184" s="59"/>
      <c r="AO184" s="59" t="s">
        <v>73</v>
      </c>
      <c r="AP184" s="59"/>
      <c r="AQ184" s="59" t="s">
        <v>73</v>
      </c>
      <c r="AR184" s="59"/>
      <c r="AS184" s="59" t="s">
        <v>72</v>
      </c>
      <c r="AT184" s="59"/>
      <c r="AU184" s="59"/>
      <c r="AV184" s="59"/>
      <c r="AW184" s="59"/>
      <c r="AX184" s="59"/>
      <c r="AY184" s="60" t="str">
        <f>IF('Cálculo MP'!K194="","",'Cálculo MP'!K194)</f>
        <v/>
      </c>
      <c r="AZ184" s="60" t="str">
        <f>IF('Cálculo MP'!L194="","",'Cálculo MP'!L194)</f>
        <v/>
      </c>
      <c r="BA184" s="60" t="str">
        <f>IF('Cálculo MP'!M194="","",'Cálculo MP'!M194)</f>
        <v/>
      </c>
      <c r="BB184" s="60" t="str">
        <f>IF('Cálculo MP'!N194="","",'Cálculo MP'!N194)</f>
        <v/>
      </c>
      <c r="BC184" s="60" t="str">
        <f>IF('Cálculo MP'!O194="","",'Cálculo MP'!O194)</f>
        <v/>
      </c>
      <c r="BD184" s="60" t="str">
        <f>IF('Cálculo MP'!P194="","",'Cálculo MP'!P194)</f>
        <v/>
      </c>
      <c r="BE184" s="60" t="str">
        <f>IF('Cálculo MP'!Q194="","",'Cálculo MP'!Q194)</f>
        <v/>
      </c>
      <c r="BF184" s="60" t="str">
        <f>IF('Cálculo MP'!R194="","",'Cálculo MP'!R194)</f>
        <v/>
      </c>
      <c r="BG184" s="60" t="str">
        <f>IF('Cálculo MP'!S194="","",'Cálculo MP'!S194)</f>
        <v/>
      </c>
      <c r="BH184" s="59"/>
      <c r="BI184" s="59"/>
      <c r="BJ184" s="59"/>
      <c r="BK184" s="59"/>
      <c r="BL184" s="59"/>
      <c r="BM184" s="59"/>
      <c r="BN184" s="59"/>
      <c r="BO184" s="59"/>
    </row>
    <row r="185" spans="1:67" ht="19.5" customHeight="1" x14ac:dyDescent="0.15">
      <c r="A185" s="123" t="s">
        <v>1856</v>
      </c>
      <c r="B185" s="122" t="s">
        <v>1854</v>
      </c>
      <c r="C185" s="49"/>
      <c r="D185" s="48" t="s">
        <v>73</v>
      </c>
      <c r="E185" s="49"/>
      <c r="F185" s="50"/>
      <c r="G185" s="62"/>
      <c r="H185" s="48" t="s">
        <v>72</v>
      </c>
      <c r="I185" s="52">
        <v>1</v>
      </c>
      <c r="J185" s="52"/>
      <c r="K185" s="52" t="s">
        <v>73</v>
      </c>
      <c r="L185" s="52" t="s">
        <v>74</v>
      </c>
      <c r="M185" s="53" t="s">
        <v>942</v>
      </c>
      <c r="N185" s="58" t="s">
        <v>73</v>
      </c>
      <c r="O185" s="48" t="s">
        <v>72</v>
      </c>
      <c r="P185" s="48" t="s">
        <v>73</v>
      </c>
      <c r="Q185" s="54" t="s">
        <v>73</v>
      </c>
      <c r="R185" s="55" t="s">
        <v>73</v>
      </c>
      <c r="S185" s="48" t="s">
        <v>73</v>
      </c>
      <c r="T185" s="130"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8" t="str" cm="1">
        <f t="array" ref="U185">IF(SUMPRODUCT(--((CAT_Procesos!$E$2:$E$1581=O185)*(CAT_Procesos!$F$2:$F$1581=_xlfn.TEXTJOIN(" + ",TRUE,IF((TRIM(P185:S185)="")+(LOWER(TRIM(P185:S185))="(seleccione)"),"",PROPER(TRIM(P185:S185)))))*(CAT_Procesos!$D$2:$D$1581=IFERROR(VLOOKUP(N185&amp;"*",CAT_Procesos!$D:$D,1,FALSE),""))))=0,"Combinación no existente",IF(SUMPRODUCT(((CAT_Procesos!$E$2:$E$1581=O185)*(CAT_Procesos!$F$2:$F$1581=_xlfn.TEXTJOIN(" + ",TRUE,IF((TRIM(P185:S185)="")+(LOWER(TRIM(P185:S185))="(seleccione)"),"",PROPER(TRIM(P185:S185)))))*(CAT_Procesos!$D$2:$D$1581=IFERROR(VLOOKUP(N185&amp;"*",CAT_Procesos!$D:$D,1,FALSE),"")))*(CAT_Procesos!$G$2:$G$1581=INDEX(CAT_Procesos!$G$2:$G$1581,MATCH(1,(CAT_Procesos!$E$2:$E$1581=O185)*(CAT_Procesos!$F$2:$F$1581=_xlfn.TEXTJOIN(" + ",TRUE,IF((TRIM(P185:S185)="")+(LOWER(TRIM(P185:S185))="(seleccione)"),"",PROPER(TRIM(P185:S185)))))*(CAT_Procesos!$D$2:$D$1581=IFERROR(VLOOKUP(N185&amp;"*",CAT_Procesos!$D:$D,1,FALSE),"")),0))))=SUMPRODUCT(--((CAT_Procesos!$E$2:$E$1581=O185)*(CAT_Procesos!$F$2:$F$1581=_xlfn.TEXTJOIN(" + ",TRUE,IF((TRIM(P185:S185)="")+(LOWER(TRIM(P185:S185))="(seleccione)"),"",PROPER(TRIM(P185:S185)))))*(CAT_Procesos!$D$2:$D$1581=IFERROR(VLOOKUP(N185&amp;"*",CAT_Procesos!$D:$D,1,FALSE),"")))),INDEX(CAT_Procesos!$G$2:$G$1581,MATCH(1,(CAT_Procesos!$E$2:$E$1581=O185)*(CAT_Procesos!$F$2:$F$1581=_xlfn.TEXTJOIN(" + ",TRUE,IF((TRIM(P185:S185)="")+(LOWER(TRIM(P185:S185))="(seleccione)"),"",PROPER(TRIM(P185:S185)))))*(CAT_Procesos!$D$2:$D$1581=IFERROR(VLOOKUP(N185&amp;"*",CAT_Procesos!$D:$D,1,FALSE),"")),0)),"(seleccione)"))</f>
        <v>Combinación no existente</v>
      </c>
      <c r="V185" s="55" t="s">
        <v>73</v>
      </c>
      <c r="W185" s="56" t="s">
        <v>73</v>
      </c>
      <c r="X185" s="57" t="str">
        <f t="shared" si="8"/>
        <v/>
      </c>
      <c r="Y185" s="58" t="s">
        <v>73</v>
      </c>
      <c r="Z185" s="57" t="str">
        <f t="shared" si="9"/>
        <v/>
      </c>
      <c r="AA185" s="58" t="s">
        <v>73</v>
      </c>
      <c r="AB185" s="57" t="str">
        <f t="shared" si="10"/>
        <v/>
      </c>
      <c r="AC185" s="58" t="s">
        <v>73</v>
      </c>
      <c r="AD185" s="57" t="str">
        <f t="shared" si="11"/>
        <v/>
      </c>
      <c r="AE185" s="59"/>
      <c r="AF185" s="59"/>
      <c r="AG185" s="59"/>
      <c r="AH185" s="59"/>
      <c r="AI185" s="59" t="s">
        <v>73</v>
      </c>
      <c r="AJ185" s="59"/>
      <c r="AK185" s="59" t="s">
        <v>73</v>
      </c>
      <c r="AL185" s="59"/>
      <c r="AM185" s="59" t="s">
        <v>73</v>
      </c>
      <c r="AN185" s="59"/>
      <c r="AO185" s="59" t="s">
        <v>73</v>
      </c>
      <c r="AP185" s="59"/>
      <c r="AQ185" s="59" t="s">
        <v>73</v>
      </c>
      <c r="AR185" s="59"/>
      <c r="AS185" s="59" t="s">
        <v>72</v>
      </c>
      <c r="AT185" s="59"/>
      <c r="AU185" s="59"/>
      <c r="AV185" s="59"/>
      <c r="AW185" s="59"/>
      <c r="AX185" s="59"/>
      <c r="AY185" s="60" t="str">
        <f>IF('Cálculo MP'!K195="","",'Cálculo MP'!K195)</f>
        <v/>
      </c>
      <c r="AZ185" s="60" t="str">
        <f>IF('Cálculo MP'!L195="","",'Cálculo MP'!L195)</f>
        <v/>
      </c>
      <c r="BA185" s="60" t="str">
        <f>IF('Cálculo MP'!M195="","",'Cálculo MP'!M195)</f>
        <v/>
      </c>
      <c r="BB185" s="60" t="str">
        <f>IF('Cálculo MP'!N195="","",'Cálculo MP'!N195)</f>
        <v/>
      </c>
      <c r="BC185" s="60" t="str">
        <f>IF('Cálculo MP'!O195="","",'Cálculo MP'!O195)</f>
        <v/>
      </c>
      <c r="BD185" s="60" t="str">
        <f>IF('Cálculo MP'!P195="","",'Cálculo MP'!P195)</f>
        <v/>
      </c>
      <c r="BE185" s="60" t="str">
        <f>IF('Cálculo MP'!Q195="","",'Cálculo MP'!Q195)</f>
        <v/>
      </c>
      <c r="BF185" s="60" t="str">
        <f>IF('Cálculo MP'!R195="","",'Cálculo MP'!R195)</f>
        <v/>
      </c>
      <c r="BG185" s="60" t="str">
        <f>IF('Cálculo MP'!S195="","",'Cálculo MP'!S195)</f>
        <v/>
      </c>
      <c r="BH185" s="59"/>
      <c r="BI185" s="59"/>
      <c r="BJ185" s="59"/>
      <c r="BK185" s="59"/>
      <c r="BL185" s="59"/>
      <c r="BM185" s="59"/>
      <c r="BN185" s="59"/>
      <c r="BO185" s="59"/>
    </row>
    <row r="186" spans="1:67" ht="19.5" customHeight="1" x14ac:dyDescent="0.15">
      <c r="A186" s="123" t="s">
        <v>1856</v>
      </c>
      <c r="B186" s="122" t="s">
        <v>1854</v>
      </c>
      <c r="C186" s="49"/>
      <c r="D186" s="48" t="s">
        <v>73</v>
      </c>
      <c r="E186" s="49"/>
      <c r="F186" s="50"/>
      <c r="G186" s="62"/>
      <c r="H186" s="48" t="s">
        <v>72</v>
      </c>
      <c r="I186" s="52">
        <v>1</v>
      </c>
      <c r="J186" s="52"/>
      <c r="K186" s="52" t="s">
        <v>73</v>
      </c>
      <c r="L186" s="52" t="s">
        <v>74</v>
      </c>
      <c r="M186" s="53" t="s">
        <v>942</v>
      </c>
      <c r="N186" s="58" t="s">
        <v>73</v>
      </c>
      <c r="O186" s="48" t="s">
        <v>72</v>
      </c>
      <c r="P186" s="48" t="s">
        <v>73</v>
      </c>
      <c r="Q186" s="54" t="s">
        <v>73</v>
      </c>
      <c r="R186" s="55" t="s">
        <v>73</v>
      </c>
      <c r="S186" s="48" t="s">
        <v>73</v>
      </c>
      <c r="T186" s="130"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8" t="str" cm="1">
        <f t="array" ref="U186">IF(SUMPRODUCT(--((CAT_Procesos!$E$2:$E$1581=O186)*(CAT_Procesos!$F$2:$F$1581=_xlfn.TEXTJOIN(" + ",TRUE,IF((TRIM(P186:S186)="")+(LOWER(TRIM(P186:S186))="(seleccione)"),"",PROPER(TRIM(P186:S186)))))*(CAT_Procesos!$D$2:$D$1581=IFERROR(VLOOKUP(N186&amp;"*",CAT_Procesos!$D:$D,1,FALSE),""))))=0,"Combinación no existente",IF(SUMPRODUCT(((CAT_Procesos!$E$2:$E$1581=O186)*(CAT_Procesos!$F$2:$F$1581=_xlfn.TEXTJOIN(" + ",TRUE,IF((TRIM(P186:S186)="")+(LOWER(TRIM(P186:S186))="(seleccione)"),"",PROPER(TRIM(P186:S186)))))*(CAT_Procesos!$D$2:$D$1581=IFERROR(VLOOKUP(N186&amp;"*",CAT_Procesos!$D:$D,1,FALSE),"")))*(CAT_Procesos!$G$2:$G$1581=INDEX(CAT_Procesos!$G$2:$G$1581,MATCH(1,(CAT_Procesos!$E$2:$E$1581=O186)*(CAT_Procesos!$F$2:$F$1581=_xlfn.TEXTJOIN(" + ",TRUE,IF((TRIM(P186:S186)="")+(LOWER(TRIM(P186:S186))="(seleccione)"),"",PROPER(TRIM(P186:S186)))))*(CAT_Procesos!$D$2:$D$1581=IFERROR(VLOOKUP(N186&amp;"*",CAT_Procesos!$D:$D,1,FALSE),"")),0))))=SUMPRODUCT(--((CAT_Procesos!$E$2:$E$1581=O186)*(CAT_Procesos!$F$2:$F$1581=_xlfn.TEXTJOIN(" + ",TRUE,IF((TRIM(P186:S186)="")+(LOWER(TRIM(P186:S186))="(seleccione)"),"",PROPER(TRIM(P186:S186)))))*(CAT_Procesos!$D$2:$D$1581=IFERROR(VLOOKUP(N186&amp;"*",CAT_Procesos!$D:$D,1,FALSE),"")))),INDEX(CAT_Procesos!$G$2:$G$1581,MATCH(1,(CAT_Procesos!$E$2:$E$1581=O186)*(CAT_Procesos!$F$2:$F$1581=_xlfn.TEXTJOIN(" + ",TRUE,IF((TRIM(P186:S186)="")+(LOWER(TRIM(P186:S186))="(seleccione)"),"",PROPER(TRIM(P186:S186)))))*(CAT_Procesos!$D$2:$D$1581=IFERROR(VLOOKUP(N186&amp;"*",CAT_Procesos!$D:$D,1,FALSE),"")),0)),"(seleccione)"))</f>
        <v>Combinación no existente</v>
      </c>
      <c r="V186" s="55" t="s">
        <v>73</v>
      </c>
      <c r="W186" s="56" t="s">
        <v>73</v>
      </c>
      <c r="X186" s="57" t="str">
        <f t="shared" si="8"/>
        <v/>
      </c>
      <c r="Y186" s="58" t="s">
        <v>73</v>
      </c>
      <c r="Z186" s="57" t="str">
        <f t="shared" si="9"/>
        <v/>
      </c>
      <c r="AA186" s="58" t="s">
        <v>73</v>
      </c>
      <c r="AB186" s="57" t="str">
        <f t="shared" si="10"/>
        <v/>
      </c>
      <c r="AC186" s="58" t="s">
        <v>73</v>
      </c>
      <c r="AD186" s="57" t="str">
        <f t="shared" si="11"/>
        <v/>
      </c>
      <c r="AE186" s="59"/>
      <c r="AF186" s="59"/>
      <c r="AG186" s="59"/>
      <c r="AH186" s="59"/>
      <c r="AI186" s="59" t="s">
        <v>73</v>
      </c>
      <c r="AJ186" s="59"/>
      <c r="AK186" s="59" t="s">
        <v>73</v>
      </c>
      <c r="AL186" s="59"/>
      <c r="AM186" s="59" t="s">
        <v>73</v>
      </c>
      <c r="AN186" s="59"/>
      <c r="AO186" s="59" t="s">
        <v>73</v>
      </c>
      <c r="AP186" s="59"/>
      <c r="AQ186" s="59" t="s">
        <v>73</v>
      </c>
      <c r="AR186" s="59"/>
      <c r="AS186" s="59" t="s">
        <v>72</v>
      </c>
      <c r="AT186" s="59"/>
      <c r="AU186" s="59"/>
      <c r="AV186" s="59"/>
      <c r="AW186" s="59"/>
      <c r="AX186" s="59"/>
      <c r="AY186" s="60" t="str">
        <f>IF('Cálculo MP'!K196="","",'Cálculo MP'!K196)</f>
        <v/>
      </c>
      <c r="AZ186" s="60" t="str">
        <f>IF('Cálculo MP'!L196="","",'Cálculo MP'!L196)</f>
        <v/>
      </c>
      <c r="BA186" s="60" t="str">
        <f>IF('Cálculo MP'!M196="","",'Cálculo MP'!M196)</f>
        <v/>
      </c>
      <c r="BB186" s="60" t="str">
        <f>IF('Cálculo MP'!N196="","",'Cálculo MP'!N196)</f>
        <v/>
      </c>
      <c r="BC186" s="60" t="str">
        <f>IF('Cálculo MP'!O196="","",'Cálculo MP'!O196)</f>
        <v/>
      </c>
      <c r="BD186" s="60" t="str">
        <f>IF('Cálculo MP'!P196="","",'Cálculo MP'!P196)</f>
        <v/>
      </c>
      <c r="BE186" s="60" t="str">
        <f>IF('Cálculo MP'!Q196="","",'Cálculo MP'!Q196)</f>
        <v/>
      </c>
      <c r="BF186" s="60" t="str">
        <f>IF('Cálculo MP'!R196="","",'Cálculo MP'!R196)</f>
        <v/>
      </c>
      <c r="BG186" s="60" t="str">
        <f>IF('Cálculo MP'!S196="","",'Cálculo MP'!S196)</f>
        <v/>
      </c>
      <c r="BH186" s="59"/>
      <c r="BI186" s="59"/>
      <c r="BJ186" s="59"/>
      <c r="BK186" s="59"/>
      <c r="BL186" s="59"/>
      <c r="BM186" s="59"/>
      <c r="BN186" s="59"/>
      <c r="BO186" s="59"/>
    </row>
    <row r="187" spans="1:67" ht="19.5" customHeight="1" x14ac:dyDescent="0.15">
      <c r="A187" s="123" t="s">
        <v>1856</v>
      </c>
      <c r="B187" s="122" t="s">
        <v>1854</v>
      </c>
      <c r="C187" s="49"/>
      <c r="D187" s="48" t="s">
        <v>73</v>
      </c>
      <c r="E187" s="49"/>
      <c r="F187" s="50"/>
      <c r="G187" s="62"/>
      <c r="H187" s="48" t="s">
        <v>72</v>
      </c>
      <c r="I187" s="52">
        <v>1</v>
      </c>
      <c r="J187" s="52"/>
      <c r="K187" s="52" t="s">
        <v>73</v>
      </c>
      <c r="L187" s="52" t="s">
        <v>74</v>
      </c>
      <c r="M187" s="53" t="s">
        <v>942</v>
      </c>
      <c r="N187" s="58" t="s">
        <v>73</v>
      </c>
      <c r="O187" s="48" t="s">
        <v>72</v>
      </c>
      <c r="P187" s="48" t="s">
        <v>73</v>
      </c>
      <c r="Q187" s="54" t="s">
        <v>73</v>
      </c>
      <c r="R187" s="55" t="s">
        <v>73</v>
      </c>
      <c r="S187" s="48" t="s">
        <v>73</v>
      </c>
      <c r="T187" s="130"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8" t="str" cm="1">
        <f t="array" ref="U187">IF(SUMPRODUCT(--((CAT_Procesos!$E$2:$E$1581=O187)*(CAT_Procesos!$F$2:$F$1581=_xlfn.TEXTJOIN(" + ",TRUE,IF((TRIM(P187:S187)="")+(LOWER(TRIM(P187:S187))="(seleccione)"),"",PROPER(TRIM(P187:S187)))))*(CAT_Procesos!$D$2:$D$1581=IFERROR(VLOOKUP(N187&amp;"*",CAT_Procesos!$D:$D,1,FALSE),""))))=0,"Combinación no existente",IF(SUMPRODUCT(((CAT_Procesos!$E$2:$E$1581=O187)*(CAT_Procesos!$F$2:$F$1581=_xlfn.TEXTJOIN(" + ",TRUE,IF((TRIM(P187:S187)="")+(LOWER(TRIM(P187:S187))="(seleccione)"),"",PROPER(TRIM(P187:S187)))))*(CAT_Procesos!$D$2:$D$1581=IFERROR(VLOOKUP(N187&amp;"*",CAT_Procesos!$D:$D,1,FALSE),"")))*(CAT_Procesos!$G$2:$G$1581=INDEX(CAT_Procesos!$G$2:$G$1581,MATCH(1,(CAT_Procesos!$E$2:$E$1581=O187)*(CAT_Procesos!$F$2:$F$1581=_xlfn.TEXTJOIN(" + ",TRUE,IF((TRIM(P187:S187)="")+(LOWER(TRIM(P187:S187))="(seleccione)"),"",PROPER(TRIM(P187:S187)))))*(CAT_Procesos!$D$2:$D$1581=IFERROR(VLOOKUP(N187&amp;"*",CAT_Procesos!$D:$D,1,FALSE),"")),0))))=SUMPRODUCT(--((CAT_Procesos!$E$2:$E$1581=O187)*(CAT_Procesos!$F$2:$F$1581=_xlfn.TEXTJOIN(" + ",TRUE,IF((TRIM(P187:S187)="")+(LOWER(TRIM(P187:S187))="(seleccione)"),"",PROPER(TRIM(P187:S187)))))*(CAT_Procesos!$D$2:$D$1581=IFERROR(VLOOKUP(N187&amp;"*",CAT_Procesos!$D:$D,1,FALSE),"")))),INDEX(CAT_Procesos!$G$2:$G$1581,MATCH(1,(CAT_Procesos!$E$2:$E$1581=O187)*(CAT_Procesos!$F$2:$F$1581=_xlfn.TEXTJOIN(" + ",TRUE,IF((TRIM(P187:S187)="")+(LOWER(TRIM(P187:S187))="(seleccione)"),"",PROPER(TRIM(P187:S187)))))*(CAT_Procesos!$D$2:$D$1581=IFERROR(VLOOKUP(N187&amp;"*",CAT_Procesos!$D:$D,1,FALSE),"")),0)),"(seleccione)"))</f>
        <v>Combinación no existente</v>
      </c>
      <c r="V187" s="55" t="s">
        <v>73</v>
      </c>
      <c r="W187" s="56" t="s">
        <v>73</v>
      </c>
      <c r="X187" s="57" t="str">
        <f t="shared" si="8"/>
        <v/>
      </c>
      <c r="Y187" s="58" t="s">
        <v>73</v>
      </c>
      <c r="Z187" s="57" t="str">
        <f t="shared" si="9"/>
        <v/>
      </c>
      <c r="AA187" s="58" t="s">
        <v>73</v>
      </c>
      <c r="AB187" s="57" t="str">
        <f t="shared" si="10"/>
        <v/>
      </c>
      <c r="AC187" s="58" t="s">
        <v>73</v>
      </c>
      <c r="AD187" s="57" t="str">
        <f t="shared" si="11"/>
        <v/>
      </c>
      <c r="AE187" s="59"/>
      <c r="AF187" s="59"/>
      <c r="AG187" s="59"/>
      <c r="AH187" s="59"/>
      <c r="AI187" s="59" t="s">
        <v>73</v>
      </c>
      <c r="AJ187" s="59"/>
      <c r="AK187" s="59" t="s">
        <v>73</v>
      </c>
      <c r="AL187" s="59"/>
      <c r="AM187" s="59" t="s">
        <v>73</v>
      </c>
      <c r="AN187" s="59"/>
      <c r="AO187" s="59" t="s">
        <v>73</v>
      </c>
      <c r="AP187" s="59"/>
      <c r="AQ187" s="59" t="s">
        <v>73</v>
      </c>
      <c r="AR187" s="59"/>
      <c r="AS187" s="59" t="s">
        <v>72</v>
      </c>
      <c r="AT187" s="59"/>
      <c r="AU187" s="59"/>
      <c r="AV187" s="59"/>
      <c r="AW187" s="59"/>
      <c r="AX187" s="59"/>
      <c r="AY187" s="60" t="str">
        <f>IF('Cálculo MP'!K197="","",'Cálculo MP'!K197)</f>
        <v/>
      </c>
      <c r="AZ187" s="60" t="str">
        <f>IF('Cálculo MP'!L197="","",'Cálculo MP'!L197)</f>
        <v/>
      </c>
      <c r="BA187" s="60" t="str">
        <f>IF('Cálculo MP'!M197="","",'Cálculo MP'!M197)</f>
        <v/>
      </c>
      <c r="BB187" s="60" t="str">
        <f>IF('Cálculo MP'!N197="","",'Cálculo MP'!N197)</f>
        <v/>
      </c>
      <c r="BC187" s="60" t="str">
        <f>IF('Cálculo MP'!O197="","",'Cálculo MP'!O197)</f>
        <v/>
      </c>
      <c r="BD187" s="60" t="str">
        <f>IF('Cálculo MP'!P197="","",'Cálculo MP'!P197)</f>
        <v/>
      </c>
      <c r="BE187" s="60" t="str">
        <f>IF('Cálculo MP'!Q197="","",'Cálculo MP'!Q197)</f>
        <v/>
      </c>
      <c r="BF187" s="60" t="str">
        <f>IF('Cálculo MP'!R197="","",'Cálculo MP'!R197)</f>
        <v/>
      </c>
      <c r="BG187" s="60" t="str">
        <f>IF('Cálculo MP'!S197="","",'Cálculo MP'!S197)</f>
        <v/>
      </c>
      <c r="BH187" s="59"/>
      <c r="BI187" s="59"/>
      <c r="BJ187" s="59"/>
      <c r="BK187" s="59"/>
      <c r="BL187" s="59"/>
      <c r="BM187" s="59"/>
      <c r="BN187" s="59"/>
      <c r="BO187" s="59"/>
    </row>
    <row r="188" spans="1:67" ht="19.5" customHeight="1" x14ac:dyDescent="0.15">
      <c r="A188" s="123" t="s">
        <v>1856</v>
      </c>
      <c r="B188" s="122" t="s">
        <v>1854</v>
      </c>
      <c r="C188" s="49"/>
      <c r="D188" s="48" t="s">
        <v>73</v>
      </c>
      <c r="E188" s="49"/>
      <c r="F188" s="50"/>
      <c r="G188" s="62"/>
      <c r="H188" s="48" t="s">
        <v>72</v>
      </c>
      <c r="I188" s="52">
        <v>1</v>
      </c>
      <c r="J188" s="52"/>
      <c r="K188" s="52" t="s">
        <v>73</v>
      </c>
      <c r="L188" s="52" t="s">
        <v>74</v>
      </c>
      <c r="M188" s="53" t="s">
        <v>942</v>
      </c>
      <c r="N188" s="58" t="s">
        <v>73</v>
      </c>
      <c r="O188" s="48" t="s">
        <v>72</v>
      </c>
      <c r="P188" s="48" t="s">
        <v>73</v>
      </c>
      <c r="Q188" s="54" t="s">
        <v>73</v>
      </c>
      <c r="R188" s="55" t="s">
        <v>73</v>
      </c>
      <c r="S188" s="48" t="s">
        <v>73</v>
      </c>
      <c r="T188" s="130"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8" t="str" cm="1">
        <f t="array" ref="U188">IF(SUMPRODUCT(--((CAT_Procesos!$E$2:$E$1581=O188)*(CAT_Procesos!$F$2:$F$1581=_xlfn.TEXTJOIN(" + ",TRUE,IF((TRIM(P188:S188)="")+(LOWER(TRIM(P188:S188))="(seleccione)"),"",PROPER(TRIM(P188:S188)))))*(CAT_Procesos!$D$2:$D$1581=IFERROR(VLOOKUP(N188&amp;"*",CAT_Procesos!$D:$D,1,FALSE),""))))=0,"Combinación no existente",IF(SUMPRODUCT(((CAT_Procesos!$E$2:$E$1581=O188)*(CAT_Procesos!$F$2:$F$1581=_xlfn.TEXTJOIN(" + ",TRUE,IF((TRIM(P188:S188)="")+(LOWER(TRIM(P188:S188))="(seleccione)"),"",PROPER(TRIM(P188:S188)))))*(CAT_Procesos!$D$2:$D$1581=IFERROR(VLOOKUP(N188&amp;"*",CAT_Procesos!$D:$D,1,FALSE),"")))*(CAT_Procesos!$G$2:$G$1581=INDEX(CAT_Procesos!$G$2:$G$1581,MATCH(1,(CAT_Procesos!$E$2:$E$1581=O188)*(CAT_Procesos!$F$2:$F$1581=_xlfn.TEXTJOIN(" + ",TRUE,IF((TRIM(P188:S188)="")+(LOWER(TRIM(P188:S188))="(seleccione)"),"",PROPER(TRIM(P188:S188)))))*(CAT_Procesos!$D$2:$D$1581=IFERROR(VLOOKUP(N188&amp;"*",CAT_Procesos!$D:$D,1,FALSE),"")),0))))=SUMPRODUCT(--((CAT_Procesos!$E$2:$E$1581=O188)*(CAT_Procesos!$F$2:$F$1581=_xlfn.TEXTJOIN(" + ",TRUE,IF((TRIM(P188:S188)="")+(LOWER(TRIM(P188:S188))="(seleccione)"),"",PROPER(TRIM(P188:S188)))))*(CAT_Procesos!$D$2:$D$1581=IFERROR(VLOOKUP(N188&amp;"*",CAT_Procesos!$D:$D,1,FALSE),"")))),INDEX(CAT_Procesos!$G$2:$G$1581,MATCH(1,(CAT_Procesos!$E$2:$E$1581=O188)*(CAT_Procesos!$F$2:$F$1581=_xlfn.TEXTJOIN(" + ",TRUE,IF((TRIM(P188:S188)="")+(LOWER(TRIM(P188:S188))="(seleccione)"),"",PROPER(TRIM(P188:S188)))))*(CAT_Procesos!$D$2:$D$1581=IFERROR(VLOOKUP(N188&amp;"*",CAT_Procesos!$D:$D,1,FALSE),"")),0)),"(seleccione)"))</f>
        <v>Combinación no existente</v>
      </c>
      <c r="V188" s="55" t="s">
        <v>73</v>
      </c>
      <c r="W188" s="56" t="s">
        <v>73</v>
      </c>
      <c r="X188" s="57" t="str">
        <f t="shared" si="8"/>
        <v/>
      </c>
      <c r="Y188" s="58" t="s">
        <v>73</v>
      </c>
      <c r="Z188" s="57" t="str">
        <f t="shared" si="9"/>
        <v/>
      </c>
      <c r="AA188" s="58" t="s">
        <v>73</v>
      </c>
      <c r="AB188" s="57" t="str">
        <f t="shared" si="10"/>
        <v/>
      </c>
      <c r="AC188" s="58" t="s">
        <v>73</v>
      </c>
      <c r="AD188" s="57" t="str">
        <f t="shared" si="11"/>
        <v/>
      </c>
      <c r="AE188" s="59"/>
      <c r="AF188" s="59"/>
      <c r="AG188" s="59"/>
      <c r="AH188" s="59"/>
      <c r="AI188" s="59" t="s">
        <v>73</v>
      </c>
      <c r="AJ188" s="59"/>
      <c r="AK188" s="59" t="s">
        <v>73</v>
      </c>
      <c r="AL188" s="59"/>
      <c r="AM188" s="59" t="s">
        <v>73</v>
      </c>
      <c r="AN188" s="59"/>
      <c r="AO188" s="59" t="s">
        <v>73</v>
      </c>
      <c r="AP188" s="59"/>
      <c r="AQ188" s="59" t="s">
        <v>73</v>
      </c>
      <c r="AR188" s="59"/>
      <c r="AS188" s="59" t="s">
        <v>72</v>
      </c>
      <c r="AT188" s="59"/>
      <c r="AU188" s="59"/>
      <c r="AV188" s="59"/>
      <c r="AW188" s="59"/>
      <c r="AX188" s="59"/>
      <c r="AY188" s="60" t="str">
        <f>IF('Cálculo MP'!K198="","",'Cálculo MP'!K198)</f>
        <v/>
      </c>
      <c r="AZ188" s="60" t="str">
        <f>IF('Cálculo MP'!L198="","",'Cálculo MP'!L198)</f>
        <v/>
      </c>
      <c r="BA188" s="60" t="str">
        <f>IF('Cálculo MP'!M198="","",'Cálculo MP'!M198)</f>
        <v/>
      </c>
      <c r="BB188" s="60" t="str">
        <f>IF('Cálculo MP'!N198="","",'Cálculo MP'!N198)</f>
        <v/>
      </c>
      <c r="BC188" s="60" t="str">
        <f>IF('Cálculo MP'!O198="","",'Cálculo MP'!O198)</f>
        <v/>
      </c>
      <c r="BD188" s="60" t="str">
        <f>IF('Cálculo MP'!P198="","",'Cálculo MP'!P198)</f>
        <v/>
      </c>
      <c r="BE188" s="60" t="str">
        <f>IF('Cálculo MP'!Q198="","",'Cálculo MP'!Q198)</f>
        <v/>
      </c>
      <c r="BF188" s="60" t="str">
        <f>IF('Cálculo MP'!R198="","",'Cálculo MP'!R198)</f>
        <v/>
      </c>
      <c r="BG188" s="60" t="str">
        <f>IF('Cálculo MP'!S198="","",'Cálculo MP'!S198)</f>
        <v/>
      </c>
      <c r="BH188" s="59"/>
      <c r="BI188" s="59"/>
      <c r="BJ188" s="59"/>
      <c r="BK188" s="59"/>
      <c r="BL188" s="59"/>
      <c r="BM188" s="59"/>
      <c r="BN188" s="59"/>
      <c r="BO188" s="59"/>
    </row>
    <row r="189" spans="1:67" ht="19.5" customHeight="1" x14ac:dyDescent="0.15">
      <c r="A189" s="123" t="s">
        <v>1856</v>
      </c>
      <c r="B189" s="122" t="s">
        <v>1854</v>
      </c>
      <c r="C189" s="49"/>
      <c r="D189" s="48" t="s">
        <v>73</v>
      </c>
      <c r="E189" s="49"/>
      <c r="F189" s="50"/>
      <c r="G189" s="62"/>
      <c r="H189" s="48" t="s">
        <v>72</v>
      </c>
      <c r="I189" s="52">
        <v>1</v>
      </c>
      <c r="J189" s="52"/>
      <c r="K189" s="52" t="s">
        <v>73</v>
      </c>
      <c r="L189" s="52" t="s">
        <v>74</v>
      </c>
      <c r="M189" s="53" t="s">
        <v>942</v>
      </c>
      <c r="N189" s="58" t="s">
        <v>73</v>
      </c>
      <c r="O189" s="48" t="s">
        <v>72</v>
      </c>
      <c r="P189" s="48" t="s">
        <v>73</v>
      </c>
      <c r="Q189" s="54" t="s">
        <v>73</v>
      </c>
      <c r="R189" s="55" t="s">
        <v>73</v>
      </c>
      <c r="S189" s="48" t="s">
        <v>73</v>
      </c>
      <c r="T189" s="130"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8" t="str" cm="1">
        <f t="array" ref="U189">IF(SUMPRODUCT(--((CAT_Procesos!$E$2:$E$1581=O189)*(CAT_Procesos!$F$2:$F$1581=_xlfn.TEXTJOIN(" + ",TRUE,IF((TRIM(P189:S189)="")+(LOWER(TRIM(P189:S189))="(seleccione)"),"",PROPER(TRIM(P189:S189)))))*(CAT_Procesos!$D$2:$D$1581=IFERROR(VLOOKUP(N189&amp;"*",CAT_Procesos!$D:$D,1,FALSE),""))))=0,"Combinación no existente",IF(SUMPRODUCT(((CAT_Procesos!$E$2:$E$1581=O189)*(CAT_Procesos!$F$2:$F$1581=_xlfn.TEXTJOIN(" + ",TRUE,IF((TRIM(P189:S189)="")+(LOWER(TRIM(P189:S189))="(seleccione)"),"",PROPER(TRIM(P189:S189)))))*(CAT_Procesos!$D$2:$D$1581=IFERROR(VLOOKUP(N189&amp;"*",CAT_Procesos!$D:$D,1,FALSE),"")))*(CAT_Procesos!$G$2:$G$1581=INDEX(CAT_Procesos!$G$2:$G$1581,MATCH(1,(CAT_Procesos!$E$2:$E$1581=O189)*(CAT_Procesos!$F$2:$F$1581=_xlfn.TEXTJOIN(" + ",TRUE,IF((TRIM(P189:S189)="")+(LOWER(TRIM(P189:S189))="(seleccione)"),"",PROPER(TRIM(P189:S189)))))*(CAT_Procesos!$D$2:$D$1581=IFERROR(VLOOKUP(N189&amp;"*",CAT_Procesos!$D:$D,1,FALSE),"")),0))))=SUMPRODUCT(--((CAT_Procesos!$E$2:$E$1581=O189)*(CAT_Procesos!$F$2:$F$1581=_xlfn.TEXTJOIN(" + ",TRUE,IF((TRIM(P189:S189)="")+(LOWER(TRIM(P189:S189))="(seleccione)"),"",PROPER(TRIM(P189:S189)))))*(CAT_Procesos!$D$2:$D$1581=IFERROR(VLOOKUP(N189&amp;"*",CAT_Procesos!$D:$D,1,FALSE),"")))),INDEX(CAT_Procesos!$G$2:$G$1581,MATCH(1,(CAT_Procesos!$E$2:$E$1581=O189)*(CAT_Procesos!$F$2:$F$1581=_xlfn.TEXTJOIN(" + ",TRUE,IF((TRIM(P189:S189)="")+(LOWER(TRIM(P189:S189))="(seleccione)"),"",PROPER(TRIM(P189:S189)))))*(CAT_Procesos!$D$2:$D$1581=IFERROR(VLOOKUP(N189&amp;"*",CAT_Procesos!$D:$D,1,FALSE),"")),0)),"(seleccione)"))</f>
        <v>Combinación no existente</v>
      </c>
      <c r="V189" s="55" t="s">
        <v>73</v>
      </c>
      <c r="W189" s="56" t="s">
        <v>73</v>
      </c>
      <c r="X189" s="57" t="str">
        <f t="shared" si="8"/>
        <v/>
      </c>
      <c r="Y189" s="58" t="s">
        <v>73</v>
      </c>
      <c r="Z189" s="57" t="str">
        <f t="shared" si="9"/>
        <v/>
      </c>
      <c r="AA189" s="58" t="s">
        <v>73</v>
      </c>
      <c r="AB189" s="57" t="str">
        <f t="shared" si="10"/>
        <v/>
      </c>
      <c r="AC189" s="58" t="s">
        <v>73</v>
      </c>
      <c r="AD189" s="57" t="str">
        <f t="shared" si="11"/>
        <v/>
      </c>
      <c r="AE189" s="59"/>
      <c r="AF189" s="59"/>
      <c r="AG189" s="59"/>
      <c r="AH189" s="59"/>
      <c r="AI189" s="59" t="s">
        <v>73</v>
      </c>
      <c r="AJ189" s="59"/>
      <c r="AK189" s="59" t="s">
        <v>73</v>
      </c>
      <c r="AL189" s="59"/>
      <c r="AM189" s="59" t="s">
        <v>73</v>
      </c>
      <c r="AN189" s="59"/>
      <c r="AO189" s="59" t="s">
        <v>73</v>
      </c>
      <c r="AP189" s="59"/>
      <c r="AQ189" s="59" t="s">
        <v>73</v>
      </c>
      <c r="AR189" s="59"/>
      <c r="AS189" s="59" t="s">
        <v>72</v>
      </c>
      <c r="AT189" s="59"/>
      <c r="AU189" s="59"/>
      <c r="AV189" s="59"/>
      <c r="AW189" s="59"/>
      <c r="AX189" s="59"/>
      <c r="AY189" s="60" t="str">
        <f>IF('Cálculo MP'!K199="","",'Cálculo MP'!K199)</f>
        <v/>
      </c>
      <c r="AZ189" s="60" t="str">
        <f>IF('Cálculo MP'!L199="","",'Cálculo MP'!L199)</f>
        <v/>
      </c>
      <c r="BA189" s="60" t="str">
        <f>IF('Cálculo MP'!M199="","",'Cálculo MP'!M199)</f>
        <v/>
      </c>
      <c r="BB189" s="60" t="str">
        <f>IF('Cálculo MP'!N199="","",'Cálculo MP'!N199)</f>
        <v/>
      </c>
      <c r="BC189" s="60" t="str">
        <f>IF('Cálculo MP'!O199="","",'Cálculo MP'!O199)</f>
        <v/>
      </c>
      <c r="BD189" s="60" t="str">
        <f>IF('Cálculo MP'!P199="","",'Cálculo MP'!P199)</f>
        <v/>
      </c>
      <c r="BE189" s="60" t="str">
        <f>IF('Cálculo MP'!Q199="","",'Cálculo MP'!Q199)</f>
        <v/>
      </c>
      <c r="BF189" s="60" t="str">
        <f>IF('Cálculo MP'!R199="","",'Cálculo MP'!R199)</f>
        <v/>
      </c>
      <c r="BG189" s="60" t="str">
        <f>IF('Cálculo MP'!S199="","",'Cálculo MP'!S199)</f>
        <v/>
      </c>
      <c r="BH189" s="59"/>
      <c r="BI189" s="59"/>
      <c r="BJ189" s="59"/>
      <c r="BK189" s="59"/>
      <c r="BL189" s="59"/>
      <c r="BM189" s="59"/>
      <c r="BN189" s="59"/>
      <c r="BO189" s="59"/>
    </row>
    <row r="190" spans="1:67" ht="19.5" customHeight="1" x14ac:dyDescent="0.15">
      <c r="A190" s="123" t="s">
        <v>1856</v>
      </c>
      <c r="B190" s="122" t="s">
        <v>1854</v>
      </c>
      <c r="C190" s="49"/>
      <c r="D190" s="48" t="s">
        <v>73</v>
      </c>
      <c r="E190" s="49"/>
      <c r="F190" s="50"/>
      <c r="G190" s="62"/>
      <c r="H190" s="48" t="s">
        <v>72</v>
      </c>
      <c r="I190" s="52">
        <v>1</v>
      </c>
      <c r="J190" s="52"/>
      <c r="K190" s="52" t="s">
        <v>73</v>
      </c>
      <c r="L190" s="52" t="s">
        <v>74</v>
      </c>
      <c r="M190" s="53" t="s">
        <v>942</v>
      </c>
      <c r="N190" s="58" t="s">
        <v>73</v>
      </c>
      <c r="O190" s="48" t="s">
        <v>72</v>
      </c>
      <c r="P190" s="48" t="s">
        <v>73</v>
      </c>
      <c r="Q190" s="54" t="s">
        <v>73</v>
      </c>
      <c r="R190" s="55" t="s">
        <v>73</v>
      </c>
      <c r="S190" s="48" t="s">
        <v>73</v>
      </c>
      <c r="T190" s="130"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8" t="str" cm="1">
        <f t="array" ref="U190">IF(SUMPRODUCT(--((CAT_Procesos!$E$2:$E$1581=O190)*(CAT_Procesos!$F$2:$F$1581=_xlfn.TEXTJOIN(" + ",TRUE,IF((TRIM(P190:S190)="")+(LOWER(TRIM(P190:S190))="(seleccione)"),"",PROPER(TRIM(P190:S190)))))*(CAT_Procesos!$D$2:$D$1581=IFERROR(VLOOKUP(N190&amp;"*",CAT_Procesos!$D:$D,1,FALSE),""))))=0,"Combinación no existente",IF(SUMPRODUCT(((CAT_Procesos!$E$2:$E$1581=O190)*(CAT_Procesos!$F$2:$F$1581=_xlfn.TEXTJOIN(" + ",TRUE,IF((TRIM(P190:S190)="")+(LOWER(TRIM(P190:S190))="(seleccione)"),"",PROPER(TRIM(P190:S190)))))*(CAT_Procesos!$D$2:$D$1581=IFERROR(VLOOKUP(N190&amp;"*",CAT_Procesos!$D:$D,1,FALSE),"")))*(CAT_Procesos!$G$2:$G$1581=INDEX(CAT_Procesos!$G$2:$G$1581,MATCH(1,(CAT_Procesos!$E$2:$E$1581=O190)*(CAT_Procesos!$F$2:$F$1581=_xlfn.TEXTJOIN(" + ",TRUE,IF((TRIM(P190:S190)="")+(LOWER(TRIM(P190:S190))="(seleccione)"),"",PROPER(TRIM(P190:S190)))))*(CAT_Procesos!$D$2:$D$1581=IFERROR(VLOOKUP(N190&amp;"*",CAT_Procesos!$D:$D,1,FALSE),"")),0))))=SUMPRODUCT(--((CAT_Procesos!$E$2:$E$1581=O190)*(CAT_Procesos!$F$2:$F$1581=_xlfn.TEXTJOIN(" + ",TRUE,IF((TRIM(P190:S190)="")+(LOWER(TRIM(P190:S190))="(seleccione)"),"",PROPER(TRIM(P190:S190)))))*(CAT_Procesos!$D$2:$D$1581=IFERROR(VLOOKUP(N190&amp;"*",CAT_Procesos!$D:$D,1,FALSE),"")))),INDEX(CAT_Procesos!$G$2:$G$1581,MATCH(1,(CAT_Procesos!$E$2:$E$1581=O190)*(CAT_Procesos!$F$2:$F$1581=_xlfn.TEXTJOIN(" + ",TRUE,IF((TRIM(P190:S190)="")+(LOWER(TRIM(P190:S190))="(seleccione)"),"",PROPER(TRIM(P190:S190)))))*(CAT_Procesos!$D$2:$D$1581=IFERROR(VLOOKUP(N190&amp;"*",CAT_Procesos!$D:$D,1,FALSE),"")),0)),"(seleccione)"))</f>
        <v>Combinación no existente</v>
      </c>
      <c r="V190" s="55" t="s">
        <v>73</v>
      </c>
      <c r="W190" s="56" t="s">
        <v>73</v>
      </c>
      <c r="X190" s="57" t="str">
        <f t="shared" si="8"/>
        <v/>
      </c>
      <c r="Y190" s="58" t="s">
        <v>73</v>
      </c>
      <c r="Z190" s="57" t="str">
        <f t="shared" si="9"/>
        <v/>
      </c>
      <c r="AA190" s="58" t="s">
        <v>73</v>
      </c>
      <c r="AB190" s="57" t="str">
        <f t="shared" si="10"/>
        <v/>
      </c>
      <c r="AC190" s="58" t="s">
        <v>73</v>
      </c>
      <c r="AD190" s="57" t="str">
        <f t="shared" si="11"/>
        <v/>
      </c>
      <c r="AE190" s="59"/>
      <c r="AF190" s="59"/>
      <c r="AG190" s="59"/>
      <c r="AH190" s="59"/>
      <c r="AI190" s="59" t="s">
        <v>73</v>
      </c>
      <c r="AJ190" s="59"/>
      <c r="AK190" s="59" t="s">
        <v>73</v>
      </c>
      <c r="AL190" s="59"/>
      <c r="AM190" s="59" t="s">
        <v>73</v>
      </c>
      <c r="AN190" s="59"/>
      <c r="AO190" s="59" t="s">
        <v>73</v>
      </c>
      <c r="AP190" s="59"/>
      <c r="AQ190" s="59" t="s">
        <v>73</v>
      </c>
      <c r="AR190" s="59"/>
      <c r="AS190" s="59" t="s">
        <v>72</v>
      </c>
      <c r="AT190" s="59"/>
      <c r="AU190" s="59"/>
      <c r="AV190" s="59"/>
      <c r="AW190" s="59"/>
      <c r="AX190" s="59"/>
      <c r="AY190" s="60" t="str">
        <f>IF('Cálculo MP'!K200="","",'Cálculo MP'!K200)</f>
        <v/>
      </c>
      <c r="AZ190" s="60" t="str">
        <f>IF('Cálculo MP'!L200="","",'Cálculo MP'!L200)</f>
        <v/>
      </c>
      <c r="BA190" s="60" t="str">
        <f>IF('Cálculo MP'!M200="","",'Cálculo MP'!M200)</f>
        <v/>
      </c>
      <c r="BB190" s="60" t="str">
        <f>IF('Cálculo MP'!N200="","",'Cálculo MP'!N200)</f>
        <v/>
      </c>
      <c r="BC190" s="60" t="str">
        <f>IF('Cálculo MP'!O200="","",'Cálculo MP'!O200)</f>
        <v/>
      </c>
      <c r="BD190" s="60" t="str">
        <f>IF('Cálculo MP'!P200="","",'Cálculo MP'!P200)</f>
        <v/>
      </c>
      <c r="BE190" s="60" t="str">
        <f>IF('Cálculo MP'!Q200="","",'Cálculo MP'!Q200)</f>
        <v/>
      </c>
      <c r="BF190" s="60" t="str">
        <f>IF('Cálculo MP'!R200="","",'Cálculo MP'!R200)</f>
        <v/>
      </c>
      <c r="BG190" s="60" t="str">
        <f>IF('Cálculo MP'!S200="","",'Cálculo MP'!S200)</f>
        <v/>
      </c>
      <c r="BH190" s="59"/>
      <c r="BI190" s="59"/>
      <c r="BJ190" s="59"/>
      <c r="BK190" s="59"/>
      <c r="BL190" s="59"/>
      <c r="BM190" s="59"/>
      <c r="BN190" s="59"/>
      <c r="BO190" s="59"/>
    </row>
    <row r="191" spans="1:67" ht="19.5" customHeight="1" x14ac:dyDescent="0.15">
      <c r="A191" s="123" t="s">
        <v>1856</v>
      </c>
      <c r="B191" s="122" t="s">
        <v>1854</v>
      </c>
      <c r="C191" s="49"/>
      <c r="D191" s="48" t="s">
        <v>73</v>
      </c>
      <c r="E191" s="49"/>
      <c r="F191" s="50"/>
      <c r="G191" s="62"/>
      <c r="H191" s="48" t="s">
        <v>72</v>
      </c>
      <c r="I191" s="52">
        <v>1</v>
      </c>
      <c r="J191" s="52"/>
      <c r="K191" s="52" t="s">
        <v>73</v>
      </c>
      <c r="L191" s="52" t="s">
        <v>74</v>
      </c>
      <c r="M191" s="53" t="s">
        <v>942</v>
      </c>
      <c r="N191" s="58" t="s">
        <v>73</v>
      </c>
      <c r="O191" s="48" t="s">
        <v>72</v>
      </c>
      <c r="P191" s="48" t="s">
        <v>73</v>
      </c>
      <c r="Q191" s="54" t="s">
        <v>73</v>
      </c>
      <c r="R191" s="55" t="s">
        <v>73</v>
      </c>
      <c r="S191" s="48" t="s">
        <v>73</v>
      </c>
      <c r="T191" s="130"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8" t="str" cm="1">
        <f t="array" ref="U191">IF(SUMPRODUCT(--((CAT_Procesos!$E$2:$E$1581=O191)*(CAT_Procesos!$F$2:$F$1581=_xlfn.TEXTJOIN(" + ",TRUE,IF((TRIM(P191:S191)="")+(LOWER(TRIM(P191:S191))="(seleccione)"),"",PROPER(TRIM(P191:S191)))))*(CAT_Procesos!$D$2:$D$1581=IFERROR(VLOOKUP(N191&amp;"*",CAT_Procesos!$D:$D,1,FALSE),""))))=0,"Combinación no existente",IF(SUMPRODUCT(((CAT_Procesos!$E$2:$E$1581=O191)*(CAT_Procesos!$F$2:$F$1581=_xlfn.TEXTJOIN(" + ",TRUE,IF((TRIM(P191:S191)="")+(LOWER(TRIM(P191:S191))="(seleccione)"),"",PROPER(TRIM(P191:S191)))))*(CAT_Procesos!$D$2:$D$1581=IFERROR(VLOOKUP(N191&amp;"*",CAT_Procesos!$D:$D,1,FALSE),"")))*(CAT_Procesos!$G$2:$G$1581=INDEX(CAT_Procesos!$G$2:$G$1581,MATCH(1,(CAT_Procesos!$E$2:$E$1581=O191)*(CAT_Procesos!$F$2:$F$1581=_xlfn.TEXTJOIN(" + ",TRUE,IF((TRIM(P191:S191)="")+(LOWER(TRIM(P191:S191))="(seleccione)"),"",PROPER(TRIM(P191:S191)))))*(CAT_Procesos!$D$2:$D$1581=IFERROR(VLOOKUP(N191&amp;"*",CAT_Procesos!$D:$D,1,FALSE),"")),0))))=SUMPRODUCT(--((CAT_Procesos!$E$2:$E$1581=O191)*(CAT_Procesos!$F$2:$F$1581=_xlfn.TEXTJOIN(" + ",TRUE,IF((TRIM(P191:S191)="")+(LOWER(TRIM(P191:S191))="(seleccione)"),"",PROPER(TRIM(P191:S191)))))*(CAT_Procesos!$D$2:$D$1581=IFERROR(VLOOKUP(N191&amp;"*",CAT_Procesos!$D:$D,1,FALSE),"")))),INDEX(CAT_Procesos!$G$2:$G$1581,MATCH(1,(CAT_Procesos!$E$2:$E$1581=O191)*(CAT_Procesos!$F$2:$F$1581=_xlfn.TEXTJOIN(" + ",TRUE,IF((TRIM(P191:S191)="")+(LOWER(TRIM(P191:S191))="(seleccione)"),"",PROPER(TRIM(P191:S191)))))*(CAT_Procesos!$D$2:$D$1581=IFERROR(VLOOKUP(N191&amp;"*",CAT_Procesos!$D:$D,1,FALSE),"")),0)),"(seleccione)"))</f>
        <v>Combinación no existente</v>
      </c>
      <c r="V191" s="55" t="s">
        <v>73</v>
      </c>
      <c r="W191" s="56" t="s">
        <v>73</v>
      </c>
      <c r="X191" s="57" t="str">
        <f t="shared" si="8"/>
        <v/>
      </c>
      <c r="Y191" s="58" t="s">
        <v>73</v>
      </c>
      <c r="Z191" s="57" t="str">
        <f t="shared" si="9"/>
        <v/>
      </c>
      <c r="AA191" s="58" t="s">
        <v>73</v>
      </c>
      <c r="AB191" s="57" t="str">
        <f t="shared" si="10"/>
        <v/>
      </c>
      <c r="AC191" s="58" t="s">
        <v>73</v>
      </c>
      <c r="AD191" s="57" t="str">
        <f t="shared" si="11"/>
        <v/>
      </c>
      <c r="AE191" s="59"/>
      <c r="AF191" s="59"/>
      <c r="AG191" s="59"/>
      <c r="AH191" s="59"/>
      <c r="AI191" s="59" t="s">
        <v>73</v>
      </c>
      <c r="AJ191" s="59"/>
      <c r="AK191" s="59" t="s">
        <v>73</v>
      </c>
      <c r="AL191" s="59"/>
      <c r="AM191" s="59" t="s">
        <v>73</v>
      </c>
      <c r="AN191" s="59"/>
      <c r="AO191" s="59" t="s">
        <v>73</v>
      </c>
      <c r="AP191" s="59"/>
      <c r="AQ191" s="59" t="s">
        <v>73</v>
      </c>
      <c r="AR191" s="59"/>
      <c r="AS191" s="59" t="s">
        <v>72</v>
      </c>
      <c r="AT191" s="59"/>
      <c r="AU191" s="59"/>
      <c r="AV191" s="59"/>
      <c r="AW191" s="59"/>
      <c r="AX191" s="59"/>
      <c r="AY191" s="60" t="str">
        <f>IF('Cálculo MP'!K201="","",'Cálculo MP'!K201)</f>
        <v/>
      </c>
      <c r="AZ191" s="60" t="str">
        <f>IF('Cálculo MP'!L201="","",'Cálculo MP'!L201)</f>
        <v/>
      </c>
      <c r="BA191" s="60" t="str">
        <f>IF('Cálculo MP'!M201="","",'Cálculo MP'!M201)</f>
        <v/>
      </c>
      <c r="BB191" s="60" t="str">
        <f>IF('Cálculo MP'!N201="","",'Cálculo MP'!N201)</f>
        <v/>
      </c>
      <c r="BC191" s="60" t="str">
        <f>IF('Cálculo MP'!O201="","",'Cálculo MP'!O201)</f>
        <v/>
      </c>
      <c r="BD191" s="60" t="str">
        <f>IF('Cálculo MP'!P201="","",'Cálculo MP'!P201)</f>
        <v/>
      </c>
      <c r="BE191" s="60" t="str">
        <f>IF('Cálculo MP'!Q201="","",'Cálculo MP'!Q201)</f>
        <v/>
      </c>
      <c r="BF191" s="60" t="str">
        <f>IF('Cálculo MP'!R201="","",'Cálculo MP'!R201)</f>
        <v/>
      </c>
      <c r="BG191" s="60" t="str">
        <f>IF('Cálculo MP'!S201="","",'Cálculo MP'!S201)</f>
        <v/>
      </c>
      <c r="BH191" s="59"/>
      <c r="BI191" s="59"/>
      <c r="BJ191" s="59"/>
      <c r="BK191" s="59"/>
      <c r="BL191" s="59"/>
      <c r="BM191" s="59"/>
      <c r="BN191" s="59"/>
      <c r="BO191" s="59"/>
    </row>
    <row r="192" spans="1:67" ht="19.5" customHeight="1" x14ac:dyDescent="0.15">
      <c r="A192" s="123" t="s">
        <v>1856</v>
      </c>
      <c r="B192" s="122" t="s">
        <v>1854</v>
      </c>
      <c r="C192" s="49"/>
      <c r="D192" s="48" t="s">
        <v>73</v>
      </c>
      <c r="E192" s="49"/>
      <c r="F192" s="50"/>
      <c r="G192" s="62"/>
      <c r="H192" s="48" t="s">
        <v>72</v>
      </c>
      <c r="I192" s="52">
        <v>1</v>
      </c>
      <c r="J192" s="52"/>
      <c r="K192" s="52" t="s">
        <v>73</v>
      </c>
      <c r="L192" s="52" t="s">
        <v>74</v>
      </c>
      <c r="M192" s="53" t="s">
        <v>942</v>
      </c>
      <c r="N192" s="58" t="s">
        <v>73</v>
      </c>
      <c r="O192" s="48" t="s">
        <v>72</v>
      </c>
      <c r="P192" s="48" t="s">
        <v>73</v>
      </c>
      <c r="Q192" s="54" t="s">
        <v>73</v>
      </c>
      <c r="R192" s="55" t="s">
        <v>73</v>
      </c>
      <c r="S192" s="48" t="s">
        <v>73</v>
      </c>
      <c r="T192" s="130"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8" t="str" cm="1">
        <f t="array" ref="U192">IF(SUMPRODUCT(--((CAT_Procesos!$E$2:$E$1581=O192)*(CAT_Procesos!$F$2:$F$1581=_xlfn.TEXTJOIN(" + ",TRUE,IF((TRIM(P192:S192)="")+(LOWER(TRIM(P192:S192))="(seleccione)"),"",PROPER(TRIM(P192:S192)))))*(CAT_Procesos!$D$2:$D$1581=IFERROR(VLOOKUP(N192&amp;"*",CAT_Procesos!$D:$D,1,FALSE),""))))=0,"Combinación no existente",IF(SUMPRODUCT(((CAT_Procesos!$E$2:$E$1581=O192)*(CAT_Procesos!$F$2:$F$1581=_xlfn.TEXTJOIN(" + ",TRUE,IF((TRIM(P192:S192)="")+(LOWER(TRIM(P192:S192))="(seleccione)"),"",PROPER(TRIM(P192:S192)))))*(CAT_Procesos!$D$2:$D$1581=IFERROR(VLOOKUP(N192&amp;"*",CAT_Procesos!$D:$D,1,FALSE),"")))*(CAT_Procesos!$G$2:$G$1581=INDEX(CAT_Procesos!$G$2:$G$1581,MATCH(1,(CAT_Procesos!$E$2:$E$1581=O192)*(CAT_Procesos!$F$2:$F$1581=_xlfn.TEXTJOIN(" + ",TRUE,IF((TRIM(P192:S192)="")+(LOWER(TRIM(P192:S192))="(seleccione)"),"",PROPER(TRIM(P192:S192)))))*(CAT_Procesos!$D$2:$D$1581=IFERROR(VLOOKUP(N192&amp;"*",CAT_Procesos!$D:$D,1,FALSE),"")),0))))=SUMPRODUCT(--((CAT_Procesos!$E$2:$E$1581=O192)*(CAT_Procesos!$F$2:$F$1581=_xlfn.TEXTJOIN(" + ",TRUE,IF((TRIM(P192:S192)="")+(LOWER(TRIM(P192:S192))="(seleccione)"),"",PROPER(TRIM(P192:S192)))))*(CAT_Procesos!$D$2:$D$1581=IFERROR(VLOOKUP(N192&amp;"*",CAT_Procesos!$D:$D,1,FALSE),"")))),INDEX(CAT_Procesos!$G$2:$G$1581,MATCH(1,(CAT_Procesos!$E$2:$E$1581=O192)*(CAT_Procesos!$F$2:$F$1581=_xlfn.TEXTJOIN(" + ",TRUE,IF((TRIM(P192:S192)="")+(LOWER(TRIM(P192:S192))="(seleccione)"),"",PROPER(TRIM(P192:S192)))))*(CAT_Procesos!$D$2:$D$1581=IFERROR(VLOOKUP(N192&amp;"*",CAT_Procesos!$D:$D,1,FALSE),"")),0)),"(seleccione)"))</f>
        <v>Combinación no existente</v>
      </c>
      <c r="V192" s="55" t="s">
        <v>73</v>
      </c>
      <c r="W192" s="56" t="s">
        <v>73</v>
      </c>
      <c r="X192" s="57" t="str">
        <f t="shared" si="8"/>
        <v/>
      </c>
      <c r="Y192" s="58" t="s">
        <v>73</v>
      </c>
      <c r="Z192" s="57" t="str">
        <f t="shared" si="9"/>
        <v/>
      </c>
      <c r="AA192" s="58" t="s">
        <v>73</v>
      </c>
      <c r="AB192" s="57" t="str">
        <f t="shared" si="10"/>
        <v/>
      </c>
      <c r="AC192" s="58" t="s">
        <v>73</v>
      </c>
      <c r="AD192" s="57" t="str">
        <f t="shared" si="11"/>
        <v/>
      </c>
      <c r="AE192" s="59"/>
      <c r="AF192" s="59"/>
      <c r="AG192" s="59"/>
      <c r="AH192" s="59"/>
      <c r="AI192" s="59" t="s">
        <v>73</v>
      </c>
      <c r="AJ192" s="59"/>
      <c r="AK192" s="59" t="s">
        <v>73</v>
      </c>
      <c r="AL192" s="59"/>
      <c r="AM192" s="59" t="s">
        <v>73</v>
      </c>
      <c r="AN192" s="59"/>
      <c r="AO192" s="59" t="s">
        <v>73</v>
      </c>
      <c r="AP192" s="59"/>
      <c r="AQ192" s="59" t="s">
        <v>73</v>
      </c>
      <c r="AR192" s="59"/>
      <c r="AS192" s="59" t="s">
        <v>72</v>
      </c>
      <c r="AT192" s="59"/>
      <c r="AU192" s="59"/>
      <c r="AV192" s="59"/>
      <c r="AW192" s="59"/>
      <c r="AX192" s="59"/>
      <c r="AY192" s="60" t="str">
        <f>IF('Cálculo MP'!K202="","",'Cálculo MP'!K202)</f>
        <v/>
      </c>
      <c r="AZ192" s="60" t="str">
        <f>IF('Cálculo MP'!L202="","",'Cálculo MP'!L202)</f>
        <v/>
      </c>
      <c r="BA192" s="60" t="str">
        <f>IF('Cálculo MP'!M202="","",'Cálculo MP'!M202)</f>
        <v/>
      </c>
      <c r="BB192" s="60" t="str">
        <f>IF('Cálculo MP'!N202="","",'Cálculo MP'!N202)</f>
        <v/>
      </c>
      <c r="BC192" s="60" t="str">
        <f>IF('Cálculo MP'!O202="","",'Cálculo MP'!O202)</f>
        <v/>
      </c>
      <c r="BD192" s="60" t="str">
        <f>IF('Cálculo MP'!P202="","",'Cálculo MP'!P202)</f>
        <v/>
      </c>
      <c r="BE192" s="60" t="str">
        <f>IF('Cálculo MP'!Q202="","",'Cálculo MP'!Q202)</f>
        <v/>
      </c>
      <c r="BF192" s="60" t="str">
        <f>IF('Cálculo MP'!R202="","",'Cálculo MP'!R202)</f>
        <v/>
      </c>
      <c r="BG192" s="60" t="str">
        <f>IF('Cálculo MP'!S202="","",'Cálculo MP'!S202)</f>
        <v/>
      </c>
      <c r="BH192" s="59"/>
      <c r="BI192" s="59"/>
      <c r="BJ192" s="59"/>
      <c r="BK192" s="59"/>
      <c r="BL192" s="59"/>
      <c r="BM192" s="59"/>
      <c r="BN192" s="59"/>
      <c r="BO192" s="59"/>
    </row>
    <row r="193" spans="1:67" ht="19.5" customHeight="1" x14ac:dyDescent="0.15">
      <c r="A193" s="123" t="s">
        <v>1856</v>
      </c>
      <c r="B193" s="122" t="s">
        <v>1854</v>
      </c>
      <c r="C193" s="49"/>
      <c r="D193" s="48" t="s">
        <v>73</v>
      </c>
      <c r="E193" s="49"/>
      <c r="F193" s="50"/>
      <c r="G193" s="62"/>
      <c r="H193" s="48" t="s">
        <v>72</v>
      </c>
      <c r="I193" s="52">
        <v>1</v>
      </c>
      <c r="J193" s="52"/>
      <c r="K193" s="52" t="s">
        <v>73</v>
      </c>
      <c r="L193" s="52" t="s">
        <v>74</v>
      </c>
      <c r="M193" s="53" t="s">
        <v>942</v>
      </c>
      <c r="N193" s="58" t="s">
        <v>73</v>
      </c>
      <c r="O193" s="48" t="s">
        <v>72</v>
      </c>
      <c r="P193" s="48" t="s">
        <v>73</v>
      </c>
      <c r="Q193" s="54" t="s">
        <v>73</v>
      </c>
      <c r="R193" s="55" t="s">
        <v>73</v>
      </c>
      <c r="S193" s="48" t="s">
        <v>73</v>
      </c>
      <c r="T193" s="130"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8" t="str" cm="1">
        <f t="array" ref="U193">IF(SUMPRODUCT(--((CAT_Procesos!$E$2:$E$1581=O193)*(CAT_Procesos!$F$2:$F$1581=_xlfn.TEXTJOIN(" + ",TRUE,IF((TRIM(P193:S193)="")+(LOWER(TRIM(P193:S193))="(seleccione)"),"",PROPER(TRIM(P193:S193)))))*(CAT_Procesos!$D$2:$D$1581=IFERROR(VLOOKUP(N193&amp;"*",CAT_Procesos!$D:$D,1,FALSE),""))))=0,"Combinación no existente",IF(SUMPRODUCT(((CAT_Procesos!$E$2:$E$1581=O193)*(CAT_Procesos!$F$2:$F$1581=_xlfn.TEXTJOIN(" + ",TRUE,IF((TRIM(P193:S193)="")+(LOWER(TRIM(P193:S193))="(seleccione)"),"",PROPER(TRIM(P193:S193)))))*(CAT_Procesos!$D$2:$D$1581=IFERROR(VLOOKUP(N193&amp;"*",CAT_Procesos!$D:$D,1,FALSE),"")))*(CAT_Procesos!$G$2:$G$1581=INDEX(CAT_Procesos!$G$2:$G$1581,MATCH(1,(CAT_Procesos!$E$2:$E$1581=O193)*(CAT_Procesos!$F$2:$F$1581=_xlfn.TEXTJOIN(" + ",TRUE,IF((TRIM(P193:S193)="")+(LOWER(TRIM(P193:S193))="(seleccione)"),"",PROPER(TRIM(P193:S193)))))*(CAT_Procesos!$D$2:$D$1581=IFERROR(VLOOKUP(N193&amp;"*",CAT_Procesos!$D:$D,1,FALSE),"")),0))))=SUMPRODUCT(--((CAT_Procesos!$E$2:$E$1581=O193)*(CAT_Procesos!$F$2:$F$1581=_xlfn.TEXTJOIN(" + ",TRUE,IF((TRIM(P193:S193)="")+(LOWER(TRIM(P193:S193))="(seleccione)"),"",PROPER(TRIM(P193:S193)))))*(CAT_Procesos!$D$2:$D$1581=IFERROR(VLOOKUP(N193&amp;"*",CAT_Procesos!$D:$D,1,FALSE),"")))),INDEX(CAT_Procesos!$G$2:$G$1581,MATCH(1,(CAT_Procesos!$E$2:$E$1581=O193)*(CAT_Procesos!$F$2:$F$1581=_xlfn.TEXTJOIN(" + ",TRUE,IF((TRIM(P193:S193)="")+(LOWER(TRIM(P193:S193))="(seleccione)"),"",PROPER(TRIM(P193:S193)))))*(CAT_Procesos!$D$2:$D$1581=IFERROR(VLOOKUP(N193&amp;"*",CAT_Procesos!$D:$D,1,FALSE),"")),0)),"(seleccione)"))</f>
        <v>Combinación no existente</v>
      </c>
      <c r="V193" s="55" t="s">
        <v>73</v>
      </c>
      <c r="W193" s="56" t="s">
        <v>73</v>
      </c>
      <c r="X193" s="57" t="str">
        <f t="shared" si="8"/>
        <v/>
      </c>
      <c r="Y193" s="58" t="s">
        <v>73</v>
      </c>
      <c r="Z193" s="57" t="str">
        <f t="shared" si="9"/>
        <v/>
      </c>
      <c r="AA193" s="58" t="s">
        <v>73</v>
      </c>
      <c r="AB193" s="57" t="str">
        <f t="shared" si="10"/>
        <v/>
      </c>
      <c r="AC193" s="58" t="s">
        <v>73</v>
      </c>
      <c r="AD193" s="57" t="str">
        <f t="shared" si="11"/>
        <v/>
      </c>
      <c r="AE193" s="59"/>
      <c r="AF193" s="59"/>
      <c r="AG193" s="59"/>
      <c r="AH193" s="59"/>
      <c r="AI193" s="59" t="s">
        <v>73</v>
      </c>
      <c r="AJ193" s="59"/>
      <c r="AK193" s="59" t="s">
        <v>73</v>
      </c>
      <c r="AL193" s="59"/>
      <c r="AM193" s="59" t="s">
        <v>73</v>
      </c>
      <c r="AN193" s="59"/>
      <c r="AO193" s="59" t="s">
        <v>73</v>
      </c>
      <c r="AP193" s="59"/>
      <c r="AQ193" s="59" t="s">
        <v>73</v>
      </c>
      <c r="AR193" s="59"/>
      <c r="AS193" s="59" t="s">
        <v>72</v>
      </c>
      <c r="AT193" s="59"/>
      <c r="AU193" s="59"/>
      <c r="AV193" s="59"/>
      <c r="AW193" s="59"/>
      <c r="AX193" s="59"/>
      <c r="AY193" s="60" t="str">
        <f>IF('Cálculo MP'!K203="","",'Cálculo MP'!K203)</f>
        <v/>
      </c>
      <c r="AZ193" s="60" t="str">
        <f>IF('Cálculo MP'!L203="","",'Cálculo MP'!L203)</f>
        <v/>
      </c>
      <c r="BA193" s="60" t="str">
        <f>IF('Cálculo MP'!M203="","",'Cálculo MP'!M203)</f>
        <v/>
      </c>
      <c r="BB193" s="60" t="str">
        <f>IF('Cálculo MP'!N203="","",'Cálculo MP'!N203)</f>
        <v/>
      </c>
      <c r="BC193" s="60" t="str">
        <f>IF('Cálculo MP'!O203="","",'Cálculo MP'!O203)</f>
        <v/>
      </c>
      <c r="BD193" s="60" t="str">
        <f>IF('Cálculo MP'!P203="","",'Cálculo MP'!P203)</f>
        <v/>
      </c>
      <c r="BE193" s="60" t="str">
        <f>IF('Cálculo MP'!Q203="","",'Cálculo MP'!Q203)</f>
        <v/>
      </c>
      <c r="BF193" s="60" t="str">
        <f>IF('Cálculo MP'!R203="","",'Cálculo MP'!R203)</f>
        <v/>
      </c>
      <c r="BG193" s="60" t="str">
        <f>IF('Cálculo MP'!S203="","",'Cálculo MP'!S203)</f>
        <v/>
      </c>
      <c r="BH193" s="59"/>
      <c r="BI193" s="59"/>
      <c r="BJ193" s="59"/>
      <c r="BK193" s="59"/>
      <c r="BL193" s="59"/>
      <c r="BM193" s="59"/>
      <c r="BN193" s="59"/>
      <c r="BO193" s="59"/>
    </row>
    <row r="194" spans="1:67" ht="19.5" customHeight="1" x14ac:dyDescent="0.15">
      <c r="A194" s="123" t="s">
        <v>1856</v>
      </c>
      <c r="B194" s="122" t="s">
        <v>1854</v>
      </c>
      <c r="C194" s="49"/>
      <c r="D194" s="48" t="s">
        <v>73</v>
      </c>
      <c r="E194" s="49"/>
      <c r="F194" s="50"/>
      <c r="G194" s="62"/>
      <c r="H194" s="48" t="s">
        <v>72</v>
      </c>
      <c r="I194" s="52">
        <v>1</v>
      </c>
      <c r="J194" s="52"/>
      <c r="K194" s="52" t="s">
        <v>73</v>
      </c>
      <c r="L194" s="52" t="s">
        <v>74</v>
      </c>
      <c r="M194" s="53" t="s">
        <v>942</v>
      </c>
      <c r="N194" s="58" t="s">
        <v>73</v>
      </c>
      <c r="O194" s="48" t="s">
        <v>72</v>
      </c>
      <c r="P194" s="48" t="s">
        <v>73</v>
      </c>
      <c r="Q194" s="54" t="s">
        <v>73</v>
      </c>
      <c r="R194" s="55" t="s">
        <v>73</v>
      </c>
      <c r="S194" s="48" t="s">
        <v>73</v>
      </c>
      <c r="T194" s="130"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8" t="str" cm="1">
        <f t="array" ref="U194">IF(SUMPRODUCT(--((CAT_Procesos!$E$2:$E$1581=O194)*(CAT_Procesos!$F$2:$F$1581=_xlfn.TEXTJOIN(" + ",TRUE,IF((TRIM(P194:S194)="")+(LOWER(TRIM(P194:S194))="(seleccione)"),"",PROPER(TRIM(P194:S194)))))*(CAT_Procesos!$D$2:$D$1581=IFERROR(VLOOKUP(N194&amp;"*",CAT_Procesos!$D:$D,1,FALSE),""))))=0,"Combinación no existente",IF(SUMPRODUCT(((CAT_Procesos!$E$2:$E$1581=O194)*(CAT_Procesos!$F$2:$F$1581=_xlfn.TEXTJOIN(" + ",TRUE,IF((TRIM(P194:S194)="")+(LOWER(TRIM(P194:S194))="(seleccione)"),"",PROPER(TRIM(P194:S194)))))*(CAT_Procesos!$D$2:$D$1581=IFERROR(VLOOKUP(N194&amp;"*",CAT_Procesos!$D:$D,1,FALSE),"")))*(CAT_Procesos!$G$2:$G$1581=INDEX(CAT_Procesos!$G$2:$G$1581,MATCH(1,(CAT_Procesos!$E$2:$E$1581=O194)*(CAT_Procesos!$F$2:$F$1581=_xlfn.TEXTJOIN(" + ",TRUE,IF((TRIM(P194:S194)="")+(LOWER(TRIM(P194:S194))="(seleccione)"),"",PROPER(TRIM(P194:S194)))))*(CAT_Procesos!$D$2:$D$1581=IFERROR(VLOOKUP(N194&amp;"*",CAT_Procesos!$D:$D,1,FALSE),"")),0))))=SUMPRODUCT(--((CAT_Procesos!$E$2:$E$1581=O194)*(CAT_Procesos!$F$2:$F$1581=_xlfn.TEXTJOIN(" + ",TRUE,IF((TRIM(P194:S194)="")+(LOWER(TRIM(P194:S194))="(seleccione)"),"",PROPER(TRIM(P194:S194)))))*(CAT_Procesos!$D$2:$D$1581=IFERROR(VLOOKUP(N194&amp;"*",CAT_Procesos!$D:$D,1,FALSE),"")))),INDEX(CAT_Procesos!$G$2:$G$1581,MATCH(1,(CAT_Procesos!$E$2:$E$1581=O194)*(CAT_Procesos!$F$2:$F$1581=_xlfn.TEXTJOIN(" + ",TRUE,IF((TRIM(P194:S194)="")+(LOWER(TRIM(P194:S194))="(seleccione)"),"",PROPER(TRIM(P194:S194)))))*(CAT_Procesos!$D$2:$D$1581=IFERROR(VLOOKUP(N194&amp;"*",CAT_Procesos!$D:$D,1,FALSE),"")),0)),"(seleccione)"))</f>
        <v>Combinación no existente</v>
      </c>
      <c r="V194" s="55" t="s">
        <v>73</v>
      </c>
      <c r="W194" s="56" t="s">
        <v>73</v>
      </c>
      <c r="X194" s="57" t="str">
        <f t="shared" si="8"/>
        <v/>
      </c>
      <c r="Y194" s="58" t="s">
        <v>73</v>
      </c>
      <c r="Z194" s="57" t="str">
        <f t="shared" si="9"/>
        <v/>
      </c>
      <c r="AA194" s="58" t="s">
        <v>73</v>
      </c>
      <c r="AB194" s="57" t="str">
        <f t="shared" si="10"/>
        <v/>
      </c>
      <c r="AC194" s="58" t="s">
        <v>73</v>
      </c>
      <c r="AD194" s="57" t="str">
        <f t="shared" si="11"/>
        <v/>
      </c>
      <c r="AE194" s="59"/>
      <c r="AF194" s="59"/>
      <c r="AG194" s="59"/>
      <c r="AH194" s="59"/>
      <c r="AI194" s="59" t="s">
        <v>73</v>
      </c>
      <c r="AJ194" s="59"/>
      <c r="AK194" s="59" t="s">
        <v>73</v>
      </c>
      <c r="AL194" s="59"/>
      <c r="AM194" s="59" t="s">
        <v>73</v>
      </c>
      <c r="AN194" s="59"/>
      <c r="AO194" s="59" t="s">
        <v>73</v>
      </c>
      <c r="AP194" s="59"/>
      <c r="AQ194" s="59" t="s">
        <v>73</v>
      </c>
      <c r="AR194" s="59"/>
      <c r="AS194" s="59" t="s">
        <v>72</v>
      </c>
      <c r="AT194" s="59"/>
      <c r="AU194" s="59"/>
      <c r="AV194" s="59"/>
      <c r="AW194" s="59"/>
      <c r="AX194" s="59"/>
      <c r="AY194" s="60" t="str">
        <f>IF('Cálculo MP'!K204="","",'Cálculo MP'!K204)</f>
        <v/>
      </c>
      <c r="AZ194" s="60" t="str">
        <f>IF('Cálculo MP'!L204="","",'Cálculo MP'!L204)</f>
        <v/>
      </c>
      <c r="BA194" s="60" t="str">
        <f>IF('Cálculo MP'!M204="","",'Cálculo MP'!M204)</f>
        <v/>
      </c>
      <c r="BB194" s="60" t="str">
        <f>IF('Cálculo MP'!N204="","",'Cálculo MP'!N204)</f>
        <v/>
      </c>
      <c r="BC194" s="60" t="str">
        <f>IF('Cálculo MP'!O204="","",'Cálculo MP'!O204)</f>
        <v/>
      </c>
      <c r="BD194" s="60" t="str">
        <f>IF('Cálculo MP'!P204="","",'Cálculo MP'!P204)</f>
        <v/>
      </c>
      <c r="BE194" s="60" t="str">
        <f>IF('Cálculo MP'!Q204="","",'Cálculo MP'!Q204)</f>
        <v/>
      </c>
      <c r="BF194" s="60" t="str">
        <f>IF('Cálculo MP'!R204="","",'Cálculo MP'!R204)</f>
        <v/>
      </c>
      <c r="BG194" s="60" t="str">
        <f>IF('Cálculo MP'!S204="","",'Cálculo MP'!S204)</f>
        <v/>
      </c>
      <c r="BH194" s="59"/>
      <c r="BI194" s="59"/>
      <c r="BJ194" s="59"/>
      <c r="BK194" s="59"/>
      <c r="BL194" s="59"/>
      <c r="BM194" s="59"/>
      <c r="BN194" s="59"/>
      <c r="BO194" s="59"/>
    </row>
    <row r="195" spans="1:67" ht="19.5" customHeight="1" x14ac:dyDescent="0.15">
      <c r="A195" s="123" t="s">
        <v>1856</v>
      </c>
      <c r="B195" s="122" t="s">
        <v>1854</v>
      </c>
      <c r="C195" s="49"/>
      <c r="D195" s="48" t="s">
        <v>73</v>
      </c>
      <c r="E195" s="49"/>
      <c r="F195" s="50"/>
      <c r="G195" s="62"/>
      <c r="H195" s="48" t="s">
        <v>72</v>
      </c>
      <c r="I195" s="52">
        <v>1</v>
      </c>
      <c r="J195" s="52"/>
      <c r="K195" s="52" t="s">
        <v>73</v>
      </c>
      <c r="L195" s="52" t="s">
        <v>74</v>
      </c>
      <c r="M195" s="53" t="s">
        <v>942</v>
      </c>
      <c r="N195" s="58" t="s">
        <v>73</v>
      </c>
      <c r="O195" s="48" t="s">
        <v>72</v>
      </c>
      <c r="P195" s="48" t="s">
        <v>73</v>
      </c>
      <c r="Q195" s="54" t="s">
        <v>73</v>
      </c>
      <c r="R195" s="55" t="s">
        <v>73</v>
      </c>
      <c r="S195" s="48" t="s">
        <v>73</v>
      </c>
      <c r="T195" s="130"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8" t="str" cm="1">
        <f t="array" ref="U195">IF(SUMPRODUCT(--((CAT_Procesos!$E$2:$E$1581=O195)*(CAT_Procesos!$F$2:$F$1581=_xlfn.TEXTJOIN(" + ",TRUE,IF((TRIM(P195:S195)="")+(LOWER(TRIM(P195:S195))="(seleccione)"),"",PROPER(TRIM(P195:S195)))))*(CAT_Procesos!$D$2:$D$1581=IFERROR(VLOOKUP(N195&amp;"*",CAT_Procesos!$D:$D,1,FALSE),""))))=0,"Combinación no existente",IF(SUMPRODUCT(((CAT_Procesos!$E$2:$E$1581=O195)*(CAT_Procesos!$F$2:$F$1581=_xlfn.TEXTJOIN(" + ",TRUE,IF((TRIM(P195:S195)="")+(LOWER(TRIM(P195:S195))="(seleccione)"),"",PROPER(TRIM(P195:S195)))))*(CAT_Procesos!$D$2:$D$1581=IFERROR(VLOOKUP(N195&amp;"*",CAT_Procesos!$D:$D,1,FALSE),"")))*(CAT_Procesos!$G$2:$G$1581=INDEX(CAT_Procesos!$G$2:$G$1581,MATCH(1,(CAT_Procesos!$E$2:$E$1581=O195)*(CAT_Procesos!$F$2:$F$1581=_xlfn.TEXTJOIN(" + ",TRUE,IF((TRIM(P195:S195)="")+(LOWER(TRIM(P195:S195))="(seleccione)"),"",PROPER(TRIM(P195:S195)))))*(CAT_Procesos!$D$2:$D$1581=IFERROR(VLOOKUP(N195&amp;"*",CAT_Procesos!$D:$D,1,FALSE),"")),0))))=SUMPRODUCT(--((CAT_Procesos!$E$2:$E$1581=O195)*(CAT_Procesos!$F$2:$F$1581=_xlfn.TEXTJOIN(" + ",TRUE,IF((TRIM(P195:S195)="")+(LOWER(TRIM(P195:S195))="(seleccione)"),"",PROPER(TRIM(P195:S195)))))*(CAT_Procesos!$D$2:$D$1581=IFERROR(VLOOKUP(N195&amp;"*",CAT_Procesos!$D:$D,1,FALSE),"")))),INDEX(CAT_Procesos!$G$2:$G$1581,MATCH(1,(CAT_Procesos!$E$2:$E$1581=O195)*(CAT_Procesos!$F$2:$F$1581=_xlfn.TEXTJOIN(" + ",TRUE,IF((TRIM(P195:S195)="")+(LOWER(TRIM(P195:S195))="(seleccione)"),"",PROPER(TRIM(P195:S195)))))*(CAT_Procesos!$D$2:$D$1581=IFERROR(VLOOKUP(N195&amp;"*",CAT_Procesos!$D:$D,1,FALSE),"")),0)),"(seleccione)"))</f>
        <v>Combinación no existente</v>
      </c>
      <c r="V195" s="55" t="s">
        <v>73</v>
      </c>
      <c r="W195" s="56" t="s">
        <v>73</v>
      </c>
      <c r="X195" s="57" t="str">
        <f t="shared" si="8"/>
        <v/>
      </c>
      <c r="Y195" s="58" t="s">
        <v>73</v>
      </c>
      <c r="Z195" s="57" t="str">
        <f t="shared" si="9"/>
        <v/>
      </c>
      <c r="AA195" s="58" t="s">
        <v>73</v>
      </c>
      <c r="AB195" s="57" t="str">
        <f t="shared" si="10"/>
        <v/>
      </c>
      <c r="AC195" s="58" t="s">
        <v>73</v>
      </c>
      <c r="AD195" s="57" t="str">
        <f t="shared" si="11"/>
        <v/>
      </c>
      <c r="AE195" s="59"/>
      <c r="AF195" s="59"/>
      <c r="AG195" s="59"/>
      <c r="AH195" s="59"/>
      <c r="AI195" s="59" t="s">
        <v>73</v>
      </c>
      <c r="AJ195" s="59"/>
      <c r="AK195" s="59" t="s">
        <v>73</v>
      </c>
      <c r="AL195" s="59"/>
      <c r="AM195" s="59" t="s">
        <v>73</v>
      </c>
      <c r="AN195" s="59"/>
      <c r="AO195" s="59" t="s">
        <v>73</v>
      </c>
      <c r="AP195" s="59"/>
      <c r="AQ195" s="59" t="s">
        <v>73</v>
      </c>
      <c r="AR195" s="59"/>
      <c r="AS195" s="59" t="s">
        <v>72</v>
      </c>
      <c r="AT195" s="59"/>
      <c r="AU195" s="59"/>
      <c r="AV195" s="59"/>
      <c r="AW195" s="59"/>
      <c r="AX195" s="59"/>
      <c r="AY195" s="60" t="str">
        <f>IF('Cálculo MP'!K205="","",'Cálculo MP'!K205)</f>
        <v/>
      </c>
      <c r="AZ195" s="60" t="str">
        <f>IF('Cálculo MP'!L205="","",'Cálculo MP'!L205)</f>
        <v/>
      </c>
      <c r="BA195" s="60" t="str">
        <f>IF('Cálculo MP'!M205="","",'Cálculo MP'!M205)</f>
        <v/>
      </c>
      <c r="BB195" s="60" t="str">
        <f>IF('Cálculo MP'!N205="","",'Cálculo MP'!N205)</f>
        <v/>
      </c>
      <c r="BC195" s="60" t="str">
        <f>IF('Cálculo MP'!O205="","",'Cálculo MP'!O205)</f>
        <v/>
      </c>
      <c r="BD195" s="60" t="str">
        <f>IF('Cálculo MP'!P205="","",'Cálculo MP'!P205)</f>
        <v/>
      </c>
      <c r="BE195" s="60" t="str">
        <f>IF('Cálculo MP'!Q205="","",'Cálculo MP'!Q205)</f>
        <v/>
      </c>
      <c r="BF195" s="60" t="str">
        <f>IF('Cálculo MP'!R205="","",'Cálculo MP'!R205)</f>
        <v/>
      </c>
      <c r="BG195" s="60" t="str">
        <f>IF('Cálculo MP'!S205="","",'Cálculo MP'!S205)</f>
        <v/>
      </c>
      <c r="BH195" s="59"/>
      <c r="BI195" s="59"/>
      <c r="BJ195" s="59"/>
      <c r="BK195" s="59"/>
      <c r="BL195" s="59"/>
      <c r="BM195" s="59"/>
      <c r="BN195" s="59"/>
      <c r="BO195" s="59"/>
    </row>
    <row r="196" spans="1:67" ht="19.5" customHeight="1" x14ac:dyDescent="0.15">
      <c r="A196" s="123" t="s">
        <v>1856</v>
      </c>
      <c r="B196" s="122" t="s">
        <v>1854</v>
      </c>
      <c r="C196" s="49"/>
      <c r="D196" s="48" t="s">
        <v>73</v>
      </c>
      <c r="E196" s="49"/>
      <c r="F196" s="50"/>
      <c r="G196" s="62"/>
      <c r="H196" s="48" t="s">
        <v>72</v>
      </c>
      <c r="I196" s="52">
        <v>1</v>
      </c>
      <c r="J196" s="52"/>
      <c r="K196" s="52" t="s">
        <v>73</v>
      </c>
      <c r="L196" s="52" t="s">
        <v>74</v>
      </c>
      <c r="M196" s="53" t="s">
        <v>942</v>
      </c>
      <c r="N196" s="58" t="s">
        <v>73</v>
      </c>
      <c r="O196" s="48" t="s">
        <v>72</v>
      </c>
      <c r="P196" s="48" t="s">
        <v>73</v>
      </c>
      <c r="Q196" s="54" t="s">
        <v>73</v>
      </c>
      <c r="R196" s="55" t="s">
        <v>73</v>
      </c>
      <c r="S196" s="48" t="s">
        <v>73</v>
      </c>
      <c r="T196" s="130"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8" t="str" cm="1">
        <f t="array" ref="U196">IF(SUMPRODUCT(--((CAT_Procesos!$E$2:$E$1581=O196)*(CAT_Procesos!$F$2:$F$1581=_xlfn.TEXTJOIN(" + ",TRUE,IF((TRIM(P196:S196)="")+(LOWER(TRIM(P196:S196))="(seleccione)"),"",PROPER(TRIM(P196:S196)))))*(CAT_Procesos!$D$2:$D$1581=IFERROR(VLOOKUP(N196&amp;"*",CAT_Procesos!$D:$D,1,FALSE),""))))=0,"Combinación no existente",IF(SUMPRODUCT(((CAT_Procesos!$E$2:$E$1581=O196)*(CAT_Procesos!$F$2:$F$1581=_xlfn.TEXTJOIN(" + ",TRUE,IF((TRIM(P196:S196)="")+(LOWER(TRIM(P196:S196))="(seleccione)"),"",PROPER(TRIM(P196:S196)))))*(CAT_Procesos!$D$2:$D$1581=IFERROR(VLOOKUP(N196&amp;"*",CAT_Procesos!$D:$D,1,FALSE),"")))*(CAT_Procesos!$G$2:$G$1581=INDEX(CAT_Procesos!$G$2:$G$1581,MATCH(1,(CAT_Procesos!$E$2:$E$1581=O196)*(CAT_Procesos!$F$2:$F$1581=_xlfn.TEXTJOIN(" + ",TRUE,IF((TRIM(P196:S196)="")+(LOWER(TRIM(P196:S196))="(seleccione)"),"",PROPER(TRIM(P196:S196)))))*(CAT_Procesos!$D$2:$D$1581=IFERROR(VLOOKUP(N196&amp;"*",CAT_Procesos!$D:$D,1,FALSE),"")),0))))=SUMPRODUCT(--((CAT_Procesos!$E$2:$E$1581=O196)*(CAT_Procesos!$F$2:$F$1581=_xlfn.TEXTJOIN(" + ",TRUE,IF((TRIM(P196:S196)="")+(LOWER(TRIM(P196:S196))="(seleccione)"),"",PROPER(TRIM(P196:S196)))))*(CAT_Procesos!$D$2:$D$1581=IFERROR(VLOOKUP(N196&amp;"*",CAT_Procesos!$D:$D,1,FALSE),"")))),INDEX(CAT_Procesos!$G$2:$G$1581,MATCH(1,(CAT_Procesos!$E$2:$E$1581=O196)*(CAT_Procesos!$F$2:$F$1581=_xlfn.TEXTJOIN(" + ",TRUE,IF((TRIM(P196:S196)="")+(LOWER(TRIM(P196:S196))="(seleccione)"),"",PROPER(TRIM(P196:S196)))))*(CAT_Procesos!$D$2:$D$1581=IFERROR(VLOOKUP(N196&amp;"*",CAT_Procesos!$D:$D,1,FALSE),"")),0)),"(seleccione)"))</f>
        <v>Combinación no existente</v>
      </c>
      <c r="V196" s="55" t="s">
        <v>73</v>
      </c>
      <c r="W196" s="56" t="s">
        <v>73</v>
      </c>
      <c r="X196" s="57" t="str">
        <f t="shared" si="8"/>
        <v/>
      </c>
      <c r="Y196" s="58" t="s">
        <v>73</v>
      </c>
      <c r="Z196" s="57" t="str">
        <f t="shared" si="9"/>
        <v/>
      </c>
      <c r="AA196" s="58" t="s">
        <v>73</v>
      </c>
      <c r="AB196" s="57" t="str">
        <f t="shared" si="10"/>
        <v/>
      </c>
      <c r="AC196" s="58" t="s">
        <v>73</v>
      </c>
      <c r="AD196" s="57" t="str">
        <f t="shared" si="11"/>
        <v/>
      </c>
      <c r="AE196" s="59"/>
      <c r="AF196" s="59"/>
      <c r="AG196" s="59"/>
      <c r="AH196" s="59"/>
      <c r="AI196" s="59" t="s">
        <v>73</v>
      </c>
      <c r="AJ196" s="59"/>
      <c r="AK196" s="59" t="s">
        <v>73</v>
      </c>
      <c r="AL196" s="59"/>
      <c r="AM196" s="59" t="s">
        <v>73</v>
      </c>
      <c r="AN196" s="59"/>
      <c r="AO196" s="59" t="s">
        <v>73</v>
      </c>
      <c r="AP196" s="59"/>
      <c r="AQ196" s="59" t="s">
        <v>73</v>
      </c>
      <c r="AR196" s="59"/>
      <c r="AS196" s="59" t="s">
        <v>72</v>
      </c>
      <c r="AT196" s="59"/>
      <c r="AU196" s="59"/>
      <c r="AV196" s="59"/>
      <c r="AW196" s="59"/>
      <c r="AX196" s="59"/>
      <c r="AY196" s="60" t="str">
        <f>IF('Cálculo MP'!K206="","",'Cálculo MP'!K206)</f>
        <v/>
      </c>
      <c r="AZ196" s="60" t="str">
        <f>IF('Cálculo MP'!L206="","",'Cálculo MP'!L206)</f>
        <v/>
      </c>
      <c r="BA196" s="60" t="str">
        <f>IF('Cálculo MP'!M206="","",'Cálculo MP'!M206)</f>
        <v/>
      </c>
      <c r="BB196" s="60" t="str">
        <f>IF('Cálculo MP'!N206="","",'Cálculo MP'!N206)</f>
        <v/>
      </c>
      <c r="BC196" s="60" t="str">
        <f>IF('Cálculo MP'!O206="","",'Cálculo MP'!O206)</f>
        <v/>
      </c>
      <c r="BD196" s="60" t="str">
        <f>IF('Cálculo MP'!P206="","",'Cálculo MP'!P206)</f>
        <v/>
      </c>
      <c r="BE196" s="60" t="str">
        <f>IF('Cálculo MP'!Q206="","",'Cálculo MP'!Q206)</f>
        <v/>
      </c>
      <c r="BF196" s="60" t="str">
        <f>IF('Cálculo MP'!R206="","",'Cálculo MP'!R206)</f>
        <v/>
      </c>
      <c r="BG196" s="60" t="str">
        <f>IF('Cálculo MP'!S206="","",'Cálculo MP'!S206)</f>
        <v/>
      </c>
      <c r="BH196" s="59"/>
      <c r="BI196" s="59"/>
      <c r="BJ196" s="59"/>
      <c r="BK196" s="59"/>
      <c r="BL196" s="59"/>
      <c r="BM196" s="59"/>
      <c r="BN196" s="59"/>
      <c r="BO196" s="59"/>
    </row>
    <row r="197" spans="1:67" ht="19.5" customHeight="1" x14ac:dyDescent="0.15">
      <c r="A197" s="123" t="s">
        <v>1856</v>
      </c>
      <c r="B197" s="122" t="s">
        <v>1854</v>
      </c>
      <c r="C197" s="49"/>
      <c r="D197" s="48" t="s">
        <v>73</v>
      </c>
      <c r="E197" s="49"/>
      <c r="F197" s="50"/>
      <c r="G197" s="62"/>
      <c r="H197" s="48" t="s">
        <v>72</v>
      </c>
      <c r="I197" s="52">
        <v>1</v>
      </c>
      <c r="J197" s="52"/>
      <c r="K197" s="52" t="s">
        <v>73</v>
      </c>
      <c r="L197" s="52" t="s">
        <v>74</v>
      </c>
      <c r="M197" s="53" t="s">
        <v>942</v>
      </c>
      <c r="N197" s="58" t="s">
        <v>73</v>
      </c>
      <c r="O197" s="48" t="s">
        <v>72</v>
      </c>
      <c r="P197" s="48" t="s">
        <v>73</v>
      </c>
      <c r="Q197" s="54" t="s">
        <v>73</v>
      </c>
      <c r="R197" s="55" t="s">
        <v>73</v>
      </c>
      <c r="S197" s="48" t="s">
        <v>73</v>
      </c>
      <c r="T197" s="130"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8" t="str" cm="1">
        <f t="array" ref="U197">IF(SUMPRODUCT(--((CAT_Procesos!$E$2:$E$1581=O197)*(CAT_Procesos!$F$2:$F$1581=_xlfn.TEXTJOIN(" + ",TRUE,IF((TRIM(P197:S197)="")+(LOWER(TRIM(P197:S197))="(seleccione)"),"",PROPER(TRIM(P197:S197)))))*(CAT_Procesos!$D$2:$D$1581=IFERROR(VLOOKUP(N197&amp;"*",CAT_Procesos!$D:$D,1,FALSE),""))))=0,"Combinación no existente",IF(SUMPRODUCT(((CAT_Procesos!$E$2:$E$1581=O197)*(CAT_Procesos!$F$2:$F$1581=_xlfn.TEXTJOIN(" + ",TRUE,IF((TRIM(P197:S197)="")+(LOWER(TRIM(P197:S197))="(seleccione)"),"",PROPER(TRIM(P197:S197)))))*(CAT_Procesos!$D$2:$D$1581=IFERROR(VLOOKUP(N197&amp;"*",CAT_Procesos!$D:$D,1,FALSE),"")))*(CAT_Procesos!$G$2:$G$1581=INDEX(CAT_Procesos!$G$2:$G$1581,MATCH(1,(CAT_Procesos!$E$2:$E$1581=O197)*(CAT_Procesos!$F$2:$F$1581=_xlfn.TEXTJOIN(" + ",TRUE,IF((TRIM(P197:S197)="")+(LOWER(TRIM(P197:S197))="(seleccione)"),"",PROPER(TRIM(P197:S197)))))*(CAT_Procesos!$D$2:$D$1581=IFERROR(VLOOKUP(N197&amp;"*",CAT_Procesos!$D:$D,1,FALSE),"")),0))))=SUMPRODUCT(--((CAT_Procesos!$E$2:$E$1581=O197)*(CAT_Procesos!$F$2:$F$1581=_xlfn.TEXTJOIN(" + ",TRUE,IF((TRIM(P197:S197)="")+(LOWER(TRIM(P197:S197))="(seleccione)"),"",PROPER(TRIM(P197:S197)))))*(CAT_Procesos!$D$2:$D$1581=IFERROR(VLOOKUP(N197&amp;"*",CAT_Procesos!$D:$D,1,FALSE),"")))),INDEX(CAT_Procesos!$G$2:$G$1581,MATCH(1,(CAT_Procesos!$E$2:$E$1581=O197)*(CAT_Procesos!$F$2:$F$1581=_xlfn.TEXTJOIN(" + ",TRUE,IF((TRIM(P197:S197)="")+(LOWER(TRIM(P197:S197))="(seleccione)"),"",PROPER(TRIM(P197:S197)))))*(CAT_Procesos!$D$2:$D$1581=IFERROR(VLOOKUP(N197&amp;"*",CAT_Procesos!$D:$D,1,FALSE),"")),0)),"(seleccione)"))</f>
        <v>Combinación no existente</v>
      </c>
      <c r="V197" s="55" t="s">
        <v>73</v>
      </c>
      <c r="W197" s="56" t="s">
        <v>73</v>
      </c>
      <c r="X197" s="57" t="str">
        <f t="shared" si="8"/>
        <v/>
      </c>
      <c r="Y197" s="58" t="s">
        <v>73</v>
      </c>
      <c r="Z197" s="57" t="str">
        <f t="shared" si="9"/>
        <v/>
      </c>
      <c r="AA197" s="58" t="s">
        <v>73</v>
      </c>
      <c r="AB197" s="57" t="str">
        <f t="shared" si="10"/>
        <v/>
      </c>
      <c r="AC197" s="58" t="s">
        <v>73</v>
      </c>
      <c r="AD197" s="57" t="str">
        <f t="shared" si="11"/>
        <v/>
      </c>
      <c r="AE197" s="59"/>
      <c r="AF197" s="59"/>
      <c r="AG197" s="59"/>
      <c r="AH197" s="59"/>
      <c r="AI197" s="59" t="s">
        <v>73</v>
      </c>
      <c r="AJ197" s="59"/>
      <c r="AK197" s="59" t="s">
        <v>73</v>
      </c>
      <c r="AL197" s="59"/>
      <c r="AM197" s="59" t="s">
        <v>73</v>
      </c>
      <c r="AN197" s="59"/>
      <c r="AO197" s="59" t="s">
        <v>73</v>
      </c>
      <c r="AP197" s="59"/>
      <c r="AQ197" s="59" t="s">
        <v>73</v>
      </c>
      <c r="AR197" s="59"/>
      <c r="AS197" s="59" t="s">
        <v>72</v>
      </c>
      <c r="AT197" s="59"/>
      <c r="AU197" s="59"/>
      <c r="AV197" s="59"/>
      <c r="AW197" s="59"/>
      <c r="AX197" s="59"/>
      <c r="AY197" s="60" t="str">
        <f>IF('Cálculo MP'!K207="","",'Cálculo MP'!K207)</f>
        <v/>
      </c>
      <c r="AZ197" s="60" t="str">
        <f>IF('Cálculo MP'!L207="","",'Cálculo MP'!L207)</f>
        <v/>
      </c>
      <c r="BA197" s="60" t="str">
        <f>IF('Cálculo MP'!M207="","",'Cálculo MP'!M207)</f>
        <v/>
      </c>
      <c r="BB197" s="60" t="str">
        <f>IF('Cálculo MP'!N207="","",'Cálculo MP'!N207)</f>
        <v/>
      </c>
      <c r="BC197" s="60" t="str">
        <f>IF('Cálculo MP'!O207="","",'Cálculo MP'!O207)</f>
        <v/>
      </c>
      <c r="BD197" s="60" t="str">
        <f>IF('Cálculo MP'!P207="","",'Cálculo MP'!P207)</f>
        <v/>
      </c>
      <c r="BE197" s="60" t="str">
        <f>IF('Cálculo MP'!Q207="","",'Cálculo MP'!Q207)</f>
        <v/>
      </c>
      <c r="BF197" s="60" t="str">
        <f>IF('Cálculo MP'!R207="","",'Cálculo MP'!R207)</f>
        <v/>
      </c>
      <c r="BG197" s="60" t="str">
        <f>IF('Cálculo MP'!S207="","",'Cálculo MP'!S207)</f>
        <v/>
      </c>
      <c r="BH197" s="59"/>
      <c r="BI197" s="59"/>
      <c r="BJ197" s="59"/>
      <c r="BK197" s="59"/>
      <c r="BL197" s="59"/>
      <c r="BM197" s="59"/>
      <c r="BN197" s="59"/>
      <c r="BO197" s="59"/>
    </row>
    <row r="198" spans="1:67" ht="19.5" customHeight="1" x14ac:dyDescent="0.15">
      <c r="A198" s="123" t="s">
        <v>1856</v>
      </c>
      <c r="B198" s="122" t="s">
        <v>1854</v>
      </c>
      <c r="C198" s="49"/>
      <c r="D198" s="48" t="s">
        <v>73</v>
      </c>
      <c r="E198" s="49"/>
      <c r="F198" s="50"/>
      <c r="G198" s="62"/>
      <c r="H198" s="48" t="s">
        <v>72</v>
      </c>
      <c r="I198" s="52">
        <v>1</v>
      </c>
      <c r="J198" s="52"/>
      <c r="K198" s="52" t="s">
        <v>73</v>
      </c>
      <c r="L198" s="52" t="s">
        <v>74</v>
      </c>
      <c r="M198" s="53" t="s">
        <v>942</v>
      </c>
      <c r="N198" s="58" t="s">
        <v>73</v>
      </c>
      <c r="O198" s="48" t="s">
        <v>72</v>
      </c>
      <c r="P198" s="48" t="s">
        <v>73</v>
      </c>
      <c r="Q198" s="54" t="s">
        <v>73</v>
      </c>
      <c r="R198" s="55" t="s">
        <v>73</v>
      </c>
      <c r="S198" s="48" t="s">
        <v>73</v>
      </c>
      <c r="T198" s="130"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8" t="str" cm="1">
        <f t="array" ref="U198">IF(SUMPRODUCT(--((CAT_Procesos!$E$2:$E$1581=O198)*(CAT_Procesos!$F$2:$F$1581=_xlfn.TEXTJOIN(" + ",TRUE,IF((TRIM(P198:S198)="")+(LOWER(TRIM(P198:S198))="(seleccione)"),"",PROPER(TRIM(P198:S198)))))*(CAT_Procesos!$D$2:$D$1581=IFERROR(VLOOKUP(N198&amp;"*",CAT_Procesos!$D:$D,1,FALSE),""))))=0,"Combinación no existente",IF(SUMPRODUCT(((CAT_Procesos!$E$2:$E$1581=O198)*(CAT_Procesos!$F$2:$F$1581=_xlfn.TEXTJOIN(" + ",TRUE,IF((TRIM(P198:S198)="")+(LOWER(TRIM(P198:S198))="(seleccione)"),"",PROPER(TRIM(P198:S198)))))*(CAT_Procesos!$D$2:$D$1581=IFERROR(VLOOKUP(N198&amp;"*",CAT_Procesos!$D:$D,1,FALSE),"")))*(CAT_Procesos!$G$2:$G$1581=INDEX(CAT_Procesos!$G$2:$G$1581,MATCH(1,(CAT_Procesos!$E$2:$E$1581=O198)*(CAT_Procesos!$F$2:$F$1581=_xlfn.TEXTJOIN(" + ",TRUE,IF((TRIM(P198:S198)="")+(LOWER(TRIM(P198:S198))="(seleccione)"),"",PROPER(TRIM(P198:S198)))))*(CAT_Procesos!$D$2:$D$1581=IFERROR(VLOOKUP(N198&amp;"*",CAT_Procesos!$D:$D,1,FALSE),"")),0))))=SUMPRODUCT(--((CAT_Procesos!$E$2:$E$1581=O198)*(CAT_Procesos!$F$2:$F$1581=_xlfn.TEXTJOIN(" + ",TRUE,IF((TRIM(P198:S198)="")+(LOWER(TRIM(P198:S198))="(seleccione)"),"",PROPER(TRIM(P198:S198)))))*(CAT_Procesos!$D$2:$D$1581=IFERROR(VLOOKUP(N198&amp;"*",CAT_Procesos!$D:$D,1,FALSE),"")))),INDEX(CAT_Procesos!$G$2:$G$1581,MATCH(1,(CAT_Procesos!$E$2:$E$1581=O198)*(CAT_Procesos!$F$2:$F$1581=_xlfn.TEXTJOIN(" + ",TRUE,IF((TRIM(P198:S198)="")+(LOWER(TRIM(P198:S198))="(seleccione)"),"",PROPER(TRIM(P198:S198)))))*(CAT_Procesos!$D$2:$D$1581=IFERROR(VLOOKUP(N198&amp;"*",CAT_Procesos!$D:$D,1,FALSE),"")),0)),"(seleccione)"))</f>
        <v>Combinación no existente</v>
      </c>
      <c r="V198" s="55" t="s">
        <v>73</v>
      </c>
      <c r="W198" s="56" t="s">
        <v>73</v>
      </c>
      <c r="X198" s="57" t="str">
        <f t="shared" si="8"/>
        <v/>
      </c>
      <c r="Y198" s="58" t="s">
        <v>73</v>
      </c>
      <c r="Z198" s="57" t="str">
        <f t="shared" si="9"/>
        <v/>
      </c>
      <c r="AA198" s="58" t="s">
        <v>73</v>
      </c>
      <c r="AB198" s="57" t="str">
        <f t="shared" si="10"/>
        <v/>
      </c>
      <c r="AC198" s="58" t="s">
        <v>73</v>
      </c>
      <c r="AD198" s="57" t="str">
        <f t="shared" si="11"/>
        <v/>
      </c>
      <c r="AE198" s="59"/>
      <c r="AF198" s="59"/>
      <c r="AG198" s="59"/>
      <c r="AH198" s="59"/>
      <c r="AI198" s="59" t="s">
        <v>73</v>
      </c>
      <c r="AJ198" s="59"/>
      <c r="AK198" s="59" t="s">
        <v>73</v>
      </c>
      <c r="AL198" s="59"/>
      <c r="AM198" s="59" t="s">
        <v>73</v>
      </c>
      <c r="AN198" s="59"/>
      <c r="AO198" s="59" t="s">
        <v>73</v>
      </c>
      <c r="AP198" s="59"/>
      <c r="AQ198" s="59" t="s">
        <v>73</v>
      </c>
      <c r="AR198" s="59"/>
      <c r="AS198" s="59" t="s">
        <v>72</v>
      </c>
      <c r="AT198" s="59"/>
      <c r="AU198" s="59"/>
      <c r="AV198" s="59"/>
      <c r="AW198" s="59"/>
      <c r="AX198" s="59"/>
      <c r="AY198" s="60" t="str">
        <f>IF('Cálculo MP'!K208="","",'Cálculo MP'!K208)</f>
        <v/>
      </c>
      <c r="AZ198" s="60" t="str">
        <f>IF('Cálculo MP'!L208="","",'Cálculo MP'!L208)</f>
        <v/>
      </c>
      <c r="BA198" s="60" t="str">
        <f>IF('Cálculo MP'!M208="","",'Cálculo MP'!M208)</f>
        <v/>
      </c>
      <c r="BB198" s="60" t="str">
        <f>IF('Cálculo MP'!N208="","",'Cálculo MP'!N208)</f>
        <v/>
      </c>
      <c r="BC198" s="60" t="str">
        <f>IF('Cálculo MP'!O208="","",'Cálculo MP'!O208)</f>
        <v/>
      </c>
      <c r="BD198" s="60" t="str">
        <f>IF('Cálculo MP'!P208="","",'Cálculo MP'!P208)</f>
        <v/>
      </c>
      <c r="BE198" s="60" t="str">
        <f>IF('Cálculo MP'!Q208="","",'Cálculo MP'!Q208)</f>
        <v/>
      </c>
      <c r="BF198" s="60" t="str">
        <f>IF('Cálculo MP'!R208="","",'Cálculo MP'!R208)</f>
        <v/>
      </c>
      <c r="BG198" s="60" t="str">
        <f>IF('Cálculo MP'!S208="","",'Cálculo MP'!S208)</f>
        <v/>
      </c>
      <c r="BH198" s="59"/>
      <c r="BI198" s="59"/>
      <c r="BJ198" s="59"/>
      <c r="BK198" s="59"/>
      <c r="BL198" s="59"/>
      <c r="BM198" s="59"/>
      <c r="BN198" s="59"/>
      <c r="BO198" s="59"/>
    </row>
    <row r="199" spans="1:67" ht="19.5" customHeight="1" x14ac:dyDescent="0.15">
      <c r="A199" s="123" t="s">
        <v>1856</v>
      </c>
      <c r="B199" s="122" t="s">
        <v>1854</v>
      </c>
      <c r="C199" s="49"/>
      <c r="D199" s="48" t="s">
        <v>73</v>
      </c>
      <c r="E199" s="49"/>
      <c r="F199" s="50"/>
      <c r="G199" s="62"/>
      <c r="H199" s="48" t="s">
        <v>72</v>
      </c>
      <c r="I199" s="52">
        <v>1</v>
      </c>
      <c r="J199" s="52"/>
      <c r="K199" s="52" t="s">
        <v>73</v>
      </c>
      <c r="L199" s="52" t="s">
        <v>74</v>
      </c>
      <c r="M199" s="53" t="s">
        <v>942</v>
      </c>
      <c r="N199" s="58" t="s">
        <v>73</v>
      </c>
      <c r="O199" s="48" t="s">
        <v>72</v>
      </c>
      <c r="P199" s="48" t="s">
        <v>73</v>
      </c>
      <c r="Q199" s="54" t="s">
        <v>73</v>
      </c>
      <c r="R199" s="55" t="s">
        <v>73</v>
      </c>
      <c r="S199" s="48" t="s">
        <v>73</v>
      </c>
      <c r="T199" s="130"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8" t="str" cm="1">
        <f t="array" ref="U199">IF(SUMPRODUCT(--((CAT_Procesos!$E$2:$E$1581=O199)*(CAT_Procesos!$F$2:$F$1581=_xlfn.TEXTJOIN(" + ",TRUE,IF((TRIM(P199:S199)="")+(LOWER(TRIM(P199:S199))="(seleccione)"),"",PROPER(TRIM(P199:S199)))))*(CAT_Procesos!$D$2:$D$1581=IFERROR(VLOOKUP(N199&amp;"*",CAT_Procesos!$D:$D,1,FALSE),""))))=0,"Combinación no existente",IF(SUMPRODUCT(((CAT_Procesos!$E$2:$E$1581=O199)*(CAT_Procesos!$F$2:$F$1581=_xlfn.TEXTJOIN(" + ",TRUE,IF((TRIM(P199:S199)="")+(LOWER(TRIM(P199:S199))="(seleccione)"),"",PROPER(TRIM(P199:S199)))))*(CAT_Procesos!$D$2:$D$1581=IFERROR(VLOOKUP(N199&amp;"*",CAT_Procesos!$D:$D,1,FALSE),"")))*(CAT_Procesos!$G$2:$G$1581=INDEX(CAT_Procesos!$G$2:$G$1581,MATCH(1,(CAT_Procesos!$E$2:$E$1581=O199)*(CAT_Procesos!$F$2:$F$1581=_xlfn.TEXTJOIN(" + ",TRUE,IF((TRIM(P199:S199)="")+(LOWER(TRIM(P199:S199))="(seleccione)"),"",PROPER(TRIM(P199:S199)))))*(CAT_Procesos!$D$2:$D$1581=IFERROR(VLOOKUP(N199&amp;"*",CAT_Procesos!$D:$D,1,FALSE),"")),0))))=SUMPRODUCT(--((CAT_Procesos!$E$2:$E$1581=O199)*(CAT_Procesos!$F$2:$F$1581=_xlfn.TEXTJOIN(" + ",TRUE,IF((TRIM(P199:S199)="")+(LOWER(TRIM(P199:S199))="(seleccione)"),"",PROPER(TRIM(P199:S199)))))*(CAT_Procesos!$D$2:$D$1581=IFERROR(VLOOKUP(N199&amp;"*",CAT_Procesos!$D:$D,1,FALSE),"")))),INDEX(CAT_Procesos!$G$2:$G$1581,MATCH(1,(CAT_Procesos!$E$2:$E$1581=O199)*(CAT_Procesos!$F$2:$F$1581=_xlfn.TEXTJOIN(" + ",TRUE,IF((TRIM(P199:S199)="")+(LOWER(TRIM(P199:S199))="(seleccione)"),"",PROPER(TRIM(P199:S199)))))*(CAT_Procesos!$D$2:$D$1581=IFERROR(VLOOKUP(N199&amp;"*",CAT_Procesos!$D:$D,1,FALSE),"")),0)),"(seleccione)"))</f>
        <v>Combinación no existente</v>
      </c>
      <c r="V199" s="55" t="s">
        <v>73</v>
      </c>
      <c r="W199" s="56" t="s">
        <v>73</v>
      </c>
      <c r="X199" s="57" t="str">
        <f t="shared" si="8"/>
        <v/>
      </c>
      <c r="Y199" s="58" t="s">
        <v>73</v>
      </c>
      <c r="Z199" s="57" t="str">
        <f t="shared" si="9"/>
        <v/>
      </c>
      <c r="AA199" s="58" t="s">
        <v>73</v>
      </c>
      <c r="AB199" s="57" t="str">
        <f t="shared" si="10"/>
        <v/>
      </c>
      <c r="AC199" s="58" t="s">
        <v>73</v>
      </c>
      <c r="AD199" s="57" t="str">
        <f t="shared" si="11"/>
        <v/>
      </c>
      <c r="AE199" s="59"/>
      <c r="AF199" s="59"/>
      <c r="AG199" s="59"/>
      <c r="AH199" s="59"/>
      <c r="AI199" s="59" t="s">
        <v>73</v>
      </c>
      <c r="AJ199" s="59"/>
      <c r="AK199" s="59" t="s">
        <v>73</v>
      </c>
      <c r="AL199" s="59"/>
      <c r="AM199" s="59" t="s">
        <v>73</v>
      </c>
      <c r="AN199" s="59"/>
      <c r="AO199" s="59" t="s">
        <v>73</v>
      </c>
      <c r="AP199" s="59"/>
      <c r="AQ199" s="59" t="s">
        <v>73</v>
      </c>
      <c r="AR199" s="59"/>
      <c r="AS199" s="59" t="s">
        <v>72</v>
      </c>
      <c r="AT199" s="59"/>
      <c r="AU199" s="59"/>
      <c r="AV199" s="59"/>
      <c r="AW199" s="59"/>
      <c r="AX199" s="59"/>
      <c r="AY199" s="60" t="str">
        <f>IF('Cálculo MP'!K209="","",'Cálculo MP'!K209)</f>
        <v/>
      </c>
      <c r="AZ199" s="60" t="str">
        <f>IF('Cálculo MP'!L209="","",'Cálculo MP'!L209)</f>
        <v/>
      </c>
      <c r="BA199" s="60" t="str">
        <f>IF('Cálculo MP'!M209="","",'Cálculo MP'!M209)</f>
        <v/>
      </c>
      <c r="BB199" s="60" t="str">
        <f>IF('Cálculo MP'!N209="","",'Cálculo MP'!N209)</f>
        <v/>
      </c>
      <c r="BC199" s="60" t="str">
        <f>IF('Cálculo MP'!O209="","",'Cálculo MP'!O209)</f>
        <v/>
      </c>
      <c r="BD199" s="60" t="str">
        <f>IF('Cálculo MP'!P209="","",'Cálculo MP'!P209)</f>
        <v/>
      </c>
      <c r="BE199" s="60" t="str">
        <f>IF('Cálculo MP'!Q209="","",'Cálculo MP'!Q209)</f>
        <v/>
      </c>
      <c r="BF199" s="60" t="str">
        <f>IF('Cálculo MP'!R209="","",'Cálculo MP'!R209)</f>
        <v/>
      </c>
      <c r="BG199" s="60" t="str">
        <f>IF('Cálculo MP'!S209="","",'Cálculo MP'!S209)</f>
        <v/>
      </c>
      <c r="BH199" s="59"/>
      <c r="BI199" s="59"/>
      <c r="BJ199" s="59"/>
      <c r="BK199" s="59"/>
      <c r="BL199" s="59"/>
      <c r="BM199" s="59"/>
      <c r="BN199" s="59"/>
      <c r="BO199" s="59"/>
    </row>
    <row r="200" spans="1:67" ht="19.5" customHeight="1" x14ac:dyDescent="0.15">
      <c r="A200" s="123" t="s">
        <v>1856</v>
      </c>
      <c r="B200" s="122" t="s">
        <v>1854</v>
      </c>
      <c r="C200" s="49"/>
      <c r="D200" s="48" t="s">
        <v>73</v>
      </c>
      <c r="E200" s="49"/>
      <c r="F200" s="50"/>
      <c r="G200" s="62"/>
      <c r="H200" s="48" t="s">
        <v>72</v>
      </c>
      <c r="I200" s="52">
        <v>1</v>
      </c>
      <c r="J200" s="52"/>
      <c r="K200" s="52" t="s">
        <v>73</v>
      </c>
      <c r="L200" s="52" t="s">
        <v>74</v>
      </c>
      <c r="M200" s="53" t="s">
        <v>942</v>
      </c>
      <c r="N200" s="58" t="s">
        <v>73</v>
      </c>
      <c r="O200" s="48" t="s">
        <v>72</v>
      </c>
      <c r="P200" s="48" t="s">
        <v>73</v>
      </c>
      <c r="Q200" s="54" t="s">
        <v>73</v>
      </c>
      <c r="R200" s="55" t="s">
        <v>73</v>
      </c>
      <c r="S200" s="48" t="s">
        <v>73</v>
      </c>
      <c r="T200" s="130"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8" t="str" cm="1">
        <f t="array" ref="U200">IF(SUMPRODUCT(--((CAT_Procesos!$E$2:$E$1581=O200)*(CAT_Procesos!$F$2:$F$1581=_xlfn.TEXTJOIN(" + ",TRUE,IF((TRIM(P200:S200)="")+(LOWER(TRIM(P200:S200))="(seleccione)"),"",PROPER(TRIM(P200:S200)))))*(CAT_Procesos!$D$2:$D$1581=IFERROR(VLOOKUP(N200&amp;"*",CAT_Procesos!$D:$D,1,FALSE),""))))=0,"Combinación no existente",IF(SUMPRODUCT(((CAT_Procesos!$E$2:$E$1581=O200)*(CAT_Procesos!$F$2:$F$1581=_xlfn.TEXTJOIN(" + ",TRUE,IF((TRIM(P200:S200)="")+(LOWER(TRIM(P200:S200))="(seleccione)"),"",PROPER(TRIM(P200:S200)))))*(CAT_Procesos!$D$2:$D$1581=IFERROR(VLOOKUP(N200&amp;"*",CAT_Procesos!$D:$D,1,FALSE),"")))*(CAT_Procesos!$G$2:$G$1581=INDEX(CAT_Procesos!$G$2:$G$1581,MATCH(1,(CAT_Procesos!$E$2:$E$1581=O200)*(CAT_Procesos!$F$2:$F$1581=_xlfn.TEXTJOIN(" + ",TRUE,IF((TRIM(P200:S200)="")+(LOWER(TRIM(P200:S200))="(seleccione)"),"",PROPER(TRIM(P200:S200)))))*(CAT_Procesos!$D$2:$D$1581=IFERROR(VLOOKUP(N200&amp;"*",CAT_Procesos!$D:$D,1,FALSE),"")),0))))=SUMPRODUCT(--((CAT_Procesos!$E$2:$E$1581=O200)*(CAT_Procesos!$F$2:$F$1581=_xlfn.TEXTJOIN(" + ",TRUE,IF((TRIM(P200:S200)="")+(LOWER(TRIM(P200:S200))="(seleccione)"),"",PROPER(TRIM(P200:S200)))))*(CAT_Procesos!$D$2:$D$1581=IFERROR(VLOOKUP(N200&amp;"*",CAT_Procesos!$D:$D,1,FALSE),"")))),INDEX(CAT_Procesos!$G$2:$G$1581,MATCH(1,(CAT_Procesos!$E$2:$E$1581=O200)*(CAT_Procesos!$F$2:$F$1581=_xlfn.TEXTJOIN(" + ",TRUE,IF((TRIM(P200:S200)="")+(LOWER(TRIM(P200:S200))="(seleccione)"),"",PROPER(TRIM(P200:S200)))))*(CAT_Procesos!$D$2:$D$1581=IFERROR(VLOOKUP(N200&amp;"*",CAT_Procesos!$D:$D,1,FALSE),"")),0)),"(seleccione)"))</f>
        <v>Combinación no existente</v>
      </c>
      <c r="V200" s="55" t="s">
        <v>73</v>
      </c>
      <c r="W200" s="56" t="s">
        <v>73</v>
      </c>
      <c r="X200" s="57" t="str">
        <f t="shared" si="8"/>
        <v/>
      </c>
      <c r="Y200" s="58" t="s">
        <v>73</v>
      </c>
      <c r="Z200" s="57" t="str">
        <f t="shared" si="9"/>
        <v/>
      </c>
      <c r="AA200" s="58" t="s">
        <v>73</v>
      </c>
      <c r="AB200" s="57" t="str">
        <f t="shared" si="10"/>
        <v/>
      </c>
      <c r="AC200" s="58" t="s">
        <v>73</v>
      </c>
      <c r="AD200" s="57" t="str">
        <f t="shared" si="11"/>
        <v/>
      </c>
      <c r="AE200" s="59"/>
      <c r="AF200" s="59"/>
      <c r="AG200" s="59"/>
      <c r="AH200" s="59"/>
      <c r="AI200" s="59" t="s">
        <v>73</v>
      </c>
      <c r="AJ200" s="59"/>
      <c r="AK200" s="59" t="s">
        <v>73</v>
      </c>
      <c r="AL200" s="59"/>
      <c r="AM200" s="59" t="s">
        <v>73</v>
      </c>
      <c r="AN200" s="59"/>
      <c r="AO200" s="59" t="s">
        <v>73</v>
      </c>
      <c r="AP200" s="59"/>
      <c r="AQ200" s="59" t="s">
        <v>73</v>
      </c>
      <c r="AR200" s="59"/>
      <c r="AS200" s="59" t="s">
        <v>72</v>
      </c>
      <c r="AT200" s="59"/>
      <c r="AU200" s="59"/>
      <c r="AV200" s="59"/>
      <c r="AW200" s="59"/>
      <c r="AX200" s="59"/>
      <c r="AY200" s="60" t="str">
        <f>IF('Cálculo MP'!K210="","",'Cálculo MP'!K210)</f>
        <v/>
      </c>
      <c r="AZ200" s="60" t="str">
        <f>IF('Cálculo MP'!L210="","",'Cálculo MP'!L210)</f>
        <v/>
      </c>
      <c r="BA200" s="60" t="str">
        <f>IF('Cálculo MP'!M210="","",'Cálculo MP'!M210)</f>
        <v/>
      </c>
      <c r="BB200" s="60" t="str">
        <f>IF('Cálculo MP'!N210="","",'Cálculo MP'!N210)</f>
        <v/>
      </c>
      <c r="BC200" s="60" t="str">
        <f>IF('Cálculo MP'!O210="","",'Cálculo MP'!O210)</f>
        <v/>
      </c>
      <c r="BD200" s="60" t="str">
        <f>IF('Cálculo MP'!P210="","",'Cálculo MP'!P210)</f>
        <v/>
      </c>
      <c r="BE200" s="60" t="str">
        <f>IF('Cálculo MP'!Q210="","",'Cálculo MP'!Q210)</f>
        <v/>
      </c>
      <c r="BF200" s="60" t="str">
        <f>IF('Cálculo MP'!R210="","",'Cálculo MP'!R210)</f>
        <v/>
      </c>
      <c r="BG200" s="60" t="str">
        <f>IF('Cálculo MP'!S210="","",'Cálculo MP'!S210)</f>
        <v/>
      </c>
      <c r="BH200" s="59"/>
      <c r="BI200" s="59"/>
      <c r="BJ200" s="59"/>
      <c r="BK200" s="59"/>
      <c r="BL200" s="59"/>
      <c r="BM200" s="59"/>
      <c r="BN200" s="59"/>
      <c r="BO200" s="59"/>
    </row>
    <row r="201" spans="1:67" ht="19.5" customHeight="1" x14ac:dyDescent="0.15">
      <c r="A201" s="123" t="s">
        <v>1856</v>
      </c>
      <c r="B201" s="122" t="s">
        <v>1854</v>
      </c>
      <c r="C201" s="49"/>
      <c r="D201" s="48" t="s">
        <v>73</v>
      </c>
      <c r="E201" s="49"/>
      <c r="F201" s="50"/>
      <c r="G201" s="62"/>
      <c r="H201" s="48" t="s">
        <v>72</v>
      </c>
      <c r="I201" s="52">
        <v>1</v>
      </c>
      <c r="J201" s="52"/>
      <c r="K201" s="52" t="s">
        <v>73</v>
      </c>
      <c r="L201" s="52" t="s">
        <v>74</v>
      </c>
      <c r="M201" s="53" t="s">
        <v>942</v>
      </c>
      <c r="N201" s="58" t="s">
        <v>73</v>
      </c>
      <c r="O201" s="48" t="s">
        <v>72</v>
      </c>
      <c r="P201" s="48" t="s">
        <v>73</v>
      </c>
      <c r="Q201" s="54" t="s">
        <v>73</v>
      </c>
      <c r="R201" s="55" t="s">
        <v>73</v>
      </c>
      <c r="S201" s="48" t="s">
        <v>73</v>
      </c>
      <c r="T201" s="130"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8" t="str" cm="1">
        <f t="array" ref="U201">IF(SUMPRODUCT(--((CAT_Procesos!$E$2:$E$1581=O201)*(CAT_Procesos!$F$2:$F$1581=_xlfn.TEXTJOIN(" + ",TRUE,IF((TRIM(P201:S201)="")+(LOWER(TRIM(P201:S201))="(seleccione)"),"",PROPER(TRIM(P201:S201)))))*(CAT_Procesos!$D$2:$D$1581=IFERROR(VLOOKUP(N201&amp;"*",CAT_Procesos!$D:$D,1,FALSE),""))))=0,"Combinación no existente",IF(SUMPRODUCT(((CAT_Procesos!$E$2:$E$1581=O201)*(CAT_Procesos!$F$2:$F$1581=_xlfn.TEXTJOIN(" + ",TRUE,IF((TRIM(P201:S201)="")+(LOWER(TRIM(P201:S201))="(seleccione)"),"",PROPER(TRIM(P201:S201)))))*(CAT_Procesos!$D$2:$D$1581=IFERROR(VLOOKUP(N201&amp;"*",CAT_Procesos!$D:$D,1,FALSE),"")))*(CAT_Procesos!$G$2:$G$1581=INDEX(CAT_Procesos!$G$2:$G$1581,MATCH(1,(CAT_Procesos!$E$2:$E$1581=O201)*(CAT_Procesos!$F$2:$F$1581=_xlfn.TEXTJOIN(" + ",TRUE,IF((TRIM(P201:S201)="")+(LOWER(TRIM(P201:S201))="(seleccione)"),"",PROPER(TRIM(P201:S201)))))*(CAT_Procesos!$D$2:$D$1581=IFERROR(VLOOKUP(N201&amp;"*",CAT_Procesos!$D:$D,1,FALSE),"")),0))))=SUMPRODUCT(--((CAT_Procesos!$E$2:$E$1581=O201)*(CAT_Procesos!$F$2:$F$1581=_xlfn.TEXTJOIN(" + ",TRUE,IF((TRIM(P201:S201)="")+(LOWER(TRIM(P201:S201))="(seleccione)"),"",PROPER(TRIM(P201:S201)))))*(CAT_Procesos!$D$2:$D$1581=IFERROR(VLOOKUP(N201&amp;"*",CAT_Procesos!$D:$D,1,FALSE),"")))),INDEX(CAT_Procesos!$G$2:$G$1581,MATCH(1,(CAT_Procesos!$E$2:$E$1581=O201)*(CAT_Procesos!$F$2:$F$1581=_xlfn.TEXTJOIN(" + ",TRUE,IF((TRIM(P201:S201)="")+(LOWER(TRIM(P201:S201))="(seleccione)"),"",PROPER(TRIM(P201:S201)))))*(CAT_Procesos!$D$2:$D$1581=IFERROR(VLOOKUP(N201&amp;"*",CAT_Procesos!$D:$D,1,FALSE),"")),0)),"(seleccione)"))</f>
        <v>Combinación no existente</v>
      </c>
      <c r="V201" s="55" t="s">
        <v>73</v>
      </c>
      <c r="W201" s="56" t="s">
        <v>73</v>
      </c>
      <c r="X201" s="57" t="str">
        <f t="shared" ref="X201:X264" si="12">IFERROR(((VALUE(TRIM(LEFT(MID(W201,FIND("|",W201)+1,99),FIND("-",MID(W201,FIND("|",W201)+1,99))-1)))+VALUE(TRIM(SUBSTITUTE(SUBSTITUTE(SUBSTITUTE(SUBSTITUTE(SUBSTITUTE(MID(MID(W201,FIND("|",W201)+1,99),FIND("-",MID(W201,FIND("|",W201)+1,99))+1,20),"µm",""),"μm",""),"mils",""),"mil",""),"",""))))/2)*IF(ISNUMBER(SEARCH("mil",MID(W201,FIND("|",W201)+1,99))),25.4,1),"")</f>
        <v/>
      </c>
      <c r="Y201" s="58" t="s">
        <v>73</v>
      </c>
      <c r="Z201" s="57" t="str">
        <f t="shared" ref="Z201:Z264" si="13">IFERROR(((VALUE(TRIM(LEFT(MID(Y201,FIND("|",Y201)+1,99),FIND("-",MID(Y201,FIND("|",Y201)+1,99))-1)))+VALUE(TRIM(SUBSTITUTE(SUBSTITUTE(SUBSTITUTE(SUBSTITUTE(SUBSTITUTE(MID(MID(Y201,FIND("|",Y201)+1,99),FIND("-",MID(Y201,FIND("|",Y201)+1,99))+1,20),"µm",""),"μm",""),"mils",""),"mil",""),"",""))))/2)*IF(ISNUMBER(SEARCH("mil",MID(Y201,FIND("|",Y201)+1,99))),25.4,1),"")</f>
        <v/>
      </c>
      <c r="AA201" s="58" t="s">
        <v>73</v>
      </c>
      <c r="AB201" s="57"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8" t="s">
        <v>73</v>
      </c>
      <c r="AD201" s="57"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59"/>
      <c r="AF201" s="59"/>
      <c r="AG201" s="59"/>
      <c r="AH201" s="59"/>
      <c r="AI201" s="59" t="s">
        <v>73</v>
      </c>
      <c r="AJ201" s="59"/>
      <c r="AK201" s="59" t="s">
        <v>73</v>
      </c>
      <c r="AL201" s="59"/>
      <c r="AM201" s="59" t="s">
        <v>73</v>
      </c>
      <c r="AN201" s="59"/>
      <c r="AO201" s="59" t="s">
        <v>73</v>
      </c>
      <c r="AP201" s="59"/>
      <c r="AQ201" s="59" t="s">
        <v>73</v>
      </c>
      <c r="AR201" s="59"/>
      <c r="AS201" s="59" t="s">
        <v>72</v>
      </c>
      <c r="AT201" s="59"/>
      <c r="AU201" s="59"/>
      <c r="AV201" s="59"/>
      <c r="AW201" s="59"/>
      <c r="AX201" s="59"/>
      <c r="AY201" s="60" t="str">
        <f>IF('Cálculo MP'!K211="","",'Cálculo MP'!K211)</f>
        <v/>
      </c>
      <c r="AZ201" s="60" t="str">
        <f>IF('Cálculo MP'!L211="","",'Cálculo MP'!L211)</f>
        <v/>
      </c>
      <c r="BA201" s="60" t="str">
        <f>IF('Cálculo MP'!M211="","",'Cálculo MP'!M211)</f>
        <v/>
      </c>
      <c r="BB201" s="60" t="str">
        <f>IF('Cálculo MP'!N211="","",'Cálculo MP'!N211)</f>
        <v/>
      </c>
      <c r="BC201" s="60" t="str">
        <f>IF('Cálculo MP'!O211="","",'Cálculo MP'!O211)</f>
        <v/>
      </c>
      <c r="BD201" s="60" t="str">
        <f>IF('Cálculo MP'!P211="","",'Cálculo MP'!P211)</f>
        <v/>
      </c>
      <c r="BE201" s="60" t="str">
        <f>IF('Cálculo MP'!Q211="","",'Cálculo MP'!Q211)</f>
        <v/>
      </c>
      <c r="BF201" s="60" t="str">
        <f>IF('Cálculo MP'!R211="","",'Cálculo MP'!R211)</f>
        <v/>
      </c>
      <c r="BG201" s="60" t="str">
        <f>IF('Cálculo MP'!S211="","",'Cálculo MP'!S211)</f>
        <v/>
      </c>
      <c r="BH201" s="59"/>
      <c r="BI201" s="59"/>
      <c r="BJ201" s="59"/>
      <c r="BK201" s="59"/>
      <c r="BL201" s="59"/>
      <c r="BM201" s="59"/>
      <c r="BN201" s="59"/>
      <c r="BO201" s="59"/>
    </row>
    <row r="202" spans="1:67" ht="19.5" customHeight="1" x14ac:dyDescent="0.15">
      <c r="A202" s="123" t="s">
        <v>1856</v>
      </c>
      <c r="B202" s="122" t="s">
        <v>1854</v>
      </c>
      <c r="C202" s="49"/>
      <c r="D202" s="48" t="s">
        <v>73</v>
      </c>
      <c r="E202" s="49"/>
      <c r="F202" s="50"/>
      <c r="G202" s="62"/>
      <c r="H202" s="48" t="s">
        <v>72</v>
      </c>
      <c r="I202" s="52">
        <v>1</v>
      </c>
      <c r="J202" s="52"/>
      <c r="K202" s="52" t="s">
        <v>73</v>
      </c>
      <c r="L202" s="52" t="s">
        <v>74</v>
      </c>
      <c r="M202" s="53" t="s">
        <v>942</v>
      </c>
      <c r="N202" s="58" t="s">
        <v>73</v>
      </c>
      <c r="O202" s="48" t="s">
        <v>72</v>
      </c>
      <c r="P202" s="48" t="s">
        <v>73</v>
      </c>
      <c r="Q202" s="54" t="s">
        <v>73</v>
      </c>
      <c r="R202" s="55" t="s">
        <v>73</v>
      </c>
      <c r="S202" s="48" t="s">
        <v>73</v>
      </c>
      <c r="T202" s="130"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8" t="str" cm="1">
        <f t="array" ref="U202">IF(SUMPRODUCT(--((CAT_Procesos!$E$2:$E$1581=O202)*(CAT_Procesos!$F$2:$F$1581=_xlfn.TEXTJOIN(" + ",TRUE,IF((TRIM(P202:S202)="")+(LOWER(TRIM(P202:S202))="(seleccione)"),"",PROPER(TRIM(P202:S202)))))*(CAT_Procesos!$D$2:$D$1581=IFERROR(VLOOKUP(N202&amp;"*",CAT_Procesos!$D:$D,1,FALSE),""))))=0,"Combinación no existente",IF(SUMPRODUCT(((CAT_Procesos!$E$2:$E$1581=O202)*(CAT_Procesos!$F$2:$F$1581=_xlfn.TEXTJOIN(" + ",TRUE,IF((TRIM(P202:S202)="")+(LOWER(TRIM(P202:S202))="(seleccione)"),"",PROPER(TRIM(P202:S202)))))*(CAT_Procesos!$D$2:$D$1581=IFERROR(VLOOKUP(N202&amp;"*",CAT_Procesos!$D:$D,1,FALSE),"")))*(CAT_Procesos!$G$2:$G$1581=INDEX(CAT_Procesos!$G$2:$G$1581,MATCH(1,(CAT_Procesos!$E$2:$E$1581=O202)*(CAT_Procesos!$F$2:$F$1581=_xlfn.TEXTJOIN(" + ",TRUE,IF((TRIM(P202:S202)="")+(LOWER(TRIM(P202:S202))="(seleccione)"),"",PROPER(TRIM(P202:S202)))))*(CAT_Procesos!$D$2:$D$1581=IFERROR(VLOOKUP(N202&amp;"*",CAT_Procesos!$D:$D,1,FALSE),"")),0))))=SUMPRODUCT(--((CAT_Procesos!$E$2:$E$1581=O202)*(CAT_Procesos!$F$2:$F$1581=_xlfn.TEXTJOIN(" + ",TRUE,IF((TRIM(P202:S202)="")+(LOWER(TRIM(P202:S202))="(seleccione)"),"",PROPER(TRIM(P202:S202)))))*(CAT_Procesos!$D$2:$D$1581=IFERROR(VLOOKUP(N202&amp;"*",CAT_Procesos!$D:$D,1,FALSE),"")))),INDEX(CAT_Procesos!$G$2:$G$1581,MATCH(1,(CAT_Procesos!$E$2:$E$1581=O202)*(CAT_Procesos!$F$2:$F$1581=_xlfn.TEXTJOIN(" + ",TRUE,IF((TRIM(P202:S202)="")+(LOWER(TRIM(P202:S202))="(seleccione)"),"",PROPER(TRIM(P202:S202)))))*(CAT_Procesos!$D$2:$D$1581=IFERROR(VLOOKUP(N202&amp;"*",CAT_Procesos!$D:$D,1,FALSE),"")),0)),"(seleccione)"))</f>
        <v>Combinación no existente</v>
      </c>
      <c r="V202" s="55" t="s">
        <v>73</v>
      </c>
      <c r="W202" s="56" t="s">
        <v>73</v>
      </c>
      <c r="X202" s="57" t="str">
        <f t="shared" si="12"/>
        <v/>
      </c>
      <c r="Y202" s="58" t="s">
        <v>73</v>
      </c>
      <c r="Z202" s="57" t="str">
        <f t="shared" si="13"/>
        <v/>
      </c>
      <c r="AA202" s="58" t="s">
        <v>73</v>
      </c>
      <c r="AB202" s="57" t="str">
        <f t="shared" si="14"/>
        <v/>
      </c>
      <c r="AC202" s="58" t="s">
        <v>73</v>
      </c>
      <c r="AD202" s="57" t="str">
        <f t="shared" si="15"/>
        <v/>
      </c>
      <c r="AE202" s="59"/>
      <c r="AF202" s="59"/>
      <c r="AG202" s="59"/>
      <c r="AH202" s="59"/>
      <c r="AI202" s="59" t="s">
        <v>73</v>
      </c>
      <c r="AJ202" s="59"/>
      <c r="AK202" s="59" t="s">
        <v>73</v>
      </c>
      <c r="AL202" s="59"/>
      <c r="AM202" s="59" t="s">
        <v>73</v>
      </c>
      <c r="AN202" s="59"/>
      <c r="AO202" s="59" t="s">
        <v>73</v>
      </c>
      <c r="AP202" s="59"/>
      <c r="AQ202" s="59" t="s">
        <v>73</v>
      </c>
      <c r="AR202" s="59"/>
      <c r="AS202" s="59" t="s">
        <v>72</v>
      </c>
      <c r="AT202" s="59"/>
      <c r="AU202" s="59"/>
      <c r="AV202" s="59"/>
      <c r="AW202" s="59"/>
      <c r="AX202" s="59"/>
      <c r="AY202" s="60" t="str">
        <f>IF('Cálculo MP'!K212="","",'Cálculo MP'!K212)</f>
        <v/>
      </c>
      <c r="AZ202" s="60" t="str">
        <f>IF('Cálculo MP'!L212="","",'Cálculo MP'!L212)</f>
        <v/>
      </c>
      <c r="BA202" s="60" t="str">
        <f>IF('Cálculo MP'!M212="","",'Cálculo MP'!M212)</f>
        <v/>
      </c>
      <c r="BB202" s="60" t="str">
        <f>IF('Cálculo MP'!N212="","",'Cálculo MP'!N212)</f>
        <v/>
      </c>
      <c r="BC202" s="60" t="str">
        <f>IF('Cálculo MP'!O212="","",'Cálculo MP'!O212)</f>
        <v/>
      </c>
      <c r="BD202" s="60" t="str">
        <f>IF('Cálculo MP'!P212="","",'Cálculo MP'!P212)</f>
        <v/>
      </c>
      <c r="BE202" s="60" t="str">
        <f>IF('Cálculo MP'!Q212="","",'Cálculo MP'!Q212)</f>
        <v/>
      </c>
      <c r="BF202" s="60" t="str">
        <f>IF('Cálculo MP'!R212="","",'Cálculo MP'!R212)</f>
        <v/>
      </c>
      <c r="BG202" s="60" t="str">
        <f>IF('Cálculo MP'!S212="","",'Cálculo MP'!S212)</f>
        <v/>
      </c>
      <c r="BH202" s="59"/>
      <c r="BI202" s="59"/>
      <c r="BJ202" s="59"/>
      <c r="BK202" s="59"/>
      <c r="BL202" s="59"/>
      <c r="BM202" s="59"/>
      <c r="BN202" s="59"/>
      <c r="BO202" s="59"/>
    </row>
    <row r="203" spans="1:67" ht="19.5" customHeight="1" x14ac:dyDescent="0.15">
      <c r="A203" s="123" t="s">
        <v>1856</v>
      </c>
      <c r="B203" s="122" t="s">
        <v>1854</v>
      </c>
      <c r="C203" s="49"/>
      <c r="D203" s="48" t="s">
        <v>73</v>
      </c>
      <c r="E203" s="49"/>
      <c r="F203" s="50"/>
      <c r="G203" s="62"/>
      <c r="H203" s="48" t="s">
        <v>72</v>
      </c>
      <c r="I203" s="52">
        <v>1</v>
      </c>
      <c r="J203" s="52"/>
      <c r="K203" s="52" t="s">
        <v>73</v>
      </c>
      <c r="L203" s="52" t="s">
        <v>74</v>
      </c>
      <c r="M203" s="53" t="s">
        <v>942</v>
      </c>
      <c r="N203" s="58" t="s">
        <v>73</v>
      </c>
      <c r="O203" s="48" t="s">
        <v>72</v>
      </c>
      <c r="P203" s="48" t="s">
        <v>73</v>
      </c>
      <c r="Q203" s="54" t="s">
        <v>73</v>
      </c>
      <c r="R203" s="55" t="s">
        <v>73</v>
      </c>
      <c r="S203" s="48" t="s">
        <v>73</v>
      </c>
      <c r="T203" s="130"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8" t="str" cm="1">
        <f t="array" ref="U203">IF(SUMPRODUCT(--((CAT_Procesos!$E$2:$E$1581=O203)*(CAT_Procesos!$F$2:$F$1581=_xlfn.TEXTJOIN(" + ",TRUE,IF((TRIM(P203:S203)="")+(LOWER(TRIM(P203:S203))="(seleccione)"),"",PROPER(TRIM(P203:S203)))))*(CAT_Procesos!$D$2:$D$1581=IFERROR(VLOOKUP(N203&amp;"*",CAT_Procesos!$D:$D,1,FALSE),""))))=0,"Combinación no existente",IF(SUMPRODUCT(((CAT_Procesos!$E$2:$E$1581=O203)*(CAT_Procesos!$F$2:$F$1581=_xlfn.TEXTJOIN(" + ",TRUE,IF((TRIM(P203:S203)="")+(LOWER(TRIM(P203:S203))="(seleccione)"),"",PROPER(TRIM(P203:S203)))))*(CAT_Procesos!$D$2:$D$1581=IFERROR(VLOOKUP(N203&amp;"*",CAT_Procesos!$D:$D,1,FALSE),"")))*(CAT_Procesos!$G$2:$G$1581=INDEX(CAT_Procesos!$G$2:$G$1581,MATCH(1,(CAT_Procesos!$E$2:$E$1581=O203)*(CAT_Procesos!$F$2:$F$1581=_xlfn.TEXTJOIN(" + ",TRUE,IF((TRIM(P203:S203)="")+(LOWER(TRIM(P203:S203))="(seleccione)"),"",PROPER(TRIM(P203:S203)))))*(CAT_Procesos!$D$2:$D$1581=IFERROR(VLOOKUP(N203&amp;"*",CAT_Procesos!$D:$D,1,FALSE),"")),0))))=SUMPRODUCT(--((CAT_Procesos!$E$2:$E$1581=O203)*(CAT_Procesos!$F$2:$F$1581=_xlfn.TEXTJOIN(" + ",TRUE,IF((TRIM(P203:S203)="")+(LOWER(TRIM(P203:S203))="(seleccione)"),"",PROPER(TRIM(P203:S203)))))*(CAT_Procesos!$D$2:$D$1581=IFERROR(VLOOKUP(N203&amp;"*",CAT_Procesos!$D:$D,1,FALSE),"")))),INDEX(CAT_Procesos!$G$2:$G$1581,MATCH(1,(CAT_Procesos!$E$2:$E$1581=O203)*(CAT_Procesos!$F$2:$F$1581=_xlfn.TEXTJOIN(" + ",TRUE,IF((TRIM(P203:S203)="")+(LOWER(TRIM(P203:S203))="(seleccione)"),"",PROPER(TRIM(P203:S203)))))*(CAT_Procesos!$D$2:$D$1581=IFERROR(VLOOKUP(N203&amp;"*",CAT_Procesos!$D:$D,1,FALSE),"")),0)),"(seleccione)"))</f>
        <v>Combinación no existente</v>
      </c>
      <c r="V203" s="55" t="s">
        <v>73</v>
      </c>
      <c r="W203" s="56" t="s">
        <v>73</v>
      </c>
      <c r="X203" s="57" t="str">
        <f t="shared" si="12"/>
        <v/>
      </c>
      <c r="Y203" s="58" t="s">
        <v>73</v>
      </c>
      <c r="Z203" s="57" t="str">
        <f t="shared" si="13"/>
        <v/>
      </c>
      <c r="AA203" s="58" t="s">
        <v>73</v>
      </c>
      <c r="AB203" s="57" t="str">
        <f t="shared" si="14"/>
        <v/>
      </c>
      <c r="AC203" s="58" t="s">
        <v>73</v>
      </c>
      <c r="AD203" s="57" t="str">
        <f t="shared" si="15"/>
        <v/>
      </c>
      <c r="AE203" s="59"/>
      <c r="AF203" s="59"/>
      <c r="AG203" s="59"/>
      <c r="AH203" s="59"/>
      <c r="AI203" s="59" t="s">
        <v>73</v>
      </c>
      <c r="AJ203" s="59"/>
      <c r="AK203" s="59" t="s">
        <v>73</v>
      </c>
      <c r="AL203" s="59"/>
      <c r="AM203" s="59" t="s">
        <v>73</v>
      </c>
      <c r="AN203" s="59"/>
      <c r="AO203" s="59" t="s">
        <v>73</v>
      </c>
      <c r="AP203" s="59"/>
      <c r="AQ203" s="59" t="s">
        <v>73</v>
      </c>
      <c r="AR203" s="59"/>
      <c r="AS203" s="59" t="s">
        <v>72</v>
      </c>
      <c r="AT203" s="59"/>
      <c r="AU203" s="59"/>
      <c r="AV203" s="59"/>
      <c r="AW203" s="59"/>
      <c r="AX203" s="59"/>
      <c r="AY203" s="60" t="str">
        <f>IF('Cálculo MP'!K213="","",'Cálculo MP'!K213)</f>
        <v/>
      </c>
      <c r="AZ203" s="60" t="str">
        <f>IF('Cálculo MP'!L213="","",'Cálculo MP'!L213)</f>
        <v/>
      </c>
      <c r="BA203" s="60" t="str">
        <f>IF('Cálculo MP'!M213="","",'Cálculo MP'!M213)</f>
        <v/>
      </c>
      <c r="BB203" s="60" t="str">
        <f>IF('Cálculo MP'!N213="","",'Cálculo MP'!N213)</f>
        <v/>
      </c>
      <c r="BC203" s="60" t="str">
        <f>IF('Cálculo MP'!O213="","",'Cálculo MP'!O213)</f>
        <v/>
      </c>
      <c r="BD203" s="60" t="str">
        <f>IF('Cálculo MP'!P213="","",'Cálculo MP'!P213)</f>
        <v/>
      </c>
      <c r="BE203" s="60" t="str">
        <f>IF('Cálculo MP'!Q213="","",'Cálculo MP'!Q213)</f>
        <v/>
      </c>
      <c r="BF203" s="60" t="str">
        <f>IF('Cálculo MP'!R213="","",'Cálculo MP'!R213)</f>
        <v/>
      </c>
      <c r="BG203" s="60" t="str">
        <f>IF('Cálculo MP'!S213="","",'Cálculo MP'!S213)</f>
        <v/>
      </c>
      <c r="BH203" s="59"/>
      <c r="BI203" s="59"/>
      <c r="BJ203" s="59"/>
      <c r="BK203" s="59"/>
      <c r="BL203" s="59"/>
      <c r="BM203" s="59"/>
      <c r="BN203" s="59"/>
      <c r="BO203" s="59"/>
    </row>
    <row r="204" spans="1:67" ht="19.5" customHeight="1" x14ac:dyDescent="0.15">
      <c r="A204" s="123" t="s">
        <v>1856</v>
      </c>
      <c r="B204" s="122" t="s">
        <v>1854</v>
      </c>
      <c r="C204" s="49"/>
      <c r="D204" s="48" t="s">
        <v>73</v>
      </c>
      <c r="E204" s="49"/>
      <c r="F204" s="50"/>
      <c r="G204" s="62"/>
      <c r="H204" s="48" t="s">
        <v>72</v>
      </c>
      <c r="I204" s="52">
        <v>1</v>
      </c>
      <c r="J204" s="52"/>
      <c r="K204" s="52" t="s">
        <v>73</v>
      </c>
      <c r="L204" s="52" t="s">
        <v>74</v>
      </c>
      <c r="M204" s="53" t="s">
        <v>942</v>
      </c>
      <c r="N204" s="58" t="s">
        <v>73</v>
      </c>
      <c r="O204" s="48" t="s">
        <v>72</v>
      </c>
      <c r="P204" s="48" t="s">
        <v>73</v>
      </c>
      <c r="Q204" s="54" t="s">
        <v>73</v>
      </c>
      <c r="R204" s="55" t="s">
        <v>73</v>
      </c>
      <c r="S204" s="48" t="s">
        <v>73</v>
      </c>
      <c r="T204" s="130"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8" t="str" cm="1">
        <f t="array" ref="U204">IF(SUMPRODUCT(--((CAT_Procesos!$E$2:$E$1581=O204)*(CAT_Procesos!$F$2:$F$1581=_xlfn.TEXTJOIN(" + ",TRUE,IF((TRIM(P204:S204)="")+(LOWER(TRIM(P204:S204))="(seleccione)"),"",PROPER(TRIM(P204:S204)))))*(CAT_Procesos!$D$2:$D$1581=IFERROR(VLOOKUP(N204&amp;"*",CAT_Procesos!$D:$D,1,FALSE),""))))=0,"Combinación no existente",IF(SUMPRODUCT(((CAT_Procesos!$E$2:$E$1581=O204)*(CAT_Procesos!$F$2:$F$1581=_xlfn.TEXTJOIN(" + ",TRUE,IF((TRIM(P204:S204)="")+(LOWER(TRIM(P204:S204))="(seleccione)"),"",PROPER(TRIM(P204:S204)))))*(CAT_Procesos!$D$2:$D$1581=IFERROR(VLOOKUP(N204&amp;"*",CAT_Procesos!$D:$D,1,FALSE),"")))*(CAT_Procesos!$G$2:$G$1581=INDEX(CAT_Procesos!$G$2:$G$1581,MATCH(1,(CAT_Procesos!$E$2:$E$1581=O204)*(CAT_Procesos!$F$2:$F$1581=_xlfn.TEXTJOIN(" + ",TRUE,IF((TRIM(P204:S204)="")+(LOWER(TRIM(P204:S204))="(seleccione)"),"",PROPER(TRIM(P204:S204)))))*(CAT_Procesos!$D$2:$D$1581=IFERROR(VLOOKUP(N204&amp;"*",CAT_Procesos!$D:$D,1,FALSE),"")),0))))=SUMPRODUCT(--((CAT_Procesos!$E$2:$E$1581=O204)*(CAT_Procesos!$F$2:$F$1581=_xlfn.TEXTJOIN(" + ",TRUE,IF((TRIM(P204:S204)="")+(LOWER(TRIM(P204:S204))="(seleccione)"),"",PROPER(TRIM(P204:S204)))))*(CAT_Procesos!$D$2:$D$1581=IFERROR(VLOOKUP(N204&amp;"*",CAT_Procesos!$D:$D,1,FALSE),"")))),INDEX(CAT_Procesos!$G$2:$G$1581,MATCH(1,(CAT_Procesos!$E$2:$E$1581=O204)*(CAT_Procesos!$F$2:$F$1581=_xlfn.TEXTJOIN(" + ",TRUE,IF((TRIM(P204:S204)="")+(LOWER(TRIM(P204:S204))="(seleccione)"),"",PROPER(TRIM(P204:S204)))))*(CAT_Procesos!$D$2:$D$1581=IFERROR(VLOOKUP(N204&amp;"*",CAT_Procesos!$D:$D,1,FALSE),"")),0)),"(seleccione)"))</f>
        <v>Combinación no existente</v>
      </c>
      <c r="V204" s="55" t="s">
        <v>73</v>
      </c>
      <c r="W204" s="56" t="s">
        <v>73</v>
      </c>
      <c r="X204" s="57" t="str">
        <f t="shared" si="12"/>
        <v/>
      </c>
      <c r="Y204" s="58" t="s">
        <v>73</v>
      </c>
      <c r="Z204" s="57" t="str">
        <f t="shared" si="13"/>
        <v/>
      </c>
      <c r="AA204" s="58" t="s">
        <v>73</v>
      </c>
      <c r="AB204" s="57" t="str">
        <f t="shared" si="14"/>
        <v/>
      </c>
      <c r="AC204" s="58" t="s">
        <v>73</v>
      </c>
      <c r="AD204" s="57" t="str">
        <f t="shared" si="15"/>
        <v/>
      </c>
      <c r="AE204" s="59"/>
      <c r="AF204" s="59"/>
      <c r="AG204" s="59"/>
      <c r="AH204" s="59"/>
      <c r="AI204" s="59" t="s">
        <v>73</v>
      </c>
      <c r="AJ204" s="59"/>
      <c r="AK204" s="59" t="s">
        <v>73</v>
      </c>
      <c r="AL204" s="59"/>
      <c r="AM204" s="59" t="s">
        <v>73</v>
      </c>
      <c r="AN204" s="59"/>
      <c r="AO204" s="59" t="s">
        <v>73</v>
      </c>
      <c r="AP204" s="59"/>
      <c r="AQ204" s="59" t="s">
        <v>73</v>
      </c>
      <c r="AR204" s="59"/>
      <c r="AS204" s="59" t="s">
        <v>72</v>
      </c>
      <c r="AT204" s="59"/>
      <c r="AU204" s="59"/>
      <c r="AV204" s="59"/>
      <c r="AW204" s="59"/>
      <c r="AX204" s="59"/>
      <c r="AY204" s="60" t="str">
        <f>IF('Cálculo MP'!K214="","",'Cálculo MP'!K214)</f>
        <v/>
      </c>
      <c r="AZ204" s="60" t="str">
        <f>IF('Cálculo MP'!L214="","",'Cálculo MP'!L214)</f>
        <v/>
      </c>
      <c r="BA204" s="60" t="str">
        <f>IF('Cálculo MP'!M214="","",'Cálculo MP'!M214)</f>
        <v/>
      </c>
      <c r="BB204" s="60" t="str">
        <f>IF('Cálculo MP'!N214="","",'Cálculo MP'!N214)</f>
        <v/>
      </c>
      <c r="BC204" s="60" t="str">
        <f>IF('Cálculo MP'!O214="","",'Cálculo MP'!O214)</f>
        <v/>
      </c>
      <c r="BD204" s="60" t="str">
        <f>IF('Cálculo MP'!P214="","",'Cálculo MP'!P214)</f>
        <v/>
      </c>
      <c r="BE204" s="60" t="str">
        <f>IF('Cálculo MP'!Q214="","",'Cálculo MP'!Q214)</f>
        <v/>
      </c>
      <c r="BF204" s="60" t="str">
        <f>IF('Cálculo MP'!R214="","",'Cálculo MP'!R214)</f>
        <v/>
      </c>
      <c r="BG204" s="60" t="str">
        <f>IF('Cálculo MP'!S214="","",'Cálculo MP'!S214)</f>
        <v/>
      </c>
      <c r="BH204" s="59"/>
      <c r="BI204" s="59"/>
      <c r="BJ204" s="59"/>
      <c r="BK204" s="59"/>
      <c r="BL204" s="59"/>
      <c r="BM204" s="59"/>
      <c r="BN204" s="59"/>
      <c r="BO204" s="59"/>
    </row>
    <row r="205" spans="1:67" ht="19.5" customHeight="1" x14ac:dyDescent="0.15">
      <c r="A205" s="123" t="s">
        <v>1856</v>
      </c>
      <c r="B205" s="122" t="s">
        <v>1854</v>
      </c>
      <c r="C205" s="49"/>
      <c r="D205" s="48" t="s">
        <v>73</v>
      </c>
      <c r="E205" s="49"/>
      <c r="F205" s="50"/>
      <c r="G205" s="62"/>
      <c r="H205" s="48" t="s">
        <v>72</v>
      </c>
      <c r="I205" s="52">
        <v>1</v>
      </c>
      <c r="J205" s="52"/>
      <c r="K205" s="52" t="s">
        <v>73</v>
      </c>
      <c r="L205" s="52" t="s">
        <v>74</v>
      </c>
      <c r="M205" s="53" t="s">
        <v>942</v>
      </c>
      <c r="N205" s="58" t="s">
        <v>73</v>
      </c>
      <c r="O205" s="48" t="s">
        <v>72</v>
      </c>
      <c r="P205" s="48" t="s">
        <v>73</v>
      </c>
      <c r="Q205" s="54" t="s">
        <v>73</v>
      </c>
      <c r="R205" s="55" t="s">
        <v>73</v>
      </c>
      <c r="S205" s="48" t="s">
        <v>73</v>
      </c>
      <c r="T205" s="130"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8" t="str" cm="1">
        <f t="array" ref="U205">IF(SUMPRODUCT(--((CAT_Procesos!$E$2:$E$1581=O205)*(CAT_Procesos!$F$2:$F$1581=_xlfn.TEXTJOIN(" + ",TRUE,IF((TRIM(P205:S205)="")+(LOWER(TRIM(P205:S205))="(seleccione)"),"",PROPER(TRIM(P205:S205)))))*(CAT_Procesos!$D$2:$D$1581=IFERROR(VLOOKUP(N205&amp;"*",CAT_Procesos!$D:$D,1,FALSE),""))))=0,"Combinación no existente",IF(SUMPRODUCT(((CAT_Procesos!$E$2:$E$1581=O205)*(CAT_Procesos!$F$2:$F$1581=_xlfn.TEXTJOIN(" + ",TRUE,IF((TRIM(P205:S205)="")+(LOWER(TRIM(P205:S205))="(seleccione)"),"",PROPER(TRIM(P205:S205)))))*(CAT_Procesos!$D$2:$D$1581=IFERROR(VLOOKUP(N205&amp;"*",CAT_Procesos!$D:$D,1,FALSE),"")))*(CAT_Procesos!$G$2:$G$1581=INDEX(CAT_Procesos!$G$2:$G$1581,MATCH(1,(CAT_Procesos!$E$2:$E$1581=O205)*(CAT_Procesos!$F$2:$F$1581=_xlfn.TEXTJOIN(" + ",TRUE,IF((TRIM(P205:S205)="")+(LOWER(TRIM(P205:S205))="(seleccione)"),"",PROPER(TRIM(P205:S205)))))*(CAT_Procesos!$D$2:$D$1581=IFERROR(VLOOKUP(N205&amp;"*",CAT_Procesos!$D:$D,1,FALSE),"")),0))))=SUMPRODUCT(--((CAT_Procesos!$E$2:$E$1581=O205)*(CAT_Procesos!$F$2:$F$1581=_xlfn.TEXTJOIN(" + ",TRUE,IF((TRIM(P205:S205)="")+(LOWER(TRIM(P205:S205))="(seleccione)"),"",PROPER(TRIM(P205:S205)))))*(CAT_Procesos!$D$2:$D$1581=IFERROR(VLOOKUP(N205&amp;"*",CAT_Procesos!$D:$D,1,FALSE),"")))),INDEX(CAT_Procesos!$G$2:$G$1581,MATCH(1,(CAT_Procesos!$E$2:$E$1581=O205)*(CAT_Procesos!$F$2:$F$1581=_xlfn.TEXTJOIN(" + ",TRUE,IF((TRIM(P205:S205)="")+(LOWER(TRIM(P205:S205))="(seleccione)"),"",PROPER(TRIM(P205:S205)))))*(CAT_Procesos!$D$2:$D$1581=IFERROR(VLOOKUP(N205&amp;"*",CAT_Procesos!$D:$D,1,FALSE),"")),0)),"(seleccione)"))</f>
        <v>Combinación no existente</v>
      </c>
      <c r="V205" s="55" t="s">
        <v>73</v>
      </c>
      <c r="W205" s="56" t="s">
        <v>73</v>
      </c>
      <c r="X205" s="57" t="str">
        <f t="shared" si="12"/>
        <v/>
      </c>
      <c r="Y205" s="58" t="s">
        <v>73</v>
      </c>
      <c r="Z205" s="57" t="str">
        <f t="shared" si="13"/>
        <v/>
      </c>
      <c r="AA205" s="58" t="s">
        <v>73</v>
      </c>
      <c r="AB205" s="57" t="str">
        <f t="shared" si="14"/>
        <v/>
      </c>
      <c r="AC205" s="58" t="s">
        <v>73</v>
      </c>
      <c r="AD205" s="57" t="str">
        <f t="shared" si="15"/>
        <v/>
      </c>
      <c r="AE205" s="59"/>
      <c r="AF205" s="59"/>
      <c r="AG205" s="59"/>
      <c r="AH205" s="59"/>
      <c r="AI205" s="59" t="s">
        <v>73</v>
      </c>
      <c r="AJ205" s="59"/>
      <c r="AK205" s="59" t="s">
        <v>73</v>
      </c>
      <c r="AL205" s="59"/>
      <c r="AM205" s="59" t="s">
        <v>73</v>
      </c>
      <c r="AN205" s="59"/>
      <c r="AO205" s="59" t="s">
        <v>73</v>
      </c>
      <c r="AP205" s="59"/>
      <c r="AQ205" s="59" t="s">
        <v>73</v>
      </c>
      <c r="AR205" s="59"/>
      <c r="AS205" s="59" t="s">
        <v>72</v>
      </c>
      <c r="AT205" s="59"/>
      <c r="AU205" s="59"/>
      <c r="AV205" s="59"/>
      <c r="AW205" s="59"/>
      <c r="AX205" s="59"/>
      <c r="AY205" s="60" t="str">
        <f>IF('Cálculo MP'!K215="","",'Cálculo MP'!K215)</f>
        <v/>
      </c>
      <c r="AZ205" s="60" t="str">
        <f>IF('Cálculo MP'!L215="","",'Cálculo MP'!L215)</f>
        <v/>
      </c>
      <c r="BA205" s="60" t="str">
        <f>IF('Cálculo MP'!M215="","",'Cálculo MP'!M215)</f>
        <v/>
      </c>
      <c r="BB205" s="60" t="str">
        <f>IF('Cálculo MP'!N215="","",'Cálculo MP'!N215)</f>
        <v/>
      </c>
      <c r="BC205" s="60" t="str">
        <f>IF('Cálculo MP'!O215="","",'Cálculo MP'!O215)</f>
        <v/>
      </c>
      <c r="BD205" s="60" t="str">
        <f>IF('Cálculo MP'!P215="","",'Cálculo MP'!P215)</f>
        <v/>
      </c>
      <c r="BE205" s="60" t="str">
        <f>IF('Cálculo MP'!Q215="","",'Cálculo MP'!Q215)</f>
        <v/>
      </c>
      <c r="BF205" s="60" t="str">
        <f>IF('Cálculo MP'!R215="","",'Cálculo MP'!R215)</f>
        <v/>
      </c>
      <c r="BG205" s="60" t="str">
        <f>IF('Cálculo MP'!S215="","",'Cálculo MP'!S215)</f>
        <v/>
      </c>
      <c r="BH205" s="59"/>
      <c r="BI205" s="59"/>
      <c r="BJ205" s="59"/>
      <c r="BK205" s="59"/>
      <c r="BL205" s="59"/>
      <c r="BM205" s="59"/>
      <c r="BN205" s="59"/>
      <c r="BO205" s="59"/>
    </row>
    <row r="206" spans="1:67" ht="19.5" customHeight="1" x14ac:dyDescent="0.15">
      <c r="A206" s="123" t="s">
        <v>1856</v>
      </c>
      <c r="B206" s="122" t="s">
        <v>1854</v>
      </c>
      <c r="C206" s="49"/>
      <c r="D206" s="48" t="s">
        <v>73</v>
      </c>
      <c r="E206" s="49"/>
      <c r="F206" s="50"/>
      <c r="G206" s="62"/>
      <c r="H206" s="48" t="s">
        <v>72</v>
      </c>
      <c r="I206" s="52">
        <v>1</v>
      </c>
      <c r="J206" s="52"/>
      <c r="K206" s="52" t="s">
        <v>73</v>
      </c>
      <c r="L206" s="52" t="s">
        <v>74</v>
      </c>
      <c r="M206" s="53" t="s">
        <v>942</v>
      </c>
      <c r="N206" s="58" t="s">
        <v>73</v>
      </c>
      <c r="O206" s="48" t="s">
        <v>72</v>
      </c>
      <c r="P206" s="48" t="s">
        <v>73</v>
      </c>
      <c r="Q206" s="54" t="s">
        <v>73</v>
      </c>
      <c r="R206" s="55" t="s">
        <v>73</v>
      </c>
      <c r="S206" s="48" t="s">
        <v>73</v>
      </c>
      <c r="T206" s="130"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8" t="str" cm="1">
        <f t="array" ref="U206">IF(SUMPRODUCT(--((CAT_Procesos!$E$2:$E$1581=O206)*(CAT_Procesos!$F$2:$F$1581=_xlfn.TEXTJOIN(" + ",TRUE,IF((TRIM(P206:S206)="")+(LOWER(TRIM(P206:S206))="(seleccione)"),"",PROPER(TRIM(P206:S206)))))*(CAT_Procesos!$D$2:$D$1581=IFERROR(VLOOKUP(N206&amp;"*",CAT_Procesos!$D:$D,1,FALSE),""))))=0,"Combinación no existente",IF(SUMPRODUCT(((CAT_Procesos!$E$2:$E$1581=O206)*(CAT_Procesos!$F$2:$F$1581=_xlfn.TEXTJOIN(" + ",TRUE,IF((TRIM(P206:S206)="")+(LOWER(TRIM(P206:S206))="(seleccione)"),"",PROPER(TRIM(P206:S206)))))*(CAT_Procesos!$D$2:$D$1581=IFERROR(VLOOKUP(N206&amp;"*",CAT_Procesos!$D:$D,1,FALSE),"")))*(CAT_Procesos!$G$2:$G$1581=INDEX(CAT_Procesos!$G$2:$G$1581,MATCH(1,(CAT_Procesos!$E$2:$E$1581=O206)*(CAT_Procesos!$F$2:$F$1581=_xlfn.TEXTJOIN(" + ",TRUE,IF((TRIM(P206:S206)="")+(LOWER(TRIM(P206:S206))="(seleccione)"),"",PROPER(TRIM(P206:S206)))))*(CAT_Procesos!$D$2:$D$1581=IFERROR(VLOOKUP(N206&amp;"*",CAT_Procesos!$D:$D,1,FALSE),"")),0))))=SUMPRODUCT(--((CAT_Procesos!$E$2:$E$1581=O206)*(CAT_Procesos!$F$2:$F$1581=_xlfn.TEXTJOIN(" + ",TRUE,IF((TRIM(P206:S206)="")+(LOWER(TRIM(P206:S206))="(seleccione)"),"",PROPER(TRIM(P206:S206)))))*(CAT_Procesos!$D$2:$D$1581=IFERROR(VLOOKUP(N206&amp;"*",CAT_Procesos!$D:$D,1,FALSE),"")))),INDEX(CAT_Procesos!$G$2:$G$1581,MATCH(1,(CAT_Procesos!$E$2:$E$1581=O206)*(CAT_Procesos!$F$2:$F$1581=_xlfn.TEXTJOIN(" + ",TRUE,IF((TRIM(P206:S206)="")+(LOWER(TRIM(P206:S206))="(seleccione)"),"",PROPER(TRIM(P206:S206)))))*(CAT_Procesos!$D$2:$D$1581=IFERROR(VLOOKUP(N206&amp;"*",CAT_Procesos!$D:$D,1,FALSE),"")),0)),"(seleccione)"))</f>
        <v>Combinación no existente</v>
      </c>
      <c r="V206" s="55" t="s">
        <v>73</v>
      </c>
      <c r="W206" s="56" t="s">
        <v>73</v>
      </c>
      <c r="X206" s="57" t="str">
        <f t="shared" si="12"/>
        <v/>
      </c>
      <c r="Y206" s="58" t="s">
        <v>73</v>
      </c>
      <c r="Z206" s="57" t="str">
        <f t="shared" si="13"/>
        <v/>
      </c>
      <c r="AA206" s="58" t="s">
        <v>73</v>
      </c>
      <c r="AB206" s="57" t="str">
        <f t="shared" si="14"/>
        <v/>
      </c>
      <c r="AC206" s="58" t="s">
        <v>73</v>
      </c>
      <c r="AD206" s="57" t="str">
        <f t="shared" si="15"/>
        <v/>
      </c>
      <c r="AE206" s="59"/>
      <c r="AF206" s="59"/>
      <c r="AG206" s="59"/>
      <c r="AH206" s="59"/>
      <c r="AI206" s="59" t="s">
        <v>73</v>
      </c>
      <c r="AJ206" s="59"/>
      <c r="AK206" s="59" t="s">
        <v>73</v>
      </c>
      <c r="AL206" s="59"/>
      <c r="AM206" s="59" t="s">
        <v>73</v>
      </c>
      <c r="AN206" s="59"/>
      <c r="AO206" s="59" t="s">
        <v>73</v>
      </c>
      <c r="AP206" s="59"/>
      <c r="AQ206" s="59" t="s">
        <v>73</v>
      </c>
      <c r="AR206" s="59"/>
      <c r="AS206" s="59" t="s">
        <v>72</v>
      </c>
      <c r="AT206" s="59"/>
      <c r="AU206" s="59"/>
      <c r="AV206" s="59"/>
      <c r="AW206" s="59"/>
      <c r="AX206" s="59"/>
      <c r="AY206" s="60" t="str">
        <f>IF('Cálculo MP'!K216="","",'Cálculo MP'!K216)</f>
        <v/>
      </c>
      <c r="AZ206" s="60" t="str">
        <f>IF('Cálculo MP'!L216="","",'Cálculo MP'!L216)</f>
        <v/>
      </c>
      <c r="BA206" s="60" t="str">
        <f>IF('Cálculo MP'!M216="","",'Cálculo MP'!M216)</f>
        <v/>
      </c>
      <c r="BB206" s="60" t="str">
        <f>IF('Cálculo MP'!N216="","",'Cálculo MP'!N216)</f>
        <v/>
      </c>
      <c r="BC206" s="60" t="str">
        <f>IF('Cálculo MP'!O216="","",'Cálculo MP'!O216)</f>
        <v/>
      </c>
      <c r="BD206" s="60" t="str">
        <f>IF('Cálculo MP'!P216="","",'Cálculo MP'!P216)</f>
        <v/>
      </c>
      <c r="BE206" s="60" t="str">
        <f>IF('Cálculo MP'!Q216="","",'Cálculo MP'!Q216)</f>
        <v/>
      </c>
      <c r="BF206" s="60" t="str">
        <f>IF('Cálculo MP'!R216="","",'Cálculo MP'!R216)</f>
        <v/>
      </c>
      <c r="BG206" s="60" t="str">
        <f>IF('Cálculo MP'!S216="","",'Cálculo MP'!S216)</f>
        <v/>
      </c>
      <c r="BH206" s="59"/>
      <c r="BI206" s="59"/>
      <c r="BJ206" s="59"/>
      <c r="BK206" s="59"/>
      <c r="BL206" s="59"/>
      <c r="BM206" s="59"/>
      <c r="BN206" s="59"/>
      <c r="BO206" s="59"/>
    </row>
    <row r="207" spans="1:67" ht="19.5" customHeight="1" x14ac:dyDescent="0.15">
      <c r="A207" s="123" t="s">
        <v>1856</v>
      </c>
      <c r="B207" s="122" t="s">
        <v>1854</v>
      </c>
      <c r="C207" s="49"/>
      <c r="D207" s="48" t="s">
        <v>73</v>
      </c>
      <c r="E207" s="49"/>
      <c r="F207" s="50"/>
      <c r="G207" s="62"/>
      <c r="H207" s="48" t="s">
        <v>72</v>
      </c>
      <c r="I207" s="52">
        <v>1</v>
      </c>
      <c r="J207" s="52"/>
      <c r="K207" s="52" t="s">
        <v>73</v>
      </c>
      <c r="L207" s="52" t="s">
        <v>74</v>
      </c>
      <c r="M207" s="53" t="s">
        <v>942</v>
      </c>
      <c r="N207" s="58" t="s">
        <v>73</v>
      </c>
      <c r="O207" s="48" t="s">
        <v>72</v>
      </c>
      <c r="P207" s="48" t="s">
        <v>73</v>
      </c>
      <c r="Q207" s="54" t="s">
        <v>73</v>
      </c>
      <c r="R207" s="55" t="s">
        <v>73</v>
      </c>
      <c r="S207" s="48" t="s">
        <v>73</v>
      </c>
      <c r="T207" s="130"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8" t="str" cm="1">
        <f t="array" ref="U207">IF(SUMPRODUCT(--((CAT_Procesos!$E$2:$E$1581=O207)*(CAT_Procesos!$F$2:$F$1581=_xlfn.TEXTJOIN(" + ",TRUE,IF((TRIM(P207:S207)="")+(LOWER(TRIM(P207:S207))="(seleccione)"),"",PROPER(TRIM(P207:S207)))))*(CAT_Procesos!$D$2:$D$1581=IFERROR(VLOOKUP(N207&amp;"*",CAT_Procesos!$D:$D,1,FALSE),""))))=0,"Combinación no existente",IF(SUMPRODUCT(((CAT_Procesos!$E$2:$E$1581=O207)*(CAT_Procesos!$F$2:$F$1581=_xlfn.TEXTJOIN(" + ",TRUE,IF((TRIM(P207:S207)="")+(LOWER(TRIM(P207:S207))="(seleccione)"),"",PROPER(TRIM(P207:S207)))))*(CAT_Procesos!$D$2:$D$1581=IFERROR(VLOOKUP(N207&amp;"*",CAT_Procesos!$D:$D,1,FALSE),"")))*(CAT_Procesos!$G$2:$G$1581=INDEX(CAT_Procesos!$G$2:$G$1581,MATCH(1,(CAT_Procesos!$E$2:$E$1581=O207)*(CAT_Procesos!$F$2:$F$1581=_xlfn.TEXTJOIN(" + ",TRUE,IF((TRIM(P207:S207)="")+(LOWER(TRIM(P207:S207))="(seleccione)"),"",PROPER(TRIM(P207:S207)))))*(CAT_Procesos!$D$2:$D$1581=IFERROR(VLOOKUP(N207&amp;"*",CAT_Procesos!$D:$D,1,FALSE),"")),0))))=SUMPRODUCT(--((CAT_Procesos!$E$2:$E$1581=O207)*(CAT_Procesos!$F$2:$F$1581=_xlfn.TEXTJOIN(" + ",TRUE,IF((TRIM(P207:S207)="")+(LOWER(TRIM(P207:S207))="(seleccione)"),"",PROPER(TRIM(P207:S207)))))*(CAT_Procesos!$D$2:$D$1581=IFERROR(VLOOKUP(N207&amp;"*",CAT_Procesos!$D:$D,1,FALSE),"")))),INDEX(CAT_Procesos!$G$2:$G$1581,MATCH(1,(CAT_Procesos!$E$2:$E$1581=O207)*(CAT_Procesos!$F$2:$F$1581=_xlfn.TEXTJOIN(" + ",TRUE,IF((TRIM(P207:S207)="")+(LOWER(TRIM(P207:S207))="(seleccione)"),"",PROPER(TRIM(P207:S207)))))*(CAT_Procesos!$D$2:$D$1581=IFERROR(VLOOKUP(N207&amp;"*",CAT_Procesos!$D:$D,1,FALSE),"")),0)),"(seleccione)"))</f>
        <v>Combinación no existente</v>
      </c>
      <c r="V207" s="55" t="s">
        <v>73</v>
      </c>
      <c r="W207" s="56" t="s">
        <v>73</v>
      </c>
      <c r="X207" s="57" t="str">
        <f t="shared" si="12"/>
        <v/>
      </c>
      <c r="Y207" s="58" t="s">
        <v>73</v>
      </c>
      <c r="Z207" s="57" t="str">
        <f t="shared" si="13"/>
        <v/>
      </c>
      <c r="AA207" s="58" t="s">
        <v>73</v>
      </c>
      <c r="AB207" s="57" t="str">
        <f t="shared" si="14"/>
        <v/>
      </c>
      <c r="AC207" s="58" t="s">
        <v>73</v>
      </c>
      <c r="AD207" s="57" t="str">
        <f t="shared" si="15"/>
        <v/>
      </c>
      <c r="AE207" s="59"/>
      <c r="AF207" s="59"/>
      <c r="AG207" s="59"/>
      <c r="AH207" s="59"/>
      <c r="AI207" s="59" t="s">
        <v>73</v>
      </c>
      <c r="AJ207" s="59"/>
      <c r="AK207" s="59" t="s">
        <v>73</v>
      </c>
      <c r="AL207" s="59"/>
      <c r="AM207" s="59" t="s">
        <v>73</v>
      </c>
      <c r="AN207" s="59"/>
      <c r="AO207" s="59" t="s">
        <v>73</v>
      </c>
      <c r="AP207" s="59"/>
      <c r="AQ207" s="59" t="s">
        <v>73</v>
      </c>
      <c r="AR207" s="59"/>
      <c r="AS207" s="59" t="s">
        <v>72</v>
      </c>
      <c r="AT207" s="59"/>
      <c r="AU207" s="59"/>
      <c r="AV207" s="59"/>
      <c r="AW207" s="59"/>
      <c r="AX207" s="59"/>
      <c r="AY207" s="60" t="str">
        <f>IF('Cálculo MP'!K217="","",'Cálculo MP'!K217)</f>
        <v/>
      </c>
      <c r="AZ207" s="60" t="str">
        <f>IF('Cálculo MP'!L217="","",'Cálculo MP'!L217)</f>
        <v/>
      </c>
      <c r="BA207" s="60" t="str">
        <f>IF('Cálculo MP'!M217="","",'Cálculo MP'!M217)</f>
        <v/>
      </c>
      <c r="BB207" s="60" t="str">
        <f>IF('Cálculo MP'!N217="","",'Cálculo MP'!N217)</f>
        <v/>
      </c>
      <c r="BC207" s="60" t="str">
        <f>IF('Cálculo MP'!O217="","",'Cálculo MP'!O217)</f>
        <v/>
      </c>
      <c r="BD207" s="60" t="str">
        <f>IF('Cálculo MP'!P217="","",'Cálculo MP'!P217)</f>
        <v/>
      </c>
      <c r="BE207" s="60" t="str">
        <f>IF('Cálculo MP'!Q217="","",'Cálculo MP'!Q217)</f>
        <v/>
      </c>
      <c r="BF207" s="60" t="str">
        <f>IF('Cálculo MP'!R217="","",'Cálculo MP'!R217)</f>
        <v/>
      </c>
      <c r="BG207" s="60" t="str">
        <f>IF('Cálculo MP'!S217="","",'Cálculo MP'!S217)</f>
        <v/>
      </c>
      <c r="BH207" s="59"/>
      <c r="BI207" s="59"/>
      <c r="BJ207" s="59"/>
      <c r="BK207" s="59"/>
      <c r="BL207" s="59"/>
      <c r="BM207" s="59"/>
      <c r="BN207" s="59"/>
      <c r="BO207" s="59"/>
    </row>
    <row r="208" spans="1:67" ht="19.5" customHeight="1" x14ac:dyDescent="0.15">
      <c r="A208" s="123" t="s">
        <v>1856</v>
      </c>
      <c r="B208" s="122" t="s">
        <v>1854</v>
      </c>
      <c r="C208" s="49"/>
      <c r="D208" s="48" t="s">
        <v>73</v>
      </c>
      <c r="E208" s="49"/>
      <c r="F208" s="50"/>
      <c r="G208" s="62"/>
      <c r="H208" s="48" t="s">
        <v>72</v>
      </c>
      <c r="I208" s="52">
        <v>1</v>
      </c>
      <c r="J208" s="52"/>
      <c r="K208" s="52" t="s">
        <v>73</v>
      </c>
      <c r="L208" s="52" t="s">
        <v>74</v>
      </c>
      <c r="M208" s="53" t="s">
        <v>942</v>
      </c>
      <c r="N208" s="58" t="s">
        <v>73</v>
      </c>
      <c r="O208" s="48" t="s">
        <v>72</v>
      </c>
      <c r="P208" s="48" t="s">
        <v>73</v>
      </c>
      <c r="Q208" s="54" t="s">
        <v>73</v>
      </c>
      <c r="R208" s="55" t="s">
        <v>73</v>
      </c>
      <c r="S208" s="48" t="s">
        <v>73</v>
      </c>
      <c r="T208" s="130"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8" t="str" cm="1">
        <f t="array" ref="U208">IF(SUMPRODUCT(--((CAT_Procesos!$E$2:$E$1581=O208)*(CAT_Procesos!$F$2:$F$1581=_xlfn.TEXTJOIN(" + ",TRUE,IF((TRIM(P208:S208)="")+(LOWER(TRIM(P208:S208))="(seleccione)"),"",PROPER(TRIM(P208:S208)))))*(CAT_Procesos!$D$2:$D$1581=IFERROR(VLOOKUP(N208&amp;"*",CAT_Procesos!$D:$D,1,FALSE),""))))=0,"Combinación no existente",IF(SUMPRODUCT(((CAT_Procesos!$E$2:$E$1581=O208)*(CAT_Procesos!$F$2:$F$1581=_xlfn.TEXTJOIN(" + ",TRUE,IF((TRIM(P208:S208)="")+(LOWER(TRIM(P208:S208))="(seleccione)"),"",PROPER(TRIM(P208:S208)))))*(CAT_Procesos!$D$2:$D$1581=IFERROR(VLOOKUP(N208&amp;"*",CAT_Procesos!$D:$D,1,FALSE),"")))*(CAT_Procesos!$G$2:$G$1581=INDEX(CAT_Procesos!$G$2:$G$1581,MATCH(1,(CAT_Procesos!$E$2:$E$1581=O208)*(CAT_Procesos!$F$2:$F$1581=_xlfn.TEXTJOIN(" + ",TRUE,IF((TRIM(P208:S208)="")+(LOWER(TRIM(P208:S208))="(seleccione)"),"",PROPER(TRIM(P208:S208)))))*(CAT_Procesos!$D$2:$D$1581=IFERROR(VLOOKUP(N208&amp;"*",CAT_Procesos!$D:$D,1,FALSE),"")),0))))=SUMPRODUCT(--((CAT_Procesos!$E$2:$E$1581=O208)*(CAT_Procesos!$F$2:$F$1581=_xlfn.TEXTJOIN(" + ",TRUE,IF((TRIM(P208:S208)="")+(LOWER(TRIM(P208:S208))="(seleccione)"),"",PROPER(TRIM(P208:S208)))))*(CAT_Procesos!$D$2:$D$1581=IFERROR(VLOOKUP(N208&amp;"*",CAT_Procesos!$D:$D,1,FALSE),"")))),INDEX(CAT_Procesos!$G$2:$G$1581,MATCH(1,(CAT_Procesos!$E$2:$E$1581=O208)*(CAT_Procesos!$F$2:$F$1581=_xlfn.TEXTJOIN(" + ",TRUE,IF((TRIM(P208:S208)="")+(LOWER(TRIM(P208:S208))="(seleccione)"),"",PROPER(TRIM(P208:S208)))))*(CAT_Procesos!$D$2:$D$1581=IFERROR(VLOOKUP(N208&amp;"*",CAT_Procesos!$D:$D,1,FALSE),"")),0)),"(seleccione)"))</f>
        <v>Combinación no existente</v>
      </c>
      <c r="V208" s="55" t="s">
        <v>73</v>
      </c>
      <c r="W208" s="56" t="s">
        <v>73</v>
      </c>
      <c r="X208" s="57" t="str">
        <f t="shared" si="12"/>
        <v/>
      </c>
      <c r="Y208" s="58" t="s">
        <v>73</v>
      </c>
      <c r="Z208" s="57" t="str">
        <f t="shared" si="13"/>
        <v/>
      </c>
      <c r="AA208" s="58" t="s">
        <v>73</v>
      </c>
      <c r="AB208" s="57" t="str">
        <f t="shared" si="14"/>
        <v/>
      </c>
      <c r="AC208" s="58" t="s">
        <v>73</v>
      </c>
      <c r="AD208" s="57" t="str">
        <f t="shared" si="15"/>
        <v/>
      </c>
      <c r="AE208" s="59"/>
      <c r="AF208" s="59"/>
      <c r="AG208" s="59"/>
      <c r="AH208" s="59"/>
      <c r="AI208" s="59" t="s">
        <v>73</v>
      </c>
      <c r="AJ208" s="59"/>
      <c r="AK208" s="59" t="s">
        <v>73</v>
      </c>
      <c r="AL208" s="59"/>
      <c r="AM208" s="59" t="s">
        <v>73</v>
      </c>
      <c r="AN208" s="59"/>
      <c r="AO208" s="59" t="s">
        <v>73</v>
      </c>
      <c r="AP208" s="59"/>
      <c r="AQ208" s="59" t="s">
        <v>73</v>
      </c>
      <c r="AR208" s="59"/>
      <c r="AS208" s="59" t="s">
        <v>72</v>
      </c>
      <c r="AT208" s="59"/>
      <c r="AU208" s="59"/>
      <c r="AV208" s="59"/>
      <c r="AW208" s="59"/>
      <c r="AX208" s="59"/>
      <c r="AY208" s="60" t="str">
        <f>IF('Cálculo MP'!K218="","",'Cálculo MP'!K218)</f>
        <v/>
      </c>
      <c r="AZ208" s="60" t="str">
        <f>IF('Cálculo MP'!L218="","",'Cálculo MP'!L218)</f>
        <v/>
      </c>
      <c r="BA208" s="60" t="str">
        <f>IF('Cálculo MP'!M218="","",'Cálculo MP'!M218)</f>
        <v/>
      </c>
      <c r="BB208" s="60" t="str">
        <f>IF('Cálculo MP'!N218="","",'Cálculo MP'!N218)</f>
        <v/>
      </c>
      <c r="BC208" s="60" t="str">
        <f>IF('Cálculo MP'!O218="","",'Cálculo MP'!O218)</f>
        <v/>
      </c>
      <c r="BD208" s="60" t="str">
        <f>IF('Cálculo MP'!P218="","",'Cálculo MP'!P218)</f>
        <v/>
      </c>
      <c r="BE208" s="60" t="str">
        <f>IF('Cálculo MP'!Q218="","",'Cálculo MP'!Q218)</f>
        <v/>
      </c>
      <c r="BF208" s="60" t="str">
        <f>IF('Cálculo MP'!R218="","",'Cálculo MP'!R218)</f>
        <v/>
      </c>
      <c r="BG208" s="60" t="str">
        <f>IF('Cálculo MP'!S218="","",'Cálculo MP'!S218)</f>
        <v/>
      </c>
      <c r="BH208" s="59"/>
      <c r="BI208" s="59"/>
      <c r="BJ208" s="59"/>
      <c r="BK208" s="59"/>
      <c r="BL208" s="59"/>
      <c r="BM208" s="59"/>
      <c r="BN208" s="59"/>
      <c r="BO208" s="59"/>
    </row>
    <row r="209" spans="1:67" ht="19.5" customHeight="1" x14ac:dyDescent="0.15">
      <c r="A209" s="123" t="s">
        <v>1856</v>
      </c>
      <c r="B209" s="122" t="s">
        <v>1854</v>
      </c>
      <c r="C209" s="49"/>
      <c r="D209" s="48" t="s">
        <v>73</v>
      </c>
      <c r="E209" s="49"/>
      <c r="F209" s="50"/>
      <c r="G209" s="62"/>
      <c r="H209" s="48" t="s">
        <v>72</v>
      </c>
      <c r="I209" s="52">
        <v>1</v>
      </c>
      <c r="J209" s="52"/>
      <c r="K209" s="52" t="s">
        <v>73</v>
      </c>
      <c r="L209" s="52" t="s">
        <v>74</v>
      </c>
      <c r="M209" s="53" t="s">
        <v>942</v>
      </c>
      <c r="N209" s="58" t="s">
        <v>73</v>
      </c>
      <c r="O209" s="48" t="s">
        <v>72</v>
      </c>
      <c r="P209" s="48" t="s">
        <v>73</v>
      </c>
      <c r="Q209" s="54" t="s">
        <v>73</v>
      </c>
      <c r="R209" s="55" t="s">
        <v>73</v>
      </c>
      <c r="S209" s="48" t="s">
        <v>73</v>
      </c>
      <c r="T209" s="130"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8" t="str" cm="1">
        <f t="array" ref="U209">IF(SUMPRODUCT(--((CAT_Procesos!$E$2:$E$1581=O209)*(CAT_Procesos!$F$2:$F$1581=_xlfn.TEXTJOIN(" + ",TRUE,IF((TRIM(P209:S209)="")+(LOWER(TRIM(P209:S209))="(seleccione)"),"",PROPER(TRIM(P209:S209)))))*(CAT_Procesos!$D$2:$D$1581=IFERROR(VLOOKUP(N209&amp;"*",CAT_Procesos!$D:$D,1,FALSE),""))))=0,"Combinación no existente",IF(SUMPRODUCT(((CAT_Procesos!$E$2:$E$1581=O209)*(CAT_Procesos!$F$2:$F$1581=_xlfn.TEXTJOIN(" + ",TRUE,IF((TRIM(P209:S209)="")+(LOWER(TRIM(P209:S209))="(seleccione)"),"",PROPER(TRIM(P209:S209)))))*(CAT_Procesos!$D$2:$D$1581=IFERROR(VLOOKUP(N209&amp;"*",CAT_Procesos!$D:$D,1,FALSE),"")))*(CAT_Procesos!$G$2:$G$1581=INDEX(CAT_Procesos!$G$2:$G$1581,MATCH(1,(CAT_Procesos!$E$2:$E$1581=O209)*(CAT_Procesos!$F$2:$F$1581=_xlfn.TEXTJOIN(" + ",TRUE,IF((TRIM(P209:S209)="")+(LOWER(TRIM(P209:S209))="(seleccione)"),"",PROPER(TRIM(P209:S209)))))*(CAT_Procesos!$D$2:$D$1581=IFERROR(VLOOKUP(N209&amp;"*",CAT_Procesos!$D:$D,1,FALSE),"")),0))))=SUMPRODUCT(--((CAT_Procesos!$E$2:$E$1581=O209)*(CAT_Procesos!$F$2:$F$1581=_xlfn.TEXTJOIN(" + ",TRUE,IF((TRIM(P209:S209)="")+(LOWER(TRIM(P209:S209))="(seleccione)"),"",PROPER(TRIM(P209:S209)))))*(CAT_Procesos!$D$2:$D$1581=IFERROR(VLOOKUP(N209&amp;"*",CAT_Procesos!$D:$D,1,FALSE),"")))),INDEX(CAT_Procesos!$G$2:$G$1581,MATCH(1,(CAT_Procesos!$E$2:$E$1581=O209)*(CAT_Procesos!$F$2:$F$1581=_xlfn.TEXTJOIN(" + ",TRUE,IF((TRIM(P209:S209)="")+(LOWER(TRIM(P209:S209))="(seleccione)"),"",PROPER(TRIM(P209:S209)))))*(CAT_Procesos!$D$2:$D$1581=IFERROR(VLOOKUP(N209&amp;"*",CAT_Procesos!$D:$D,1,FALSE),"")),0)),"(seleccione)"))</f>
        <v>Combinación no existente</v>
      </c>
      <c r="V209" s="55" t="s">
        <v>73</v>
      </c>
      <c r="W209" s="56" t="s">
        <v>73</v>
      </c>
      <c r="X209" s="57" t="str">
        <f t="shared" si="12"/>
        <v/>
      </c>
      <c r="Y209" s="58" t="s">
        <v>73</v>
      </c>
      <c r="Z209" s="57" t="str">
        <f t="shared" si="13"/>
        <v/>
      </c>
      <c r="AA209" s="58" t="s">
        <v>73</v>
      </c>
      <c r="AB209" s="57" t="str">
        <f t="shared" si="14"/>
        <v/>
      </c>
      <c r="AC209" s="58" t="s">
        <v>73</v>
      </c>
      <c r="AD209" s="57" t="str">
        <f t="shared" si="15"/>
        <v/>
      </c>
      <c r="AE209" s="59"/>
      <c r="AF209" s="59"/>
      <c r="AG209" s="59"/>
      <c r="AH209" s="59"/>
      <c r="AI209" s="59" t="s">
        <v>73</v>
      </c>
      <c r="AJ209" s="59"/>
      <c r="AK209" s="59" t="s">
        <v>73</v>
      </c>
      <c r="AL209" s="59"/>
      <c r="AM209" s="59" t="s">
        <v>73</v>
      </c>
      <c r="AN209" s="59"/>
      <c r="AO209" s="59" t="s">
        <v>73</v>
      </c>
      <c r="AP209" s="59"/>
      <c r="AQ209" s="59" t="s">
        <v>73</v>
      </c>
      <c r="AR209" s="59"/>
      <c r="AS209" s="59" t="s">
        <v>72</v>
      </c>
      <c r="AT209" s="59"/>
      <c r="AU209" s="59"/>
      <c r="AV209" s="59"/>
      <c r="AW209" s="59"/>
      <c r="AX209" s="59"/>
      <c r="AY209" s="60" t="str">
        <f>IF('Cálculo MP'!K219="","",'Cálculo MP'!K219)</f>
        <v/>
      </c>
      <c r="AZ209" s="60" t="str">
        <f>IF('Cálculo MP'!L219="","",'Cálculo MP'!L219)</f>
        <v/>
      </c>
      <c r="BA209" s="60" t="str">
        <f>IF('Cálculo MP'!M219="","",'Cálculo MP'!M219)</f>
        <v/>
      </c>
      <c r="BB209" s="60" t="str">
        <f>IF('Cálculo MP'!N219="","",'Cálculo MP'!N219)</f>
        <v/>
      </c>
      <c r="BC209" s="60" t="str">
        <f>IF('Cálculo MP'!O219="","",'Cálculo MP'!O219)</f>
        <v/>
      </c>
      <c r="BD209" s="60" t="str">
        <f>IF('Cálculo MP'!P219="","",'Cálculo MP'!P219)</f>
        <v/>
      </c>
      <c r="BE209" s="60" t="str">
        <f>IF('Cálculo MP'!Q219="","",'Cálculo MP'!Q219)</f>
        <v/>
      </c>
      <c r="BF209" s="60" t="str">
        <f>IF('Cálculo MP'!R219="","",'Cálculo MP'!R219)</f>
        <v/>
      </c>
      <c r="BG209" s="60" t="str">
        <f>IF('Cálculo MP'!S219="","",'Cálculo MP'!S219)</f>
        <v/>
      </c>
      <c r="BH209" s="59"/>
      <c r="BI209" s="59"/>
      <c r="BJ209" s="59"/>
      <c r="BK209" s="59"/>
      <c r="BL209" s="59"/>
      <c r="BM209" s="59"/>
      <c r="BN209" s="59"/>
      <c r="BO209" s="59"/>
    </row>
    <row r="210" spans="1:67" ht="19.5" customHeight="1" x14ac:dyDescent="0.15">
      <c r="A210" s="123" t="s">
        <v>1856</v>
      </c>
      <c r="B210" s="122" t="s">
        <v>1854</v>
      </c>
      <c r="C210" s="49"/>
      <c r="D210" s="48" t="s">
        <v>73</v>
      </c>
      <c r="E210" s="49"/>
      <c r="F210" s="50"/>
      <c r="G210" s="62"/>
      <c r="H210" s="48" t="s">
        <v>72</v>
      </c>
      <c r="I210" s="52">
        <v>1</v>
      </c>
      <c r="J210" s="52"/>
      <c r="K210" s="52" t="s">
        <v>73</v>
      </c>
      <c r="L210" s="52" t="s">
        <v>74</v>
      </c>
      <c r="M210" s="53" t="s">
        <v>942</v>
      </c>
      <c r="N210" s="58" t="s">
        <v>73</v>
      </c>
      <c r="O210" s="48" t="s">
        <v>72</v>
      </c>
      <c r="P210" s="48" t="s">
        <v>73</v>
      </c>
      <c r="Q210" s="54" t="s">
        <v>73</v>
      </c>
      <c r="R210" s="55" t="s">
        <v>73</v>
      </c>
      <c r="S210" s="48" t="s">
        <v>73</v>
      </c>
      <c r="T210" s="130"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8" t="str" cm="1">
        <f t="array" ref="U210">IF(SUMPRODUCT(--((CAT_Procesos!$E$2:$E$1581=O210)*(CAT_Procesos!$F$2:$F$1581=_xlfn.TEXTJOIN(" + ",TRUE,IF((TRIM(P210:S210)="")+(LOWER(TRIM(P210:S210))="(seleccione)"),"",PROPER(TRIM(P210:S210)))))*(CAT_Procesos!$D$2:$D$1581=IFERROR(VLOOKUP(N210&amp;"*",CAT_Procesos!$D:$D,1,FALSE),""))))=0,"Combinación no existente",IF(SUMPRODUCT(((CAT_Procesos!$E$2:$E$1581=O210)*(CAT_Procesos!$F$2:$F$1581=_xlfn.TEXTJOIN(" + ",TRUE,IF((TRIM(P210:S210)="")+(LOWER(TRIM(P210:S210))="(seleccione)"),"",PROPER(TRIM(P210:S210)))))*(CAT_Procesos!$D$2:$D$1581=IFERROR(VLOOKUP(N210&amp;"*",CAT_Procesos!$D:$D,1,FALSE),"")))*(CAT_Procesos!$G$2:$G$1581=INDEX(CAT_Procesos!$G$2:$G$1581,MATCH(1,(CAT_Procesos!$E$2:$E$1581=O210)*(CAT_Procesos!$F$2:$F$1581=_xlfn.TEXTJOIN(" + ",TRUE,IF((TRIM(P210:S210)="")+(LOWER(TRIM(P210:S210))="(seleccione)"),"",PROPER(TRIM(P210:S210)))))*(CAT_Procesos!$D$2:$D$1581=IFERROR(VLOOKUP(N210&amp;"*",CAT_Procesos!$D:$D,1,FALSE),"")),0))))=SUMPRODUCT(--((CAT_Procesos!$E$2:$E$1581=O210)*(CAT_Procesos!$F$2:$F$1581=_xlfn.TEXTJOIN(" + ",TRUE,IF((TRIM(P210:S210)="")+(LOWER(TRIM(P210:S210))="(seleccione)"),"",PROPER(TRIM(P210:S210)))))*(CAT_Procesos!$D$2:$D$1581=IFERROR(VLOOKUP(N210&amp;"*",CAT_Procesos!$D:$D,1,FALSE),"")))),INDEX(CAT_Procesos!$G$2:$G$1581,MATCH(1,(CAT_Procesos!$E$2:$E$1581=O210)*(CAT_Procesos!$F$2:$F$1581=_xlfn.TEXTJOIN(" + ",TRUE,IF((TRIM(P210:S210)="")+(LOWER(TRIM(P210:S210))="(seleccione)"),"",PROPER(TRIM(P210:S210)))))*(CAT_Procesos!$D$2:$D$1581=IFERROR(VLOOKUP(N210&amp;"*",CAT_Procesos!$D:$D,1,FALSE),"")),0)),"(seleccione)"))</f>
        <v>Combinación no existente</v>
      </c>
      <c r="V210" s="55" t="s">
        <v>73</v>
      </c>
      <c r="W210" s="56" t="s">
        <v>73</v>
      </c>
      <c r="X210" s="57" t="str">
        <f t="shared" si="12"/>
        <v/>
      </c>
      <c r="Y210" s="58" t="s">
        <v>73</v>
      </c>
      <c r="Z210" s="57" t="str">
        <f t="shared" si="13"/>
        <v/>
      </c>
      <c r="AA210" s="58" t="s">
        <v>73</v>
      </c>
      <c r="AB210" s="57" t="str">
        <f t="shared" si="14"/>
        <v/>
      </c>
      <c r="AC210" s="58" t="s">
        <v>73</v>
      </c>
      <c r="AD210" s="57" t="str">
        <f t="shared" si="15"/>
        <v/>
      </c>
      <c r="AE210" s="59"/>
      <c r="AF210" s="59"/>
      <c r="AG210" s="59"/>
      <c r="AH210" s="59"/>
      <c r="AI210" s="59" t="s">
        <v>73</v>
      </c>
      <c r="AJ210" s="59"/>
      <c r="AK210" s="59" t="s">
        <v>73</v>
      </c>
      <c r="AL210" s="59"/>
      <c r="AM210" s="59" t="s">
        <v>73</v>
      </c>
      <c r="AN210" s="59"/>
      <c r="AO210" s="59" t="s">
        <v>73</v>
      </c>
      <c r="AP210" s="59"/>
      <c r="AQ210" s="59" t="s">
        <v>73</v>
      </c>
      <c r="AR210" s="59"/>
      <c r="AS210" s="59" t="s">
        <v>72</v>
      </c>
      <c r="AT210" s="59"/>
      <c r="AU210" s="59"/>
      <c r="AV210" s="59"/>
      <c r="AW210" s="59"/>
      <c r="AX210" s="59"/>
      <c r="AY210" s="60" t="str">
        <f>IF('Cálculo MP'!K220="","",'Cálculo MP'!K220)</f>
        <v/>
      </c>
      <c r="AZ210" s="60" t="str">
        <f>IF('Cálculo MP'!L220="","",'Cálculo MP'!L220)</f>
        <v/>
      </c>
      <c r="BA210" s="60" t="str">
        <f>IF('Cálculo MP'!M220="","",'Cálculo MP'!M220)</f>
        <v/>
      </c>
      <c r="BB210" s="60" t="str">
        <f>IF('Cálculo MP'!N220="","",'Cálculo MP'!N220)</f>
        <v/>
      </c>
      <c r="BC210" s="60" t="str">
        <f>IF('Cálculo MP'!O220="","",'Cálculo MP'!O220)</f>
        <v/>
      </c>
      <c r="BD210" s="60" t="str">
        <f>IF('Cálculo MP'!P220="","",'Cálculo MP'!P220)</f>
        <v/>
      </c>
      <c r="BE210" s="60" t="str">
        <f>IF('Cálculo MP'!Q220="","",'Cálculo MP'!Q220)</f>
        <v/>
      </c>
      <c r="BF210" s="60" t="str">
        <f>IF('Cálculo MP'!R220="","",'Cálculo MP'!R220)</f>
        <v/>
      </c>
      <c r="BG210" s="60" t="str">
        <f>IF('Cálculo MP'!S220="","",'Cálculo MP'!S220)</f>
        <v/>
      </c>
      <c r="BH210" s="59"/>
      <c r="BI210" s="59"/>
      <c r="BJ210" s="59"/>
      <c r="BK210" s="59"/>
      <c r="BL210" s="59"/>
      <c r="BM210" s="59"/>
      <c r="BN210" s="59"/>
      <c r="BO210" s="59"/>
    </row>
    <row r="211" spans="1:67" ht="19.5" customHeight="1" x14ac:dyDescent="0.15">
      <c r="A211" s="123" t="s">
        <v>1856</v>
      </c>
      <c r="B211" s="122" t="s">
        <v>1854</v>
      </c>
      <c r="C211" s="49"/>
      <c r="D211" s="48" t="s">
        <v>73</v>
      </c>
      <c r="E211" s="49"/>
      <c r="F211" s="50"/>
      <c r="G211" s="62"/>
      <c r="H211" s="48" t="s">
        <v>72</v>
      </c>
      <c r="I211" s="52">
        <v>1</v>
      </c>
      <c r="J211" s="52"/>
      <c r="K211" s="52" t="s">
        <v>73</v>
      </c>
      <c r="L211" s="52" t="s">
        <v>74</v>
      </c>
      <c r="M211" s="53" t="s">
        <v>942</v>
      </c>
      <c r="N211" s="58" t="s">
        <v>73</v>
      </c>
      <c r="O211" s="48" t="s">
        <v>72</v>
      </c>
      <c r="P211" s="48" t="s">
        <v>73</v>
      </c>
      <c r="Q211" s="54" t="s">
        <v>73</v>
      </c>
      <c r="R211" s="55" t="s">
        <v>73</v>
      </c>
      <c r="S211" s="48" t="s">
        <v>73</v>
      </c>
      <c r="T211" s="130"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8" t="str" cm="1">
        <f t="array" ref="U211">IF(SUMPRODUCT(--((CAT_Procesos!$E$2:$E$1581=O211)*(CAT_Procesos!$F$2:$F$1581=_xlfn.TEXTJOIN(" + ",TRUE,IF((TRIM(P211:S211)="")+(LOWER(TRIM(P211:S211))="(seleccione)"),"",PROPER(TRIM(P211:S211)))))*(CAT_Procesos!$D$2:$D$1581=IFERROR(VLOOKUP(N211&amp;"*",CAT_Procesos!$D:$D,1,FALSE),""))))=0,"Combinación no existente",IF(SUMPRODUCT(((CAT_Procesos!$E$2:$E$1581=O211)*(CAT_Procesos!$F$2:$F$1581=_xlfn.TEXTJOIN(" + ",TRUE,IF((TRIM(P211:S211)="")+(LOWER(TRIM(P211:S211))="(seleccione)"),"",PROPER(TRIM(P211:S211)))))*(CAT_Procesos!$D$2:$D$1581=IFERROR(VLOOKUP(N211&amp;"*",CAT_Procesos!$D:$D,1,FALSE),"")))*(CAT_Procesos!$G$2:$G$1581=INDEX(CAT_Procesos!$G$2:$G$1581,MATCH(1,(CAT_Procesos!$E$2:$E$1581=O211)*(CAT_Procesos!$F$2:$F$1581=_xlfn.TEXTJOIN(" + ",TRUE,IF((TRIM(P211:S211)="")+(LOWER(TRIM(P211:S211))="(seleccione)"),"",PROPER(TRIM(P211:S211)))))*(CAT_Procesos!$D$2:$D$1581=IFERROR(VLOOKUP(N211&amp;"*",CAT_Procesos!$D:$D,1,FALSE),"")),0))))=SUMPRODUCT(--((CAT_Procesos!$E$2:$E$1581=O211)*(CAT_Procesos!$F$2:$F$1581=_xlfn.TEXTJOIN(" + ",TRUE,IF((TRIM(P211:S211)="")+(LOWER(TRIM(P211:S211))="(seleccione)"),"",PROPER(TRIM(P211:S211)))))*(CAT_Procesos!$D$2:$D$1581=IFERROR(VLOOKUP(N211&amp;"*",CAT_Procesos!$D:$D,1,FALSE),"")))),INDEX(CAT_Procesos!$G$2:$G$1581,MATCH(1,(CAT_Procesos!$E$2:$E$1581=O211)*(CAT_Procesos!$F$2:$F$1581=_xlfn.TEXTJOIN(" + ",TRUE,IF((TRIM(P211:S211)="")+(LOWER(TRIM(P211:S211))="(seleccione)"),"",PROPER(TRIM(P211:S211)))))*(CAT_Procesos!$D$2:$D$1581=IFERROR(VLOOKUP(N211&amp;"*",CAT_Procesos!$D:$D,1,FALSE),"")),0)),"(seleccione)"))</f>
        <v>Combinación no existente</v>
      </c>
      <c r="V211" s="55" t="s">
        <v>73</v>
      </c>
      <c r="W211" s="56" t="s">
        <v>73</v>
      </c>
      <c r="X211" s="57" t="str">
        <f t="shared" si="12"/>
        <v/>
      </c>
      <c r="Y211" s="58" t="s">
        <v>73</v>
      </c>
      <c r="Z211" s="57" t="str">
        <f t="shared" si="13"/>
        <v/>
      </c>
      <c r="AA211" s="58" t="s">
        <v>73</v>
      </c>
      <c r="AB211" s="57" t="str">
        <f t="shared" si="14"/>
        <v/>
      </c>
      <c r="AC211" s="58" t="s">
        <v>73</v>
      </c>
      <c r="AD211" s="57" t="str">
        <f t="shared" si="15"/>
        <v/>
      </c>
      <c r="AE211" s="59"/>
      <c r="AF211" s="59"/>
      <c r="AG211" s="59"/>
      <c r="AH211" s="59"/>
      <c r="AI211" s="59" t="s">
        <v>73</v>
      </c>
      <c r="AJ211" s="59"/>
      <c r="AK211" s="59" t="s">
        <v>73</v>
      </c>
      <c r="AL211" s="59"/>
      <c r="AM211" s="59" t="s">
        <v>73</v>
      </c>
      <c r="AN211" s="59"/>
      <c r="AO211" s="59" t="s">
        <v>73</v>
      </c>
      <c r="AP211" s="59"/>
      <c r="AQ211" s="59" t="s">
        <v>73</v>
      </c>
      <c r="AR211" s="59"/>
      <c r="AS211" s="59" t="s">
        <v>72</v>
      </c>
      <c r="AT211" s="59"/>
      <c r="AU211" s="59"/>
      <c r="AV211" s="59"/>
      <c r="AW211" s="59"/>
      <c r="AX211" s="59"/>
      <c r="AY211" s="60" t="str">
        <f>IF('Cálculo MP'!K221="","",'Cálculo MP'!K221)</f>
        <v/>
      </c>
      <c r="AZ211" s="60" t="str">
        <f>IF('Cálculo MP'!L221="","",'Cálculo MP'!L221)</f>
        <v/>
      </c>
      <c r="BA211" s="60" t="str">
        <f>IF('Cálculo MP'!M221="","",'Cálculo MP'!M221)</f>
        <v/>
      </c>
      <c r="BB211" s="60" t="str">
        <f>IF('Cálculo MP'!N221="","",'Cálculo MP'!N221)</f>
        <v/>
      </c>
      <c r="BC211" s="60" t="str">
        <f>IF('Cálculo MP'!O221="","",'Cálculo MP'!O221)</f>
        <v/>
      </c>
      <c r="BD211" s="60" t="str">
        <f>IF('Cálculo MP'!P221="","",'Cálculo MP'!P221)</f>
        <v/>
      </c>
      <c r="BE211" s="60" t="str">
        <f>IF('Cálculo MP'!Q221="","",'Cálculo MP'!Q221)</f>
        <v/>
      </c>
      <c r="BF211" s="60" t="str">
        <f>IF('Cálculo MP'!R221="","",'Cálculo MP'!R221)</f>
        <v/>
      </c>
      <c r="BG211" s="60" t="str">
        <f>IF('Cálculo MP'!S221="","",'Cálculo MP'!S221)</f>
        <v/>
      </c>
      <c r="BH211" s="59"/>
      <c r="BI211" s="59"/>
      <c r="BJ211" s="59"/>
      <c r="BK211" s="59"/>
      <c r="BL211" s="59"/>
      <c r="BM211" s="59"/>
      <c r="BN211" s="59"/>
      <c r="BO211" s="59"/>
    </row>
    <row r="212" spans="1:67" ht="19.5" customHeight="1" x14ac:dyDescent="0.15">
      <c r="A212" s="123" t="s">
        <v>1856</v>
      </c>
      <c r="B212" s="122" t="s">
        <v>1854</v>
      </c>
      <c r="C212" s="49"/>
      <c r="D212" s="48" t="s">
        <v>73</v>
      </c>
      <c r="E212" s="49"/>
      <c r="F212" s="50"/>
      <c r="G212" s="62"/>
      <c r="H212" s="48" t="s">
        <v>72</v>
      </c>
      <c r="I212" s="52">
        <v>1</v>
      </c>
      <c r="J212" s="52"/>
      <c r="K212" s="52" t="s">
        <v>73</v>
      </c>
      <c r="L212" s="52" t="s">
        <v>74</v>
      </c>
      <c r="M212" s="53" t="s">
        <v>942</v>
      </c>
      <c r="N212" s="58" t="s">
        <v>73</v>
      </c>
      <c r="O212" s="48" t="s">
        <v>72</v>
      </c>
      <c r="P212" s="48" t="s">
        <v>73</v>
      </c>
      <c r="Q212" s="54" t="s">
        <v>73</v>
      </c>
      <c r="R212" s="55" t="s">
        <v>73</v>
      </c>
      <c r="S212" s="48" t="s">
        <v>73</v>
      </c>
      <c r="T212" s="130"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8" t="str" cm="1">
        <f t="array" ref="U212">IF(SUMPRODUCT(--((CAT_Procesos!$E$2:$E$1581=O212)*(CAT_Procesos!$F$2:$F$1581=_xlfn.TEXTJOIN(" + ",TRUE,IF((TRIM(P212:S212)="")+(LOWER(TRIM(P212:S212))="(seleccione)"),"",PROPER(TRIM(P212:S212)))))*(CAT_Procesos!$D$2:$D$1581=IFERROR(VLOOKUP(N212&amp;"*",CAT_Procesos!$D:$D,1,FALSE),""))))=0,"Combinación no existente",IF(SUMPRODUCT(((CAT_Procesos!$E$2:$E$1581=O212)*(CAT_Procesos!$F$2:$F$1581=_xlfn.TEXTJOIN(" + ",TRUE,IF((TRIM(P212:S212)="")+(LOWER(TRIM(P212:S212))="(seleccione)"),"",PROPER(TRIM(P212:S212)))))*(CAT_Procesos!$D$2:$D$1581=IFERROR(VLOOKUP(N212&amp;"*",CAT_Procesos!$D:$D,1,FALSE),"")))*(CAT_Procesos!$G$2:$G$1581=INDEX(CAT_Procesos!$G$2:$G$1581,MATCH(1,(CAT_Procesos!$E$2:$E$1581=O212)*(CAT_Procesos!$F$2:$F$1581=_xlfn.TEXTJOIN(" + ",TRUE,IF((TRIM(P212:S212)="")+(LOWER(TRIM(P212:S212))="(seleccione)"),"",PROPER(TRIM(P212:S212)))))*(CAT_Procesos!$D$2:$D$1581=IFERROR(VLOOKUP(N212&amp;"*",CAT_Procesos!$D:$D,1,FALSE),"")),0))))=SUMPRODUCT(--((CAT_Procesos!$E$2:$E$1581=O212)*(CAT_Procesos!$F$2:$F$1581=_xlfn.TEXTJOIN(" + ",TRUE,IF((TRIM(P212:S212)="")+(LOWER(TRIM(P212:S212))="(seleccione)"),"",PROPER(TRIM(P212:S212)))))*(CAT_Procesos!$D$2:$D$1581=IFERROR(VLOOKUP(N212&amp;"*",CAT_Procesos!$D:$D,1,FALSE),"")))),INDEX(CAT_Procesos!$G$2:$G$1581,MATCH(1,(CAT_Procesos!$E$2:$E$1581=O212)*(CAT_Procesos!$F$2:$F$1581=_xlfn.TEXTJOIN(" + ",TRUE,IF((TRIM(P212:S212)="")+(LOWER(TRIM(P212:S212))="(seleccione)"),"",PROPER(TRIM(P212:S212)))))*(CAT_Procesos!$D$2:$D$1581=IFERROR(VLOOKUP(N212&amp;"*",CAT_Procesos!$D:$D,1,FALSE),"")),0)),"(seleccione)"))</f>
        <v>Combinación no existente</v>
      </c>
      <c r="V212" s="55" t="s">
        <v>73</v>
      </c>
      <c r="W212" s="56" t="s">
        <v>73</v>
      </c>
      <c r="X212" s="57" t="str">
        <f t="shared" si="12"/>
        <v/>
      </c>
      <c r="Y212" s="58" t="s">
        <v>73</v>
      </c>
      <c r="Z212" s="57" t="str">
        <f t="shared" si="13"/>
        <v/>
      </c>
      <c r="AA212" s="58" t="s">
        <v>73</v>
      </c>
      <c r="AB212" s="57" t="str">
        <f t="shared" si="14"/>
        <v/>
      </c>
      <c r="AC212" s="58" t="s">
        <v>73</v>
      </c>
      <c r="AD212" s="57" t="str">
        <f t="shared" si="15"/>
        <v/>
      </c>
      <c r="AE212" s="59"/>
      <c r="AF212" s="59"/>
      <c r="AG212" s="59"/>
      <c r="AH212" s="59"/>
      <c r="AI212" s="59" t="s">
        <v>73</v>
      </c>
      <c r="AJ212" s="59"/>
      <c r="AK212" s="59" t="s">
        <v>73</v>
      </c>
      <c r="AL212" s="59"/>
      <c r="AM212" s="59" t="s">
        <v>73</v>
      </c>
      <c r="AN212" s="59"/>
      <c r="AO212" s="59" t="s">
        <v>73</v>
      </c>
      <c r="AP212" s="59"/>
      <c r="AQ212" s="59" t="s">
        <v>73</v>
      </c>
      <c r="AR212" s="59"/>
      <c r="AS212" s="59" t="s">
        <v>72</v>
      </c>
      <c r="AT212" s="59"/>
      <c r="AU212" s="59"/>
      <c r="AV212" s="59"/>
      <c r="AW212" s="59"/>
      <c r="AX212" s="59"/>
      <c r="AY212" s="60" t="str">
        <f>IF('Cálculo MP'!K222="","",'Cálculo MP'!K222)</f>
        <v/>
      </c>
      <c r="AZ212" s="60" t="str">
        <f>IF('Cálculo MP'!L222="","",'Cálculo MP'!L222)</f>
        <v/>
      </c>
      <c r="BA212" s="60" t="str">
        <f>IF('Cálculo MP'!M222="","",'Cálculo MP'!M222)</f>
        <v/>
      </c>
      <c r="BB212" s="60" t="str">
        <f>IF('Cálculo MP'!N222="","",'Cálculo MP'!N222)</f>
        <v/>
      </c>
      <c r="BC212" s="60" t="str">
        <f>IF('Cálculo MP'!O222="","",'Cálculo MP'!O222)</f>
        <v/>
      </c>
      <c r="BD212" s="60" t="str">
        <f>IF('Cálculo MP'!P222="","",'Cálculo MP'!P222)</f>
        <v/>
      </c>
      <c r="BE212" s="60" t="str">
        <f>IF('Cálculo MP'!Q222="","",'Cálculo MP'!Q222)</f>
        <v/>
      </c>
      <c r="BF212" s="60" t="str">
        <f>IF('Cálculo MP'!R222="","",'Cálculo MP'!R222)</f>
        <v/>
      </c>
      <c r="BG212" s="60" t="str">
        <f>IF('Cálculo MP'!S222="","",'Cálculo MP'!S222)</f>
        <v/>
      </c>
      <c r="BH212" s="59"/>
      <c r="BI212" s="59"/>
      <c r="BJ212" s="59"/>
      <c r="BK212" s="59"/>
      <c r="BL212" s="59"/>
      <c r="BM212" s="59"/>
      <c r="BN212" s="59"/>
      <c r="BO212" s="59"/>
    </row>
    <row r="213" spans="1:67" ht="19.5" customHeight="1" x14ac:dyDescent="0.15">
      <c r="A213" s="123" t="s">
        <v>1856</v>
      </c>
      <c r="B213" s="122" t="s">
        <v>1854</v>
      </c>
      <c r="C213" s="49"/>
      <c r="D213" s="48" t="s">
        <v>73</v>
      </c>
      <c r="E213" s="49"/>
      <c r="F213" s="50"/>
      <c r="G213" s="62"/>
      <c r="H213" s="48" t="s">
        <v>72</v>
      </c>
      <c r="I213" s="52">
        <v>1</v>
      </c>
      <c r="J213" s="52"/>
      <c r="K213" s="52" t="s">
        <v>73</v>
      </c>
      <c r="L213" s="52" t="s">
        <v>74</v>
      </c>
      <c r="M213" s="53" t="s">
        <v>942</v>
      </c>
      <c r="N213" s="58" t="s">
        <v>73</v>
      </c>
      <c r="O213" s="48" t="s">
        <v>72</v>
      </c>
      <c r="P213" s="48" t="s">
        <v>73</v>
      </c>
      <c r="Q213" s="54" t="s">
        <v>73</v>
      </c>
      <c r="R213" s="55" t="s">
        <v>73</v>
      </c>
      <c r="S213" s="48" t="s">
        <v>73</v>
      </c>
      <c r="T213" s="130"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8" t="str" cm="1">
        <f t="array" ref="U213">IF(SUMPRODUCT(--((CAT_Procesos!$E$2:$E$1581=O213)*(CAT_Procesos!$F$2:$F$1581=_xlfn.TEXTJOIN(" + ",TRUE,IF((TRIM(P213:S213)="")+(LOWER(TRIM(P213:S213))="(seleccione)"),"",PROPER(TRIM(P213:S213)))))*(CAT_Procesos!$D$2:$D$1581=IFERROR(VLOOKUP(N213&amp;"*",CAT_Procesos!$D:$D,1,FALSE),""))))=0,"Combinación no existente",IF(SUMPRODUCT(((CAT_Procesos!$E$2:$E$1581=O213)*(CAT_Procesos!$F$2:$F$1581=_xlfn.TEXTJOIN(" + ",TRUE,IF((TRIM(P213:S213)="")+(LOWER(TRIM(P213:S213))="(seleccione)"),"",PROPER(TRIM(P213:S213)))))*(CAT_Procesos!$D$2:$D$1581=IFERROR(VLOOKUP(N213&amp;"*",CAT_Procesos!$D:$D,1,FALSE),"")))*(CAT_Procesos!$G$2:$G$1581=INDEX(CAT_Procesos!$G$2:$G$1581,MATCH(1,(CAT_Procesos!$E$2:$E$1581=O213)*(CAT_Procesos!$F$2:$F$1581=_xlfn.TEXTJOIN(" + ",TRUE,IF((TRIM(P213:S213)="")+(LOWER(TRIM(P213:S213))="(seleccione)"),"",PROPER(TRIM(P213:S213)))))*(CAT_Procesos!$D$2:$D$1581=IFERROR(VLOOKUP(N213&amp;"*",CAT_Procesos!$D:$D,1,FALSE),"")),0))))=SUMPRODUCT(--((CAT_Procesos!$E$2:$E$1581=O213)*(CAT_Procesos!$F$2:$F$1581=_xlfn.TEXTJOIN(" + ",TRUE,IF((TRIM(P213:S213)="")+(LOWER(TRIM(P213:S213))="(seleccione)"),"",PROPER(TRIM(P213:S213)))))*(CAT_Procesos!$D$2:$D$1581=IFERROR(VLOOKUP(N213&amp;"*",CAT_Procesos!$D:$D,1,FALSE),"")))),INDEX(CAT_Procesos!$G$2:$G$1581,MATCH(1,(CAT_Procesos!$E$2:$E$1581=O213)*(CAT_Procesos!$F$2:$F$1581=_xlfn.TEXTJOIN(" + ",TRUE,IF((TRIM(P213:S213)="")+(LOWER(TRIM(P213:S213))="(seleccione)"),"",PROPER(TRIM(P213:S213)))))*(CAT_Procesos!$D$2:$D$1581=IFERROR(VLOOKUP(N213&amp;"*",CAT_Procesos!$D:$D,1,FALSE),"")),0)),"(seleccione)"))</f>
        <v>Combinación no existente</v>
      </c>
      <c r="V213" s="55" t="s">
        <v>73</v>
      </c>
      <c r="W213" s="56" t="s">
        <v>73</v>
      </c>
      <c r="X213" s="57" t="str">
        <f t="shared" si="12"/>
        <v/>
      </c>
      <c r="Y213" s="58" t="s">
        <v>73</v>
      </c>
      <c r="Z213" s="57" t="str">
        <f t="shared" si="13"/>
        <v/>
      </c>
      <c r="AA213" s="58" t="s">
        <v>73</v>
      </c>
      <c r="AB213" s="57" t="str">
        <f t="shared" si="14"/>
        <v/>
      </c>
      <c r="AC213" s="58" t="s">
        <v>73</v>
      </c>
      <c r="AD213" s="57" t="str">
        <f t="shared" si="15"/>
        <v/>
      </c>
      <c r="AE213" s="59"/>
      <c r="AF213" s="59"/>
      <c r="AG213" s="59"/>
      <c r="AH213" s="59"/>
      <c r="AI213" s="59" t="s">
        <v>73</v>
      </c>
      <c r="AJ213" s="59"/>
      <c r="AK213" s="59" t="s">
        <v>73</v>
      </c>
      <c r="AL213" s="59"/>
      <c r="AM213" s="59" t="s">
        <v>73</v>
      </c>
      <c r="AN213" s="59"/>
      <c r="AO213" s="59" t="s">
        <v>73</v>
      </c>
      <c r="AP213" s="59"/>
      <c r="AQ213" s="59" t="s">
        <v>73</v>
      </c>
      <c r="AR213" s="59"/>
      <c r="AS213" s="59" t="s">
        <v>72</v>
      </c>
      <c r="AT213" s="59"/>
      <c r="AU213" s="59"/>
      <c r="AV213" s="59"/>
      <c r="AW213" s="59"/>
      <c r="AX213" s="59"/>
      <c r="AY213" s="60" t="str">
        <f>IF('Cálculo MP'!K223="","",'Cálculo MP'!K223)</f>
        <v/>
      </c>
      <c r="AZ213" s="60" t="str">
        <f>IF('Cálculo MP'!L223="","",'Cálculo MP'!L223)</f>
        <v/>
      </c>
      <c r="BA213" s="60" t="str">
        <f>IF('Cálculo MP'!M223="","",'Cálculo MP'!M223)</f>
        <v/>
      </c>
      <c r="BB213" s="60" t="str">
        <f>IF('Cálculo MP'!N223="","",'Cálculo MP'!N223)</f>
        <v/>
      </c>
      <c r="BC213" s="60" t="str">
        <f>IF('Cálculo MP'!O223="","",'Cálculo MP'!O223)</f>
        <v/>
      </c>
      <c r="BD213" s="60" t="str">
        <f>IF('Cálculo MP'!P223="","",'Cálculo MP'!P223)</f>
        <v/>
      </c>
      <c r="BE213" s="60" t="str">
        <f>IF('Cálculo MP'!Q223="","",'Cálculo MP'!Q223)</f>
        <v/>
      </c>
      <c r="BF213" s="60" t="str">
        <f>IF('Cálculo MP'!R223="","",'Cálculo MP'!R223)</f>
        <v/>
      </c>
      <c r="BG213" s="60" t="str">
        <f>IF('Cálculo MP'!S223="","",'Cálculo MP'!S223)</f>
        <v/>
      </c>
      <c r="BH213" s="59"/>
      <c r="BI213" s="59"/>
      <c r="BJ213" s="59"/>
      <c r="BK213" s="59"/>
      <c r="BL213" s="59"/>
      <c r="BM213" s="59"/>
      <c r="BN213" s="59"/>
      <c r="BO213" s="59"/>
    </row>
    <row r="214" spans="1:67" ht="19.5" customHeight="1" x14ac:dyDescent="0.15">
      <c r="A214" s="123" t="s">
        <v>1856</v>
      </c>
      <c r="B214" s="122" t="s">
        <v>1854</v>
      </c>
      <c r="C214" s="49"/>
      <c r="D214" s="48" t="s">
        <v>73</v>
      </c>
      <c r="E214" s="49"/>
      <c r="F214" s="50"/>
      <c r="G214" s="62"/>
      <c r="H214" s="48" t="s">
        <v>72</v>
      </c>
      <c r="I214" s="52">
        <v>1</v>
      </c>
      <c r="J214" s="52"/>
      <c r="K214" s="52" t="s">
        <v>73</v>
      </c>
      <c r="L214" s="52" t="s">
        <v>74</v>
      </c>
      <c r="M214" s="53" t="s">
        <v>942</v>
      </c>
      <c r="N214" s="58" t="s">
        <v>73</v>
      </c>
      <c r="O214" s="48" t="s">
        <v>72</v>
      </c>
      <c r="P214" s="48" t="s">
        <v>73</v>
      </c>
      <c r="Q214" s="54" t="s">
        <v>73</v>
      </c>
      <c r="R214" s="55" t="s">
        <v>73</v>
      </c>
      <c r="S214" s="48" t="s">
        <v>73</v>
      </c>
      <c r="T214" s="130"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8" t="str" cm="1">
        <f t="array" ref="U214">IF(SUMPRODUCT(--((CAT_Procesos!$E$2:$E$1581=O214)*(CAT_Procesos!$F$2:$F$1581=_xlfn.TEXTJOIN(" + ",TRUE,IF((TRIM(P214:S214)="")+(LOWER(TRIM(P214:S214))="(seleccione)"),"",PROPER(TRIM(P214:S214)))))*(CAT_Procesos!$D$2:$D$1581=IFERROR(VLOOKUP(N214&amp;"*",CAT_Procesos!$D:$D,1,FALSE),""))))=0,"Combinación no existente",IF(SUMPRODUCT(((CAT_Procesos!$E$2:$E$1581=O214)*(CAT_Procesos!$F$2:$F$1581=_xlfn.TEXTJOIN(" + ",TRUE,IF((TRIM(P214:S214)="")+(LOWER(TRIM(P214:S214))="(seleccione)"),"",PROPER(TRIM(P214:S214)))))*(CAT_Procesos!$D$2:$D$1581=IFERROR(VLOOKUP(N214&amp;"*",CAT_Procesos!$D:$D,1,FALSE),"")))*(CAT_Procesos!$G$2:$G$1581=INDEX(CAT_Procesos!$G$2:$G$1581,MATCH(1,(CAT_Procesos!$E$2:$E$1581=O214)*(CAT_Procesos!$F$2:$F$1581=_xlfn.TEXTJOIN(" + ",TRUE,IF((TRIM(P214:S214)="")+(LOWER(TRIM(P214:S214))="(seleccione)"),"",PROPER(TRIM(P214:S214)))))*(CAT_Procesos!$D$2:$D$1581=IFERROR(VLOOKUP(N214&amp;"*",CAT_Procesos!$D:$D,1,FALSE),"")),0))))=SUMPRODUCT(--((CAT_Procesos!$E$2:$E$1581=O214)*(CAT_Procesos!$F$2:$F$1581=_xlfn.TEXTJOIN(" + ",TRUE,IF((TRIM(P214:S214)="")+(LOWER(TRIM(P214:S214))="(seleccione)"),"",PROPER(TRIM(P214:S214)))))*(CAT_Procesos!$D$2:$D$1581=IFERROR(VLOOKUP(N214&amp;"*",CAT_Procesos!$D:$D,1,FALSE),"")))),INDEX(CAT_Procesos!$G$2:$G$1581,MATCH(1,(CAT_Procesos!$E$2:$E$1581=O214)*(CAT_Procesos!$F$2:$F$1581=_xlfn.TEXTJOIN(" + ",TRUE,IF((TRIM(P214:S214)="")+(LOWER(TRIM(P214:S214))="(seleccione)"),"",PROPER(TRIM(P214:S214)))))*(CAT_Procesos!$D$2:$D$1581=IFERROR(VLOOKUP(N214&amp;"*",CAT_Procesos!$D:$D,1,FALSE),"")),0)),"(seleccione)"))</f>
        <v>Combinación no existente</v>
      </c>
      <c r="V214" s="55" t="s">
        <v>73</v>
      </c>
      <c r="W214" s="56" t="s">
        <v>73</v>
      </c>
      <c r="X214" s="57" t="str">
        <f t="shared" si="12"/>
        <v/>
      </c>
      <c r="Y214" s="58" t="s">
        <v>73</v>
      </c>
      <c r="Z214" s="57" t="str">
        <f t="shared" si="13"/>
        <v/>
      </c>
      <c r="AA214" s="58" t="s">
        <v>73</v>
      </c>
      <c r="AB214" s="57" t="str">
        <f t="shared" si="14"/>
        <v/>
      </c>
      <c r="AC214" s="58" t="s">
        <v>73</v>
      </c>
      <c r="AD214" s="57" t="str">
        <f t="shared" si="15"/>
        <v/>
      </c>
      <c r="AE214" s="59"/>
      <c r="AF214" s="59"/>
      <c r="AG214" s="59"/>
      <c r="AH214" s="59"/>
      <c r="AI214" s="59" t="s">
        <v>73</v>
      </c>
      <c r="AJ214" s="59"/>
      <c r="AK214" s="59" t="s">
        <v>73</v>
      </c>
      <c r="AL214" s="59"/>
      <c r="AM214" s="59" t="s">
        <v>73</v>
      </c>
      <c r="AN214" s="59"/>
      <c r="AO214" s="59" t="s">
        <v>73</v>
      </c>
      <c r="AP214" s="59"/>
      <c r="AQ214" s="59" t="s">
        <v>73</v>
      </c>
      <c r="AR214" s="59"/>
      <c r="AS214" s="59" t="s">
        <v>72</v>
      </c>
      <c r="AT214" s="59"/>
      <c r="AU214" s="59"/>
      <c r="AV214" s="59"/>
      <c r="AW214" s="59"/>
      <c r="AX214" s="59"/>
      <c r="AY214" s="60" t="str">
        <f>IF('Cálculo MP'!K224="","",'Cálculo MP'!K224)</f>
        <v/>
      </c>
      <c r="AZ214" s="60" t="str">
        <f>IF('Cálculo MP'!L224="","",'Cálculo MP'!L224)</f>
        <v/>
      </c>
      <c r="BA214" s="60" t="str">
        <f>IF('Cálculo MP'!M224="","",'Cálculo MP'!M224)</f>
        <v/>
      </c>
      <c r="BB214" s="60" t="str">
        <f>IF('Cálculo MP'!N224="","",'Cálculo MP'!N224)</f>
        <v/>
      </c>
      <c r="BC214" s="60" t="str">
        <f>IF('Cálculo MP'!O224="","",'Cálculo MP'!O224)</f>
        <v/>
      </c>
      <c r="BD214" s="60" t="str">
        <f>IF('Cálculo MP'!P224="","",'Cálculo MP'!P224)</f>
        <v/>
      </c>
      <c r="BE214" s="60" t="str">
        <f>IF('Cálculo MP'!Q224="","",'Cálculo MP'!Q224)</f>
        <v/>
      </c>
      <c r="BF214" s="60" t="str">
        <f>IF('Cálculo MP'!R224="","",'Cálculo MP'!R224)</f>
        <v/>
      </c>
      <c r="BG214" s="60" t="str">
        <f>IF('Cálculo MP'!S224="","",'Cálculo MP'!S224)</f>
        <v/>
      </c>
      <c r="BH214" s="59"/>
      <c r="BI214" s="59"/>
      <c r="BJ214" s="59"/>
      <c r="BK214" s="59"/>
      <c r="BL214" s="59"/>
      <c r="BM214" s="59"/>
      <c r="BN214" s="59"/>
      <c r="BO214" s="59"/>
    </row>
    <row r="215" spans="1:67" ht="19.5" customHeight="1" x14ac:dyDescent="0.15">
      <c r="A215" s="123" t="s">
        <v>1856</v>
      </c>
      <c r="B215" s="122" t="s">
        <v>1854</v>
      </c>
      <c r="C215" s="49"/>
      <c r="D215" s="48" t="s">
        <v>73</v>
      </c>
      <c r="E215" s="49"/>
      <c r="F215" s="50"/>
      <c r="G215" s="62"/>
      <c r="H215" s="48" t="s">
        <v>72</v>
      </c>
      <c r="I215" s="52">
        <v>1</v>
      </c>
      <c r="J215" s="52"/>
      <c r="K215" s="52" t="s">
        <v>73</v>
      </c>
      <c r="L215" s="52" t="s">
        <v>74</v>
      </c>
      <c r="M215" s="53" t="s">
        <v>942</v>
      </c>
      <c r="N215" s="58" t="s">
        <v>73</v>
      </c>
      <c r="O215" s="48" t="s">
        <v>72</v>
      </c>
      <c r="P215" s="48" t="s">
        <v>73</v>
      </c>
      <c r="Q215" s="54" t="s">
        <v>73</v>
      </c>
      <c r="R215" s="55" t="s">
        <v>73</v>
      </c>
      <c r="S215" s="48" t="s">
        <v>73</v>
      </c>
      <c r="T215" s="130"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8" t="str" cm="1">
        <f t="array" ref="U215">IF(SUMPRODUCT(--((CAT_Procesos!$E$2:$E$1581=O215)*(CAT_Procesos!$F$2:$F$1581=_xlfn.TEXTJOIN(" + ",TRUE,IF((TRIM(P215:S215)="")+(LOWER(TRIM(P215:S215))="(seleccione)"),"",PROPER(TRIM(P215:S215)))))*(CAT_Procesos!$D$2:$D$1581=IFERROR(VLOOKUP(N215&amp;"*",CAT_Procesos!$D:$D,1,FALSE),""))))=0,"Combinación no existente",IF(SUMPRODUCT(((CAT_Procesos!$E$2:$E$1581=O215)*(CAT_Procesos!$F$2:$F$1581=_xlfn.TEXTJOIN(" + ",TRUE,IF((TRIM(P215:S215)="")+(LOWER(TRIM(P215:S215))="(seleccione)"),"",PROPER(TRIM(P215:S215)))))*(CAT_Procesos!$D$2:$D$1581=IFERROR(VLOOKUP(N215&amp;"*",CAT_Procesos!$D:$D,1,FALSE),"")))*(CAT_Procesos!$G$2:$G$1581=INDEX(CAT_Procesos!$G$2:$G$1581,MATCH(1,(CAT_Procesos!$E$2:$E$1581=O215)*(CAT_Procesos!$F$2:$F$1581=_xlfn.TEXTJOIN(" + ",TRUE,IF((TRIM(P215:S215)="")+(LOWER(TRIM(P215:S215))="(seleccione)"),"",PROPER(TRIM(P215:S215)))))*(CAT_Procesos!$D$2:$D$1581=IFERROR(VLOOKUP(N215&amp;"*",CAT_Procesos!$D:$D,1,FALSE),"")),0))))=SUMPRODUCT(--((CAT_Procesos!$E$2:$E$1581=O215)*(CAT_Procesos!$F$2:$F$1581=_xlfn.TEXTJOIN(" + ",TRUE,IF((TRIM(P215:S215)="")+(LOWER(TRIM(P215:S215))="(seleccione)"),"",PROPER(TRIM(P215:S215)))))*(CAT_Procesos!$D$2:$D$1581=IFERROR(VLOOKUP(N215&amp;"*",CAT_Procesos!$D:$D,1,FALSE),"")))),INDEX(CAT_Procesos!$G$2:$G$1581,MATCH(1,(CAT_Procesos!$E$2:$E$1581=O215)*(CAT_Procesos!$F$2:$F$1581=_xlfn.TEXTJOIN(" + ",TRUE,IF((TRIM(P215:S215)="")+(LOWER(TRIM(P215:S215))="(seleccione)"),"",PROPER(TRIM(P215:S215)))))*(CAT_Procesos!$D$2:$D$1581=IFERROR(VLOOKUP(N215&amp;"*",CAT_Procesos!$D:$D,1,FALSE),"")),0)),"(seleccione)"))</f>
        <v>Combinación no existente</v>
      </c>
      <c r="V215" s="55" t="s">
        <v>73</v>
      </c>
      <c r="W215" s="56" t="s">
        <v>73</v>
      </c>
      <c r="X215" s="57" t="str">
        <f t="shared" si="12"/>
        <v/>
      </c>
      <c r="Y215" s="58" t="s">
        <v>73</v>
      </c>
      <c r="Z215" s="57" t="str">
        <f t="shared" si="13"/>
        <v/>
      </c>
      <c r="AA215" s="58" t="s">
        <v>73</v>
      </c>
      <c r="AB215" s="57" t="str">
        <f t="shared" si="14"/>
        <v/>
      </c>
      <c r="AC215" s="58" t="s">
        <v>73</v>
      </c>
      <c r="AD215" s="57" t="str">
        <f t="shared" si="15"/>
        <v/>
      </c>
      <c r="AE215" s="59"/>
      <c r="AF215" s="59"/>
      <c r="AG215" s="59"/>
      <c r="AH215" s="59"/>
      <c r="AI215" s="59" t="s">
        <v>73</v>
      </c>
      <c r="AJ215" s="59"/>
      <c r="AK215" s="59" t="s">
        <v>73</v>
      </c>
      <c r="AL215" s="59"/>
      <c r="AM215" s="59" t="s">
        <v>73</v>
      </c>
      <c r="AN215" s="59"/>
      <c r="AO215" s="59" t="s">
        <v>73</v>
      </c>
      <c r="AP215" s="59"/>
      <c r="AQ215" s="59" t="s">
        <v>73</v>
      </c>
      <c r="AR215" s="59"/>
      <c r="AS215" s="59" t="s">
        <v>72</v>
      </c>
      <c r="AT215" s="59"/>
      <c r="AU215" s="59"/>
      <c r="AV215" s="59"/>
      <c r="AW215" s="59"/>
      <c r="AX215" s="59"/>
      <c r="AY215" s="60" t="str">
        <f>IF('Cálculo MP'!K225="","",'Cálculo MP'!K225)</f>
        <v/>
      </c>
      <c r="AZ215" s="60" t="str">
        <f>IF('Cálculo MP'!L225="","",'Cálculo MP'!L225)</f>
        <v/>
      </c>
      <c r="BA215" s="60" t="str">
        <f>IF('Cálculo MP'!M225="","",'Cálculo MP'!M225)</f>
        <v/>
      </c>
      <c r="BB215" s="60" t="str">
        <f>IF('Cálculo MP'!N225="","",'Cálculo MP'!N225)</f>
        <v/>
      </c>
      <c r="BC215" s="60" t="str">
        <f>IF('Cálculo MP'!O225="","",'Cálculo MP'!O225)</f>
        <v/>
      </c>
      <c r="BD215" s="60" t="str">
        <f>IF('Cálculo MP'!P225="","",'Cálculo MP'!P225)</f>
        <v/>
      </c>
      <c r="BE215" s="60" t="str">
        <f>IF('Cálculo MP'!Q225="","",'Cálculo MP'!Q225)</f>
        <v/>
      </c>
      <c r="BF215" s="60" t="str">
        <f>IF('Cálculo MP'!R225="","",'Cálculo MP'!R225)</f>
        <v/>
      </c>
      <c r="BG215" s="60" t="str">
        <f>IF('Cálculo MP'!S225="","",'Cálculo MP'!S225)</f>
        <v/>
      </c>
      <c r="BH215" s="59"/>
      <c r="BI215" s="59"/>
      <c r="BJ215" s="59"/>
      <c r="BK215" s="59"/>
      <c r="BL215" s="59"/>
      <c r="BM215" s="59"/>
      <c r="BN215" s="59"/>
      <c r="BO215" s="59"/>
    </row>
    <row r="216" spans="1:67" ht="19.5" customHeight="1" x14ac:dyDescent="0.15">
      <c r="A216" s="123" t="s">
        <v>1856</v>
      </c>
      <c r="B216" s="122" t="s">
        <v>1854</v>
      </c>
      <c r="C216" s="49"/>
      <c r="D216" s="48" t="s">
        <v>73</v>
      </c>
      <c r="E216" s="49"/>
      <c r="F216" s="50"/>
      <c r="G216" s="62"/>
      <c r="H216" s="48" t="s">
        <v>72</v>
      </c>
      <c r="I216" s="52">
        <v>1</v>
      </c>
      <c r="J216" s="52"/>
      <c r="K216" s="52" t="s">
        <v>73</v>
      </c>
      <c r="L216" s="52" t="s">
        <v>74</v>
      </c>
      <c r="M216" s="53" t="s">
        <v>942</v>
      </c>
      <c r="N216" s="58" t="s">
        <v>73</v>
      </c>
      <c r="O216" s="48" t="s">
        <v>72</v>
      </c>
      <c r="P216" s="48" t="s">
        <v>73</v>
      </c>
      <c r="Q216" s="54" t="s">
        <v>73</v>
      </c>
      <c r="R216" s="55" t="s">
        <v>73</v>
      </c>
      <c r="S216" s="48" t="s">
        <v>73</v>
      </c>
      <c r="T216" s="130"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8" t="str" cm="1">
        <f t="array" ref="U216">IF(SUMPRODUCT(--((CAT_Procesos!$E$2:$E$1581=O216)*(CAT_Procesos!$F$2:$F$1581=_xlfn.TEXTJOIN(" + ",TRUE,IF((TRIM(P216:S216)="")+(LOWER(TRIM(P216:S216))="(seleccione)"),"",PROPER(TRIM(P216:S216)))))*(CAT_Procesos!$D$2:$D$1581=IFERROR(VLOOKUP(N216&amp;"*",CAT_Procesos!$D:$D,1,FALSE),""))))=0,"Combinación no existente",IF(SUMPRODUCT(((CAT_Procesos!$E$2:$E$1581=O216)*(CAT_Procesos!$F$2:$F$1581=_xlfn.TEXTJOIN(" + ",TRUE,IF((TRIM(P216:S216)="")+(LOWER(TRIM(P216:S216))="(seleccione)"),"",PROPER(TRIM(P216:S216)))))*(CAT_Procesos!$D$2:$D$1581=IFERROR(VLOOKUP(N216&amp;"*",CAT_Procesos!$D:$D,1,FALSE),"")))*(CAT_Procesos!$G$2:$G$1581=INDEX(CAT_Procesos!$G$2:$G$1581,MATCH(1,(CAT_Procesos!$E$2:$E$1581=O216)*(CAT_Procesos!$F$2:$F$1581=_xlfn.TEXTJOIN(" + ",TRUE,IF((TRIM(P216:S216)="")+(LOWER(TRIM(P216:S216))="(seleccione)"),"",PROPER(TRIM(P216:S216)))))*(CAT_Procesos!$D$2:$D$1581=IFERROR(VLOOKUP(N216&amp;"*",CAT_Procesos!$D:$D,1,FALSE),"")),0))))=SUMPRODUCT(--((CAT_Procesos!$E$2:$E$1581=O216)*(CAT_Procesos!$F$2:$F$1581=_xlfn.TEXTJOIN(" + ",TRUE,IF((TRIM(P216:S216)="")+(LOWER(TRIM(P216:S216))="(seleccione)"),"",PROPER(TRIM(P216:S216)))))*(CAT_Procesos!$D$2:$D$1581=IFERROR(VLOOKUP(N216&amp;"*",CAT_Procesos!$D:$D,1,FALSE),"")))),INDEX(CAT_Procesos!$G$2:$G$1581,MATCH(1,(CAT_Procesos!$E$2:$E$1581=O216)*(CAT_Procesos!$F$2:$F$1581=_xlfn.TEXTJOIN(" + ",TRUE,IF((TRIM(P216:S216)="")+(LOWER(TRIM(P216:S216))="(seleccione)"),"",PROPER(TRIM(P216:S216)))))*(CAT_Procesos!$D$2:$D$1581=IFERROR(VLOOKUP(N216&amp;"*",CAT_Procesos!$D:$D,1,FALSE),"")),0)),"(seleccione)"))</f>
        <v>Combinación no existente</v>
      </c>
      <c r="V216" s="55" t="s">
        <v>73</v>
      </c>
      <c r="W216" s="56" t="s">
        <v>73</v>
      </c>
      <c r="X216" s="57" t="str">
        <f t="shared" si="12"/>
        <v/>
      </c>
      <c r="Y216" s="58" t="s">
        <v>73</v>
      </c>
      <c r="Z216" s="57" t="str">
        <f t="shared" si="13"/>
        <v/>
      </c>
      <c r="AA216" s="58" t="s">
        <v>73</v>
      </c>
      <c r="AB216" s="57" t="str">
        <f t="shared" si="14"/>
        <v/>
      </c>
      <c r="AC216" s="58" t="s">
        <v>73</v>
      </c>
      <c r="AD216" s="57" t="str">
        <f t="shared" si="15"/>
        <v/>
      </c>
      <c r="AE216" s="59"/>
      <c r="AF216" s="59"/>
      <c r="AG216" s="59"/>
      <c r="AH216" s="59"/>
      <c r="AI216" s="59" t="s">
        <v>73</v>
      </c>
      <c r="AJ216" s="59"/>
      <c r="AK216" s="59" t="s">
        <v>73</v>
      </c>
      <c r="AL216" s="59"/>
      <c r="AM216" s="59" t="s">
        <v>73</v>
      </c>
      <c r="AN216" s="59"/>
      <c r="AO216" s="59" t="s">
        <v>73</v>
      </c>
      <c r="AP216" s="59"/>
      <c r="AQ216" s="59" t="s">
        <v>73</v>
      </c>
      <c r="AR216" s="59"/>
      <c r="AS216" s="59" t="s">
        <v>72</v>
      </c>
      <c r="AT216" s="59"/>
      <c r="AU216" s="59"/>
      <c r="AV216" s="59"/>
      <c r="AW216" s="59"/>
      <c r="AX216" s="59"/>
      <c r="AY216" s="60" t="str">
        <f>IF('Cálculo MP'!K226="","",'Cálculo MP'!K226)</f>
        <v/>
      </c>
      <c r="AZ216" s="60" t="str">
        <f>IF('Cálculo MP'!L226="","",'Cálculo MP'!L226)</f>
        <v/>
      </c>
      <c r="BA216" s="60" t="str">
        <f>IF('Cálculo MP'!M226="","",'Cálculo MP'!M226)</f>
        <v/>
      </c>
      <c r="BB216" s="60" t="str">
        <f>IF('Cálculo MP'!N226="","",'Cálculo MP'!N226)</f>
        <v/>
      </c>
      <c r="BC216" s="60" t="str">
        <f>IF('Cálculo MP'!O226="","",'Cálculo MP'!O226)</f>
        <v/>
      </c>
      <c r="BD216" s="60" t="str">
        <f>IF('Cálculo MP'!P226="","",'Cálculo MP'!P226)</f>
        <v/>
      </c>
      <c r="BE216" s="60" t="str">
        <f>IF('Cálculo MP'!Q226="","",'Cálculo MP'!Q226)</f>
        <v/>
      </c>
      <c r="BF216" s="60" t="str">
        <f>IF('Cálculo MP'!R226="","",'Cálculo MP'!R226)</f>
        <v/>
      </c>
      <c r="BG216" s="60" t="str">
        <f>IF('Cálculo MP'!S226="","",'Cálculo MP'!S226)</f>
        <v/>
      </c>
      <c r="BH216" s="59"/>
      <c r="BI216" s="59"/>
      <c r="BJ216" s="59"/>
      <c r="BK216" s="59"/>
      <c r="BL216" s="59"/>
      <c r="BM216" s="59"/>
      <c r="BN216" s="59"/>
      <c r="BO216" s="59"/>
    </row>
    <row r="217" spans="1:67" ht="19.5" customHeight="1" x14ac:dyDescent="0.15">
      <c r="A217" s="123" t="s">
        <v>1856</v>
      </c>
      <c r="B217" s="122" t="s">
        <v>1854</v>
      </c>
      <c r="C217" s="49"/>
      <c r="D217" s="48" t="s">
        <v>73</v>
      </c>
      <c r="E217" s="49"/>
      <c r="F217" s="50"/>
      <c r="G217" s="62"/>
      <c r="H217" s="48" t="s">
        <v>72</v>
      </c>
      <c r="I217" s="52">
        <v>1</v>
      </c>
      <c r="J217" s="52"/>
      <c r="K217" s="52" t="s">
        <v>73</v>
      </c>
      <c r="L217" s="52" t="s">
        <v>74</v>
      </c>
      <c r="M217" s="53" t="s">
        <v>942</v>
      </c>
      <c r="N217" s="58" t="s">
        <v>73</v>
      </c>
      <c r="O217" s="48" t="s">
        <v>72</v>
      </c>
      <c r="P217" s="48" t="s">
        <v>73</v>
      </c>
      <c r="Q217" s="54" t="s">
        <v>73</v>
      </c>
      <c r="R217" s="55" t="s">
        <v>73</v>
      </c>
      <c r="S217" s="48" t="s">
        <v>73</v>
      </c>
      <c r="T217" s="130"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8" t="str" cm="1">
        <f t="array" ref="U217">IF(SUMPRODUCT(--((CAT_Procesos!$E$2:$E$1581=O217)*(CAT_Procesos!$F$2:$F$1581=_xlfn.TEXTJOIN(" + ",TRUE,IF((TRIM(P217:S217)="")+(LOWER(TRIM(P217:S217))="(seleccione)"),"",PROPER(TRIM(P217:S217)))))*(CAT_Procesos!$D$2:$D$1581=IFERROR(VLOOKUP(N217&amp;"*",CAT_Procesos!$D:$D,1,FALSE),""))))=0,"Combinación no existente",IF(SUMPRODUCT(((CAT_Procesos!$E$2:$E$1581=O217)*(CAT_Procesos!$F$2:$F$1581=_xlfn.TEXTJOIN(" + ",TRUE,IF((TRIM(P217:S217)="")+(LOWER(TRIM(P217:S217))="(seleccione)"),"",PROPER(TRIM(P217:S217)))))*(CAT_Procesos!$D$2:$D$1581=IFERROR(VLOOKUP(N217&amp;"*",CAT_Procesos!$D:$D,1,FALSE),"")))*(CAT_Procesos!$G$2:$G$1581=INDEX(CAT_Procesos!$G$2:$G$1581,MATCH(1,(CAT_Procesos!$E$2:$E$1581=O217)*(CAT_Procesos!$F$2:$F$1581=_xlfn.TEXTJOIN(" + ",TRUE,IF((TRIM(P217:S217)="")+(LOWER(TRIM(P217:S217))="(seleccione)"),"",PROPER(TRIM(P217:S217)))))*(CAT_Procesos!$D$2:$D$1581=IFERROR(VLOOKUP(N217&amp;"*",CAT_Procesos!$D:$D,1,FALSE),"")),0))))=SUMPRODUCT(--((CAT_Procesos!$E$2:$E$1581=O217)*(CAT_Procesos!$F$2:$F$1581=_xlfn.TEXTJOIN(" + ",TRUE,IF((TRIM(P217:S217)="")+(LOWER(TRIM(P217:S217))="(seleccione)"),"",PROPER(TRIM(P217:S217)))))*(CAT_Procesos!$D$2:$D$1581=IFERROR(VLOOKUP(N217&amp;"*",CAT_Procesos!$D:$D,1,FALSE),"")))),INDEX(CAT_Procesos!$G$2:$G$1581,MATCH(1,(CAT_Procesos!$E$2:$E$1581=O217)*(CAT_Procesos!$F$2:$F$1581=_xlfn.TEXTJOIN(" + ",TRUE,IF((TRIM(P217:S217)="")+(LOWER(TRIM(P217:S217))="(seleccione)"),"",PROPER(TRIM(P217:S217)))))*(CAT_Procesos!$D$2:$D$1581=IFERROR(VLOOKUP(N217&amp;"*",CAT_Procesos!$D:$D,1,FALSE),"")),0)),"(seleccione)"))</f>
        <v>Combinación no existente</v>
      </c>
      <c r="V217" s="55" t="s">
        <v>73</v>
      </c>
      <c r="W217" s="56" t="s">
        <v>73</v>
      </c>
      <c r="X217" s="57" t="str">
        <f t="shared" si="12"/>
        <v/>
      </c>
      <c r="Y217" s="58" t="s">
        <v>73</v>
      </c>
      <c r="Z217" s="57" t="str">
        <f t="shared" si="13"/>
        <v/>
      </c>
      <c r="AA217" s="58" t="s">
        <v>73</v>
      </c>
      <c r="AB217" s="57" t="str">
        <f t="shared" si="14"/>
        <v/>
      </c>
      <c r="AC217" s="58" t="s">
        <v>73</v>
      </c>
      <c r="AD217" s="57" t="str">
        <f t="shared" si="15"/>
        <v/>
      </c>
      <c r="AE217" s="59"/>
      <c r="AF217" s="59"/>
      <c r="AG217" s="59"/>
      <c r="AH217" s="59"/>
      <c r="AI217" s="59" t="s">
        <v>73</v>
      </c>
      <c r="AJ217" s="59"/>
      <c r="AK217" s="59" t="s">
        <v>73</v>
      </c>
      <c r="AL217" s="59"/>
      <c r="AM217" s="59" t="s">
        <v>73</v>
      </c>
      <c r="AN217" s="59"/>
      <c r="AO217" s="59" t="s">
        <v>73</v>
      </c>
      <c r="AP217" s="59"/>
      <c r="AQ217" s="59" t="s">
        <v>73</v>
      </c>
      <c r="AR217" s="59"/>
      <c r="AS217" s="59" t="s">
        <v>72</v>
      </c>
      <c r="AT217" s="59"/>
      <c r="AU217" s="59"/>
      <c r="AV217" s="59"/>
      <c r="AW217" s="59"/>
      <c r="AX217" s="59"/>
      <c r="AY217" s="60" t="str">
        <f>IF('Cálculo MP'!K227="","",'Cálculo MP'!K227)</f>
        <v/>
      </c>
      <c r="AZ217" s="60" t="str">
        <f>IF('Cálculo MP'!L227="","",'Cálculo MP'!L227)</f>
        <v/>
      </c>
      <c r="BA217" s="60" t="str">
        <f>IF('Cálculo MP'!M227="","",'Cálculo MP'!M227)</f>
        <v/>
      </c>
      <c r="BB217" s="60" t="str">
        <f>IF('Cálculo MP'!N227="","",'Cálculo MP'!N227)</f>
        <v/>
      </c>
      <c r="BC217" s="60" t="str">
        <f>IF('Cálculo MP'!O227="","",'Cálculo MP'!O227)</f>
        <v/>
      </c>
      <c r="BD217" s="60" t="str">
        <f>IF('Cálculo MP'!P227="","",'Cálculo MP'!P227)</f>
        <v/>
      </c>
      <c r="BE217" s="60" t="str">
        <f>IF('Cálculo MP'!Q227="","",'Cálculo MP'!Q227)</f>
        <v/>
      </c>
      <c r="BF217" s="60" t="str">
        <f>IF('Cálculo MP'!R227="","",'Cálculo MP'!R227)</f>
        <v/>
      </c>
      <c r="BG217" s="60" t="str">
        <f>IF('Cálculo MP'!S227="","",'Cálculo MP'!S227)</f>
        <v/>
      </c>
      <c r="BH217" s="59"/>
      <c r="BI217" s="59"/>
      <c r="BJ217" s="59"/>
      <c r="BK217" s="59"/>
      <c r="BL217" s="59"/>
      <c r="BM217" s="59"/>
      <c r="BN217" s="59"/>
      <c r="BO217" s="59"/>
    </row>
    <row r="218" spans="1:67" ht="19.5" customHeight="1" x14ac:dyDescent="0.15">
      <c r="A218" s="123" t="s">
        <v>1856</v>
      </c>
      <c r="B218" s="122" t="s">
        <v>1854</v>
      </c>
      <c r="C218" s="49"/>
      <c r="D218" s="48" t="s">
        <v>73</v>
      </c>
      <c r="E218" s="49"/>
      <c r="F218" s="50"/>
      <c r="G218" s="62"/>
      <c r="H218" s="48" t="s">
        <v>72</v>
      </c>
      <c r="I218" s="52">
        <v>1</v>
      </c>
      <c r="J218" s="52"/>
      <c r="K218" s="52" t="s">
        <v>73</v>
      </c>
      <c r="L218" s="52" t="s">
        <v>74</v>
      </c>
      <c r="M218" s="53" t="s">
        <v>942</v>
      </c>
      <c r="N218" s="58" t="s">
        <v>73</v>
      </c>
      <c r="O218" s="48" t="s">
        <v>72</v>
      </c>
      <c r="P218" s="48" t="s">
        <v>73</v>
      </c>
      <c r="Q218" s="54" t="s">
        <v>73</v>
      </c>
      <c r="R218" s="55" t="s">
        <v>73</v>
      </c>
      <c r="S218" s="48" t="s">
        <v>73</v>
      </c>
      <c r="T218" s="130"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8" t="str" cm="1">
        <f t="array" ref="U218">IF(SUMPRODUCT(--((CAT_Procesos!$E$2:$E$1581=O218)*(CAT_Procesos!$F$2:$F$1581=_xlfn.TEXTJOIN(" + ",TRUE,IF((TRIM(P218:S218)="")+(LOWER(TRIM(P218:S218))="(seleccione)"),"",PROPER(TRIM(P218:S218)))))*(CAT_Procesos!$D$2:$D$1581=IFERROR(VLOOKUP(N218&amp;"*",CAT_Procesos!$D:$D,1,FALSE),""))))=0,"Combinación no existente",IF(SUMPRODUCT(((CAT_Procesos!$E$2:$E$1581=O218)*(CAT_Procesos!$F$2:$F$1581=_xlfn.TEXTJOIN(" + ",TRUE,IF((TRIM(P218:S218)="")+(LOWER(TRIM(P218:S218))="(seleccione)"),"",PROPER(TRIM(P218:S218)))))*(CAT_Procesos!$D$2:$D$1581=IFERROR(VLOOKUP(N218&amp;"*",CAT_Procesos!$D:$D,1,FALSE),"")))*(CAT_Procesos!$G$2:$G$1581=INDEX(CAT_Procesos!$G$2:$G$1581,MATCH(1,(CAT_Procesos!$E$2:$E$1581=O218)*(CAT_Procesos!$F$2:$F$1581=_xlfn.TEXTJOIN(" + ",TRUE,IF((TRIM(P218:S218)="")+(LOWER(TRIM(P218:S218))="(seleccione)"),"",PROPER(TRIM(P218:S218)))))*(CAT_Procesos!$D$2:$D$1581=IFERROR(VLOOKUP(N218&amp;"*",CAT_Procesos!$D:$D,1,FALSE),"")),0))))=SUMPRODUCT(--((CAT_Procesos!$E$2:$E$1581=O218)*(CAT_Procesos!$F$2:$F$1581=_xlfn.TEXTJOIN(" + ",TRUE,IF((TRIM(P218:S218)="")+(LOWER(TRIM(P218:S218))="(seleccione)"),"",PROPER(TRIM(P218:S218)))))*(CAT_Procesos!$D$2:$D$1581=IFERROR(VLOOKUP(N218&amp;"*",CAT_Procesos!$D:$D,1,FALSE),"")))),INDEX(CAT_Procesos!$G$2:$G$1581,MATCH(1,(CAT_Procesos!$E$2:$E$1581=O218)*(CAT_Procesos!$F$2:$F$1581=_xlfn.TEXTJOIN(" + ",TRUE,IF((TRIM(P218:S218)="")+(LOWER(TRIM(P218:S218))="(seleccione)"),"",PROPER(TRIM(P218:S218)))))*(CAT_Procesos!$D$2:$D$1581=IFERROR(VLOOKUP(N218&amp;"*",CAT_Procesos!$D:$D,1,FALSE),"")),0)),"(seleccione)"))</f>
        <v>Combinación no existente</v>
      </c>
      <c r="V218" s="55" t="s">
        <v>73</v>
      </c>
      <c r="W218" s="56" t="s">
        <v>73</v>
      </c>
      <c r="X218" s="57" t="str">
        <f t="shared" si="12"/>
        <v/>
      </c>
      <c r="Y218" s="58" t="s">
        <v>73</v>
      </c>
      <c r="Z218" s="57" t="str">
        <f t="shared" si="13"/>
        <v/>
      </c>
      <c r="AA218" s="58" t="s">
        <v>73</v>
      </c>
      <c r="AB218" s="57" t="str">
        <f t="shared" si="14"/>
        <v/>
      </c>
      <c r="AC218" s="58" t="s">
        <v>73</v>
      </c>
      <c r="AD218" s="57" t="str">
        <f t="shared" si="15"/>
        <v/>
      </c>
      <c r="AE218" s="59"/>
      <c r="AF218" s="59"/>
      <c r="AG218" s="59"/>
      <c r="AH218" s="59"/>
      <c r="AI218" s="59" t="s">
        <v>73</v>
      </c>
      <c r="AJ218" s="59"/>
      <c r="AK218" s="59" t="s">
        <v>73</v>
      </c>
      <c r="AL218" s="59"/>
      <c r="AM218" s="59" t="s">
        <v>73</v>
      </c>
      <c r="AN218" s="59"/>
      <c r="AO218" s="59" t="s">
        <v>73</v>
      </c>
      <c r="AP218" s="59"/>
      <c r="AQ218" s="59" t="s">
        <v>73</v>
      </c>
      <c r="AR218" s="59"/>
      <c r="AS218" s="59" t="s">
        <v>72</v>
      </c>
      <c r="AT218" s="59"/>
      <c r="AU218" s="59"/>
      <c r="AV218" s="59"/>
      <c r="AW218" s="59"/>
      <c r="AX218" s="59"/>
      <c r="AY218" s="60" t="str">
        <f>IF('Cálculo MP'!K228="","",'Cálculo MP'!K228)</f>
        <v/>
      </c>
      <c r="AZ218" s="60" t="str">
        <f>IF('Cálculo MP'!L228="","",'Cálculo MP'!L228)</f>
        <v/>
      </c>
      <c r="BA218" s="60" t="str">
        <f>IF('Cálculo MP'!M228="","",'Cálculo MP'!M228)</f>
        <v/>
      </c>
      <c r="BB218" s="60" t="str">
        <f>IF('Cálculo MP'!N228="","",'Cálculo MP'!N228)</f>
        <v/>
      </c>
      <c r="BC218" s="60" t="str">
        <f>IF('Cálculo MP'!O228="","",'Cálculo MP'!O228)</f>
        <v/>
      </c>
      <c r="BD218" s="60" t="str">
        <f>IF('Cálculo MP'!P228="","",'Cálculo MP'!P228)</f>
        <v/>
      </c>
      <c r="BE218" s="60" t="str">
        <f>IF('Cálculo MP'!Q228="","",'Cálculo MP'!Q228)</f>
        <v/>
      </c>
      <c r="BF218" s="60" t="str">
        <f>IF('Cálculo MP'!R228="","",'Cálculo MP'!R228)</f>
        <v/>
      </c>
      <c r="BG218" s="60" t="str">
        <f>IF('Cálculo MP'!S228="","",'Cálculo MP'!S228)</f>
        <v/>
      </c>
      <c r="BH218" s="59"/>
      <c r="BI218" s="59"/>
      <c r="BJ218" s="59"/>
      <c r="BK218" s="59"/>
      <c r="BL218" s="59"/>
      <c r="BM218" s="59"/>
      <c r="BN218" s="59"/>
      <c r="BO218" s="59"/>
    </row>
    <row r="219" spans="1:67" ht="19.5" customHeight="1" x14ac:dyDescent="0.15">
      <c r="A219" s="123" t="s">
        <v>1856</v>
      </c>
      <c r="B219" s="122" t="s">
        <v>1854</v>
      </c>
      <c r="C219" s="49"/>
      <c r="D219" s="48" t="s">
        <v>73</v>
      </c>
      <c r="E219" s="49"/>
      <c r="F219" s="50"/>
      <c r="G219" s="62"/>
      <c r="H219" s="48" t="s">
        <v>72</v>
      </c>
      <c r="I219" s="52">
        <v>1</v>
      </c>
      <c r="J219" s="52"/>
      <c r="K219" s="52" t="s">
        <v>73</v>
      </c>
      <c r="L219" s="52" t="s">
        <v>74</v>
      </c>
      <c r="M219" s="53" t="s">
        <v>942</v>
      </c>
      <c r="N219" s="58" t="s">
        <v>73</v>
      </c>
      <c r="O219" s="48" t="s">
        <v>72</v>
      </c>
      <c r="P219" s="48" t="s">
        <v>73</v>
      </c>
      <c r="Q219" s="54" t="s">
        <v>73</v>
      </c>
      <c r="R219" s="55" t="s">
        <v>73</v>
      </c>
      <c r="S219" s="48" t="s">
        <v>73</v>
      </c>
      <c r="T219" s="130"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8" t="str" cm="1">
        <f t="array" ref="U219">IF(SUMPRODUCT(--((CAT_Procesos!$E$2:$E$1581=O219)*(CAT_Procesos!$F$2:$F$1581=_xlfn.TEXTJOIN(" + ",TRUE,IF((TRIM(P219:S219)="")+(LOWER(TRIM(P219:S219))="(seleccione)"),"",PROPER(TRIM(P219:S219)))))*(CAT_Procesos!$D$2:$D$1581=IFERROR(VLOOKUP(N219&amp;"*",CAT_Procesos!$D:$D,1,FALSE),""))))=0,"Combinación no existente",IF(SUMPRODUCT(((CAT_Procesos!$E$2:$E$1581=O219)*(CAT_Procesos!$F$2:$F$1581=_xlfn.TEXTJOIN(" + ",TRUE,IF((TRIM(P219:S219)="")+(LOWER(TRIM(P219:S219))="(seleccione)"),"",PROPER(TRIM(P219:S219)))))*(CAT_Procesos!$D$2:$D$1581=IFERROR(VLOOKUP(N219&amp;"*",CAT_Procesos!$D:$D,1,FALSE),"")))*(CAT_Procesos!$G$2:$G$1581=INDEX(CAT_Procesos!$G$2:$G$1581,MATCH(1,(CAT_Procesos!$E$2:$E$1581=O219)*(CAT_Procesos!$F$2:$F$1581=_xlfn.TEXTJOIN(" + ",TRUE,IF((TRIM(P219:S219)="")+(LOWER(TRIM(P219:S219))="(seleccione)"),"",PROPER(TRIM(P219:S219)))))*(CAT_Procesos!$D$2:$D$1581=IFERROR(VLOOKUP(N219&amp;"*",CAT_Procesos!$D:$D,1,FALSE),"")),0))))=SUMPRODUCT(--((CAT_Procesos!$E$2:$E$1581=O219)*(CAT_Procesos!$F$2:$F$1581=_xlfn.TEXTJOIN(" + ",TRUE,IF((TRIM(P219:S219)="")+(LOWER(TRIM(P219:S219))="(seleccione)"),"",PROPER(TRIM(P219:S219)))))*(CAT_Procesos!$D$2:$D$1581=IFERROR(VLOOKUP(N219&amp;"*",CAT_Procesos!$D:$D,1,FALSE),"")))),INDEX(CAT_Procesos!$G$2:$G$1581,MATCH(1,(CAT_Procesos!$E$2:$E$1581=O219)*(CAT_Procesos!$F$2:$F$1581=_xlfn.TEXTJOIN(" + ",TRUE,IF((TRIM(P219:S219)="")+(LOWER(TRIM(P219:S219))="(seleccione)"),"",PROPER(TRIM(P219:S219)))))*(CAT_Procesos!$D$2:$D$1581=IFERROR(VLOOKUP(N219&amp;"*",CAT_Procesos!$D:$D,1,FALSE),"")),0)),"(seleccione)"))</f>
        <v>Combinación no existente</v>
      </c>
      <c r="V219" s="55" t="s">
        <v>73</v>
      </c>
      <c r="W219" s="56" t="s">
        <v>73</v>
      </c>
      <c r="X219" s="57" t="str">
        <f t="shared" si="12"/>
        <v/>
      </c>
      <c r="Y219" s="58" t="s">
        <v>73</v>
      </c>
      <c r="Z219" s="57" t="str">
        <f t="shared" si="13"/>
        <v/>
      </c>
      <c r="AA219" s="58" t="s">
        <v>73</v>
      </c>
      <c r="AB219" s="57" t="str">
        <f t="shared" si="14"/>
        <v/>
      </c>
      <c r="AC219" s="58" t="s">
        <v>73</v>
      </c>
      <c r="AD219" s="57" t="str">
        <f t="shared" si="15"/>
        <v/>
      </c>
      <c r="AE219" s="59"/>
      <c r="AF219" s="59"/>
      <c r="AG219" s="59"/>
      <c r="AH219" s="59"/>
      <c r="AI219" s="59" t="s">
        <v>73</v>
      </c>
      <c r="AJ219" s="59"/>
      <c r="AK219" s="59" t="s">
        <v>73</v>
      </c>
      <c r="AL219" s="59"/>
      <c r="AM219" s="59" t="s">
        <v>73</v>
      </c>
      <c r="AN219" s="59"/>
      <c r="AO219" s="59" t="s">
        <v>73</v>
      </c>
      <c r="AP219" s="59"/>
      <c r="AQ219" s="59" t="s">
        <v>73</v>
      </c>
      <c r="AR219" s="59"/>
      <c r="AS219" s="59" t="s">
        <v>72</v>
      </c>
      <c r="AT219" s="59"/>
      <c r="AU219" s="59"/>
      <c r="AV219" s="59"/>
      <c r="AW219" s="59"/>
      <c r="AX219" s="59"/>
      <c r="AY219" s="60" t="str">
        <f>IF('Cálculo MP'!K229="","",'Cálculo MP'!K229)</f>
        <v/>
      </c>
      <c r="AZ219" s="60" t="str">
        <f>IF('Cálculo MP'!L229="","",'Cálculo MP'!L229)</f>
        <v/>
      </c>
      <c r="BA219" s="60" t="str">
        <f>IF('Cálculo MP'!M229="","",'Cálculo MP'!M229)</f>
        <v/>
      </c>
      <c r="BB219" s="60" t="str">
        <f>IF('Cálculo MP'!N229="","",'Cálculo MP'!N229)</f>
        <v/>
      </c>
      <c r="BC219" s="60" t="str">
        <f>IF('Cálculo MP'!O229="","",'Cálculo MP'!O229)</f>
        <v/>
      </c>
      <c r="BD219" s="60" t="str">
        <f>IF('Cálculo MP'!P229="","",'Cálculo MP'!P229)</f>
        <v/>
      </c>
      <c r="BE219" s="60" t="str">
        <f>IF('Cálculo MP'!Q229="","",'Cálculo MP'!Q229)</f>
        <v/>
      </c>
      <c r="BF219" s="60" t="str">
        <f>IF('Cálculo MP'!R229="","",'Cálculo MP'!R229)</f>
        <v/>
      </c>
      <c r="BG219" s="60" t="str">
        <f>IF('Cálculo MP'!S229="","",'Cálculo MP'!S229)</f>
        <v/>
      </c>
      <c r="BH219" s="59"/>
      <c r="BI219" s="59"/>
      <c r="BJ219" s="59"/>
      <c r="BK219" s="59"/>
      <c r="BL219" s="59"/>
      <c r="BM219" s="59"/>
      <c r="BN219" s="59"/>
      <c r="BO219" s="59"/>
    </row>
    <row r="220" spans="1:67" ht="19.5" customHeight="1" x14ac:dyDescent="0.15">
      <c r="A220" s="123" t="s">
        <v>1856</v>
      </c>
      <c r="B220" s="122" t="s">
        <v>1854</v>
      </c>
      <c r="C220" s="49"/>
      <c r="D220" s="48" t="s">
        <v>73</v>
      </c>
      <c r="E220" s="49"/>
      <c r="F220" s="50"/>
      <c r="G220" s="62"/>
      <c r="H220" s="48" t="s">
        <v>72</v>
      </c>
      <c r="I220" s="52">
        <v>1</v>
      </c>
      <c r="J220" s="52"/>
      <c r="K220" s="52" t="s">
        <v>73</v>
      </c>
      <c r="L220" s="52" t="s">
        <v>74</v>
      </c>
      <c r="M220" s="53" t="s">
        <v>942</v>
      </c>
      <c r="N220" s="58" t="s">
        <v>73</v>
      </c>
      <c r="O220" s="48" t="s">
        <v>72</v>
      </c>
      <c r="P220" s="48" t="s">
        <v>73</v>
      </c>
      <c r="Q220" s="54" t="s">
        <v>73</v>
      </c>
      <c r="R220" s="55" t="s">
        <v>73</v>
      </c>
      <c r="S220" s="48" t="s">
        <v>73</v>
      </c>
      <c r="T220" s="130"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8" t="str" cm="1">
        <f t="array" ref="U220">IF(SUMPRODUCT(--((CAT_Procesos!$E$2:$E$1581=O220)*(CAT_Procesos!$F$2:$F$1581=_xlfn.TEXTJOIN(" + ",TRUE,IF((TRIM(P220:S220)="")+(LOWER(TRIM(P220:S220))="(seleccione)"),"",PROPER(TRIM(P220:S220)))))*(CAT_Procesos!$D$2:$D$1581=IFERROR(VLOOKUP(N220&amp;"*",CAT_Procesos!$D:$D,1,FALSE),""))))=0,"Combinación no existente",IF(SUMPRODUCT(((CAT_Procesos!$E$2:$E$1581=O220)*(CAT_Procesos!$F$2:$F$1581=_xlfn.TEXTJOIN(" + ",TRUE,IF((TRIM(P220:S220)="")+(LOWER(TRIM(P220:S220))="(seleccione)"),"",PROPER(TRIM(P220:S220)))))*(CAT_Procesos!$D$2:$D$1581=IFERROR(VLOOKUP(N220&amp;"*",CAT_Procesos!$D:$D,1,FALSE),"")))*(CAT_Procesos!$G$2:$G$1581=INDEX(CAT_Procesos!$G$2:$G$1581,MATCH(1,(CAT_Procesos!$E$2:$E$1581=O220)*(CAT_Procesos!$F$2:$F$1581=_xlfn.TEXTJOIN(" + ",TRUE,IF((TRIM(P220:S220)="")+(LOWER(TRIM(P220:S220))="(seleccione)"),"",PROPER(TRIM(P220:S220)))))*(CAT_Procesos!$D$2:$D$1581=IFERROR(VLOOKUP(N220&amp;"*",CAT_Procesos!$D:$D,1,FALSE),"")),0))))=SUMPRODUCT(--((CAT_Procesos!$E$2:$E$1581=O220)*(CAT_Procesos!$F$2:$F$1581=_xlfn.TEXTJOIN(" + ",TRUE,IF((TRIM(P220:S220)="")+(LOWER(TRIM(P220:S220))="(seleccione)"),"",PROPER(TRIM(P220:S220)))))*(CAT_Procesos!$D$2:$D$1581=IFERROR(VLOOKUP(N220&amp;"*",CAT_Procesos!$D:$D,1,FALSE),"")))),INDEX(CAT_Procesos!$G$2:$G$1581,MATCH(1,(CAT_Procesos!$E$2:$E$1581=O220)*(CAT_Procesos!$F$2:$F$1581=_xlfn.TEXTJOIN(" + ",TRUE,IF((TRIM(P220:S220)="")+(LOWER(TRIM(P220:S220))="(seleccione)"),"",PROPER(TRIM(P220:S220)))))*(CAT_Procesos!$D$2:$D$1581=IFERROR(VLOOKUP(N220&amp;"*",CAT_Procesos!$D:$D,1,FALSE),"")),0)),"(seleccione)"))</f>
        <v>Combinación no existente</v>
      </c>
      <c r="V220" s="55" t="s">
        <v>73</v>
      </c>
      <c r="W220" s="56" t="s">
        <v>73</v>
      </c>
      <c r="X220" s="57" t="str">
        <f t="shared" si="12"/>
        <v/>
      </c>
      <c r="Y220" s="58" t="s">
        <v>73</v>
      </c>
      <c r="Z220" s="57" t="str">
        <f t="shared" si="13"/>
        <v/>
      </c>
      <c r="AA220" s="58" t="s">
        <v>73</v>
      </c>
      <c r="AB220" s="57" t="str">
        <f t="shared" si="14"/>
        <v/>
      </c>
      <c r="AC220" s="58" t="s">
        <v>73</v>
      </c>
      <c r="AD220" s="57" t="str">
        <f t="shared" si="15"/>
        <v/>
      </c>
      <c r="AE220" s="59"/>
      <c r="AF220" s="59"/>
      <c r="AG220" s="59"/>
      <c r="AH220" s="59"/>
      <c r="AI220" s="59" t="s">
        <v>73</v>
      </c>
      <c r="AJ220" s="59"/>
      <c r="AK220" s="59" t="s">
        <v>73</v>
      </c>
      <c r="AL220" s="59"/>
      <c r="AM220" s="59" t="s">
        <v>73</v>
      </c>
      <c r="AN220" s="59"/>
      <c r="AO220" s="59" t="s">
        <v>73</v>
      </c>
      <c r="AP220" s="59"/>
      <c r="AQ220" s="59" t="s">
        <v>73</v>
      </c>
      <c r="AR220" s="59"/>
      <c r="AS220" s="59" t="s">
        <v>72</v>
      </c>
      <c r="AT220" s="59"/>
      <c r="AU220" s="59"/>
      <c r="AV220" s="59"/>
      <c r="AW220" s="59"/>
      <c r="AX220" s="59"/>
      <c r="AY220" s="60" t="str">
        <f>IF('Cálculo MP'!K230="","",'Cálculo MP'!K230)</f>
        <v/>
      </c>
      <c r="AZ220" s="60" t="str">
        <f>IF('Cálculo MP'!L230="","",'Cálculo MP'!L230)</f>
        <v/>
      </c>
      <c r="BA220" s="60" t="str">
        <f>IF('Cálculo MP'!M230="","",'Cálculo MP'!M230)</f>
        <v/>
      </c>
      <c r="BB220" s="60" t="str">
        <f>IF('Cálculo MP'!N230="","",'Cálculo MP'!N230)</f>
        <v/>
      </c>
      <c r="BC220" s="60" t="str">
        <f>IF('Cálculo MP'!O230="","",'Cálculo MP'!O230)</f>
        <v/>
      </c>
      <c r="BD220" s="60" t="str">
        <f>IF('Cálculo MP'!P230="","",'Cálculo MP'!P230)</f>
        <v/>
      </c>
      <c r="BE220" s="60" t="str">
        <f>IF('Cálculo MP'!Q230="","",'Cálculo MP'!Q230)</f>
        <v/>
      </c>
      <c r="BF220" s="60" t="str">
        <f>IF('Cálculo MP'!R230="","",'Cálculo MP'!R230)</f>
        <v/>
      </c>
      <c r="BG220" s="60" t="str">
        <f>IF('Cálculo MP'!S230="","",'Cálculo MP'!S230)</f>
        <v/>
      </c>
      <c r="BH220" s="59"/>
      <c r="BI220" s="59"/>
      <c r="BJ220" s="59"/>
      <c r="BK220" s="59"/>
      <c r="BL220" s="59"/>
      <c r="BM220" s="59"/>
      <c r="BN220" s="59"/>
      <c r="BO220" s="59"/>
    </row>
    <row r="221" spans="1:67" ht="19.5" customHeight="1" x14ac:dyDescent="0.15">
      <c r="A221" s="123" t="s">
        <v>1856</v>
      </c>
      <c r="B221" s="122" t="s">
        <v>1854</v>
      </c>
      <c r="C221" s="49"/>
      <c r="D221" s="48" t="s">
        <v>73</v>
      </c>
      <c r="E221" s="49"/>
      <c r="F221" s="50"/>
      <c r="G221" s="62"/>
      <c r="H221" s="48" t="s">
        <v>72</v>
      </c>
      <c r="I221" s="52">
        <v>1</v>
      </c>
      <c r="J221" s="52"/>
      <c r="K221" s="52" t="s">
        <v>73</v>
      </c>
      <c r="L221" s="52" t="s">
        <v>74</v>
      </c>
      <c r="M221" s="53" t="s">
        <v>942</v>
      </c>
      <c r="N221" s="58" t="s">
        <v>73</v>
      </c>
      <c r="O221" s="48" t="s">
        <v>72</v>
      </c>
      <c r="P221" s="48" t="s">
        <v>73</v>
      </c>
      <c r="Q221" s="54" t="s">
        <v>73</v>
      </c>
      <c r="R221" s="55" t="s">
        <v>73</v>
      </c>
      <c r="S221" s="48" t="s">
        <v>73</v>
      </c>
      <c r="T221" s="130"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8" t="str" cm="1">
        <f t="array" ref="U221">IF(SUMPRODUCT(--((CAT_Procesos!$E$2:$E$1581=O221)*(CAT_Procesos!$F$2:$F$1581=_xlfn.TEXTJOIN(" + ",TRUE,IF((TRIM(P221:S221)="")+(LOWER(TRIM(P221:S221))="(seleccione)"),"",PROPER(TRIM(P221:S221)))))*(CAT_Procesos!$D$2:$D$1581=IFERROR(VLOOKUP(N221&amp;"*",CAT_Procesos!$D:$D,1,FALSE),""))))=0,"Combinación no existente",IF(SUMPRODUCT(((CAT_Procesos!$E$2:$E$1581=O221)*(CAT_Procesos!$F$2:$F$1581=_xlfn.TEXTJOIN(" + ",TRUE,IF((TRIM(P221:S221)="")+(LOWER(TRIM(P221:S221))="(seleccione)"),"",PROPER(TRIM(P221:S221)))))*(CAT_Procesos!$D$2:$D$1581=IFERROR(VLOOKUP(N221&amp;"*",CAT_Procesos!$D:$D,1,FALSE),"")))*(CAT_Procesos!$G$2:$G$1581=INDEX(CAT_Procesos!$G$2:$G$1581,MATCH(1,(CAT_Procesos!$E$2:$E$1581=O221)*(CAT_Procesos!$F$2:$F$1581=_xlfn.TEXTJOIN(" + ",TRUE,IF((TRIM(P221:S221)="")+(LOWER(TRIM(P221:S221))="(seleccione)"),"",PROPER(TRIM(P221:S221)))))*(CAT_Procesos!$D$2:$D$1581=IFERROR(VLOOKUP(N221&amp;"*",CAT_Procesos!$D:$D,1,FALSE),"")),0))))=SUMPRODUCT(--((CAT_Procesos!$E$2:$E$1581=O221)*(CAT_Procesos!$F$2:$F$1581=_xlfn.TEXTJOIN(" + ",TRUE,IF((TRIM(P221:S221)="")+(LOWER(TRIM(P221:S221))="(seleccione)"),"",PROPER(TRIM(P221:S221)))))*(CAT_Procesos!$D$2:$D$1581=IFERROR(VLOOKUP(N221&amp;"*",CAT_Procesos!$D:$D,1,FALSE),"")))),INDEX(CAT_Procesos!$G$2:$G$1581,MATCH(1,(CAT_Procesos!$E$2:$E$1581=O221)*(CAT_Procesos!$F$2:$F$1581=_xlfn.TEXTJOIN(" + ",TRUE,IF((TRIM(P221:S221)="")+(LOWER(TRIM(P221:S221))="(seleccione)"),"",PROPER(TRIM(P221:S221)))))*(CAT_Procesos!$D$2:$D$1581=IFERROR(VLOOKUP(N221&amp;"*",CAT_Procesos!$D:$D,1,FALSE),"")),0)),"(seleccione)"))</f>
        <v>Combinación no existente</v>
      </c>
      <c r="V221" s="55" t="s">
        <v>73</v>
      </c>
      <c r="W221" s="56" t="s">
        <v>73</v>
      </c>
      <c r="X221" s="57" t="str">
        <f t="shared" si="12"/>
        <v/>
      </c>
      <c r="Y221" s="58" t="s">
        <v>73</v>
      </c>
      <c r="Z221" s="57" t="str">
        <f t="shared" si="13"/>
        <v/>
      </c>
      <c r="AA221" s="58" t="s">
        <v>73</v>
      </c>
      <c r="AB221" s="57" t="str">
        <f t="shared" si="14"/>
        <v/>
      </c>
      <c r="AC221" s="58" t="s">
        <v>73</v>
      </c>
      <c r="AD221" s="57" t="str">
        <f t="shared" si="15"/>
        <v/>
      </c>
      <c r="AE221" s="59"/>
      <c r="AF221" s="59"/>
      <c r="AG221" s="59"/>
      <c r="AH221" s="59"/>
      <c r="AI221" s="59" t="s">
        <v>73</v>
      </c>
      <c r="AJ221" s="59"/>
      <c r="AK221" s="59" t="s">
        <v>73</v>
      </c>
      <c r="AL221" s="59"/>
      <c r="AM221" s="59" t="s">
        <v>73</v>
      </c>
      <c r="AN221" s="59"/>
      <c r="AO221" s="59" t="s">
        <v>73</v>
      </c>
      <c r="AP221" s="59"/>
      <c r="AQ221" s="59" t="s">
        <v>73</v>
      </c>
      <c r="AR221" s="59"/>
      <c r="AS221" s="59" t="s">
        <v>72</v>
      </c>
      <c r="AT221" s="59"/>
      <c r="AU221" s="59"/>
      <c r="AV221" s="59"/>
      <c r="AW221" s="59"/>
      <c r="AX221" s="59"/>
      <c r="AY221" s="60" t="str">
        <f>IF('Cálculo MP'!K231="","",'Cálculo MP'!K231)</f>
        <v/>
      </c>
      <c r="AZ221" s="60" t="str">
        <f>IF('Cálculo MP'!L231="","",'Cálculo MP'!L231)</f>
        <v/>
      </c>
      <c r="BA221" s="60" t="str">
        <f>IF('Cálculo MP'!M231="","",'Cálculo MP'!M231)</f>
        <v/>
      </c>
      <c r="BB221" s="60" t="str">
        <f>IF('Cálculo MP'!N231="","",'Cálculo MP'!N231)</f>
        <v/>
      </c>
      <c r="BC221" s="60" t="str">
        <f>IF('Cálculo MP'!O231="","",'Cálculo MP'!O231)</f>
        <v/>
      </c>
      <c r="BD221" s="60" t="str">
        <f>IF('Cálculo MP'!P231="","",'Cálculo MP'!P231)</f>
        <v/>
      </c>
      <c r="BE221" s="60" t="str">
        <f>IF('Cálculo MP'!Q231="","",'Cálculo MP'!Q231)</f>
        <v/>
      </c>
      <c r="BF221" s="60" t="str">
        <f>IF('Cálculo MP'!R231="","",'Cálculo MP'!R231)</f>
        <v/>
      </c>
      <c r="BG221" s="60" t="str">
        <f>IF('Cálculo MP'!S231="","",'Cálculo MP'!S231)</f>
        <v/>
      </c>
      <c r="BH221" s="59"/>
      <c r="BI221" s="59"/>
      <c r="BJ221" s="59"/>
      <c r="BK221" s="59"/>
      <c r="BL221" s="59"/>
      <c r="BM221" s="59"/>
      <c r="BN221" s="59"/>
      <c r="BO221" s="59"/>
    </row>
    <row r="222" spans="1:67" ht="19.5" customHeight="1" x14ac:dyDescent="0.15">
      <c r="A222" s="123" t="s">
        <v>1856</v>
      </c>
      <c r="B222" s="122" t="s">
        <v>1854</v>
      </c>
      <c r="C222" s="49"/>
      <c r="D222" s="48" t="s">
        <v>73</v>
      </c>
      <c r="E222" s="49"/>
      <c r="F222" s="50"/>
      <c r="G222" s="62"/>
      <c r="H222" s="48" t="s">
        <v>72</v>
      </c>
      <c r="I222" s="52">
        <v>1</v>
      </c>
      <c r="J222" s="52"/>
      <c r="K222" s="52" t="s">
        <v>73</v>
      </c>
      <c r="L222" s="52" t="s">
        <v>74</v>
      </c>
      <c r="M222" s="53" t="s">
        <v>942</v>
      </c>
      <c r="N222" s="58" t="s">
        <v>73</v>
      </c>
      <c r="O222" s="48" t="s">
        <v>72</v>
      </c>
      <c r="P222" s="48" t="s">
        <v>73</v>
      </c>
      <c r="Q222" s="54" t="s">
        <v>73</v>
      </c>
      <c r="R222" s="55" t="s">
        <v>73</v>
      </c>
      <c r="S222" s="48" t="s">
        <v>73</v>
      </c>
      <c r="T222" s="130"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8" t="str" cm="1">
        <f t="array" ref="U222">IF(SUMPRODUCT(--((CAT_Procesos!$E$2:$E$1581=O222)*(CAT_Procesos!$F$2:$F$1581=_xlfn.TEXTJOIN(" + ",TRUE,IF((TRIM(P222:S222)="")+(LOWER(TRIM(P222:S222))="(seleccione)"),"",PROPER(TRIM(P222:S222)))))*(CAT_Procesos!$D$2:$D$1581=IFERROR(VLOOKUP(N222&amp;"*",CAT_Procesos!$D:$D,1,FALSE),""))))=0,"Combinación no existente",IF(SUMPRODUCT(((CAT_Procesos!$E$2:$E$1581=O222)*(CAT_Procesos!$F$2:$F$1581=_xlfn.TEXTJOIN(" + ",TRUE,IF((TRIM(P222:S222)="")+(LOWER(TRIM(P222:S222))="(seleccione)"),"",PROPER(TRIM(P222:S222)))))*(CAT_Procesos!$D$2:$D$1581=IFERROR(VLOOKUP(N222&amp;"*",CAT_Procesos!$D:$D,1,FALSE),"")))*(CAT_Procesos!$G$2:$G$1581=INDEX(CAT_Procesos!$G$2:$G$1581,MATCH(1,(CAT_Procesos!$E$2:$E$1581=O222)*(CAT_Procesos!$F$2:$F$1581=_xlfn.TEXTJOIN(" + ",TRUE,IF((TRIM(P222:S222)="")+(LOWER(TRIM(P222:S222))="(seleccione)"),"",PROPER(TRIM(P222:S222)))))*(CAT_Procesos!$D$2:$D$1581=IFERROR(VLOOKUP(N222&amp;"*",CAT_Procesos!$D:$D,1,FALSE),"")),0))))=SUMPRODUCT(--((CAT_Procesos!$E$2:$E$1581=O222)*(CAT_Procesos!$F$2:$F$1581=_xlfn.TEXTJOIN(" + ",TRUE,IF((TRIM(P222:S222)="")+(LOWER(TRIM(P222:S222))="(seleccione)"),"",PROPER(TRIM(P222:S222)))))*(CAT_Procesos!$D$2:$D$1581=IFERROR(VLOOKUP(N222&amp;"*",CAT_Procesos!$D:$D,1,FALSE),"")))),INDEX(CAT_Procesos!$G$2:$G$1581,MATCH(1,(CAT_Procesos!$E$2:$E$1581=O222)*(CAT_Procesos!$F$2:$F$1581=_xlfn.TEXTJOIN(" + ",TRUE,IF((TRIM(P222:S222)="")+(LOWER(TRIM(P222:S222))="(seleccione)"),"",PROPER(TRIM(P222:S222)))))*(CAT_Procesos!$D$2:$D$1581=IFERROR(VLOOKUP(N222&amp;"*",CAT_Procesos!$D:$D,1,FALSE),"")),0)),"(seleccione)"))</f>
        <v>Combinación no existente</v>
      </c>
      <c r="V222" s="55" t="s">
        <v>73</v>
      </c>
      <c r="W222" s="56" t="s">
        <v>73</v>
      </c>
      <c r="X222" s="57" t="str">
        <f t="shared" si="12"/>
        <v/>
      </c>
      <c r="Y222" s="58" t="s">
        <v>73</v>
      </c>
      <c r="Z222" s="57" t="str">
        <f t="shared" si="13"/>
        <v/>
      </c>
      <c r="AA222" s="58" t="s">
        <v>73</v>
      </c>
      <c r="AB222" s="57" t="str">
        <f t="shared" si="14"/>
        <v/>
      </c>
      <c r="AC222" s="58" t="s">
        <v>73</v>
      </c>
      <c r="AD222" s="57" t="str">
        <f t="shared" si="15"/>
        <v/>
      </c>
      <c r="AE222" s="59"/>
      <c r="AF222" s="59"/>
      <c r="AG222" s="59"/>
      <c r="AH222" s="59"/>
      <c r="AI222" s="59" t="s">
        <v>73</v>
      </c>
      <c r="AJ222" s="59"/>
      <c r="AK222" s="59" t="s">
        <v>73</v>
      </c>
      <c r="AL222" s="59"/>
      <c r="AM222" s="59" t="s">
        <v>73</v>
      </c>
      <c r="AN222" s="59"/>
      <c r="AO222" s="59" t="s">
        <v>73</v>
      </c>
      <c r="AP222" s="59"/>
      <c r="AQ222" s="59" t="s">
        <v>73</v>
      </c>
      <c r="AR222" s="59"/>
      <c r="AS222" s="59" t="s">
        <v>72</v>
      </c>
      <c r="AT222" s="59"/>
      <c r="AU222" s="59"/>
      <c r="AV222" s="59"/>
      <c r="AW222" s="59"/>
      <c r="AX222" s="59"/>
      <c r="AY222" s="60" t="str">
        <f>IF('Cálculo MP'!K232="","",'Cálculo MP'!K232)</f>
        <v/>
      </c>
      <c r="AZ222" s="60" t="str">
        <f>IF('Cálculo MP'!L232="","",'Cálculo MP'!L232)</f>
        <v/>
      </c>
      <c r="BA222" s="60" t="str">
        <f>IF('Cálculo MP'!M232="","",'Cálculo MP'!M232)</f>
        <v/>
      </c>
      <c r="BB222" s="60" t="str">
        <f>IF('Cálculo MP'!N232="","",'Cálculo MP'!N232)</f>
        <v/>
      </c>
      <c r="BC222" s="60" t="str">
        <f>IF('Cálculo MP'!O232="","",'Cálculo MP'!O232)</f>
        <v/>
      </c>
      <c r="BD222" s="60" t="str">
        <f>IF('Cálculo MP'!P232="","",'Cálculo MP'!P232)</f>
        <v/>
      </c>
      <c r="BE222" s="60" t="str">
        <f>IF('Cálculo MP'!Q232="","",'Cálculo MP'!Q232)</f>
        <v/>
      </c>
      <c r="BF222" s="60" t="str">
        <f>IF('Cálculo MP'!R232="","",'Cálculo MP'!R232)</f>
        <v/>
      </c>
      <c r="BG222" s="60" t="str">
        <f>IF('Cálculo MP'!S232="","",'Cálculo MP'!S232)</f>
        <v/>
      </c>
      <c r="BH222" s="59"/>
      <c r="BI222" s="59"/>
      <c r="BJ222" s="59"/>
      <c r="BK222" s="59"/>
      <c r="BL222" s="59"/>
      <c r="BM222" s="59"/>
      <c r="BN222" s="59"/>
      <c r="BO222" s="59"/>
    </row>
    <row r="223" spans="1:67" ht="19.5" customHeight="1" x14ac:dyDescent="0.15">
      <c r="A223" s="123" t="s">
        <v>1856</v>
      </c>
      <c r="B223" s="122" t="s">
        <v>1854</v>
      </c>
      <c r="C223" s="49"/>
      <c r="D223" s="48" t="s">
        <v>73</v>
      </c>
      <c r="E223" s="49"/>
      <c r="F223" s="50"/>
      <c r="G223" s="62"/>
      <c r="H223" s="48" t="s">
        <v>72</v>
      </c>
      <c r="I223" s="52">
        <v>1</v>
      </c>
      <c r="J223" s="52"/>
      <c r="K223" s="52" t="s">
        <v>73</v>
      </c>
      <c r="L223" s="52" t="s">
        <v>74</v>
      </c>
      <c r="M223" s="53" t="s">
        <v>942</v>
      </c>
      <c r="N223" s="58" t="s">
        <v>73</v>
      </c>
      <c r="O223" s="48" t="s">
        <v>72</v>
      </c>
      <c r="P223" s="48" t="s">
        <v>73</v>
      </c>
      <c r="Q223" s="54" t="s">
        <v>73</v>
      </c>
      <c r="R223" s="55" t="s">
        <v>73</v>
      </c>
      <c r="S223" s="48" t="s">
        <v>73</v>
      </c>
      <c r="T223" s="130"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8" t="str" cm="1">
        <f t="array" ref="U223">IF(SUMPRODUCT(--((CAT_Procesos!$E$2:$E$1581=O223)*(CAT_Procesos!$F$2:$F$1581=_xlfn.TEXTJOIN(" + ",TRUE,IF((TRIM(P223:S223)="")+(LOWER(TRIM(P223:S223))="(seleccione)"),"",PROPER(TRIM(P223:S223)))))*(CAT_Procesos!$D$2:$D$1581=IFERROR(VLOOKUP(N223&amp;"*",CAT_Procesos!$D:$D,1,FALSE),""))))=0,"Combinación no existente",IF(SUMPRODUCT(((CAT_Procesos!$E$2:$E$1581=O223)*(CAT_Procesos!$F$2:$F$1581=_xlfn.TEXTJOIN(" + ",TRUE,IF((TRIM(P223:S223)="")+(LOWER(TRIM(P223:S223))="(seleccione)"),"",PROPER(TRIM(P223:S223)))))*(CAT_Procesos!$D$2:$D$1581=IFERROR(VLOOKUP(N223&amp;"*",CAT_Procesos!$D:$D,1,FALSE),"")))*(CAT_Procesos!$G$2:$G$1581=INDEX(CAT_Procesos!$G$2:$G$1581,MATCH(1,(CAT_Procesos!$E$2:$E$1581=O223)*(CAT_Procesos!$F$2:$F$1581=_xlfn.TEXTJOIN(" + ",TRUE,IF((TRIM(P223:S223)="")+(LOWER(TRIM(P223:S223))="(seleccione)"),"",PROPER(TRIM(P223:S223)))))*(CAT_Procesos!$D$2:$D$1581=IFERROR(VLOOKUP(N223&amp;"*",CAT_Procesos!$D:$D,1,FALSE),"")),0))))=SUMPRODUCT(--((CAT_Procesos!$E$2:$E$1581=O223)*(CAT_Procesos!$F$2:$F$1581=_xlfn.TEXTJOIN(" + ",TRUE,IF((TRIM(P223:S223)="")+(LOWER(TRIM(P223:S223))="(seleccione)"),"",PROPER(TRIM(P223:S223)))))*(CAT_Procesos!$D$2:$D$1581=IFERROR(VLOOKUP(N223&amp;"*",CAT_Procesos!$D:$D,1,FALSE),"")))),INDEX(CAT_Procesos!$G$2:$G$1581,MATCH(1,(CAT_Procesos!$E$2:$E$1581=O223)*(CAT_Procesos!$F$2:$F$1581=_xlfn.TEXTJOIN(" + ",TRUE,IF((TRIM(P223:S223)="")+(LOWER(TRIM(P223:S223))="(seleccione)"),"",PROPER(TRIM(P223:S223)))))*(CAT_Procesos!$D$2:$D$1581=IFERROR(VLOOKUP(N223&amp;"*",CAT_Procesos!$D:$D,1,FALSE),"")),0)),"(seleccione)"))</f>
        <v>Combinación no existente</v>
      </c>
      <c r="V223" s="55" t="s">
        <v>73</v>
      </c>
      <c r="W223" s="56" t="s">
        <v>73</v>
      </c>
      <c r="X223" s="57" t="str">
        <f t="shared" si="12"/>
        <v/>
      </c>
      <c r="Y223" s="58" t="s">
        <v>73</v>
      </c>
      <c r="Z223" s="57" t="str">
        <f t="shared" si="13"/>
        <v/>
      </c>
      <c r="AA223" s="58" t="s">
        <v>73</v>
      </c>
      <c r="AB223" s="57" t="str">
        <f t="shared" si="14"/>
        <v/>
      </c>
      <c r="AC223" s="58" t="s">
        <v>73</v>
      </c>
      <c r="AD223" s="57" t="str">
        <f t="shared" si="15"/>
        <v/>
      </c>
      <c r="AE223" s="59"/>
      <c r="AF223" s="59"/>
      <c r="AG223" s="59"/>
      <c r="AH223" s="59"/>
      <c r="AI223" s="59" t="s">
        <v>73</v>
      </c>
      <c r="AJ223" s="59"/>
      <c r="AK223" s="59" t="s">
        <v>73</v>
      </c>
      <c r="AL223" s="59"/>
      <c r="AM223" s="59" t="s">
        <v>73</v>
      </c>
      <c r="AN223" s="59"/>
      <c r="AO223" s="59" t="s">
        <v>73</v>
      </c>
      <c r="AP223" s="59"/>
      <c r="AQ223" s="59" t="s">
        <v>73</v>
      </c>
      <c r="AR223" s="59"/>
      <c r="AS223" s="59" t="s">
        <v>72</v>
      </c>
      <c r="AT223" s="59"/>
      <c r="AU223" s="59"/>
      <c r="AV223" s="59"/>
      <c r="AW223" s="59"/>
      <c r="AX223" s="59"/>
      <c r="AY223" s="60" t="str">
        <f>IF('Cálculo MP'!K233="","",'Cálculo MP'!K233)</f>
        <v/>
      </c>
      <c r="AZ223" s="60" t="str">
        <f>IF('Cálculo MP'!L233="","",'Cálculo MP'!L233)</f>
        <v/>
      </c>
      <c r="BA223" s="60" t="str">
        <f>IF('Cálculo MP'!M233="","",'Cálculo MP'!M233)</f>
        <v/>
      </c>
      <c r="BB223" s="60" t="str">
        <f>IF('Cálculo MP'!N233="","",'Cálculo MP'!N233)</f>
        <v/>
      </c>
      <c r="BC223" s="60" t="str">
        <f>IF('Cálculo MP'!O233="","",'Cálculo MP'!O233)</f>
        <v/>
      </c>
      <c r="BD223" s="60" t="str">
        <f>IF('Cálculo MP'!P233="","",'Cálculo MP'!P233)</f>
        <v/>
      </c>
      <c r="BE223" s="60" t="str">
        <f>IF('Cálculo MP'!Q233="","",'Cálculo MP'!Q233)</f>
        <v/>
      </c>
      <c r="BF223" s="60" t="str">
        <f>IF('Cálculo MP'!R233="","",'Cálculo MP'!R233)</f>
        <v/>
      </c>
      <c r="BG223" s="60" t="str">
        <f>IF('Cálculo MP'!S233="","",'Cálculo MP'!S233)</f>
        <v/>
      </c>
      <c r="BH223" s="59"/>
      <c r="BI223" s="59"/>
      <c r="BJ223" s="59"/>
      <c r="BK223" s="59"/>
      <c r="BL223" s="59"/>
      <c r="BM223" s="59"/>
      <c r="BN223" s="59"/>
      <c r="BO223" s="59"/>
    </row>
    <row r="224" spans="1:67" ht="19.5" customHeight="1" x14ac:dyDescent="0.15">
      <c r="A224" s="123" t="s">
        <v>1856</v>
      </c>
      <c r="B224" s="122" t="s">
        <v>1854</v>
      </c>
      <c r="C224" s="49"/>
      <c r="D224" s="48" t="s">
        <v>73</v>
      </c>
      <c r="E224" s="49"/>
      <c r="F224" s="50"/>
      <c r="G224" s="62"/>
      <c r="H224" s="48" t="s">
        <v>72</v>
      </c>
      <c r="I224" s="52">
        <v>1</v>
      </c>
      <c r="J224" s="52"/>
      <c r="K224" s="52" t="s">
        <v>73</v>
      </c>
      <c r="L224" s="52" t="s">
        <v>74</v>
      </c>
      <c r="M224" s="53" t="s">
        <v>942</v>
      </c>
      <c r="N224" s="58" t="s">
        <v>73</v>
      </c>
      <c r="O224" s="48" t="s">
        <v>72</v>
      </c>
      <c r="P224" s="48" t="s">
        <v>73</v>
      </c>
      <c r="Q224" s="54" t="s">
        <v>73</v>
      </c>
      <c r="R224" s="55" t="s">
        <v>73</v>
      </c>
      <c r="S224" s="48" t="s">
        <v>73</v>
      </c>
      <c r="T224" s="130"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8" t="str" cm="1">
        <f t="array" ref="U224">IF(SUMPRODUCT(--((CAT_Procesos!$E$2:$E$1581=O224)*(CAT_Procesos!$F$2:$F$1581=_xlfn.TEXTJOIN(" + ",TRUE,IF((TRIM(P224:S224)="")+(LOWER(TRIM(P224:S224))="(seleccione)"),"",PROPER(TRIM(P224:S224)))))*(CAT_Procesos!$D$2:$D$1581=IFERROR(VLOOKUP(N224&amp;"*",CAT_Procesos!$D:$D,1,FALSE),""))))=0,"Combinación no existente",IF(SUMPRODUCT(((CAT_Procesos!$E$2:$E$1581=O224)*(CAT_Procesos!$F$2:$F$1581=_xlfn.TEXTJOIN(" + ",TRUE,IF((TRIM(P224:S224)="")+(LOWER(TRIM(P224:S224))="(seleccione)"),"",PROPER(TRIM(P224:S224)))))*(CAT_Procesos!$D$2:$D$1581=IFERROR(VLOOKUP(N224&amp;"*",CAT_Procesos!$D:$D,1,FALSE),"")))*(CAT_Procesos!$G$2:$G$1581=INDEX(CAT_Procesos!$G$2:$G$1581,MATCH(1,(CAT_Procesos!$E$2:$E$1581=O224)*(CAT_Procesos!$F$2:$F$1581=_xlfn.TEXTJOIN(" + ",TRUE,IF((TRIM(P224:S224)="")+(LOWER(TRIM(P224:S224))="(seleccione)"),"",PROPER(TRIM(P224:S224)))))*(CAT_Procesos!$D$2:$D$1581=IFERROR(VLOOKUP(N224&amp;"*",CAT_Procesos!$D:$D,1,FALSE),"")),0))))=SUMPRODUCT(--((CAT_Procesos!$E$2:$E$1581=O224)*(CAT_Procesos!$F$2:$F$1581=_xlfn.TEXTJOIN(" + ",TRUE,IF((TRIM(P224:S224)="")+(LOWER(TRIM(P224:S224))="(seleccione)"),"",PROPER(TRIM(P224:S224)))))*(CAT_Procesos!$D$2:$D$1581=IFERROR(VLOOKUP(N224&amp;"*",CAT_Procesos!$D:$D,1,FALSE),"")))),INDEX(CAT_Procesos!$G$2:$G$1581,MATCH(1,(CAT_Procesos!$E$2:$E$1581=O224)*(CAT_Procesos!$F$2:$F$1581=_xlfn.TEXTJOIN(" + ",TRUE,IF((TRIM(P224:S224)="")+(LOWER(TRIM(P224:S224))="(seleccione)"),"",PROPER(TRIM(P224:S224)))))*(CAT_Procesos!$D$2:$D$1581=IFERROR(VLOOKUP(N224&amp;"*",CAT_Procesos!$D:$D,1,FALSE),"")),0)),"(seleccione)"))</f>
        <v>Combinación no existente</v>
      </c>
      <c r="V224" s="55" t="s">
        <v>73</v>
      </c>
      <c r="W224" s="56" t="s">
        <v>73</v>
      </c>
      <c r="X224" s="57" t="str">
        <f t="shared" si="12"/>
        <v/>
      </c>
      <c r="Y224" s="58" t="s">
        <v>73</v>
      </c>
      <c r="Z224" s="57" t="str">
        <f t="shared" si="13"/>
        <v/>
      </c>
      <c r="AA224" s="58" t="s">
        <v>73</v>
      </c>
      <c r="AB224" s="57" t="str">
        <f t="shared" si="14"/>
        <v/>
      </c>
      <c r="AC224" s="58" t="s">
        <v>73</v>
      </c>
      <c r="AD224" s="57" t="str">
        <f t="shared" si="15"/>
        <v/>
      </c>
      <c r="AE224" s="59"/>
      <c r="AF224" s="59"/>
      <c r="AG224" s="59"/>
      <c r="AH224" s="59"/>
      <c r="AI224" s="59" t="s">
        <v>73</v>
      </c>
      <c r="AJ224" s="59"/>
      <c r="AK224" s="59" t="s">
        <v>73</v>
      </c>
      <c r="AL224" s="59"/>
      <c r="AM224" s="59" t="s">
        <v>73</v>
      </c>
      <c r="AN224" s="59"/>
      <c r="AO224" s="59" t="s">
        <v>73</v>
      </c>
      <c r="AP224" s="59"/>
      <c r="AQ224" s="59" t="s">
        <v>73</v>
      </c>
      <c r="AR224" s="59"/>
      <c r="AS224" s="59" t="s">
        <v>72</v>
      </c>
      <c r="AT224" s="59"/>
      <c r="AU224" s="59"/>
      <c r="AV224" s="59"/>
      <c r="AW224" s="59"/>
      <c r="AX224" s="59"/>
      <c r="AY224" s="60" t="str">
        <f>IF('Cálculo MP'!K234="","",'Cálculo MP'!K234)</f>
        <v/>
      </c>
      <c r="AZ224" s="60" t="str">
        <f>IF('Cálculo MP'!L234="","",'Cálculo MP'!L234)</f>
        <v/>
      </c>
      <c r="BA224" s="60" t="str">
        <f>IF('Cálculo MP'!M234="","",'Cálculo MP'!M234)</f>
        <v/>
      </c>
      <c r="BB224" s="60" t="str">
        <f>IF('Cálculo MP'!N234="","",'Cálculo MP'!N234)</f>
        <v/>
      </c>
      <c r="BC224" s="60" t="str">
        <f>IF('Cálculo MP'!O234="","",'Cálculo MP'!O234)</f>
        <v/>
      </c>
      <c r="BD224" s="60" t="str">
        <f>IF('Cálculo MP'!P234="","",'Cálculo MP'!P234)</f>
        <v/>
      </c>
      <c r="BE224" s="60" t="str">
        <f>IF('Cálculo MP'!Q234="","",'Cálculo MP'!Q234)</f>
        <v/>
      </c>
      <c r="BF224" s="60" t="str">
        <f>IF('Cálculo MP'!R234="","",'Cálculo MP'!R234)</f>
        <v/>
      </c>
      <c r="BG224" s="60" t="str">
        <f>IF('Cálculo MP'!S234="","",'Cálculo MP'!S234)</f>
        <v/>
      </c>
      <c r="BH224" s="59"/>
      <c r="BI224" s="59"/>
      <c r="BJ224" s="59"/>
      <c r="BK224" s="59"/>
      <c r="BL224" s="59"/>
      <c r="BM224" s="59"/>
      <c r="BN224" s="59"/>
      <c r="BO224" s="59"/>
    </row>
    <row r="225" spans="1:67" ht="19.5" customHeight="1" x14ac:dyDescent="0.15">
      <c r="A225" s="123" t="s">
        <v>1856</v>
      </c>
      <c r="B225" s="122" t="s">
        <v>1854</v>
      </c>
      <c r="C225" s="49"/>
      <c r="D225" s="48" t="s">
        <v>73</v>
      </c>
      <c r="E225" s="49"/>
      <c r="F225" s="50"/>
      <c r="G225" s="62"/>
      <c r="H225" s="48" t="s">
        <v>72</v>
      </c>
      <c r="I225" s="52">
        <v>1</v>
      </c>
      <c r="J225" s="52"/>
      <c r="K225" s="52" t="s">
        <v>73</v>
      </c>
      <c r="L225" s="52" t="s">
        <v>74</v>
      </c>
      <c r="M225" s="53" t="s">
        <v>942</v>
      </c>
      <c r="N225" s="58" t="s">
        <v>73</v>
      </c>
      <c r="O225" s="48" t="s">
        <v>72</v>
      </c>
      <c r="P225" s="48" t="s">
        <v>73</v>
      </c>
      <c r="Q225" s="54" t="s">
        <v>73</v>
      </c>
      <c r="R225" s="55" t="s">
        <v>73</v>
      </c>
      <c r="S225" s="48" t="s">
        <v>73</v>
      </c>
      <c r="T225" s="130"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8" t="str" cm="1">
        <f t="array" ref="U225">IF(SUMPRODUCT(--((CAT_Procesos!$E$2:$E$1581=O225)*(CAT_Procesos!$F$2:$F$1581=_xlfn.TEXTJOIN(" + ",TRUE,IF((TRIM(P225:S225)="")+(LOWER(TRIM(P225:S225))="(seleccione)"),"",PROPER(TRIM(P225:S225)))))*(CAT_Procesos!$D$2:$D$1581=IFERROR(VLOOKUP(N225&amp;"*",CAT_Procesos!$D:$D,1,FALSE),""))))=0,"Combinación no existente",IF(SUMPRODUCT(((CAT_Procesos!$E$2:$E$1581=O225)*(CAT_Procesos!$F$2:$F$1581=_xlfn.TEXTJOIN(" + ",TRUE,IF((TRIM(P225:S225)="")+(LOWER(TRIM(P225:S225))="(seleccione)"),"",PROPER(TRIM(P225:S225)))))*(CAT_Procesos!$D$2:$D$1581=IFERROR(VLOOKUP(N225&amp;"*",CAT_Procesos!$D:$D,1,FALSE),"")))*(CAT_Procesos!$G$2:$G$1581=INDEX(CAT_Procesos!$G$2:$G$1581,MATCH(1,(CAT_Procesos!$E$2:$E$1581=O225)*(CAT_Procesos!$F$2:$F$1581=_xlfn.TEXTJOIN(" + ",TRUE,IF((TRIM(P225:S225)="")+(LOWER(TRIM(P225:S225))="(seleccione)"),"",PROPER(TRIM(P225:S225)))))*(CAT_Procesos!$D$2:$D$1581=IFERROR(VLOOKUP(N225&amp;"*",CAT_Procesos!$D:$D,1,FALSE),"")),0))))=SUMPRODUCT(--((CAT_Procesos!$E$2:$E$1581=O225)*(CAT_Procesos!$F$2:$F$1581=_xlfn.TEXTJOIN(" + ",TRUE,IF((TRIM(P225:S225)="")+(LOWER(TRIM(P225:S225))="(seleccione)"),"",PROPER(TRIM(P225:S225)))))*(CAT_Procesos!$D$2:$D$1581=IFERROR(VLOOKUP(N225&amp;"*",CAT_Procesos!$D:$D,1,FALSE),"")))),INDEX(CAT_Procesos!$G$2:$G$1581,MATCH(1,(CAT_Procesos!$E$2:$E$1581=O225)*(CAT_Procesos!$F$2:$F$1581=_xlfn.TEXTJOIN(" + ",TRUE,IF((TRIM(P225:S225)="")+(LOWER(TRIM(P225:S225))="(seleccione)"),"",PROPER(TRIM(P225:S225)))))*(CAT_Procesos!$D$2:$D$1581=IFERROR(VLOOKUP(N225&amp;"*",CAT_Procesos!$D:$D,1,FALSE),"")),0)),"(seleccione)"))</f>
        <v>Combinación no existente</v>
      </c>
      <c r="V225" s="55" t="s">
        <v>73</v>
      </c>
      <c r="W225" s="56" t="s">
        <v>73</v>
      </c>
      <c r="X225" s="57" t="str">
        <f t="shared" si="12"/>
        <v/>
      </c>
      <c r="Y225" s="58" t="s">
        <v>73</v>
      </c>
      <c r="Z225" s="57" t="str">
        <f t="shared" si="13"/>
        <v/>
      </c>
      <c r="AA225" s="58" t="s">
        <v>73</v>
      </c>
      <c r="AB225" s="57" t="str">
        <f t="shared" si="14"/>
        <v/>
      </c>
      <c r="AC225" s="58" t="s">
        <v>73</v>
      </c>
      <c r="AD225" s="57" t="str">
        <f t="shared" si="15"/>
        <v/>
      </c>
      <c r="AE225" s="59"/>
      <c r="AF225" s="59"/>
      <c r="AG225" s="59"/>
      <c r="AH225" s="59"/>
      <c r="AI225" s="59" t="s">
        <v>73</v>
      </c>
      <c r="AJ225" s="59"/>
      <c r="AK225" s="59" t="s">
        <v>73</v>
      </c>
      <c r="AL225" s="59"/>
      <c r="AM225" s="59" t="s">
        <v>73</v>
      </c>
      <c r="AN225" s="59"/>
      <c r="AO225" s="59" t="s">
        <v>73</v>
      </c>
      <c r="AP225" s="59"/>
      <c r="AQ225" s="59" t="s">
        <v>73</v>
      </c>
      <c r="AR225" s="59"/>
      <c r="AS225" s="59" t="s">
        <v>72</v>
      </c>
      <c r="AT225" s="59"/>
      <c r="AU225" s="59"/>
      <c r="AV225" s="59"/>
      <c r="AW225" s="59"/>
      <c r="AX225" s="59"/>
      <c r="AY225" s="60" t="str">
        <f>IF('Cálculo MP'!K235="","",'Cálculo MP'!K235)</f>
        <v/>
      </c>
      <c r="AZ225" s="60" t="str">
        <f>IF('Cálculo MP'!L235="","",'Cálculo MP'!L235)</f>
        <v/>
      </c>
      <c r="BA225" s="60" t="str">
        <f>IF('Cálculo MP'!M235="","",'Cálculo MP'!M235)</f>
        <v/>
      </c>
      <c r="BB225" s="60" t="str">
        <f>IF('Cálculo MP'!N235="","",'Cálculo MP'!N235)</f>
        <v/>
      </c>
      <c r="BC225" s="60" t="str">
        <f>IF('Cálculo MP'!O235="","",'Cálculo MP'!O235)</f>
        <v/>
      </c>
      <c r="BD225" s="60" t="str">
        <f>IF('Cálculo MP'!P235="","",'Cálculo MP'!P235)</f>
        <v/>
      </c>
      <c r="BE225" s="60" t="str">
        <f>IF('Cálculo MP'!Q235="","",'Cálculo MP'!Q235)</f>
        <v/>
      </c>
      <c r="BF225" s="60" t="str">
        <f>IF('Cálculo MP'!R235="","",'Cálculo MP'!R235)</f>
        <v/>
      </c>
      <c r="BG225" s="60" t="str">
        <f>IF('Cálculo MP'!S235="","",'Cálculo MP'!S235)</f>
        <v/>
      </c>
      <c r="BH225" s="59"/>
      <c r="BI225" s="59"/>
      <c r="BJ225" s="59"/>
      <c r="BK225" s="59"/>
      <c r="BL225" s="59"/>
      <c r="BM225" s="59"/>
      <c r="BN225" s="59"/>
      <c r="BO225" s="59"/>
    </row>
    <row r="226" spans="1:67" ht="19.5" customHeight="1" x14ac:dyDescent="0.15">
      <c r="A226" s="123" t="s">
        <v>1856</v>
      </c>
      <c r="B226" s="122" t="s">
        <v>1854</v>
      </c>
      <c r="C226" s="49"/>
      <c r="D226" s="48" t="s">
        <v>73</v>
      </c>
      <c r="E226" s="49"/>
      <c r="F226" s="50"/>
      <c r="G226" s="62"/>
      <c r="H226" s="48" t="s">
        <v>72</v>
      </c>
      <c r="I226" s="52">
        <v>1</v>
      </c>
      <c r="J226" s="52"/>
      <c r="K226" s="52" t="s">
        <v>73</v>
      </c>
      <c r="L226" s="52" t="s">
        <v>74</v>
      </c>
      <c r="M226" s="53" t="s">
        <v>942</v>
      </c>
      <c r="N226" s="58" t="s">
        <v>73</v>
      </c>
      <c r="O226" s="48" t="s">
        <v>72</v>
      </c>
      <c r="P226" s="48" t="s">
        <v>73</v>
      </c>
      <c r="Q226" s="54" t="s">
        <v>73</v>
      </c>
      <c r="R226" s="55" t="s">
        <v>73</v>
      </c>
      <c r="S226" s="48" t="s">
        <v>73</v>
      </c>
      <c r="T226" s="130"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8" t="str" cm="1">
        <f t="array" ref="U226">IF(SUMPRODUCT(--((CAT_Procesos!$E$2:$E$1581=O226)*(CAT_Procesos!$F$2:$F$1581=_xlfn.TEXTJOIN(" + ",TRUE,IF((TRIM(P226:S226)="")+(LOWER(TRIM(P226:S226))="(seleccione)"),"",PROPER(TRIM(P226:S226)))))*(CAT_Procesos!$D$2:$D$1581=IFERROR(VLOOKUP(N226&amp;"*",CAT_Procesos!$D:$D,1,FALSE),""))))=0,"Combinación no existente",IF(SUMPRODUCT(((CAT_Procesos!$E$2:$E$1581=O226)*(CAT_Procesos!$F$2:$F$1581=_xlfn.TEXTJOIN(" + ",TRUE,IF((TRIM(P226:S226)="")+(LOWER(TRIM(P226:S226))="(seleccione)"),"",PROPER(TRIM(P226:S226)))))*(CAT_Procesos!$D$2:$D$1581=IFERROR(VLOOKUP(N226&amp;"*",CAT_Procesos!$D:$D,1,FALSE),"")))*(CAT_Procesos!$G$2:$G$1581=INDEX(CAT_Procesos!$G$2:$G$1581,MATCH(1,(CAT_Procesos!$E$2:$E$1581=O226)*(CAT_Procesos!$F$2:$F$1581=_xlfn.TEXTJOIN(" + ",TRUE,IF((TRIM(P226:S226)="")+(LOWER(TRIM(P226:S226))="(seleccione)"),"",PROPER(TRIM(P226:S226)))))*(CAT_Procesos!$D$2:$D$1581=IFERROR(VLOOKUP(N226&amp;"*",CAT_Procesos!$D:$D,1,FALSE),"")),0))))=SUMPRODUCT(--((CAT_Procesos!$E$2:$E$1581=O226)*(CAT_Procesos!$F$2:$F$1581=_xlfn.TEXTJOIN(" + ",TRUE,IF((TRIM(P226:S226)="")+(LOWER(TRIM(P226:S226))="(seleccione)"),"",PROPER(TRIM(P226:S226)))))*(CAT_Procesos!$D$2:$D$1581=IFERROR(VLOOKUP(N226&amp;"*",CAT_Procesos!$D:$D,1,FALSE),"")))),INDEX(CAT_Procesos!$G$2:$G$1581,MATCH(1,(CAT_Procesos!$E$2:$E$1581=O226)*(CAT_Procesos!$F$2:$F$1581=_xlfn.TEXTJOIN(" + ",TRUE,IF((TRIM(P226:S226)="")+(LOWER(TRIM(P226:S226))="(seleccione)"),"",PROPER(TRIM(P226:S226)))))*(CAT_Procesos!$D$2:$D$1581=IFERROR(VLOOKUP(N226&amp;"*",CAT_Procesos!$D:$D,1,FALSE),"")),0)),"(seleccione)"))</f>
        <v>Combinación no existente</v>
      </c>
      <c r="V226" s="55" t="s">
        <v>73</v>
      </c>
      <c r="W226" s="56" t="s">
        <v>73</v>
      </c>
      <c r="X226" s="57" t="str">
        <f t="shared" si="12"/>
        <v/>
      </c>
      <c r="Y226" s="58" t="s">
        <v>73</v>
      </c>
      <c r="Z226" s="57" t="str">
        <f t="shared" si="13"/>
        <v/>
      </c>
      <c r="AA226" s="58" t="s">
        <v>73</v>
      </c>
      <c r="AB226" s="57" t="str">
        <f t="shared" si="14"/>
        <v/>
      </c>
      <c r="AC226" s="58" t="s">
        <v>73</v>
      </c>
      <c r="AD226" s="57" t="str">
        <f t="shared" si="15"/>
        <v/>
      </c>
      <c r="AE226" s="59"/>
      <c r="AF226" s="59"/>
      <c r="AG226" s="59"/>
      <c r="AH226" s="59"/>
      <c r="AI226" s="59" t="s">
        <v>73</v>
      </c>
      <c r="AJ226" s="59"/>
      <c r="AK226" s="59" t="s">
        <v>73</v>
      </c>
      <c r="AL226" s="59"/>
      <c r="AM226" s="59" t="s">
        <v>73</v>
      </c>
      <c r="AN226" s="59"/>
      <c r="AO226" s="59" t="s">
        <v>73</v>
      </c>
      <c r="AP226" s="59"/>
      <c r="AQ226" s="59" t="s">
        <v>73</v>
      </c>
      <c r="AR226" s="59"/>
      <c r="AS226" s="59" t="s">
        <v>72</v>
      </c>
      <c r="AT226" s="59"/>
      <c r="AU226" s="59"/>
      <c r="AV226" s="59"/>
      <c r="AW226" s="59"/>
      <c r="AX226" s="59"/>
      <c r="AY226" s="60" t="str">
        <f>IF('Cálculo MP'!K236="","",'Cálculo MP'!K236)</f>
        <v/>
      </c>
      <c r="AZ226" s="60" t="str">
        <f>IF('Cálculo MP'!L236="","",'Cálculo MP'!L236)</f>
        <v/>
      </c>
      <c r="BA226" s="60" t="str">
        <f>IF('Cálculo MP'!M236="","",'Cálculo MP'!M236)</f>
        <v/>
      </c>
      <c r="BB226" s="60" t="str">
        <f>IF('Cálculo MP'!N236="","",'Cálculo MP'!N236)</f>
        <v/>
      </c>
      <c r="BC226" s="60" t="str">
        <f>IF('Cálculo MP'!O236="","",'Cálculo MP'!O236)</f>
        <v/>
      </c>
      <c r="BD226" s="60" t="str">
        <f>IF('Cálculo MP'!P236="","",'Cálculo MP'!P236)</f>
        <v/>
      </c>
      <c r="BE226" s="60" t="str">
        <f>IF('Cálculo MP'!Q236="","",'Cálculo MP'!Q236)</f>
        <v/>
      </c>
      <c r="BF226" s="60" t="str">
        <f>IF('Cálculo MP'!R236="","",'Cálculo MP'!R236)</f>
        <v/>
      </c>
      <c r="BG226" s="60" t="str">
        <f>IF('Cálculo MP'!S236="","",'Cálculo MP'!S236)</f>
        <v/>
      </c>
      <c r="BH226" s="59"/>
      <c r="BI226" s="59"/>
      <c r="BJ226" s="59"/>
      <c r="BK226" s="59"/>
      <c r="BL226" s="59"/>
      <c r="BM226" s="59"/>
      <c r="BN226" s="59"/>
      <c r="BO226" s="59"/>
    </row>
    <row r="227" spans="1:67" ht="19.5" customHeight="1" x14ac:dyDescent="0.15">
      <c r="A227" s="123" t="s">
        <v>1856</v>
      </c>
      <c r="B227" s="122" t="s">
        <v>1854</v>
      </c>
      <c r="C227" s="49"/>
      <c r="D227" s="48" t="s">
        <v>73</v>
      </c>
      <c r="E227" s="49"/>
      <c r="F227" s="50"/>
      <c r="G227" s="62"/>
      <c r="H227" s="48" t="s">
        <v>72</v>
      </c>
      <c r="I227" s="52">
        <v>1</v>
      </c>
      <c r="J227" s="52"/>
      <c r="K227" s="52" t="s">
        <v>73</v>
      </c>
      <c r="L227" s="52" t="s">
        <v>74</v>
      </c>
      <c r="M227" s="53" t="s">
        <v>942</v>
      </c>
      <c r="N227" s="58" t="s">
        <v>73</v>
      </c>
      <c r="O227" s="48" t="s">
        <v>72</v>
      </c>
      <c r="P227" s="48" t="s">
        <v>73</v>
      </c>
      <c r="Q227" s="54" t="s">
        <v>73</v>
      </c>
      <c r="R227" s="55" t="s">
        <v>73</v>
      </c>
      <c r="S227" s="48" t="s">
        <v>73</v>
      </c>
      <c r="T227" s="130"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8" t="str" cm="1">
        <f t="array" ref="U227">IF(SUMPRODUCT(--((CAT_Procesos!$E$2:$E$1581=O227)*(CAT_Procesos!$F$2:$F$1581=_xlfn.TEXTJOIN(" + ",TRUE,IF((TRIM(P227:S227)="")+(LOWER(TRIM(P227:S227))="(seleccione)"),"",PROPER(TRIM(P227:S227)))))*(CAT_Procesos!$D$2:$D$1581=IFERROR(VLOOKUP(N227&amp;"*",CAT_Procesos!$D:$D,1,FALSE),""))))=0,"Combinación no existente",IF(SUMPRODUCT(((CAT_Procesos!$E$2:$E$1581=O227)*(CAT_Procesos!$F$2:$F$1581=_xlfn.TEXTJOIN(" + ",TRUE,IF((TRIM(P227:S227)="")+(LOWER(TRIM(P227:S227))="(seleccione)"),"",PROPER(TRIM(P227:S227)))))*(CAT_Procesos!$D$2:$D$1581=IFERROR(VLOOKUP(N227&amp;"*",CAT_Procesos!$D:$D,1,FALSE),"")))*(CAT_Procesos!$G$2:$G$1581=INDEX(CAT_Procesos!$G$2:$G$1581,MATCH(1,(CAT_Procesos!$E$2:$E$1581=O227)*(CAT_Procesos!$F$2:$F$1581=_xlfn.TEXTJOIN(" + ",TRUE,IF((TRIM(P227:S227)="")+(LOWER(TRIM(P227:S227))="(seleccione)"),"",PROPER(TRIM(P227:S227)))))*(CAT_Procesos!$D$2:$D$1581=IFERROR(VLOOKUP(N227&amp;"*",CAT_Procesos!$D:$D,1,FALSE),"")),0))))=SUMPRODUCT(--((CAT_Procesos!$E$2:$E$1581=O227)*(CAT_Procesos!$F$2:$F$1581=_xlfn.TEXTJOIN(" + ",TRUE,IF((TRIM(P227:S227)="")+(LOWER(TRIM(P227:S227))="(seleccione)"),"",PROPER(TRIM(P227:S227)))))*(CAT_Procesos!$D$2:$D$1581=IFERROR(VLOOKUP(N227&amp;"*",CAT_Procesos!$D:$D,1,FALSE),"")))),INDEX(CAT_Procesos!$G$2:$G$1581,MATCH(1,(CAT_Procesos!$E$2:$E$1581=O227)*(CAT_Procesos!$F$2:$F$1581=_xlfn.TEXTJOIN(" + ",TRUE,IF((TRIM(P227:S227)="")+(LOWER(TRIM(P227:S227))="(seleccione)"),"",PROPER(TRIM(P227:S227)))))*(CAT_Procesos!$D$2:$D$1581=IFERROR(VLOOKUP(N227&amp;"*",CAT_Procesos!$D:$D,1,FALSE),"")),0)),"(seleccione)"))</f>
        <v>Combinación no existente</v>
      </c>
      <c r="V227" s="55" t="s">
        <v>73</v>
      </c>
      <c r="W227" s="56" t="s">
        <v>73</v>
      </c>
      <c r="X227" s="57" t="str">
        <f t="shared" si="12"/>
        <v/>
      </c>
      <c r="Y227" s="58" t="s">
        <v>73</v>
      </c>
      <c r="Z227" s="57" t="str">
        <f t="shared" si="13"/>
        <v/>
      </c>
      <c r="AA227" s="58" t="s">
        <v>73</v>
      </c>
      <c r="AB227" s="57" t="str">
        <f t="shared" si="14"/>
        <v/>
      </c>
      <c r="AC227" s="58" t="s">
        <v>73</v>
      </c>
      <c r="AD227" s="57" t="str">
        <f t="shared" si="15"/>
        <v/>
      </c>
      <c r="AE227" s="59"/>
      <c r="AF227" s="59"/>
      <c r="AG227" s="59"/>
      <c r="AH227" s="59"/>
      <c r="AI227" s="59" t="s">
        <v>73</v>
      </c>
      <c r="AJ227" s="59"/>
      <c r="AK227" s="59" t="s">
        <v>73</v>
      </c>
      <c r="AL227" s="59"/>
      <c r="AM227" s="59" t="s">
        <v>73</v>
      </c>
      <c r="AN227" s="59"/>
      <c r="AO227" s="59" t="s">
        <v>73</v>
      </c>
      <c r="AP227" s="59"/>
      <c r="AQ227" s="59" t="s">
        <v>73</v>
      </c>
      <c r="AR227" s="59"/>
      <c r="AS227" s="59" t="s">
        <v>72</v>
      </c>
      <c r="AT227" s="59"/>
      <c r="AU227" s="59"/>
      <c r="AV227" s="59"/>
      <c r="AW227" s="59"/>
      <c r="AX227" s="59"/>
      <c r="AY227" s="60" t="str">
        <f>IF('Cálculo MP'!K237="","",'Cálculo MP'!K237)</f>
        <v/>
      </c>
      <c r="AZ227" s="60" t="str">
        <f>IF('Cálculo MP'!L237="","",'Cálculo MP'!L237)</f>
        <v/>
      </c>
      <c r="BA227" s="60" t="str">
        <f>IF('Cálculo MP'!M237="","",'Cálculo MP'!M237)</f>
        <v/>
      </c>
      <c r="BB227" s="60" t="str">
        <f>IF('Cálculo MP'!N237="","",'Cálculo MP'!N237)</f>
        <v/>
      </c>
      <c r="BC227" s="60" t="str">
        <f>IF('Cálculo MP'!O237="","",'Cálculo MP'!O237)</f>
        <v/>
      </c>
      <c r="BD227" s="60" t="str">
        <f>IF('Cálculo MP'!P237="","",'Cálculo MP'!P237)</f>
        <v/>
      </c>
      <c r="BE227" s="60" t="str">
        <f>IF('Cálculo MP'!Q237="","",'Cálculo MP'!Q237)</f>
        <v/>
      </c>
      <c r="BF227" s="60" t="str">
        <f>IF('Cálculo MP'!R237="","",'Cálculo MP'!R237)</f>
        <v/>
      </c>
      <c r="BG227" s="60" t="str">
        <f>IF('Cálculo MP'!S237="","",'Cálculo MP'!S237)</f>
        <v/>
      </c>
      <c r="BH227" s="59"/>
      <c r="BI227" s="59"/>
      <c r="BJ227" s="59"/>
      <c r="BK227" s="59"/>
      <c r="BL227" s="59"/>
      <c r="BM227" s="59"/>
      <c r="BN227" s="59"/>
      <c r="BO227" s="59"/>
    </row>
    <row r="228" spans="1:67" ht="19.5" customHeight="1" x14ac:dyDescent="0.15">
      <c r="A228" s="123" t="s">
        <v>1856</v>
      </c>
      <c r="B228" s="122" t="s">
        <v>1854</v>
      </c>
      <c r="C228" s="49"/>
      <c r="D228" s="48" t="s">
        <v>73</v>
      </c>
      <c r="E228" s="49"/>
      <c r="F228" s="50"/>
      <c r="G228" s="62"/>
      <c r="H228" s="48" t="s">
        <v>72</v>
      </c>
      <c r="I228" s="52">
        <v>1</v>
      </c>
      <c r="J228" s="52"/>
      <c r="K228" s="52" t="s">
        <v>73</v>
      </c>
      <c r="L228" s="52" t="s">
        <v>74</v>
      </c>
      <c r="M228" s="53" t="s">
        <v>942</v>
      </c>
      <c r="N228" s="58" t="s">
        <v>73</v>
      </c>
      <c r="O228" s="48" t="s">
        <v>72</v>
      </c>
      <c r="P228" s="48" t="s">
        <v>73</v>
      </c>
      <c r="Q228" s="54" t="s">
        <v>73</v>
      </c>
      <c r="R228" s="55" t="s">
        <v>73</v>
      </c>
      <c r="S228" s="48" t="s">
        <v>73</v>
      </c>
      <c r="T228" s="130"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8" t="str" cm="1">
        <f t="array" ref="U228">IF(SUMPRODUCT(--((CAT_Procesos!$E$2:$E$1581=O228)*(CAT_Procesos!$F$2:$F$1581=_xlfn.TEXTJOIN(" + ",TRUE,IF((TRIM(P228:S228)="")+(LOWER(TRIM(P228:S228))="(seleccione)"),"",PROPER(TRIM(P228:S228)))))*(CAT_Procesos!$D$2:$D$1581=IFERROR(VLOOKUP(N228&amp;"*",CAT_Procesos!$D:$D,1,FALSE),""))))=0,"Combinación no existente",IF(SUMPRODUCT(((CAT_Procesos!$E$2:$E$1581=O228)*(CAT_Procesos!$F$2:$F$1581=_xlfn.TEXTJOIN(" + ",TRUE,IF((TRIM(P228:S228)="")+(LOWER(TRIM(P228:S228))="(seleccione)"),"",PROPER(TRIM(P228:S228)))))*(CAT_Procesos!$D$2:$D$1581=IFERROR(VLOOKUP(N228&amp;"*",CAT_Procesos!$D:$D,1,FALSE),"")))*(CAT_Procesos!$G$2:$G$1581=INDEX(CAT_Procesos!$G$2:$G$1581,MATCH(1,(CAT_Procesos!$E$2:$E$1581=O228)*(CAT_Procesos!$F$2:$F$1581=_xlfn.TEXTJOIN(" + ",TRUE,IF((TRIM(P228:S228)="")+(LOWER(TRIM(P228:S228))="(seleccione)"),"",PROPER(TRIM(P228:S228)))))*(CAT_Procesos!$D$2:$D$1581=IFERROR(VLOOKUP(N228&amp;"*",CAT_Procesos!$D:$D,1,FALSE),"")),0))))=SUMPRODUCT(--((CAT_Procesos!$E$2:$E$1581=O228)*(CAT_Procesos!$F$2:$F$1581=_xlfn.TEXTJOIN(" + ",TRUE,IF((TRIM(P228:S228)="")+(LOWER(TRIM(P228:S228))="(seleccione)"),"",PROPER(TRIM(P228:S228)))))*(CAT_Procesos!$D$2:$D$1581=IFERROR(VLOOKUP(N228&amp;"*",CAT_Procesos!$D:$D,1,FALSE),"")))),INDEX(CAT_Procesos!$G$2:$G$1581,MATCH(1,(CAT_Procesos!$E$2:$E$1581=O228)*(CAT_Procesos!$F$2:$F$1581=_xlfn.TEXTJOIN(" + ",TRUE,IF((TRIM(P228:S228)="")+(LOWER(TRIM(P228:S228))="(seleccione)"),"",PROPER(TRIM(P228:S228)))))*(CAT_Procesos!$D$2:$D$1581=IFERROR(VLOOKUP(N228&amp;"*",CAT_Procesos!$D:$D,1,FALSE),"")),0)),"(seleccione)"))</f>
        <v>Combinación no existente</v>
      </c>
      <c r="V228" s="55" t="s">
        <v>73</v>
      </c>
      <c r="W228" s="56" t="s">
        <v>73</v>
      </c>
      <c r="X228" s="57" t="str">
        <f t="shared" si="12"/>
        <v/>
      </c>
      <c r="Y228" s="58" t="s">
        <v>73</v>
      </c>
      <c r="Z228" s="57" t="str">
        <f t="shared" si="13"/>
        <v/>
      </c>
      <c r="AA228" s="58" t="s">
        <v>73</v>
      </c>
      <c r="AB228" s="57" t="str">
        <f t="shared" si="14"/>
        <v/>
      </c>
      <c r="AC228" s="58" t="s">
        <v>73</v>
      </c>
      <c r="AD228" s="57" t="str">
        <f t="shared" si="15"/>
        <v/>
      </c>
      <c r="AE228" s="59"/>
      <c r="AF228" s="59"/>
      <c r="AG228" s="59"/>
      <c r="AH228" s="59"/>
      <c r="AI228" s="59" t="s">
        <v>73</v>
      </c>
      <c r="AJ228" s="59"/>
      <c r="AK228" s="59" t="s">
        <v>73</v>
      </c>
      <c r="AL228" s="59"/>
      <c r="AM228" s="59" t="s">
        <v>73</v>
      </c>
      <c r="AN228" s="59"/>
      <c r="AO228" s="59" t="s">
        <v>73</v>
      </c>
      <c r="AP228" s="59"/>
      <c r="AQ228" s="59" t="s">
        <v>73</v>
      </c>
      <c r="AR228" s="59"/>
      <c r="AS228" s="59" t="s">
        <v>72</v>
      </c>
      <c r="AT228" s="59"/>
      <c r="AU228" s="59"/>
      <c r="AV228" s="59"/>
      <c r="AW228" s="59"/>
      <c r="AX228" s="59"/>
      <c r="AY228" s="60" t="str">
        <f>IF('Cálculo MP'!K238="","",'Cálculo MP'!K238)</f>
        <v/>
      </c>
      <c r="AZ228" s="60" t="str">
        <f>IF('Cálculo MP'!L238="","",'Cálculo MP'!L238)</f>
        <v/>
      </c>
      <c r="BA228" s="60" t="str">
        <f>IF('Cálculo MP'!M238="","",'Cálculo MP'!M238)</f>
        <v/>
      </c>
      <c r="BB228" s="60" t="str">
        <f>IF('Cálculo MP'!N238="","",'Cálculo MP'!N238)</f>
        <v/>
      </c>
      <c r="BC228" s="60" t="str">
        <f>IF('Cálculo MP'!O238="","",'Cálculo MP'!O238)</f>
        <v/>
      </c>
      <c r="BD228" s="60" t="str">
        <f>IF('Cálculo MP'!P238="","",'Cálculo MP'!P238)</f>
        <v/>
      </c>
      <c r="BE228" s="60" t="str">
        <f>IF('Cálculo MP'!Q238="","",'Cálculo MP'!Q238)</f>
        <v/>
      </c>
      <c r="BF228" s="60" t="str">
        <f>IF('Cálculo MP'!R238="","",'Cálculo MP'!R238)</f>
        <v/>
      </c>
      <c r="BG228" s="60" t="str">
        <f>IF('Cálculo MP'!S238="","",'Cálculo MP'!S238)</f>
        <v/>
      </c>
      <c r="BH228" s="59"/>
      <c r="BI228" s="59"/>
      <c r="BJ228" s="59"/>
      <c r="BK228" s="59"/>
      <c r="BL228" s="59"/>
      <c r="BM228" s="59"/>
      <c r="BN228" s="59"/>
      <c r="BO228" s="59"/>
    </row>
    <row r="229" spans="1:67" ht="19.5" customHeight="1" x14ac:dyDescent="0.15">
      <c r="A229" s="123" t="s">
        <v>1856</v>
      </c>
      <c r="B229" s="122" t="s">
        <v>1854</v>
      </c>
      <c r="C229" s="49"/>
      <c r="D229" s="48" t="s">
        <v>73</v>
      </c>
      <c r="E229" s="49"/>
      <c r="F229" s="50"/>
      <c r="G229" s="62"/>
      <c r="H229" s="48" t="s">
        <v>72</v>
      </c>
      <c r="I229" s="52">
        <v>1</v>
      </c>
      <c r="J229" s="52"/>
      <c r="K229" s="52" t="s">
        <v>73</v>
      </c>
      <c r="L229" s="52" t="s">
        <v>74</v>
      </c>
      <c r="M229" s="53" t="s">
        <v>942</v>
      </c>
      <c r="N229" s="58" t="s">
        <v>73</v>
      </c>
      <c r="O229" s="48" t="s">
        <v>72</v>
      </c>
      <c r="P229" s="48" t="s">
        <v>73</v>
      </c>
      <c r="Q229" s="54" t="s">
        <v>73</v>
      </c>
      <c r="R229" s="55" t="s">
        <v>73</v>
      </c>
      <c r="S229" s="48" t="s">
        <v>73</v>
      </c>
      <c r="T229" s="130"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8" t="str" cm="1">
        <f t="array" ref="U229">IF(SUMPRODUCT(--((CAT_Procesos!$E$2:$E$1581=O229)*(CAT_Procesos!$F$2:$F$1581=_xlfn.TEXTJOIN(" + ",TRUE,IF((TRIM(P229:S229)="")+(LOWER(TRIM(P229:S229))="(seleccione)"),"",PROPER(TRIM(P229:S229)))))*(CAT_Procesos!$D$2:$D$1581=IFERROR(VLOOKUP(N229&amp;"*",CAT_Procesos!$D:$D,1,FALSE),""))))=0,"Combinación no existente",IF(SUMPRODUCT(((CAT_Procesos!$E$2:$E$1581=O229)*(CAT_Procesos!$F$2:$F$1581=_xlfn.TEXTJOIN(" + ",TRUE,IF((TRIM(P229:S229)="")+(LOWER(TRIM(P229:S229))="(seleccione)"),"",PROPER(TRIM(P229:S229)))))*(CAT_Procesos!$D$2:$D$1581=IFERROR(VLOOKUP(N229&amp;"*",CAT_Procesos!$D:$D,1,FALSE),"")))*(CAT_Procesos!$G$2:$G$1581=INDEX(CAT_Procesos!$G$2:$G$1581,MATCH(1,(CAT_Procesos!$E$2:$E$1581=O229)*(CAT_Procesos!$F$2:$F$1581=_xlfn.TEXTJOIN(" + ",TRUE,IF((TRIM(P229:S229)="")+(LOWER(TRIM(P229:S229))="(seleccione)"),"",PROPER(TRIM(P229:S229)))))*(CAT_Procesos!$D$2:$D$1581=IFERROR(VLOOKUP(N229&amp;"*",CAT_Procesos!$D:$D,1,FALSE),"")),0))))=SUMPRODUCT(--((CAT_Procesos!$E$2:$E$1581=O229)*(CAT_Procesos!$F$2:$F$1581=_xlfn.TEXTJOIN(" + ",TRUE,IF((TRIM(P229:S229)="")+(LOWER(TRIM(P229:S229))="(seleccione)"),"",PROPER(TRIM(P229:S229)))))*(CAT_Procesos!$D$2:$D$1581=IFERROR(VLOOKUP(N229&amp;"*",CAT_Procesos!$D:$D,1,FALSE),"")))),INDEX(CAT_Procesos!$G$2:$G$1581,MATCH(1,(CAT_Procesos!$E$2:$E$1581=O229)*(CAT_Procesos!$F$2:$F$1581=_xlfn.TEXTJOIN(" + ",TRUE,IF((TRIM(P229:S229)="")+(LOWER(TRIM(P229:S229))="(seleccione)"),"",PROPER(TRIM(P229:S229)))))*(CAT_Procesos!$D$2:$D$1581=IFERROR(VLOOKUP(N229&amp;"*",CAT_Procesos!$D:$D,1,FALSE),"")),0)),"(seleccione)"))</f>
        <v>Combinación no existente</v>
      </c>
      <c r="V229" s="55" t="s">
        <v>73</v>
      </c>
      <c r="W229" s="56" t="s">
        <v>73</v>
      </c>
      <c r="X229" s="57" t="str">
        <f t="shared" si="12"/>
        <v/>
      </c>
      <c r="Y229" s="58" t="s">
        <v>73</v>
      </c>
      <c r="Z229" s="57" t="str">
        <f t="shared" si="13"/>
        <v/>
      </c>
      <c r="AA229" s="58" t="s">
        <v>73</v>
      </c>
      <c r="AB229" s="57" t="str">
        <f t="shared" si="14"/>
        <v/>
      </c>
      <c r="AC229" s="58" t="s">
        <v>73</v>
      </c>
      <c r="AD229" s="57" t="str">
        <f t="shared" si="15"/>
        <v/>
      </c>
      <c r="AE229" s="59"/>
      <c r="AF229" s="59"/>
      <c r="AG229" s="59"/>
      <c r="AH229" s="59"/>
      <c r="AI229" s="59" t="s">
        <v>73</v>
      </c>
      <c r="AJ229" s="59"/>
      <c r="AK229" s="59" t="s">
        <v>73</v>
      </c>
      <c r="AL229" s="59"/>
      <c r="AM229" s="59" t="s">
        <v>73</v>
      </c>
      <c r="AN229" s="59"/>
      <c r="AO229" s="59" t="s">
        <v>73</v>
      </c>
      <c r="AP229" s="59"/>
      <c r="AQ229" s="59" t="s">
        <v>73</v>
      </c>
      <c r="AR229" s="59"/>
      <c r="AS229" s="59" t="s">
        <v>72</v>
      </c>
      <c r="AT229" s="59"/>
      <c r="AU229" s="59"/>
      <c r="AV229" s="59"/>
      <c r="AW229" s="59"/>
      <c r="AX229" s="59"/>
      <c r="AY229" s="60" t="str">
        <f>IF('Cálculo MP'!K239="","",'Cálculo MP'!K239)</f>
        <v/>
      </c>
      <c r="AZ229" s="60" t="str">
        <f>IF('Cálculo MP'!L239="","",'Cálculo MP'!L239)</f>
        <v/>
      </c>
      <c r="BA229" s="60" t="str">
        <f>IF('Cálculo MP'!M239="","",'Cálculo MP'!M239)</f>
        <v/>
      </c>
      <c r="BB229" s="60" t="str">
        <f>IF('Cálculo MP'!N239="","",'Cálculo MP'!N239)</f>
        <v/>
      </c>
      <c r="BC229" s="60" t="str">
        <f>IF('Cálculo MP'!O239="","",'Cálculo MP'!O239)</f>
        <v/>
      </c>
      <c r="BD229" s="60" t="str">
        <f>IF('Cálculo MP'!P239="","",'Cálculo MP'!P239)</f>
        <v/>
      </c>
      <c r="BE229" s="60" t="str">
        <f>IF('Cálculo MP'!Q239="","",'Cálculo MP'!Q239)</f>
        <v/>
      </c>
      <c r="BF229" s="60" t="str">
        <f>IF('Cálculo MP'!R239="","",'Cálculo MP'!R239)</f>
        <v/>
      </c>
      <c r="BG229" s="60" t="str">
        <f>IF('Cálculo MP'!S239="","",'Cálculo MP'!S239)</f>
        <v/>
      </c>
      <c r="BH229" s="59"/>
      <c r="BI229" s="59"/>
      <c r="BJ229" s="59"/>
      <c r="BK229" s="59"/>
      <c r="BL229" s="59"/>
      <c r="BM229" s="59"/>
      <c r="BN229" s="59"/>
      <c r="BO229" s="59"/>
    </row>
    <row r="230" spans="1:67" ht="19.5" customHeight="1" x14ac:dyDescent="0.15">
      <c r="A230" s="123" t="s">
        <v>1856</v>
      </c>
      <c r="B230" s="122" t="s">
        <v>1854</v>
      </c>
      <c r="C230" s="49"/>
      <c r="D230" s="48" t="s">
        <v>73</v>
      </c>
      <c r="E230" s="49"/>
      <c r="F230" s="50"/>
      <c r="G230" s="62"/>
      <c r="H230" s="48" t="s">
        <v>72</v>
      </c>
      <c r="I230" s="52">
        <v>1</v>
      </c>
      <c r="J230" s="52"/>
      <c r="K230" s="52" t="s">
        <v>73</v>
      </c>
      <c r="L230" s="52" t="s">
        <v>74</v>
      </c>
      <c r="M230" s="53" t="s">
        <v>942</v>
      </c>
      <c r="N230" s="58" t="s">
        <v>73</v>
      </c>
      <c r="O230" s="48" t="s">
        <v>72</v>
      </c>
      <c r="P230" s="48" t="s">
        <v>73</v>
      </c>
      <c r="Q230" s="54" t="s">
        <v>73</v>
      </c>
      <c r="R230" s="55" t="s">
        <v>73</v>
      </c>
      <c r="S230" s="48" t="s">
        <v>73</v>
      </c>
      <c r="T230" s="130"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8" t="str" cm="1">
        <f t="array" ref="U230">IF(SUMPRODUCT(--((CAT_Procesos!$E$2:$E$1581=O230)*(CAT_Procesos!$F$2:$F$1581=_xlfn.TEXTJOIN(" + ",TRUE,IF((TRIM(P230:S230)="")+(LOWER(TRIM(P230:S230))="(seleccione)"),"",PROPER(TRIM(P230:S230)))))*(CAT_Procesos!$D$2:$D$1581=IFERROR(VLOOKUP(N230&amp;"*",CAT_Procesos!$D:$D,1,FALSE),""))))=0,"Combinación no existente",IF(SUMPRODUCT(((CAT_Procesos!$E$2:$E$1581=O230)*(CAT_Procesos!$F$2:$F$1581=_xlfn.TEXTJOIN(" + ",TRUE,IF((TRIM(P230:S230)="")+(LOWER(TRIM(P230:S230))="(seleccione)"),"",PROPER(TRIM(P230:S230)))))*(CAT_Procesos!$D$2:$D$1581=IFERROR(VLOOKUP(N230&amp;"*",CAT_Procesos!$D:$D,1,FALSE),"")))*(CAT_Procesos!$G$2:$G$1581=INDEX(CAT_Procesos!$G$2:$G$1581,MATCH(1,(CAT_Procesos!$E$2:$E$1581=O230)*(CAT_Procesos!$F$2:$F$1581=_xlfn.TEXTJOIN(" + ",TRUE,IF((TRIM(P230:S230)="")+(LOWER(TRIM(P230:S230))="(seleccione)"),"",PROPER(TRIM(P230:S230)))))*(CAT_Procesos!$D$2:$D$1581=IFERROR(VLOOKUP(N230&amp;"*",CAT_Procesos!$D:$D,1,FALSE),"")),0))))=SUMPRODUCT(--((CAT_Procesos!$E$2:$E$1581=O230)*(CAT_Procesos!$F$2:$F$1581=_xlfn.TEXTJOIN(" + ",TRUE,IF((TRIM(P230:S230)="")+(LOWER(TRIM(P230:S230))="(seleccione)"),"",PROPER(TRIM(P230:S230)))))*(CAT_Procesos!$D$2:$D$1581=IFERROR(VLOOKUP(N230&amp;"*",CAT_Procesos!$D:$D,1,FALSE),"")))),INDEX(CAT_Procesos!$G$2:$G$1581,MATCH(1,(CAT_Procesos!$E$2:$E$1581=O230)*(CAT_Procesos!$F$2:$F$1581=_xlfn.TEXTJOIN(" + ",TRUE,IF((TRIM(P230:S230)="")+(LOWER(TRIM(P230:S230))="(seleccione)"),"",PROPER(TRIM(P230:S230)))))*(CAT_Procesos!$D$2:$D$1581=IFERROR(VLOOKUP(N230&amp;"*",CAT_Procesos!$D:$D,1,FALSE),"")),0)),"(seleccione)"))</f>
        <v>Combinación no existente</v>
      </c>
      <c r="V230" s="55" t="s">
        <v>73</v>
      </c>
      <c r="W230" s="56" t="s">
        <v>73</v>
      </c>
      <c r="X230" s="57" t="str">
        <f t="shared" si="12"/>
        <v/>
      </c>
      <c r="Y230" s="58" t="s">
        <v>73</v>
      </c>
      <c r="Z230" s="57" t="str">
        <f t="shared" si="13"/>
        <v/>
      </c>
      <c r="AA230" s="58" t="s">
        <v>73</v>
      </c>
      <c r="AB230" s="57" t="str">
        <f t="shared" si="14"/>
        <v/>
      </c>
      <c r="AC230" s="58" t="s">
        <v>73</v>
      </c>
      <c r="AD230" s="57" t="str">
        <f t="shared" si="15"/>
        <v/>
      </c>
      <c r="AE230" s="59"/>
      <c r="AF230" s="59"/>
      <c r="AG230" s="59"/>
      <c r="AH230" s="59"/>
      <c r="AI230" s="59" t="s">
        <v>73</v>
      </c>
      <c r="AJ230" s="59"/>
      <c r="AK230" s="59" t="s">
        <v>73</v>
      </c>
      <c r="AL230" s="59"/>
      <c r="AM230" s="59" t="s">
        <v>73</v>
      </c>
      <c r="AN230" s="59"/>
      <c r="AO230" s="59" t="s">
        <v>73</v>
      </c>
      <c r="AP230" s="59"/>
      <c r="AQ230" s="59" t="s">
        <v>73</v>
      </c>
      <c r="AR230" s="59"/>
      <c r="AS230" s="59" t="s">
        <v>72</v>
      </c>
      <c r="AT230" s="59"/>
      <c r="AU230" s="59"/>
      <c r="AV230" s="59"/>
      <c r="AW230" s="59"/>
      <c r="AX230" s="59"/>
      <c r="AY230" s="60" t="str">
        <f>IF('Cálculo MP'!K240="","",'Cálculo MP'!K240)</f>
        <v/>
      </c>
      <c r="AZ230" s="60" t="str">
        <f>IF('Cálculo MP'!L240="","",'Cálculo MP'!L240)</f>
        <v/>
      </c>
      <c r="BA230" s="60" t="str">
        <f>IF('Cálculo MP'!M240="","",'Cálculo MP'!M240)</f>
        <v/>
      </c>
      <c r="BB230" s="60" t="str">
        <f>IF('Cálculo MP'!N240="","",'Cálculo MP'!N240)</f>
        <v/>
      </c>
      <c r="BC230" s="60" t="str">
        <f>IF('Cálculo MP'!O240="","",'Cálculo MP'!O240)</f>
        <v/>
      </c>
      <c r="BD230" s="60" t="str">
        <f>IF('Cálculo MP'!P240="","",'Cálculo MP'!P240)</f>
        <v/>
      </c>
      <c r="BE230" s="60" t="str">
        <f>IF('Cálculo MP'!Q240="","",'Cálculo MP'!Q240)</f>
        <v/>
      </c>
      <c r="BF230" s="60" t="str">
        <f>IF('Cálculo MP'!R240="","",'Cálculo MP'!R240)</f>
        <v/>
      </c>
      <c r="BG230" s="60" t="str">
        <f>IF('Cálculo MP'!S240="","",'Cálculo MP'!S240)</f>
        <v/>
      </c>
      <c r="BH230" s="59"/>
      <c r="BI230" s="59"/>
      <c r="BJ230" s="59"/>
      <c r="BK230" s="59"/>
      <c r="BL230" s="59"/>
      <c r="BM230" s="59"/>
      <c r="BN230" s="59"/>
      <c r="BO230" s="59"/>
    </row>
    <row r="231" spans="1:67" ht="19.5" customHeight="1" x14ac:dyDescent="0.15">
      <c r="A231" s="123" t="s">
        <v>1856</v>
      </c>
      <c r="B231" s="122" t="s">
        <v>1854</v>
      </c>
      <c r="C231" s="49"/>
      <c r="D231" s="48" t="s">
        <v>73</v>
      </c>
      <c r="E231" s="49"/>
      <c r="F231" s="50"/>
      <c r="G231" s="62"/>
      <c r="H231" s="48" t="s">
        <v>72</v>
      </c>
      <c r="I231" s="52">
        <v>1</v>
      </c>
      <c r="J231" s="52"/>
      <c r="K231" s="52" t="s">
        <v>73</v>
      </c>
      <c r="L231" s="52" t="s">
        <v>74</v>
      </c>
      <c r="M231" s="53" t="s">
        <v>942</v>
      </c>
      <c r="N231" s="58" t="s">
        <v>73</v>
      </c>
      <c r="O231" s="48" t="s">
        <v>72</v>
      </c>
      <c r="P231" s="48" t="s">
        <v>73</v>
      </c>
      <c r="Q231" s="54" t="s">
        <v>73</v>
      </c>
      <c r="R231" s="55" t="s">
        <v>73</v>
      </c>
      <c r="S231" s="48" t="s">
        <v>73</v>
      </c>
      <c r="T231" s="130"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8" t="str" cm="1">
        <f t="array" ref="U231">IF(SUMPRODUCT(--((CAT_Procesos!$E$2:$E$1581=O231)*(CAT_Procesos!$F$2:$F$1581=_xlfn.TEXTJOIN(" + ",TRUE,IF((TRIM(P231:S231)="")+(LOWER(TRIM(P231:S231))="(seleccione)"),"",PROPER(TRIM(P231:S231)))))*(CAT_Procesos!$D$2:$D$1581=IFERROR(VLOOKUP(N231&amp;"*",CAT_Procesos!$D:$D,1,FALSE),""))))=0,"Combinación no existente",IF(SUMPRODUCT(((CAT_Procesos!$E$2:$E$1581=O231)*(CAT_Procesos!$F$2:$F$1581=_xlfn.TEXTJOIN(" + ",TRUE,IF((TRIM(P231:S231)="")+(LOWER(TRIM(P231:S231))="(seleccione)"),"",PROPER(TRIM(P231:S231)))))*(CAT_Procesos!$D$2:$D$1581=IFERROR(VLOOKUP(N231&amp;"*",CAT_Procesos!$D:$D,1,FALSE),"")))*(CAT_Procesos!$G$2:$G$1581=INDEX(CAT_Procesos!$G$2:$G$1581,MATCH(1,(CAT_Procesos!$E$2:$E$1581=O231)*(CAT_Procesos!$F$2:$F$1581=_xlfn.TEXTJOIN(" + ",TRUE,IF((TRIM(P231:S231)="")+(LOWER(TRIM(P231:S231))="(seleccione)"),"",PROPER(TRIM(P231:S231)))))*(CAT_Procesos!$D$2:$D$1581=IFERROR(VLOOKUP(N231&amp;"*",CAT_Procesos!$D:$D,1,FALSE),"")),0))))=SUMPRODUCT(--((CAT_Procesos!$E$2:$E$1581=O231)*(CAT_Procesos!$F$2:$F$1581=_xlfn.TEXTJOIN(" + ",TRUE,IF((TRIM(P231:S231)="")+(LOWER(TRIM(P231:S231))="(seleccione)"),"",PROPER(TRIM(P231:S231)))))*(CAT_Procesos!$D$2:$D$1581=IFERROR(VLOOKUP(N231&amp;"*",CAT_Procesos!$D:$D,1,FALSE),"")))),INDEX(CAT_Procesos!$G$2:$G$1581,MATCH(1,(CAT_Procesos!$E$2:$E$1581=O231)*(CAT_Procesos!$F$2:$F$1581=_xlfn.TEXTJOIN(" + ",TRUE,IF((TRIM(P231:S231)="")+(LOWER(TRIM(P231:S231))="(seleccione)"),"",PROPER(TRIM(P231:S231)))))*(CAT_Procesos!$D$2:$D$1581=IFERROR(VLOOKUP(N231&amp;"*",CAT_Procesos!$D:$D,1,FALSE),"")),0)),"(seleccione)"))</f>
        <v>Combinación no existente</v>
      </c>
      <c r="V231" s="55" t="s">
        <v>73</v>
      </c>
      <c r="W231" s="56" t="s">
        <v>73</v>
      </c>
      <c r="X231" s="57" t="str">
        <f t="shared" si="12"/>
        <v/>
      </c>
      <c r="Y231" s="58" t="s">
        <v>73</v>
      </c>
      <c r="Z231" s="57" t="str">
        <f t="shared" si="13"/>
        <v/>
      </c>
      <c r="AA231" s="58" t="s">
        <v>73</v>
      </c>
      <c r="AB231" s="57" t="str">
        <f t="shared" si="14"/>
        <v/>
      </c>
      <c r="AC231" s="58" t="s">
        <v>73</v>
      </c>
      <c r="AD231" s="57" t="str">
        <f t="shared" si="15"/>
        <v/>
      </c>
      <c r="AE231" s="59"/>
      <c r="AF231" s="59"/>
      <c r="AG231" s="59"/>
      <c r="AH231" s="59"/>
      <c r="AI231" s="59" t="s">
        <v>73</v>
      </c>
      <c r="AJ231" s="59"/>
      <c r="AK231" s="59" t="s">
        <v>73</v>
      </c>
      <c r="AL231" s="59"/>
      <c r="AM231" s="59" t="s">
        <v>73</v>
      </c>
      <c r="AN231" s="59"/>
      <c r="AO231" s="59" t="s">
        <v>73</v>
      </c>
      <c r="AP231" s="59"/>
      <c r="AQ231" s="59" t="s">
        <v>73</v>
      </c>
      <c r="AR231" s="59"/>
      <c r="AS231" s="59" t="s">
        <v>72</v>
      </c>
      <c r="AT231" s="59"/>
      <c r="AU231" s="59"/>
      <c r="AV231" s="59"/>
      <c r="AW231" s="59"/>
      <c r="AX231" s="59"/>
      <c r="AY231" s="60" t="str">
        <f>IF('Cálculo MP'!K241="","",'Cálculo MP'!K241)</f>
        <v/>
      </c>
      <c r="AZ231" s="60" t="str">
        <f>IF('Cálculo MP'!L241="","",'Cálculo MP'!L241)</f>
        <v/>
      </c>
      <c r="BA231" s="60" t="str">
        <f>IF('Cálculo MP'!M241="","",'Cálculo MP'!M241)</f>
        <v/>
      </c>
      <c r="BB231" s="60" t="str">
        <f>IF('Cálculo MP'!N241="","",'Cálculo MP'!N241)</f>
        <v/>
      </c>
      <c r="BC231" s="60" t="str">
        <f>IF('Cálculo MP'!O241="","",'Cálculo MP'!O241)</f>
        <v/>
      </c>
      <c r="BD231" s="60" t="str">
        <f>IF('Cálculo MP'!P241="","",'Cálculo MP'!P241)</f>
        <v/>
      </c>
      <c r="BE231" s="60" t="str">
        <f>IF('Cálculo MP'!Q241="","",'Cálculo MP'!Q241)</f>
        <v/>
      </c>
      <c r="BF231" s="60" t="str">
        <f>IF('Cálculo MP'!R241="","",'Cálculo MP'!R241)</f>
        <v/>
      </c>
      <c r="BG231" s="60" t="str">
        <f>IF('Cálculo MP'!S241="","",'Cálculo MP'!S241)</f>
        <v/>
      </c>
      <c r="BH231" s="59"/>
      <c r="BI231" s="59"/>
      <c r="BJ231" s="59"/>
      <c r="BK231" s="59"/>
      <c r="BL231" s="59"/>
      <c r="BM231" s="59"/>
      <c r="BN231" s="59"/>
      <c r="BO231" s="59"/>
    </row>
    <row r="232" spans="1:67" ht="19.5" customHeight="1" x14ac:dyDescent="0.15">
      <c r="A232" s="123" t="s">
        <v>1856</v>
      </c>
      <c r="B232" s="122" t="s">
        <v>1854</v>
      </c>
      <c r="C232" s="49"/>
      <c r="D232" s="48" t="s">
        <v>73</v>
      </c>
      <c r="E232" s="49"/>
      <c r="F232" s="50"/>
      <c r="G232" s="62"/>
      <c r="H232" s="48" t="s">
        <v>72</v>
      </c>
      <c r="I232" s="52">
        <v>1</v>
      </c>
      <c r="J232" s="52"/>
      <c r="K232" s="52" t="s">
        <v>73</v>
      </c>
      <c r="L232" s="52" t="s">
        <v>74</v>
      </c>
      <c r="M232" s="53" t="s">
        <v>942</v>
      </c>
      <c r="N232" s="58" t="s">
        <v>73</v>
      </c>
      <c r="O232" s="48" t="s">
        <v>72</v>
      </c>
      <c r="P232" s="48" t="s">
        <v>73</v>
      </c>
      <c r="Q232" s="54" t="s">
        <v>73</v>
      </c>
      <c r="R232" s="55" t="s">
        <v>73</v>
      </c>
      <c r="S232" s="48" t="s">
        <v>73</v>
      </c>
      <c r="T232" s="130"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8" t="str" cm="1">
        <f t="array" ref="U232">IF(SUMPRODUCT(--((CAT_Procesos!$E$2:$E$1581=O232)*(CAT_Procesos!$F$2:$F$1581=_xlfn.TEXTJOIN(" + ",TRUE,IF((TRIM(P232:S232)="")+(LOWER(TRIM(P232:S232))="(seleccione)"),"",PROPER(TRIM(P232:S232)))))*(CAT_Procesos!$D$2:$D$1581=IFERROR(VLOOKUP(N232&amp;"*",CAT_Procesos!$D:$D,1,FALSE),""))))=0,"Combinación no existente",IF(SUMPRODUCT(((CAT_Procesos!$E$2:$E$1581=O232)*(CAT_Procesos!$F$2:$F$1581=_xlfn.TEXTJOIN(" + ",TRUE,IF((TRIM(P232:S232)="")+(LOWER(TRIM(P232:S232))="(seleccione)"),"",PROPER(TRIM(P232:S232)))))*(CAT_Procesos!$D$2:$D$1581=IFERROR(VLOOKUP(N232&amp;"*",CAT_Procesos!$D:$D,1,FALSE),"")))*(CAT_Procesos!$G$2:$G$1581=INDEX(CAT_Procesos!$G$2:$G$1581,MATCH(1,(CAT_Procesos!$E$2:$E$1581=O232)*(CAT_Procesos!$F$2:$F$1581=_xlfn.TEXTJOIN(" + ",TRUE,IF((TRIM(P232:S232)="")+(LOWER(TRIM(P232:S232))="(seleccione)"),"",PROPER(TRIM(P232:S232)))))*(CAT_Procesos!$D$2:$D$1581=IFERROR(VLOOKUP(N232&amp;"*",CAT_Procesos!$D:$D,1,FALSE),"")),0))))=SUMPRODUCT(--((CAT_Procesos!$E$2:$E$1581=O232)*(CAT_Procesos!$F$2:$F$1581=_xlfn.TEXTJOIN(" + ",TRUE,IF((TRIM(P232:S232)="")+(LOWER(TRIM(P232:S232))="(seleccione)"),"",PROPER(TRIM(P232:S232)))))*(CAT_Procesos!$D$2:$D$1581=IFERROR(VLOOKUP(N232&amp;"*",CAT_Procesos!$D:$D,1,FALSE),"")))),INDEX(CAT_Procesos!$G$2:$G$1581,MATCH(1,(CAT_Procesos!$E$2:$E$1581=O232)*(CAT_Procesos!$F$2:$F$1581=_xlfn.TEXTJOIN(" + ",TRUE,IF((TRIM(P232:S232)="")+(LOWER(TRIM(P232:S232))="(seleccione)"),"",PROPER(TRIM(P232:S232)))))*(CAT_Procesos!$D$2:$D$1581=IFERROR(VLOOKUP(N232&amp;"*",CAT_Procesos!$D:$D,1,FALSE),"")),0)),"(seleccione)"))</f>
        <v>Combinación no existente</v>
      </c>
      <c r="V232" s="55" t="s">
        <v>73</v>
      </c>
      <c r="W232" s="56" t="s">
        <v>73</v>
      </c>
      <c r="X232" s="57" t="str">
        <f t="shared" si="12"/>
        <v/>
      </c>
      <c r="Y232" s="58" t="s">
        <v>73</v>
      </c>
      <c r="Z232" s="57" t="str">
        <f t="shared" si="13"/>
        <v/>
      </c>
      <c r="AA232" s="58" t="s">
        <v>73</v>
      </c>
      <c r="AB232" s="57" t="str">
        <f t="shared" si="14"/>
        <v/>
      </c>
      <c r="AC232" s="58" t="s">
        <v>73</v>
      </c>
      <c r="AD232" s="57" t="str">
        <f t="shared" si="15"/>
        <v/>
      </c>
      <c r="AE232" s="59"/>
      <c r="AF232" s="59"/>
      <c r="AG232" s="59"/>
      <c r="AH232" s="59"/>
      <c r="AI232" s="59" t="s">
        <v>73</v>
      </c>
      <c r="AJ232" s="59"/>
      <c r="AK232" s="59" t="s">
        <v>73</v>
      </c>
      <c r="AL232" s="59"/>
      <c r="AM232" s="59" t="s">
        <v>73</v>
      </c>
      <c r="AN232" s="59"/>
      <c r="AO232" s="59" t="s">
        <v>73</v>
      </c>
      <c r="AP232" s="59"/>
      <c r="AQ232" s="59" t="s">
        <v>73</v>
      </c>
      <c r="AR232" s="59"/>
      <c r="AS232" s="59" t="s">
        <v>72</v>
      </c>
      <c r="AT232" s="59"/>
      <c r="AU232" s="59"/>
      <c r="AV232" s="59"/>
      <c r="AW232" s="59"/>
      <c r="AX232" s="59"/>
      <c r="AY232" s="60" t="str">
        <f>IF('Cálculo MP'!K242="","",'Cálculo MP'!K242)</f>
        <v/>
      </c>
      <c r="AZ232" s="60" t="str">
        <f>IF('Cálculo MP'!L242="","",'Cálculo MP'!L242)</f>
        <v/>
      </c>
      <c r="BA232" s="60" t="str">
        <f>IF('Cálculo MP'!M242="","",'Cálculo MP'!M242)</f>
        <v/>
      </c>
      <c r="BB232" s="60" t="str">
        <f>IF('Cálculo MP'!N242="","",'Cálculo MP'!N242)</f>
        <v/>
      </c>
      <c r="BC232" s="60" t="str">
        <f>IF('Cálculo MP'!O242="","",'Cálculo MP'!O242)</f>
        <v/>
      </c>
      <c r="BD232" s="60" t="str">
        <f>IF('Cálculo MP'!P242="","",'Cálculo MP'!P242)</f>
        <v/>
      </c>
      <c r="BE232" s="60" t="str">
        <f>IF('Cálculo MP'!Q242="","",'Cálculo MP'!Q242)</f>
        <v/>
      </c>
      <c r="BF232" s="60" t="str">
        <f>IF('Cálculo MP'!R242="","",'Cálculo MP'!R242)</f>
        <v/>
      </c>
      <c r="BG232" s="60" t="str">
        <f>IF('Cálculo MP'!S242="","",'Cálculo MP'!S242)</f>
        <v/>
      </c>
      <c r="BH232" s="59"/>
      <c r="BI232" s="59"/>
      <c r="BJ232" s="59"/>
      <c r="BK232" s="59"/>
      <c r="BL232" s="59"/>
      <c r="BM232" s="59"/>
      <c r="BN232" s="59"/>
      <c r="BO232" s="59"/>
    </row>
    <row r="233" spans="1:67" ht="19.5" customHeight="1" x14ac:dyDescent="0.15">
      <c r="A233" s="123" t="s">
        <v>1856</v>
      </c>
      <c r="B233" s="122" t="s">
        <v>1854</v>
      </c>
      <c r="C233" s="49"/>
      <c r="D233" s="48" t="s">
        <v>73</v>
      </c>
      <c r="E233" s="49"/>
      <c r="F233" s="50"/>
      <c r="G233" s="62"/>
      <c r="H233" s="48" t="s">
        <v>72</v>
      </c>
      <c r="I233" s="52">
        <v>1</v>
      </c>
      <c r="J233" s="52"/>
      <c r="K233" s="52" t="s">
        <v>73</v>
      </c>
      <c r="L233" s="52" t="s">
        <v>74</v>
      </c>
      <c r="M233" s="53" t="s">
        <v>942</v>
      </c>
      <c r="N233" s="58" t="s">
        <v>73</v>
      </c>
      <c r="O233" s="48" t="s">
        <v>72</v>
      </c>
      <c r="P233" s="48" t="s">
        <v>73</v>
      </c>
      <c r="Q233" s="54" t="s">
        <v>73</v>
      </c>
      <c r="R233" s="55" t="s">
        <v>73</v>
      </c>
      <c r="S233" s="48" t="s">
        <v>73</v>
      </c>
      <c r="T233" s="130"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8" t="str" cm="1">
        <f t="array" ref="U233">IF(SUMPRODUCT(--((CAT_Procesos!$E$2:$E$1581=O233)*(CAT_Procesos!$F$2:$F$1581=_xlfn.TEXTJOIN(" + ",TRUE,IF((TRIM(P233:S233)="")+(LOWER(TRIM(P233:S233))="(seleccione)"),"",PROPER(TRIM(P233:S233)))))*(CAT_Procesos!$D$2:$D$1581=IFERROR(VLOOKUP(N233&amp;"*",CAT_Procesos!$D:$D,1,FALSE),""))))=0,"Combinación no existente",IF(SUMPRODUCT(((CAT_Procesos!$E$2:$E$1581=O233)*(CAT_Procesos!$F$2:$F$1581=_xlfn.TEXTJOIN(" + ",TRUE,IF((TRIM(P233:S233)="")+(LOWER(TRIM(P233:S233))="(seleccione)"),"",PROPER(TRIM(P233:S233)))))*(CAT_Procesos!$D$2:$D$1581=IFERROR(VLOOKUP(N233&amp;"*",CAT_Procesos!$D:$D,1,FALSE),"")))*(CAT_Procesos!$G$2:$G$1581=INDEX(CAT_Procesos!$G$2:$G$1581,MATCH(1,(CAT_Procesos!$E$2:$E$1581=O233)*(CAT_Procesos!$F$2:$F$1581=_xlfn.TEXTJOIN(" + ",TRUE,IF((TRIM(P233:S233)="")+(LOWER(TRIM(P233:S233))="(seleccione)"),"",PROPER(TRIM(P233:S233)))))*(CAT_Procesos!$D$2:$D$1581=IFERROR(VLOOKUP(N233&amp;"*",CAT_Procesos!$D:$D,1,FALSE),"")),0))))=SUMPRODUCT(--((CAT_Procesos!$E$2:$E$1581=O233)*(CAT_Procesos!$F$2:$F$1581=_xlfn.TEXTJOIN(" + ",TRUE,IF((TRIM(P233:S233)="")+(LOWER(TRIM(P233:S233))="(seleccione)"),"",PROPER(TRIM(P233:S233)))))*(CAT_Procesos!$D$2:$D$1581=IFERROR(VLOOKUP(N233&amp;"*",CAT_Procesos!$D:$D,1,FALSE),"")))),INDEX(CAT_Procesos!$G$2:$G$1581,MATCH(1,(CAT_Procesos!$E$2:$E$1581=O233)*(CAT_Procesos!$F$2:$F$1581=_xlfn.TEXTJOIN(" + ",TRUE,IF((TRIM(P233:S233)="")+(LOWER(TRIM(P233:S233))="(seleccione)"),"",PROPER(TRIM(P233:S233)))))*(CAT_Procesos!$D$2:$D$1581=IFERROR(VLOOKUP(N233&amp;"*",CAT_Procesos!$D:$D,1,FALSE),"")),0)),"(seleccione)"))</f>
        <v>Combinación no existente</v>
      </c>
      <c r="V233" s="55" t="s">
        <v>73</v>
      </c>
      <c r="W233" s="56" t="s">
        <v>73</v>
      </c>
      <c r="X233" s="57" t="str">
        <f t="shared" si="12"/>
        <v/>
      </c>
      <c r="Y233" s="58" t="s">
        <v>73</v>
      </c>
      <c r="Z233" s="57" t="str">
        <f t="shared" si="13"/>
        <v/>
      </c>
      <c r="AA233" s="58" t="s">
        <v>73</v>
      </c>
      <c r="AB233" s="57" t="str">
        <f t="shared" si="14"/>
        <v/>
      </c>
      <c r="AC233" s="58" t="s">
        <v>73</v>
      </c>
      <c r="AD233" s="57" t="str">
        <f t="shared" si="15"/>
        <v/>
      </c>
      <c r="AE233" s="59"/>
      <c r="AF233" s="59"/>
      <c r="AG233" s="59"/>
      <c r="AH233" s="59"/>
      <c r="AI233" s="59" t="s">
        <v>73</v>
      </c>
      <c r="AJ233" s="59"/>
      <c r="AK233" s="59" t="s">
        <v>73</v>
      </c>
      <c r="AL233" s="59"/>
      <c r="AM233" s="59" t="s">
        <v>73</v>
      </c>
      <c r="AN233" s="59"/>
      <c r="AO233" s="59" t="s">
        <v>73</v>
      </c>
      <c r="AP233" s="59"/>
      <c r="AQ233" s="59" t="s">
        <v>73</v>
      </c>
      <c r="AR233" s="59"/>
      <c r="AS233" s="59" t="s">
        <v>72</v>
      </c>
      <c r="AT233" s="59"/>
      <c r="AU233" s="59"/>
      <c r="AV233" s="59"/>
      <c r="AW233" s="59"/>
      <c r="AX233" s="59"/>
      <c r="AY233" s="60" t="str">
        <f>IF('Cálculo MP'!K243="","",'Cálculo MP'!K243)</f>
        <v/>
      </c>
      <c r="AZ233" s="60" t="str">
        <f>IF('Cálculo MP'!L243="","",'Cálculo MP'!L243)</f>
        <v/>
      </c>
      <c r="BA233" s="60" t="str">
        <f>IF('Cálculo MP'!M243="","",'Cálculo MP'!M243)</f>
        <v/>
      </c>
      <c r="BB233" s="60" t="str">
        <f>IF('Cálculo MP'!N243="","",'Cálculo MP'!N243)</f>
        <v/>
      </c>
      <c r="BC233" s="60" t="str">
        <f>IF('Cálculo MP'!O243="","",'Cálculo MP'!O243)</f>
        <v/>
      </c>
      <c r="BD233" s="60" t="str">
        <f>IF('Cálculo MP'!P243="","",'Cálculo MP'!P243)</f>
        <v/>
      </c>
      <c r="BE233" s="60" t="str">
        <f>IF('Cálculo MP'!Q243="","",'Cálculo MP'!Q243)</f>
        <v/>
      </c>
      <c r="BF233" s="60" t="str">
        <f>IF('Cálculo MP'!R243="","",'Cálculo MP'!R243)</f>
        <v/>
      </c>
      <c r="BG233" s="60" t="str">
        <f>IF('Cálculo MP'!S243="","",'Cálculo MP'!S243)</f>
        <v/>
      </c>
      <c r="BH233" s="59"/>
      <c r="BI233" s="59"/>
      <c r="BJ233" s="59"/>
      <c r="BK233" s="59"/>
      <c r="BL233" s="59"/>
      <c r="BM233" s="59"/>
      <c r="BN233" s="59"/>
      <c r="BO233" s="59"/>
    </row>
    <row r="234" spans="1:67" ht="19.5" customHeight="1" x14ac:dyDescent="0.15">
      <c r="A234" s="123" t="s">
        <v>1856</v>
      </c>
      <c r="B234" s="122" t="s">
        <v>1854</v>
      </c>
      <c r="C234" s="49"/>
      <c r="D234" s="48" t="s">
        <v>73</v>
      </c>
      <c r="E234" s="49"/>
      <c r="F234" s="50"/>
      <c r="G234" s="62"/>
      <c r="H234" s="48" t="s">
        <v>72</v>
      </c>
      <c r="I234" s="52">
        <v>1</v>
      </c>
      <c r="J234" s="52"/>
      <c r="K234" s="52" t="s">
        <v>73</v>
      </c>
      <c r="L234" s="52" t="s">
        <v>74</v>
      </c>
      <c r="M234" s="53" t="s">
        <v>942</v>
      </c>
      <c r="N234" s="58" t="s">
        <v>73</v>
      </c>
      <c r="O234" s="48" t="s">
        <v>72</v>
      </c>
      <c r="P234" s="48" t="s">
        <v>73</v>
      </c>
      <c r="Q234" s="54" t="s">
        <v>73</v>
      </c>
      <c r="R234" s="55" t="s">
        <v>73</v>
      </c>
      <c r="S234" s="48" t="s">
        <v>73</v>
      </c>
      <c r="T234" s="130"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8" t="str" cm="1">
        <f t="array" ref="U234">IF(SUMPRODUCT(--((CAT_Procesos!$E$2:$E$1581=O234)*(CAT_Procesos!$F$2:$F$1581=_xlfn.TEXTJOIN(" + ",TRUE,IF((TRIM(P234:S234)="")+(LOWER(TRIM(P234:S234))="(seleccione)"),"",PROPER(TRIM(P234:S234)))))*(CAT_Procesos!$D$2:$D$1581=IFERROR(VLOOKUP(N234&amp;"*",CAT_Procesos!$D:$D,1,FALSE),""))))=0,"Combinación no existente",IF(SUMPRODUCT(((CAT_Procesos!$E$2:$E$1581=O234)*(CAT_Procesos!$F$2:$F$1581=_xlfn.TEXTJOIN(" + ",TRUE,IF((TRIM(P234:S234)="")+(LOWER(TRIM(P234:S234))="(seleccione)"),"",PROPER(TRIM(P234:S234)))))*(CAT_Procesos!$D$2:$D$1581=IFERROR(VLOOKUP(N234&amp;"*",CAT_Procesos!$D:$D,1,FALSE),"")))*(CAT_Procesos!$G$2:$G$1581=INDEX(CAT_Procesos!$G$2:$G$1581,MATCH(1,(CAT_Procesos!$E$2:$E$1581=O234)*(CAT_Procesos!$F$2:$F$1581=_xlfn.TEXTJOIN(" + ",TRUE,IF((TRIM(P234:S234)="")+(LOWER(TRIM(P234:S234))="(seleccione)"),"",PROPER(TRIM(P234:S234)))))*(CAT_Procesos!$D$2:$D$1581=IFERROR(VLOOKUP(N234&amp;"*",CAT_Procesos!$D:$D,1,FALSE),"")),0))))=SUMPRODUCT(--((CAT_Procesos!$E$2:$E$1581=O234)*(CAT_Procesos!$F$2:$F$1581=_xlfn.TEXTJOIN(" + ",TRUE,IF((TRIM(P234:S234)="")+(LOWER(TRIM(P234:S234))="(seleccione)"),"",PROPER(TRIM(P234:S234)))))*(CAT_Procesos!$D$2:$D$1581=IFERROR(VLOOKUP(N234&amp;"*",CAT_Procesos!$D:$D,1,FALSE),"")))),INDEX(CAT_Procesos!$G$2:$G$1581,MATCH(1,(CAT_Procesos!$E$2:$E$1581=O234)*(CAT_Procesos!$F$2:$F$1581=_xlfn.TEXTJOIN(" + ",TRUE,IF((TRIM(P234:S234)="")+(LOWER(TRIM(P234:S234))="(seleccione)"),"",PROPER(TRIM(P234:S234)))))*(CAT_Procesos!$D$2:$D$1581=IFERROR(VLOOKUP(N234&amp;"*",CAT_Procesos!$D:$D,1,FALSE),"")),0)),"(seleccione)"))</f>
        <v>Combinación no existente</v>
      </c>
      <c r="V234" s="55" t="s">
        <v>73</v>
      </c>
      <c r="W234" s="56" t="s">
        <v>73</v>
      </c>
      <c r="X234" s="57" t="str">
        <f t="shared" si="12"/>
        <v/>
      </c>
      <c r="Y234" s="58" t="s">
        <v>73</v>
      </c>
      <c r="Z234" s="57" t="str">
        <f t="shared" si="13"/>
        <v/>
      </c>
      <c r="AA234" s="58" t="s">
        <v>73</v>
      </c>
      <c r="AB234" s="57" t="str">
        <f t="shared" si="14"/>
        <v/>
      </c>
      <c r="AC234" s="58" t="s">
        <v>73</v>
      </c>
      <c r="AD234" s="57" t="str">
        <f t="shared" si="15"/>
        <v/>
      </c>
      <c r="AE234" s="59"/>
      <c r="AF234" s="59"/>
      <c r="AG234" s="59"/>
      <c r="AH234" s="59"/>
      <c r="AI234" s="59" t="s">
        <v>73</v>
      </c>
      <c r="AJ234" s="59"/>
      <c r="AK234" s="59" t="s">
        <v>73</v>
      </c>
      <c r="AL234" s="59"/>
      <c r="AM234" s="59" t="s">
        <v>73</v>
      </c>
      <c r="AN234" s="59"/>
      <c r="AO234" s="59" t="s">
        <v>73</v>
      </c>
      <c r="AP234" s="59"/>
      <c r="AQ234" s="59" t="s">
        <v>73</v>
      </c>
      <c r="AR234" s="59"/>
      <c r="AS234" s="59" t="s">
        <v>72</v>
      </c>
      <c r="AT234" s="59"/>
      <c r="AU234" s="59"/>
      <c r="AV234" s="59"/>
      <c r="AW234" s="59"/>
      <c r="AX234" s="59"/>
      <c r="AY234" s="60" t="str">
        <f>IF('Cálculo MP'!K244="","",'Cálculo MP'!K244)</f>
        <v/>
      </c>
      <c r="AZ234" s="60" t="str">
        <f>IF('Cálculo MP'!L244="","",'Cálculo MP'!L244)</f>
        <v/>
      </c>
      <c r="BA234" s="60" t="str">
        <f>IF('Cálculo MP'!M244="","",'Cálculo MP'!M244)</f>
        <v/>
      </c>
      <c r="BB234" s="60" t="str">
        <f>IF('Cálculo MP'!N244="","",'Cálculo MP'!N244)</f>
        <v/>
      </c>
      <c r="BC234" s="60" t="str">
        <f>IF('Cálculo MP'!O244="","",'Cálculo MP'!O244)</f>
        <v/>
      </c>
      <c r="BD234" s="60" t="str">
        <f>IF('Cálculo MP'!P244="","",'Cálculo MP'!P244)</f>
        <v/>
      </c>
      <c r="BE234" s="60" t="str">
        <f>IF('Cálculo MP'!Q244="","",'Cálculo MP'!Q244)</f>
        <v/>
      </c>
      <c r="BF234" s="60" t="str">
        <f>IF('Cálculo MP'!R244="","",'Cálculo MP'!R244)</f>
        <v/>
      </c>
      <c r="BG234" s="60" t="str">
        <f>IF('Cálculo MP'!S244="","",'Cálculo MP'!S244)</f>
        <v/>
      </c>
      <c r="BH234" s="59"/>
      <c r="BI234" s="59"/>
      <c r="BJ234" s="59"/>
      <c r="BK234" s="59"/>
      <c r="BL234" s="59"/>
      <c r="BM234" s="59"/>
      <c r="BN234" s="59"/>
      <c r="BO234" s="59"/>
    </row>
    <row r="235" spans="1:67" ht="19.5" customHeight="1" x14ac:dyDescent="0.15">
      <c r="A235" s="123" t="s">
        <v>1856</v>
      </c>
      <c r="B235" s="122" t="s">
        <v>1854</v>
      </c>
      <c r="C235" s="49"/>
      <c r="D235" s="48" t="s">
        <v>73</v>
      </c>
      <c r="E235" s="49"/>
      <c r="F235" s="50"/>
      <c r="G235" s="62"/>
      <c r="H235" s="48" t="s">
        <v>72</v>
      </c>
      <c r="I235" s="52">
        <v>1</v>
      </c>
      <c r="J235" s="52"/>
      <c r="K235" s="52" t="s">
        <v>73</v>
      </c>
      <c r="L235" s="52" t="s">
        <v>74</v>
      </c>
      <c r="M235" s="53" t="s">
        <v>942</v>
      </c>
      <c r="N235" s="58" t="s">
        <v>73</v>
      </c>
      <c r="O235" s="48" t="s">
        <v>72</v>
      </c>
      <c r="P235" s="48" t="s">
        <v>73</v>
      </c>
      <c r="Q235" s="54" t="s">
        <v>73</v>
      </c>
      <c r="R235" s="55" t="s">
        <v>73</v>
      </c>
      <c r="S235" s="48" t="s">
        <v>73</v>
      </c>
      <c r="T235" s="130"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8" t="str" cm="1">
        <f t="array" ref="U235">IF(SUMPRODUCT(--((CAT_Procesos!$E$2:$E$1581=O235)*(CAT_Procesos!$F$2:$F$1581=_xlfn.TEXTJOIN(" + ",TRUE,IF((TRIM(P235:S235)="")+(LOWER(TRIM(P235:S235))="(seleccione)"),"",PROPER(TRIM(P235:S235)))))*(CAT_Procesos!$D$2:$D$1581=IFERROR(VLOOKUP(N235&amp;"*",CAT_Procesos!$D:$D,1,FALSE),""))))=0,"Combinación no existente",IF(SUMPRODUCT(((CAT_Procesos!$E$2:$E$1581=O235)*(CAT_Procesos!$F$2:$F$1581=_xlfn.TEXTJOIN(" + ",TRUE,IF((TRIM(P235:S235)="")+(LOWER(TRIM(P235:S235))="(seleccione)"),"",PROPER(TRIM(P235:S235)))))*(CAT_Procesos!$D$2:$D$1581=IFERROR(VLOOKUP(N235&amp;"*",CAT_Procesos!$D:$D,1,FALSE),"")))*(CAT_Procesos!$G$2:$G$1581=INDEX(CAT_Procesos!$G$2:$G$1581,MATCH(1,(CAT_Procesos!$E$2:$E$1581=O235)*(CAT_Procesos!$F$2:$F$1581=_xlfn.TEXTJOIN(" + ",TRUE,IF((TRIM(P235:S235)="")+(LOWER(TRIM(P235:S235))="(seleccione)"),"",PROPER(TRIM(P235:S235)))))*(CAT_Procesos!$D$2:$D$1581=IFERROR(VLOOKUP(N235&amp;"*",CAT_Procesos!$D:$D,1,FALSE),"")),0))))=SUMPRODUCT(--((CAT_Procesos!$E$2:$E$1581=O235)*(CAT_Procesos!$F$2:$F$1581=_xlfn.TEXTJOIN(" + ",TRUE,IF((TRIM(P235:S235)="")+(LOWER(TRIM(P235:S235))="(seleccione)"),"",PROPER(TRIM(P235:S235)))))*(CAT_Procesos!$D$2:$D$1581=IFERROR(VLOOKUP(N235&amp;"*",CAT_Procesos!$D:$D,1,FALSE),"")))),INDEX(CAT_Procesos!$G$2:$G$1581,MATCH(1,(CAT_Procesos!$E$2:$E$1581=O235)*(CAT_Procesos!$F$2:$F$1581=_xlfn.TEXTJOIN(" + ",TRUE,IF((TRIM(P235:S235)="")+(LOWER(TRIM(P235:S235))="(seleccione)"),"",PROPER(TRIM(P235:S235)))))*(CAT_Procesos!$D$2:$D$1581=IFERROR(VLOOKUP(N235&amp;"*",CAT_Procesos!$D:$D,1,FALSE),"")),0)),"(seleccione)"))</f>
        <v>Combinación no existente</v>
      </c>
      <c r="V235" s="55" t="s">
        <v>73</v>
      </c>
      <c r="W235" s="56" t="s">
        <v>73</v>
      </c>
      <c r="X235" s="57" t="str">
        <f t="shared" si="12"/>
        <v/>
      </c>
      <c r="Y235" s="58" t="s">
        <v>73</v>
      </c>
      <c r="Z235" s="57" t="str">
        <f t="shared" si="13"/>
        <v/>
      </c>
      <c r="AA235" s="58" t="s">
        <v>73</v>
      </c>
      <c r="AB235" s="57" t="str">
        <f t="shared" si="14"/>
        <v/>
      </c>
      <c r="AC235" s="58" t="s">
        <v>73</v>
      </c>
      <c r="AD235" s="57" t="str">
        <f t="shared" si="15"/>
        <v/>
      </c>
      <c r="AE235" s="59"/>
      <c r="AF235" s="59"/>
      <c r="AG235" s="59"/>
      <c r="AH235" s="59"/>
      <c r="AI235" s="59" t="s">
        <v>73</v>
      </c>
      <c r="AJ235" s="59"/>
      <c r="AK235" s="59" t="s">
        <v>73</v>
      </c>
      <c r="AL235" s="59"/>
      <c r="AM235" s="59" t="s">
        <v>73</v>
      </c>
      <c r="AN235" s="59"/>
      <c r="AO235" s="59" t="s">
        <v>73</v>
      </c>
      <c r="AP235" s="59"/>
      <c r="AQ235" s="59" t="s">
        <v>73</v>
      </c>
      <c r="AR235" s="59"/>
      <c r="AS235" s="59" t="s">
        <v>72</v>
      </c>
      <c r="AT235" s="59"/>
      <c r="AU235" s="59"/>
      <c r="AV235" s="59"/>
      <c r="AW235" s="59"/>
      <c r="AX235" s="59"/>
      <c r="AY235" s="60" t="str">
        <f>IF('Cálculo MP'!K245="","",'Cálculo MP'!K245)</f>
        <v/>
      </c>
      <c r="AZ235" s="60" t="str">
        <f>IF('Cálculo MP'!L245="","",'Cálculo MP'!L245)</f>
        <v/>
      </c>
      <c r="BA235" s="60" t="str">
        <f>IF('Cálculo MP'!M245="","",'Cálculo MP'!M245)</f>
        <v/>
      </c>
      <c r="BB235" s="60" t="str">
        <f>IF('Cálculo MP'!N245="","",'Cálculo MP'!N245)</f>
        <v/>
      </c>
      <c r="BC235" s="60" t="str">
        <f>IF('Cálculo MP'!O245="","",'Cálculo MP'!O245)</f>
        <v/>
      </c>
      <c r="BD235" s="60" t="str">
        <f>IF('Cálculo MP'!P245="","",'Cálculo MP'!P245)</f>
        <v/>
      </c>
      <c r="BE235" s="60" t="str">
        <f>IF('Cálculo MP'!Q245="","",'Cálculo MP'!Q245)</f>
        <v/>
      </c>
      <c r="BF235" s="60" t="str">
        <f>IF('Cálculo MP'!R245="","",'Cálculo MP'!R245)</f>
        <v/>
      </c>
      <c r="BG235" s="60" t="str">
        <f>IF('Cálculo MP'!S245="","",'Cálculo MP'!S245)</f>
        <v/>
      </c>
      <c r="BH235" s="59"/>
      <c r="BI235" s="59"/>
      <c r="BJ235" s="59"/>
      <c r="BK235" s="59"/>
      <c r="BL235" s="59"/>
      <c r="BM235" s="59"/>
      <c r="BN235" s="59"/>
      <c r="BO235" s="59"/>
    </row>
    <row r="236" spans="1:67" ht="19.5" customHeight="1" x14ac:dyDescent="0.15">
      <c r="A236" s="123" t="s">
        <v>1856</v>
      </c>
      <c r="B236" s="122" t="s">
        <v>1854</v>
      </c>
      <c r="C236" s="49"/>
      <c r="D236" s="48" t="s">
        <v>73</v>
      </c>
      <c r="E236" s="49"/>
      <c r="F236" s="50"/>
      <c r="G236" s="62"/>
      <c r="H236" s="48" t="s">
        <v>72</v>
      </c>
      <c r="I236" s="52">
        <v>1</v>
      </c>
      <c r="J236" s="52"/>
      <c r="K236" s="52" t="s">
        <v>73</v>
      </c>
      <c r="L236" s="52" t="s">
        <v>74</v>
      </c>
      <c r="M236" s="53" t="s">
        <v>942</v>
      </c>
      <c r="N236" s="58" t="s">
        <v>73</v>
      </c>
      <c r="O236" s="48" t="s">
        <v>72</v>
      </c>
      <c r="P236" s="48" t="s">
        <v>73</v>
      </c>
      <c r="Q236" s="54" t="s">
        <v>73</v>
      </c>
      <c r="R236" s="55" t="s">
        <v>73</v>
      </c>
      <c r="S236" s="48" t="s">
        <v>73</v>
      </c>
      <c r="T236" s="130"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8" t="str" cm="1">
        <f t="array" ref="U236">IF(SUMPRODUCT(--((CAT_Procesos!$E$2:$E$1581=O236)*(CAT_Procesos!$F$2:$F$1581=_xlfn.TEXTJOIN(" + ",TRUE,IF((TRIM(P236:S236)="")+(LOWER(TRIM(P236:S236))="(seleccione)"),"",PROPER(TRIM(P236:S236)))))*(CAT_Procesos!$D$2:$D$1581=IFERROR(VLOOKUP(N236&amp;"*",CAT_Procesos!$D:$D,1,FALSE),""))))=0,"Combinación no existente",IF(SUMPRODUCT(((CAT_Procesos!$E$2:$E$1581=O236)*(CAT_Procesos!$F$2:$F$1581=_xlfn.TEXTJOIN(" + ",TRUE,IF((TRIM(P236:S236)="")+(LOWER(TRIM(P236:S236))="(seleccione)"),"",PROPER(TRIM(P236:S236)))))*(CAT_Procesos!$D$2:$D$1581=IFERROR(VLOOKUP(N236&amp;"*",CAT_Procesos!$D:$D,1,FALSE),"")))*(CAT_Procesos!$G$2:$G$1581=INDEX(CAT_Procesos!$G$2:$G$1581,MATCH(1,(CAT_Procesos!$E$2:$E$1581=O236)*(CAT_Procesos!$F$2:$F$1581=_xlfn.TEXTJOIN(" + ",TRUE,IF((TRIM(P236:S236)="")+(LOWER(TRIM(P236:S236))="(seleccione)"),"",PROPER(TRIM(P236:S236)))))*(CAT_Procesos!$D$2:$D$1581=IFERROR(VLOOKUP(N236&amp;"*",CAT_Procesos!$D:$D,1,FALSE),"")),0))))=SUMPRODUCT(--((CAT_Procesos!$E$2:$E$1581=O236)*(CAT_Procesos!$F$2:$F$1581=_xlfn.TEXTJOIN(" + ",TRUE,IF((TRIM(P236:S236)="")+(LOWER(TRIM(P236:S236))="(seleccione)"),"",PROPER(TRIM(P236:S236)))))*(CAT_Procesos!$D$2:$D$1581=IFERROR(VLOOKUP(N236&amp;"*",CAT_Procesos!$D:$D,1,FALSE),"")))),INDEX(CAT_Procesos!$G$2:$G$1581,MATCH(1,(CAT_Procesos!$E$2:$E$1581=O236)*(CAT_Procesos!$F$2:$F$1581=_xlfn.TEXTJOIN(" + ",TRUE,IF((TRIM(P236:S236)="")+(LOWER(TRIM(P236:S236))="(seleccione)"),"",PROPER(TRIM(P236:S236)))))*(CAT_Procesos!$D$2:$D$1581=IFERROR(VLOOKUP(N236&amp;"*",CAT_Procesos!$D:$D,1,FALSE),"")),0)),"(seleccione)"))</f>
        <v>Combinación no existente</v>
      </c>
      <c r="V236" s="55" t="s">
        <v>73</v>
      </c>
      <c r="W236" s="56" t="s">
        <v>73</v>
      </c>
      <c r="X236" s="57" t="str">
        <f t="shared" si="12"/>
        <v/>
      </c>
      <c r="Y236" s="58" t="s">
        <v>73</v>
      </c>
      <c r="Z236" s="57" t="str">
        <f t="shared" si="13"/>
        <v/>
      </c>
      <c r="AA236" s="58" t="s">
        <v>73</v>
      </c>
      <c r="AB236" s="57" t="str">
        <f t="shared" si="14"/>
        <v/>
      </c>
      <c r="AC236" s="58" t="s">
        <v>73</v>
      </c>
      <c r="AD236" s="57" t="str">
        <f t="shared" si="15"/>
        <v/>
      </c>
      <c r="AE236" s="59"/>
      <c r="AF236" s="59"/>
      <c r="AG236" s="59"/>
      <c r="AH236" s="59"/>
      <c r="AI236" s="59" t="s">
        <v>73</v>
      </c>
      <c r="AJ236" s="59"/>
      <c r="AK236" s="59" t="s">
        <v>73</v>
      </c>
      <c r="AL236" s="59"/>
      <c r="AM236" s="59" t="s">
        <v>73</v>
      </c>
      <c r="AN236" s="59"/>
      <c r="AO236" s="59" t="s">
        <v>73</v>
      </c>
      <c r="AP236" s="59"/>
      <c r="AQ236" s="59" t="s">
        <v>73</v>
      </c>
      <c r="AR236" s="59"/>
      <c r="AS236" s="59" t="s">
        <v>72</v>
      </c>
      <c r="AT236" s="59"/>
      <c r="AU236" s="59"/>
      <c r="AV236" s="59"/>
      <c r="AW236" s="59"/>
      <c r="AX236" s="59"/>
      <c r="AY236" s="60" t="str">
        <f>IF('Cálculo MP'!K246="","",'Cálculo MP'!K246)</f>
        <v/>
      </c>
      <c r="AZ236" s="60" t="str">
        <f>IF('Cálculo MP'!L246="","",'Cálculo MP'!L246)</f>
        <v/>
      </c>
      <c r="BA236" s="60" t="str">
        <f>IF('Cálculo MP'!M246="","",'Cálculo MP'!M246)</f>
        <v/>
      </c>
      <c r="BB236" s="60" t="str">
        <f>IF('Cálculo MP'!N246="","",'Cálculo MP'!N246)</f>
        <v/>
      </c>
      <c r="BC236" s="60" t="str">
        <f>IF('Cálculo MP'!O246="","",'Cálculo MP'!O246)</f>
        <v/>
      </c>
      <c r="BD236" s="60" t="str">
        <f>IF('Cálculo MP'!P246="","",'Cálculo MP'!P246)</f>
        <v/>
      </c>
      <c r="BE236" s="60" t="str">
        <f>IF('Cálculo MP'!Q246="","",'Cálculo MP'!Q246)</f>
        <v/>
      </c>
      <c r="BF236" s="60" t="str">
        <f>IF('Cálculo MP'!R246="","",'Cálculo MP'!R246)</f>
        <v/>
      </c>
      <c r="BG236" s="60" t="str">
        <f>IF('Cálculo MP'!S246="","",'Cálculo MP'!S246)</f>
        <v/>
      </c>
      <c r="BH236" s="59"/>
      <c r="BI236" s="59"/>
      <c r="BJ236" s="59"/>
      <c r="BK236" s="59"/>
      <c r="BL236" s="59"/>
      <c r="BM236" s="59"/>
      <c r="BN236" s="59"/>
      <c r="BO236" s="59"/>
    </row>
    <row r="237" spans="1:67" ht="19.5" customHeight="1" x14ac:dyDescent="0.15">
      <c r="A237" s="123" t="s">
        <v>1856</v>
      </c>
      <c r="B237" s="122" t="s">
        <v>1854</v>
      </c>
      <c r="C237" s="49"/>
      <c r="D237" s="48" t="s">
        <v>73</v>
      </c>
      <c r="E237" s="49"/>
      <c r="F237" s="50"/>
      <c r="G237" s="62"/>
      <c r="H237" s="48" t="s">
        <v>72</v>
      </c>
      <c r="I237" s="52">
        <v>1</v>
      </c>
      <c r="J237" s="52"/>
      <c r="K237" s="52" t="s">
        <v>73</v>
      </c>
      <c r="L237" s="52" t="s">
        <v>74</v>
      </c>
      <c r="M237" s="53" t="s">
        <v>942</v>
      </c>
      <c r="N237" s="58" t="s">
        <v>73</v>
      </c>
      <c r="O237" s="48" t="s">
        <v>72</v>
      </c>
      <c r="P237" s="48" t="s">
        <v>73</v>
      </c>
      <c r="Q237" s="54" t="s">
        <v>73</v>
      </c>
      <c r="R237" s="55" t="s">
        <v>73</v>
      </c>
      <c r="S237" s="48" t="s">
        <v>73</v>
      </c>
      <c r="T237" s="130"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8" t="str" cm="1">
        <f t="array" ref="U237">IF(SUMPRODUCT(--((CAT_Procesos!$E$2:$E$1581=O237)*(CAT_Procesos!$F$2:$F$1581=_xlfn.TEXTJOIN(" + ",TRUE,IF((TRIM(P237:S237)="")+(LOWER(TRIM(P237:S237))="(seleccione)"),"",PROPER(TRIM(P237:S237)))))*(CAT_Procesos!$D$2:$D$1581=IFERROR(VLOOKUP(N237&amp;"*",CAT_Procesos!$D:$D,1,FALSE),""))))=0,"Combinación no existente",IF(SUMPRODUCT(((CAT_Procesos!$E$2:$E$1581=O237)*(CAT_Procesos!$F$2:$F$1581=_xlfn.TEXTJOIN(" + ",TRUE,IF((TRIM(P237:S237)="")+(LOWER(TRIM(P237:S237))="(seleccione)"),"",PROPER(TRIM(P237:S237)))))*(CAT_Procesos!$D$2:$D$1581=IFERROR(VLOOKUP(N237&amp;"*",CAT_Procesos!$D:$D,1,FALSE),"")))*(CAT_Procesos!$G$2:$G$1581=INDEX(CAT_Procesos!$G$2:$G$1581,MATCH(1,(CAT_Procesos!$E$2:$E$1581=O237)*(CAT_Procesos!$F$2:$F$1581=_xlfn.TEXTJOIN(" + ",TRUE,IF((TRIM(P237:S237)="")+(LOWER(TRIM(P237:S237))="(seleccione)"),"",PROPER(TRIM(P237:S237)))))*(CAT_Procesos!$D$2:$D$1581=IFERROR(VLOOKUP(N237&amp;"*",CAT_Procesos!$D:$D,1,FALSE),"")),0))))=SUMPRODUCT(--((CAT_Procesos!$E$2:$E$1581=O237)*(CAT_Procesos!$F$2:$F$1581=_xlfn.TEXTJOIN(" + ",TRUE,IF((TRIM(P237:S237)="")+(LOWER(TRIM(P237:S237))="(seleccione)"),"",PROPER(TRIM(P237:S237)))))*(CAT_Procesos!$D$2:$D$1581=IFERROR(VLOOKUP(N237&amp;"*",CAT_Procesos!$D:$D,1,FALSE),"")))),INDEX(CAT_Procesos!$G$2:$G$1581,MATCH(1,(CAT_Procesos!$E$2:$E$1581=O237)*(CAT_Procesos!$F$2:$F$1581=_xlfn.TEXTJOIN(" + ",TRUE,IF((TRIM(P237:S237)="")+(LOWER(TRIM(P237:S237))="(seleccione)"),"",PROPER(TRIM(P237:S237)))))*(CAT_Procesos!$D$2:$D$1581=IFERROR(VLOOKUP(N237&amp;"*",CAT_Procesos!$D:$D,1,FALSE),"")),0)),"(seleccione)"))</f>
        <v>Combinación no existente</v>
      </c>
      <c r="V237" s="55" t="s">
        <v>73</v>
      </c>
      <c r="W237" s="56" t="s">
        <v>73</v>
      </c>
      <c r="X237" s="57" t="str">
        <f t="shared" si="12"/>
        <v/>
      </c>
      <c r="Y237" s="58" t="s">
        <v>73</v>
      </c>
      <c r="Z237" s="57" t="str">
        <f t="shared" si="13"/>
        <v/>
      </c>
      <c r="AA237" s="58" t="s">
        <v>73</v>
      </c>
      <c r="AB237" s="57" t="str">
        <f t="shared" si="14"/>
        <v/>
      </c>
      <c r="AC237" s="58" t="s">
        <v>73</v>
      </c>
      <c r="AD237" s="57" t="str">
        <f t="shared" si="15"/>
        <v/>
      </c>
      <c r="AE237" s="59"/>
      <c r="AF237" s="59"/>
      <c r="AG237" s="59"/>
      <c r="AH237" s="59"/>
      <c r="AI237" s="59" t="s">
        <v>73</v>
      </c>
      <c r="AJ237" s="59"/>
      <c r="AK237" s="59" t="s">
        <v>73</v>
      </c>
      <c r="AL237" s="59"/>
      <c r="AM237" s="59" t="s">
        <v>73</v>
      </c>
      <c r="AN237" s="59"/>
      <c r="AO237" s="59" t="s">
        <v>73</v>
      </c>
      <c r="AP237" s="59"/>
      <c r="AQ237" s="59" t="s">
        <v>73</v>
      </c>
      <c r="AR237" s="59"/>
      <c r="AS237" s="59" t="s">
        <v>72</v>
      </c>
      <c r="AT237" s="59"/>
      <c r="AU237" s="59"/>
      <c r="AV237" s="59"/>
      <c r="AW237" s="59"/>
      <c r="AX237" s="59"/>
      <c r="AY237" s="60" t="str">
        <f>IF('Cálculo MP'!K247="","",'Cálculo MP'!K247)</f>
        <v/>
      </c>
      <c r="AZ237" s="60" t="str">
        <f>IF('Cálculo MP'!L247="","",'Cálculo MP'!L247)</f>
        <v/>
      </c>
      <c r="BA237" s="60" t="str">
        <f>IF('Cálculo MP'!M247="","",'Cálculo MP'!M247)</f>
        <v/>
      </c>
      <c r="BB237" s="60" t="str">
        <f>IF('Cálculo MP'!N247="","",'Cálculo MP'!N247)</f>
        <v/>
      </c>
      <c r="BC237" s="60" t="str">
        <f>IF('Cálculo MP'!O247="","",'Cálculo MP'!O247)</f>
        <v/>
      </c>
      <c r="BD237" s="60" t="str">
        <f>IF('Cálculo MP'!P247="","",'Cálculo MP'!P247)</f>
        <v/>
      </c>
      <c r="BE237" s="60" t="str">
        <f>IF('Cálculo MP'!Q247="","",'Cálculo MP'!Q247)</f>
        <v/>
      </c>
      <c r="BF237" s="60" t="str">
        <f>IF('Cálculo MP'!R247="","",'Cálculo MP'!R247)</f>
        <v/>
      </c>
      <c r="BG237" s="60" t="str">
        <f>IF('Cálculo MP'!S247="","",'Cálculo MP'!S247)</f>
        <v/>
      </c>
      <c r="BH237" s="59"/>
      <c r="BI237" s="59"/>
      <c r="BJ237" s="59"/>
      <c r="BK237" s="59"/>
      <c r="BL237" s="59"/>
      <c r="BM237" s="59"/>
      <c r="BN237" s="59"/>
      <c r="BO237" s="59"/>
    </row>
    <row r="238" spans="1:67" ht="19.5" customHeight="1" x14ac:dyDescent="0.15">
      <c r="A238" s="123" t="s">
        <v>1856</v>
      </c>
      <c r="B238" s="122" t="s">
        <v>1854</v>
      </c>
      <c r="C238" s="49"/>
      <c r="D238" s="48" t="s">
        <v>73</v>
      </c>
      <c r="E238" s="49"/>
      <c r="F238" s="50"/>
      <c r="G238" s="62"/>
      <c r="H238" s="48" t="s">
        <v>72</v>
      </c>
      <c r="I238" s="52">
        <v>1</v>
      </c>
      <c r="J238" s="52"/>
      <c r="K238" s="52" t="s">
        <v>73</v>
      </c>
      <c r="L238" s="52" t="s">
        <v>74</v>
      </c>
      <c r="M238" s="53" t="s">
        <v>942</v>
      </c>
      <c r="N238" s="58" t="s">
        <v>73</v>
      </c>
      <c r="O238" s="48" t="s">
        <v>72</v>
      </c>
      <c r="P238" s="48" t="s">
        <v>73</v>
      </c>
      <c r="Q238" s="54" t="s">
        <v>73</v>
      </c>
      <c r="R238" s="55" t="s">
        <v>73</v>
      </c>
      <c r="S238" s="48" t="s">
        <v>73</v>
      </c>
      <c r="T238" s="130"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8" t="str" cm="1">
        <f t="array" ref="U238">IF(SUMPRODUCT(--((CAT_Procesos!$E$2:$E$1581=O238)*(CAT_Procesos!$F$2:$F$1581=_xlfn.TEXTJOIN(" + ",TRUE,IF((TRIM(P238:S238)="")+(LOWER(TRIM(P238:S238))="(seleccione)"),"",PROPER(TRIM(P238:S238)))))*(CAT_Procesos!$D$2:$D$1581=IFERROR(VLOOKUP(N238&amp;"*",CAT_Procesos!$D:$D,1,FALSE),""))))=0,"Combinación no existente",IF(SUMPRODUCT(((CAT_Procesos!$E$2:$E$1581=O238)*(CAT_Procesos!$F$2:$F$1581=_xlfn.TEXTJOIN(" + ",TRUE,IF((TRIM(P238:S238)="")+(LOWER(TRIM(P238:S238))="(seleccione)"),"",PROPER(TRIM(P238:S238)))))*(CAT_Procesos!$D$2:$D$1581=IFERROR(VLOOKUP(N238&amp;"*",CAT_Procesos!$D:$D,1,FALSE),"")))*(CAT_Procesos!$G$2:$G$1581=INDEX(CAT_Procesos!$G$2:$G$1581,MATCH(1,(CAT_Procesos!$E$2:$E$1581=O238)*(CAT_Procesos!$F$2:$F$1581=_xlfn.TEXTJOIN(" + ",TRUE,IF((TRIM(P238:S238)="")+(LOWER(TRIM(P238:S238))="(seleccione)"),"",PROPER(TRIM(P238:S238)))))*(CAT_Procesos!$D$2:$D$1581=IFERROR(VLOOKUP(N238&amp;"*",CAT_Procesos!$D:$D,1,FALSE),"")),0))))=SUMPRODUCT(--((CAT_Procesos!$E$2:$E$1581=O238)*(CAT_Procesos!$F$2:$F$1581=_xlfn.TEXTJOIN(" + ",TRUE,IF((TRIM(P238:S238)="")+(LOWER(TRIM(P238:S238))="(seleccione)"),"",PROPER(TRIM(P238:S238)))))*(CAT_Procesos!$D$2:$D$1581=IFERROR(VLOOKUP(N238&amp;"*",CAT_Procesos!$D:$D,1,FALSE),"")))),INDEX(CAT_Procesos!$G$2:$G$1581,MATCH(1,(CAT_Procesos!$E$2:$E$1581=O238)*(CAT_Procesos!$F$2:$F$1581=_xlfn.TEXTJOIN(" + ",TRUE,IF((TRIM(P238:S238)="")+(LOWER(TRIM(P238:S238))="(seleccione)"),"",PROPER(TRIM(P238:S238)))))*(CAT_Procesos!$D$2:$D$1581=IFERROR(VLOOKUP(N238&amp;"*",CAT_Procesos!$D:$D,1,FALSE),"")),0)),"(seleccione)"))</f>
        <v>Combinación no existente</v>
      </c>
      <c r="V238" s="55" t="s">
        <v>73</v>
      </c>
      <c r="W238" s="56" t="s">
        <v>73</v>
      </c>
      <c r="X238" s="57" t="str">
        <f t="shared" si="12"/>
        <v/>
      </c>
      <c r="Y238" s="58" t="s">
        <v>73</v>
      </c>
      <c r="Z238" s="57" t="str">
        <f t="shared" si="13"/>
        <v/>
      </c>
      <c r="AA238" s="58" t="s">
        <v>73</v>
      </c>
      <c r="AB238" s="57" t="str">
        <f t="shared" si="14"/>
        <v/>
      </c>
      <c r="AC238" s="58" t="s">
        <v>73</v>
      </c>
      <c r="AD238" s="57" t="str">
        <f t="shared" si="15"/>
        <v/>
      </c>
      <c r="AE238" s="59"/>
      <c r="AF238" s="59"/>
      <c r="AG238" s="59"/>
      <c r="AH238" s="59"/>
      <c r="AI238" s="59" t="s">
        <v>73</v>
      </c>
      <c r="AJ238" s="59"/>
      <c r="AK238" s="59" t="s">
        <v>73</v>
      </c>
      <c r="AL238" s="59"/>
      <c r="AM238" s="59" t="s">
        <v>73</v>
      </c>
      <c r="AN238" s="59"/>
      <c r="AO238" s="59" t="s">
        <v>73</v>
      </c>
      <c r="AP238" s="59"/>
      <c r="AQ238" s="59" t="s">
        <v>73</v>
      </c>
      <c r="AR238" s="59"/>
      <c r="AS238" s="59" t="s">
        <v>72</v>
      </c>
      <c r="AT238" s="59"/>
      <c r="AU238" s="59"/>
      <c r="AV238" s="59"/>
      <c r="AW238" s="59"/>
      <c r="AX238" s="59"/>
      <c r="AY238" s="60" t="str">
        <f>IF('Cálculo MP'!K248="","",'Cálculo MP'!K248)</f>
        <v/>
      </c>
      <c r="AZ238" s="60" t="str">
        <f>IF('Cálculo MP'!L248="","",'Cálculo MP'!L248)</f>
        <v/>
      </c>
      <c r="BA238" s="60" t="str">
        <f>IF('Cálculo MP'!M248="","",'Cálculo MP'!M248)</f>
        <v/>
      </c>
      <c r="BB238" s="60" t="str">
        <f>IF('Cálculo MP'!N248="","",'Cálculo MP'!N248)</f>
        <v/>
      </c>
      <c r="BC238" s="60" t="str">
        <f>IF('Cálculo MP'!O248="","",'Cálculo MP'!O248)</f>
        <v/>
      </c>
      <c r="BD238" s="60" t="str">
        <f>IF('Cálculo MP'!P248="","",'Cálculo MP'!P248)</f>
        <v/>
      </c>
      <c r="BE238" s="60" t="str">
        <f>IF('Cálculo MP'!Q248="","",'Cálculo MP'!Q248)</f>
        <v/>
      </c>
      <c r="BF238" s="60" t="str">
        <f>IF('Cálculo MP'!R248="","",'Cálculo MP'!R248)</f>
        <v/>
      </c>
      <c r="BG238" s="60" t="str">
        <f>IF('Cálculo MP'!S248="","",'Cálculo MP'!S248)</f>
        <v/>
      </c>
      <c r="BH238" s="59"/>
      <c r="BI238" s="59"/>
      <c r="BJ238" s="59"/>
      <c r="BK238" s="59"/>
      <c r="BL238" s="59"/>
      <c r="BM238" s="59"/>
      <c r="BN238" s="59"/>
      <c r="BO238" s="59"/>
    </row>
    <row r="239" spans="1:67" ht="19.5" customHeight="1" x14ac:dyDescent="0.15">
      <c r="A239" s="123" t="s">
        <v>1856</v>
      </c>
      <c r="B239" s="122" t="s">
        <v>1854</v>
      </c>
      <c r="C239" s="49"/>
      <c r="D239" s="48" t="s">
        <v>73</v>
      </c>
      <c r="E239" s="49"/>
      <c r="F239" s="50"/>
      <c r="G239" s="62"/>
      <c r="H239" s="48" t="s">
        <v>72</v>
      </c>
      <c r="I239" s="52">
        <v>1</v>
      </c>
      <c r="J239" s="52"/>
      <c r="K239" s="52" t="s">
        <v>73</v>
      </c>
      <c r="L239" s="52" t="s">
        <v>74</v>
      </c>
      <c r="M239" s="53" t="s">
        <v>942</v>
      </c>
      <c r="N239" s="58" t="s">
        <v>73</v>
      </c>
      <c r="O239" s="48" t="s">
        <v>72</v>
      </c>
      <c r="P239" s="48" t="s">
        <v>73</v>
      </c>
      <c r="Q239" s="54" t="s">
        <v>73</v>
      </c>
      <c r="R239" s="55" t="s">
        <v>73</v>
      </c>
      <c r="S239" s="48" t="s">
        <v>73</v>
      </c>
      <c r="T239" s="130"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8" t="str" cm="1">
        <f t="array" ref="U239">IF(SUMPRODUCT(--((CAT_Procesos!$E$2:$E$1581=O239)*(CAT_Procesos!$F$2:$F$1581=_xlfn.TEXTJOIN(" + ",TRUE,IF((TRIM(P239:S239)="")+(LOWER(TRIM(P239:S239))="(seleccione)"),"",PROPER(TRIM(P239:S239)))))*(CAT_Procesos!$D$2:$D$1581=IFERROR(VLOOKUP(N239&amp;"*",CAT_Procesos!$D:$D,1,FALSE),""))))=0,"Combinación no existente",IF(SUMPRODUCT(((CAT_Procesos!$E$2:$E$1581=O239)*(CAT_Procesos!$F$2:$F$1581=_xlfn.TEXTJOIN(" + ",TRUE,IF((TRIM(P239:S239)="")+(LOWER(TRIM(P239:S239))="(seleccione)"),"",PROPER(TRIM(P239:S239)))))*(CAT_Procesos!$D$2:$D$1581=IFERROR(VLOOKUP(N239&amp;"*",CAT_Procesos!$D:$D,1,FALSE),"")))*(CAT_Procesos!$G$2:$G$1581=INDEX(CAT_Procesos!$G$2:$G$1581,MATCH(1,(CAT_Procesos!$E$2:$E$1581=O239)*(CAT_Procesos!$F$2:$F$1581=_xlfn.TEXTJOIN(" + ",TRUE,IF((TRIM(P239:S239)="")+(LOWER(TRIM(P239:S239))="(seleccione)"),"",PROPER(TRIM(P239:S239)))))*(CAT_Procesos!$D$2:$D$1581=IFERROR(VLOOKUP(N239&amp;"*",CAT_Procesos!$D:$D,1,FALSE),"")),0))))=SUMPRODUCT(--((CAT_Procesos!$E$2:$E$1581=O239)*(CAT_Procesos!$F$2:$F$1581=_xlfn.TEXTJOIN(" + ",TRUE,IF((TRIM(P239:S239)="")+(LOWER(TRIM(P239:S239))="(seleccione)"),"",PROPER(TRIM(P239:S239)))))*(CAT_Procesos!$D$2:$D$1581=IFERROR(VLOOKUP(N239&amp;"*",CAT_Procesos!$D:$D,1,FALSE),"")))),INDEX(CAT_Procesos!$G$2:$G$1581,MATCH(1,(CAT_Procesos!$E$2:$E$1581=O239)*(CAT_Procesos!$F$2:$F$1581=_xlfn.TEXTJOIN(" + ",TRUE,IF((TRIM(P239:S239)="")+(LOWER(TRIM(P239:S239))="(seleccione)"),"",PROPER(TRIM(P239:S239)))))*(CAT_Procesos!$D$2:$D$1581=IFERROR(VLOOKUP(N239&amp;"*",CAT_Procesos!$D:$D,1,FALSE),"")),0)),"(seleccione)"))</f>
        <v>Combinación no existente</v>
      </c>
      <c r="V239" s="55" t="s">
        <v>73</v>
      </c>
      <c r="W239" s="56" t="s">
        <v>73</v>
      </c>
      <c r="X239" s="57" t="str">
        <f t="shared" si="12"/>
        <v/>
      </c>
      <c r="Y239" s="58" t="s">
        <v>73</v>
      </c>
      <c r="Z239" s="57" t="str">
        <f t="shared" si="13"/>
        <v/>
      </c>
      <c r="AA239" s="58" t="s">
        <v>73</v>
      </c>
      <c r="AB239" s="57" t="str">
        <f t="shared" si="14"/>
        <v/>
      </c>
      <c r="AC239" s="58" t="s">
        <v>73</v>
      </c>
      <c r="AD239" s="57" t="str">
        <f t="shared" si="15"/>
        <v/>
      </c>
      <c r="AE239" s="59"/>
      <c r="AF239" s="59"/>
      <c r="AG239" s="59"/>
      <c r="AH239" s="59"/>
      <c r="AI239" s="59" t="s">
        <v>73</v>
      </c>
      <c r="AJ239" s="59"/>
      <c r="AK239" s="59" t="s">
        <v>73</v>
      </c>
      <c r="AL239" s="59"/>
      <c r="AM239" s="59" t="s">
        <v>73</v>
      </c>
      <c r="AN239" s="59"/>
      <c r="AO239" s="59" t="s">
        <v>73</v>
      </c>
      <c r="AP239" s="59"/>
      <c r="AQ239" s="59" t="s">
        <v>73</v>
      </c>
      <c r="AR239" s="59"/>
      <c r="AS239" s="59" t="s">
        <v>72</v>
      </c>
      <c r="AT239" s="59"/>
      <c r="AU239" s="59"/>
      <c r="AV239" s="59"/>
      <c r="AW239" s="59"/>
      <c r="AX239" s="59"/>
      <c r="AY239" s="60" t="str">
        <f>IF('Cálculo MP'!K249="","",'Cálculo MP'!K249)</f>
        <v/>
      </c>
      <c r="AZ239" s="60" t="str">
        <f>IF('Cálculo MP'!L249="","",'Cálculo MP'!L249)</f>
        <v/>
      </c>
      <c r="BA239" s="60" t="str">
        <f>IF('Cálculo MP'!M249="","",'Cálculo MP'!M249)</f>
        <v/>
      </c>
      <c r="BB239" s="60" t="str">
        <f>IF('Cálculo MP'!N249="","",'Cálculo MP'!N249)</f>
        <v/>
      </c>
      <c r="BC239" s="60" t="str">
        <f>IF('Cálculo MP'!O249="","",'Cálculo MP'!O249)</f>
        <v/>
      </c>
      <c r="BD239" s="60" t="str">
        <f>IF('Cálculo MP'!P249="","",'Cálculo MP'!P249)</f>
        <v/>
      </c>
      <c r="BE239" s="60" t="str">
        <f>IF('Cálculo MP'!Q249="","",'Cálculo MP'!Q249)</f>
        <v/>
      </c>
      <c r="BF239" s="60" t="str">
        <f>IF('Cálculo MP'!R249="","",'Cálculo MP'!R249)</f>
        <v/>
      </c>
      <c r="BG239" s="60" t="str">
        <f>IF('Cálculo MP'!S249="","",'Cálculo MP'!S249)</f>
        <v/>
      </c>
      <c r="BH239" s="59"/>
      <c r="BI239" s="59"/>
      <c r="BJ239" s="59"/>
      <c r="BK239" s="59"/>
      <c r="BL239" s="59"/>
      <c r="BM239" s="59"/>
      <c r="BN239" s="59"/>
      <c r="BO239" s="59"/>
    </row>
    <row r="240" spans="1:67" ht="19.5" customHeight="1" x14ac:dyDescent="0.15">
      <c r="A240" s="123" t="s">
        <v>1856</v>
      </c>
      <c r="B240" s="122" t="s">
        <v>1854</v>
      </c>
      <c r="C240" s="49"/>
      <c r="D240" s="48" t="s">
        <v>73</v>
      </c>
      <c r="E240" s="49"/>
      <c r="F240" s="50"/>
      <c r="G240" s="62"/>
      <c r="H240" s="48" t="s">
        <v>72</v>
      </c>
      <c r="I240" s="52">
        <v>1</v>
      </c>
      <c r="J240" s="52"/>
      <c r="K240" s="52" t="s">
        <v>73</v>
      </c>
      <c r="L240" s="52" t="s">
        <v>74</v>
      </c>
      <c r="M240" s="53" t="s">
        <v>942</v>
      </c>
      <c r="N240" s="58" t="s">
        <v>73</v>
      </c>
      <c r="O240" s="48" t="s">
        <v>72</v>
      </c>
      <c r="P240" s="48" t="s">
        <v>73</v>
      </c>
      <c r="Q240" s="54" t="s">
        <v>73</v>
      </c>
      <c r="R240" s="55" t="s">
        <v>73</v>
      </c>
      <c r="S240" s="48" t="s">
        <v>73</v>
      </c>
      <c r="T240" s="130"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8" t="str" cm="1">
        <f t="array" ref="U240">IF(SUMPRODUCT(--((CAT_Procesos!$E$2:$E$1581=O240)*(CAT_Procesos!$F$2:$F$1581=_xlfn.TEXTJOIN(" + ",TRUE,IF((TRIM(P240:S240)="")+(LOWER(TRIM(P240:S240))="(seleccione)"),"",PROPER(TRIM(P240:S240)))))*(CAT_Procesos!$D$2:$D$1581=IFERROR(VLOOKUP(N240&amp;"*",CAT_Procesos!$D:$D,1,FALSE),""))))=0,"Combinación no existente",IF(SUMPRODUCT(((CAT_Procesos!$E$2:$E$1581=O240)*(CAT_Procesos!$F$2:$F$1581=_xlfn.TEXTJOIN(" + ",TRUE,IF((TRIM(P240:S240)="")+(LOWER(TRIM(P240:S240))="(seleccione)"),"",PROPER(TRIM(P240:S240)))))*(CAT_Procesos!$D$2:$D$1581=IFERROR(VLOOKUP(N240&amp;"*",CAT_Procesos!$D:$D,1,FALSE),"")))*(CAT_Procesos!$G$2:$G$1581=INDEX(CAT_Procesos!$G$2:$G$1581,MATCH(1,(CAT_Procesos!$E$2:$E$1581=O240)*(CAT_Procesos!$F$2:$F$1581=_xlfn.TEXTJOIN(" + ",TRUE,IF((TRIM(P240:S240)="")+(LOWER(TRIM(P240:S240))="(seleccione)"),"",PROPER(TRIM(P240:S240)))))*(CAT_Procesos!$D$2:$D$1581=IFERROR(VLOOKUP(N240&amp;"*",CAT_Procesos!$D:$D,1,FALSE),"")),0))))=SUMPRODUCT(--((CAT_Procesos!$E$2:$E$1581=O240)*(CAT_Procesos!$F$2:$F$1581=_xlfn.TEXTJOIN(" + ",TRUE,IF((TRIM(P240:S240)="")+(LOWER(TRIM(P240:S240))="(seleccione)"),"",PROPER(TRIM(P240:S240)))))*(CAT_Procesos!$D$2:$D$1581=IFERROR(VLOOKUP(N240&amp;"*",CAT_Procesos!$D:$D,1,FALSE),"")))),INDEX(CAT_Procesos!$G$2:$G$1581,MATCH(1,(CAT_Procesos!$E$2:$E$1581=O240)*(CAT_Procesos!$F$2:$F$1581=_xlfn.TEXTJOIN(" + ",TRUE,IF((TRIM(P240:S240)="")+(LOWER(TRIM(P240:S240))="(seleccione)"),"",PROPER(TRIM(P240:S240)))))*(CAT_Procesos!$D$2:$D$1581=IFERROR(VLOOKUP(N240&amp;"*",CAT_Procesos!$D:$D,1,FALSE),"")),0)),"(seleccione)"))</f>
        <v>Combinación no existente</v>
      </c>
      <c r="V240" s="55" t="s">
        <v>73</v>
      </c>
      <c r="W240" s="56" t="s">
        <v>73</v>
      </c>
      <c r="X240" s="57" t="str">
        <f t="shared" si="12"/>
        <v/>
      </c>
      <c r="Y240" s="58" t="s">
        <v>73</v>
      </c>
      <c r="Z240" s="57" t="str">
        <f t="shared" si="13"/>
        <v/>
      </c>
      <c r="AA240" s="58" t="s">
        <v>73</v>
      </c>
      <c r="AB240" s="57" t="str">
        <f t="shared" si="14"/>
        <v/>
      </c>
      <c r="AC240" s="58" t="s">
        <v>73</v>
      </c>
      <c r="AD240" s="57" t="str">
        <f t="shared" si="15"/>
        <v/>
      </c>
      <c r="AE240" s="59"/>
      <c r="AF240" s="59"/>
      <c r="AG240" s="59"/>
      <c r="AH240" s="59"/>
      <c r="AI240" s="59" t="s">
        <v>73</v>
      </c>
      <c r="AJ240" s="59"/>
      <c r="AK240" s="59" t="s">
        <v>73</v>
      </c>
      <c r="AL240" s="59"/>
      <c r="AM240" s="59" t="s">
        <v>73</v>
      </c>
      <c r="AN240" s="59"/>
      <c r="AO240" s="59" t="s">
        <v>73</v>
      </c>
      <c r="AP240" s="59"/>
      <c r="AQ240" s="59" t="s">
        <v>73</v>
      </c>
      <c r="AR240" s="59"/>
      <c r="AS240" s="59" t="s">
        <v>72</v>
      </c>
      <c r="AT240" s="59"/>
      <c r="AU240" s="59"/>
      <c r="AV240" s="59"/>
      <c r="AW240" s="59"/>
      <c r="AX240" s="59"/>
      <c r="AY240" s="60" t="str">
        <f>IF('Cálculo MP'!K250="","",'Cálculo MP'!K250)</f>
        <v/>
      </c>
      <c r="AZ240" s="60" t="str">
        <f>IF('Cálculo MP'!L250="","",'Cálculo MP'!L250)</f>
        <v/>
      </c>
      <c r="BA240" s="60" t="str">
        <f>IF('Cálculo MP'!M250="","",'Cálculo MP'!M250)</f>
        <v/>
      </c>
      <c r="BB240" s="60" t="str">
        <f>IF('Cálculo MP'!N250="","",'Cálculo MP'!N250)</f>
        <v/>
      </c>
      <c r="BC240" s="60" t="str">
        <f>IF('Cálculo MP'!O250="","",'Cálculo MP'!O250)</f>
        <v/>
      </c>
      <c r="BD240" s="60" t="str">
        <f>IF('Cálculo MP'!P250="","",'Cálculo MP'!P250)</f>
        <v/>
      </c>
      <c r="BE240" s="60" t="str">
        <f>IF('Cálculo MP'!Q250="","",'Cálculo MP'!Q250)</f>
        <v/>
      </c>
      <c r="BF240" s="60" t="str">
        <f>IF('Cálculo MP'!R250="","",'Cálculo MP'!R250)</f>
        <v/>
      </c>
      <c r="BG240" s="60" t="str">
        <f>IF('Cálculo MP'!S250="","",'Cálculo MP'!S250)</f>
        <v/>
      </c>
      <c r="BH240" s="59"/>
      <c r="BI240" s="59"/>
      <c r="BJ240" s="59"/>
      <c r="BK240" s="59"/>
      <c r="BL240" s="59"/>
      <c r="BM240" s="59"/>
      <c r="BN240" s="59"/>
      <c r="BO240" s="59"/>
    </row>
    <row r="241" spans="1:67" ht="19.5" customHeight="1" x14ac:dyDescent="0.15">
      <c r="A241" s="123" t="s">
        <v>1856</v>
      </c>
      <c r="B241" s="122" t="s">
        <v>1854</v>
      </c>
      <c r="C241" s="49"/>
      <c r="D241" s="48" t="s">
        <v>73</v>
      </c>
      <c r="E241" s="49"/>
      <c r="F241" s="50"/>
      <c r="G241" s="62"/>
      <c r="H241" s="48" t="s">
        <v>72</v>
      </c>
      <c r="I241" s="52">
        <v>1</v>
      </c>
      <c r="J241" s="52"/>
      <c r="K241" s="52" t="s">
        <v>73</v>
      </c>
      <c r="L241" s="52" t="s">
        <v>74</v>
      </c>
      <c r="M241" s="53" t="s">
        <v>942</v>
      </c>
      <c r="N241" s="58" t="s">
        <v>73</v>
      </c>
      <c r="O241" s="48" t="s">
        <v>72</v>
      </c>
      <c r="P241" s="48" t="s">
        <v>73</v>
      </c>
      <c r="Q241" s="54" t="s">
        <v>73</v>
      </c>
      <c r="R241" s="55" t="s">
        <v>73</v>
      </c>
      <c r="S241" s="48" t="s">
        <v>73</v>
      </c>
      <c r="T241" s="130"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8" t="str" cm="1">
        <f t="array" ref="U241">IF(SUMPRODUCT(--((CAT_Procesos!$E$2:$E$1581=O241)*(CAT_Procesos!$F$2:$F$1581=_xlfn.TEXTJOIN(" + ",TRUE,IF((TRIM(P241:S241)="")+(LOWER(TRIM(P241:S241))="(seleccione)"),"",PROPER(TRIM(P241:S241)))))*(CAT_Procesos!$D$2:$D$1581=IFERROR(VLOOKUP(N241&amp;"*",CAT_Procesos!$D:$D,1,FALSE),""))))=0,"Combinación no existente",IF(SUMPRODUCT(((CAT_Procesos!$E$2:$E$1581=O241)*(CAT_Procesos!$F$2:$F$1581=_xlfn.TEXTJOIN(" + ",TRUE,IF((TRIM(P241:S241)="")+(LOWER(TRIM(P241:S241))="(seleccione)"),"",PROPER(TRIM(P241:S241)))))*(CAT_Procesos!$D$2:$D$1581=IFERROR(VLOOKUP(N241&amp;"*",CAT_Procesos!$D:$D,1,FALSE),"")))*(CAT_Procesos!$G$2:$G$1581=INDEX(CAT_Procesos!$G$2:$G$1581,MATCH(1,(CAT_Procesos!$E$2:$E$1581=O241)*(CAT_Procesos!$F$2:$F$1581=_xlfn.TEXTJOIN(" + ",TRUE,IF((TRIM(P241:S241)="")+(LOWER(TRIM(P241:S241))="(seleccione)"),"",PROPER(TRIM(P241:S241)))))*(CAT_Procesos!$D$2:$D$1581=IFERROR(VLOOKUP(N241&amp;"*",CAT_Procesos!$D:$D,1,FALSE),"")),0))))=SUMPRODUCT(--((CAT_Procesos!$E$2:$E$1581=O241)*(CAT_Procesos!$F$2:$F$1581=_xlfn.TEXTJOIN(" + ",TRUE,IF((TRIM(P241:S241)="")+(LOWER(TRIM(P241:S241))="(seleccione)"),"",PROPER(TRIM(P241:S241)))))*(CAT_Procesos!$D$2:$D$1581=IFERROR(VLOOKUP(N241&amp;"*",CAT_Procesos!$D:$D,1,FALSE),"")))),INDEX(CAT_Procesos!$G$2:$G$1581,MATCH(1,(CAT_Procesos!$E$2:$E$1581=O241)*(CAT_Procesos!$F$2:$F$1581=_xlfn.TEXTJOIN(" + ",TRUE,IF((TRIM(P241:S241)="")+(LOWER(TRIM(P241:S241))="(seleccione)"),"",PROPER(TRIM(P241:S241)))))*(CAT_Procesos!$D$2:$D$1581=IFERROR(VLOOKUP(N241&amp;"*",CAT_Procesos!$D:$D,1,FALSE),"")),0)),"(seleccione)"))</f>
        <v>Combinación no existente</v>
      </c>
      <c r="V241" s="55" t="s">
        <v>73</v>
      </c>
      <c r="W241" s="56" t="s">
        <v>73</v>
      </c>
      <c r="X241" s="57" t="str">
        <f t="shared" si="12"/>
        <v/>
      </c>
      <c r="Y241" s="58" t="s">
        <v>73</v>
      </c>
      <c r="Z241" s="57" t="str">
        <f t="shared" si="13"/>
        <v/>
      </c>
      <c r="AA241" s="58" t="s">
        <v>73</v>
      </c>
      <c r="AB241" s="57" t="str">
        <f t="shared" si="14"/>
        <v/>
      </c>
      <c r="AC241" s="58" t="s">
        <v>73</v>
      </c>
      <c r="AD241" s="57" t="str">
        <f t="shared" si="15"/>
        <v/>
      </c>
      <c r="AE241" s="59"/>
      <c r="AF241" s="59"/>
      <c r="AG241" s="59"/>
      <c r="AH241" s="59"/>
      <c r="AI241" s="59" t="s">
        <v>73</v>
      </c>
      <c r="AJ241" s="59"/>
      <c r="AK241" s="59" t="s">
        <v>73</v>
      </c>
      <c r="AL241" s="59"/>
      <c r="AM241" s="59" t="s">
        <v>73</v>
      </c>
      <c r="AN241" s="59"/>
      <c r="AO241" s="59" t="s">
        <v>73</v>
      </c>
      <c r="AP241" s="59"/>
      <c r="AQ241" s="59" t="s">
        <v>73</v>
      </c>
      <c r="AR241" s="59"/>
      <c r="AS241" s="59" t="s">
        <v>72</v>
      </c>
      <c r="AT241" s="59"/>
      <c r="AU241" s="59"/>
      <c r="AV241" s="59"/>
      <c r="AW241" s="59"/>
      <c r="AX241" s="59"/>
      <c r="AY241" s="60" t="str">
        <f>IF('Cálculo MP'!K251="","",'Cálculo MP'!K251)</f>
        <v/>
      </c>
      <c r="AZ241" s="60" t="str">
        <f>IF('Cálculo MP'!L251="","",'Cálculo MP'!L251)</f>
        <v/>
      </c>
      <c r="BA241" s="60" t="str">
        <f>IF('Cálculo MP'!M251="","",'Cálculo MP'!M251)</f>
        <v/>
      </c>
      <c r="BB241" s="60" t="str">
        <f>IF('Cálculo MP'!N251="","",'Cálculo MP'!N251)</f>
        <v/>
      </c>
      <c r="BC241" s="60" t="str">
        <f>IF('Cálculo MP'!O251="","",'Cálculo MP'!O251)</f>
        <v/>
      </c>
      <c r="BD241" s="60" t="str">
        <f>IF('Cálculo MP'!P251="","",'Cálculo MP'!P251)</f>
        <v/>
      </c>
      <c r="BE241" s="60" t="str">
        <f>IF('Cálculo MP'!Q251="","",'Cálculo MP'!Q251)</f>
        <v/>
      </c>
      <c r="BF241" s="60" t="str">
        <f>IF('Cálculo MP'!R251="","",'Cálculo MP'!R251)</f>
        <v/>
      </c>
      <c r="BG241" s="60" t="str">
        <f>IF('Cálculo MP'!S251="","",'Cálculo MP'!S251)</f>
        <v/>
      </c>
      <c r="BH241" s="59"/>
      <c r="BI241" s="59"/>
      <c r="BJ241" s="59"/>
      <c r="BK241" s="59"/>
      <c r="BL241" s="59"/>
      <c r="BM241" s="59"/>
      <c r="BN241" s="59"/>
      <c r="BO241" s="59"/>
    </row>
    <row r="242" spans="1:67" ht="19.5" customHeight="1" x14ac:dyDescent="0.15">
      <c r="A242" s="123" t="s">
        <v>1856</v>
      </c>
      <c r="B242" s="122" t="s">
        <v>1854</v>
      </c>
      <c r="C242" s="49"/>
      <c r="D242" s="48" t="s">
        <v>73</v>
      </c>
      <c r="E242" s="49"/>
      <c r="F242" s="50"/>
      <c r="G242" s="62"/>
      <c r="H242" s="48" t="s">
        <v>72</v>
      </c>
      <c r="I242" s="52">
        <v>1</v>
      </c>
      <c r="J242" s="52"/>
      <c r="K242" s="52" t="s">
        <v>73</v>
      </c>
      <c r="L242" s="52" t="s">
        <v>74</v>
      </c>
      <c r="M242" s="53" t="s">
        <v>942</v>
      </c>
      <c r="N242" s="58" t="s">
        <v>73</v>
      </c>
      <c r="O242" s="48" t="s">
        <v>72</v>
      </c>
      <c r="P242" s="48" t="s">
        <v>73</v>
      </c>
      <c r="Q242" s="54" t="s">
        <v>73</v>
      </c>
      <c r="R242" s="55" t="s">
        <v>73</v>
      </c>
      <c r="S242" s="48" t="s">
        <v>73</v>
      </c>
      <c r="T242" s="130"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8" t="str" cm="1">
        <f t="array" ref="U242">IF(SUMPRODUCT(--((CAT_Procesos!$E$2:$E$1581=O242)*(CAT_Procesos!$F$2:$F$1581=_xlfn.TEXTJOIN(" + ",TRUE,IF((TRIM(P242:S242)="")+(LOWER(TRIM(P242:S242))="(seleccione)"),"",PROPER(TRIM(P242:S242)))))*(CAT_Procesos!$D$2:$D$1581=IFERROR(VLOOKUP(N242&amp;"*",CAT_Procesos!$D:$D,1,FALSE),""))))=0,"Combinación no existente",IF(SUMPRODUCT(((CAT_Procesos!$E$2:$E$1581=O242)*(CAT_Procesos!$F$2:$F$1581=_xlfn.TEXTJOIN(" + ",TRUE,IF((TRIM(P242:S242)="")+(LOWER(TRIM(P242:S242))="(seleccione)"),"",PROPER(TRIM(P242:S242)))))*(CAT_Procesos!$D$2:$D$1581=IFERROR(VLOOKUP(N242&amp;"*",CAT_Procesos!$D:$D,1,FALSE),"")))*(CAT_Procesos!$G$2:$G$1581=INDEX(CAT_Procesos!$G$2:$G$1581,MATCH(1,(CAT_Procesos!$E$2:$E$1581=O242)*(CAT_Procesos!$F$2:$F$1581=_xlfn.TEXTJOIN(" + ",TRUE,IF((TRIM(P242:S242)="")+(LOWER(TRIM(P242:S242))="(seleccione)"),"",PROPER(TRIM(P242:S242)))))*(CAT_Procesos!$D$2:$D$1581=IFERROR(VLOOKUP(N242&amp;"*",CAT_Procesos!$D:$D,1,FALSE),"")),0))))=SUMPRODUCT(--((CAT_Procesos!$E$2:$E$1581=O242)*(CAT_Procesos!$F$2:$F$1581=_xlfn.TEXTJOIN(" + ",TRUE,IF((TRIM(P242:S242)="")+(LOWER(TRIM(P242:S242))="(seleccione)"),"",PROPER(TRIM(P242:S242)))))*(CAT_Procesos!$D$2:$D$1581=IFERROR(VLOOKUP(N242&amp;"*",CAT_Procesos!$D:$D,1,FALSE),"")))),INDEX(CAT_Procesos!$G$2:$G$1581,MATCH(1,(CAT_Procesos!$E$2:$E$1581=O242)*(CAT_Procesos!$F$2:$F$1581=_xlfn.TEXTJOIN(" + ",TRUE,IF((TRIM(P242:S242)="")+(LOWER(TRIM(P242:S242))="(seleccione)"),"",PROPER(TRIM(P242:S242)))))*(CAT_Procesos!$D$2:$D$1581=IFERROR(VLOOKUP(N242&amp;"*",CAT_Procesos!$D:$D,1,FALSE),"")),0)),"(seleccione)"))</f>
        <v>Combinación no existente</v>
      </c>
      <c r="V242" s="55" t="s">
        <v>73</v>
      </c>
      <c r="W242" s="56" t="s">
        <v>73</v>
      </c>
      <c r="X242" s="57" t="str">
        <f t="shared" si="12"/>
        <v/>
      </c>
      <c r="Y242" s="58" t="s">
        <v>73</v>
      </c>
      <c r="Z242" s="57" t="str">
        <f t="shared" si="13"/>
        <v/>
      </c>
      <c r="AA242" s="58" t="s">
        <v>73</v>
      </c>
      <c r="AB242" s="57" t="str">
        <f t="shared" si="14"/>
        <v/>
      </c>
      <c r="AC242" s="58" t="s">
        <v>73</v>
      </c>
      <c r="AD242" s="57" t="str">
        <f t="shared" si="15"/>
        <v/>
      </c>
      <c r="AE242" s="59"/>
      <c r="AF242" s="59"/>
      <c r="AG242" s="59"/>
      <c r="AH242" s="59"/>
      <c r="AI242" s="59" t="s">
        <v>73</v>
      </c>
      <c r="AJ242" s="59"/>
      <c r="AK242" s="59" t="s">
        <v>73</v>
      </c>
      <c r="AL242" s="59"/>
      <c r="AM242" s="59" t="s">
        <v>73</v>
      </c>
      <c r="AN242" s="59"/>
      <c r="AO242" s="59" t="s">
        <v>73</v>
      </c>
      <c r="AP242" s="59"/>
      <c r="AQ242" s="59" t="s">
        <v>73</v>
      </c>
      <c r="AR242" s="59"/>
      <c r="AS242" s="59" t="s">
        <v>72</v>
      </c>
      <c r="AT242" s="59"/>
      <c r="AU242" s="59"/>
      <c r="AV242" s="59"/>
      <c r="AW242" s="59"/>
      <c r="AX242" s="59"/>
      <c r="AY242" s="60" t="str">
        <f>IF('Cálculo MP'!K252="","",'Cálculo MP'!K252)</f>
        <v/>
      </c>
      <c r="AZ242" s="60" t="str">
        <f>IF('Cálculo MP'!L252="","",'Cálculo MP'!L252)</f>
        <v/>
      </c>
      <c r="BA242" s="60" t="str">
        <f>IF('Cálculo MP'!M252="","",'Cálculo MP'!M252)</f>
        <v/>
      </c>
      <c r="BB242" s="60" t="str">
        <f>IF('Cálculo MP'!N252="","",'Cálculo MP'!N252)</f>
        <v/>
      </c>
      <c r="BC242" s="60" t="str">
        <f>IF('Cálculo MP'!O252="","",'Cálculo MP'!O252)</f>
        <v/>
      </c>
      <c r="BD242" s="60" t="str">
        <f>IF('Cálculo MP'!P252="","",'Cálculo MP'!P252)</f>
        <v/>
      </c>
      <c r="BE242" s="60" t="str">
        <f>IF('Cálculo MP'!Q252="","",'Cálculo MP'!Q252)</f>
        <v/>
      </c>
      <c r="BF242" s="60" t="str">
        <f>IF('Cálculo MP'!R252="","",'Cálculo MP'!R252)</f>
        <v/>
      </c>
      <c r="BG242" s="60" t="str">
        <f>IF('Cálculo MP'!S252="","",'Cálculo MP'!S252)</f>
        <v/>
      </c>
      <c r="BH242" s="59"/>
      <c r="BI242" s="59"/>
      <c r="BJ242" s="59"/>
      <c r="BK242" s="59"/>
      <c r="BL242" s="59"/>
      <c r="BM242" s="59"/>
      <c r="BN242" s="59"/>
      <c r="BO242" s="59"/>
    </row>
    <row r="243" spans="1:67" ht="19.5" customHeight="1" x14ac:dyDescent="0.15">
      <c r="A243" s="123" t="s">
        <v>1856</v>
      </c>
      <c r="B243" s="122" t="s">
        <v>1854</v>
      </c>
      <c r="C243" s="49"/>
      <c r="D243" s="48" t="s">
        <v>73</v>
      </c>
      <c r="E243" s="49"/>
      <c r="F243" s="50"/>
      <c r="G243" s="62"/>
      <c r="H243" s="48" t="s">
        <v>72</v>
      </c>
      <c r="I243" s="52">
        <v>1</v>
      </c>
      <c r="J243" s="52"/>
      <c r="K243" s="52" t="s">
        <v>73</v>
      </c>
      <c r="L243" s="52" t="s">
        <v>74</v>
      </c>
      <c r="M243" s="53" t="s">
        <v>942</v>
      </c>
      <c r="N243" s="58" t="s">
        <v>73</v>
      </c>
      <c r="O243" s="48" t="s">
        <v>72</v>
      </c>
      <c r="P243" s="48" t="s">
        <v>73</v>
      </c>
      <c r="Q243" s="54" t="s">
        <v>73</v>
      </c>
      <c r="R243" s="55" t="s">
        <v>73</v>
      </c>
      <c r="S243" s="48" t="s">
        <v>73</v>
      </c>
      <c r="T243" s="130"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8" t="str" cm="1">
        <f t="array" ref="U243">IF(SUMPRODUCT(--((CAT_Procesos!$E$2:$E$1581=O243)*(CAT_Procesos!$F$2:$F$1581=_xlfn.TEXTJOIN(" + ",TRUE,IF((TRIM(P243:S243)="")+(LOWER(TRIM(P243:S243))="(seleccione)"),"",PROPER(TRIM(P243:S243)))))*(CAT_Procesos!$D$2:$D$1581=IFERROR(VLOOKUP(N243&amp;"*",CAT_Procesos!$D:$D,1,FALSE),""))))=0,"Combinación no existente",IF(SUMPRODUCT(((CAT_Procesos!$E$2:$E$1581=O243)*(CAT_Procesos!$F$2:$F$1581=_xlfn.TEXTJOIN(" + ",TRUE,IF((TRIM(P243:S243)="")+(LOWER(TRIM(P243:S243))="(seleccione)"),"",PROPER(TRIM(P243:S243)))))*(CAT_Procesos!$D$2:$D$1581=IFERROR(VLOOKUP(N243&amp;"*",CAT_Procesos!$D:$D,1,FALSE),"")))*(CAT_Procesos!$G$2:$G$1581=INDEX(CAT_Procesos!$G$2:$G$1581,MATCH(1,(CAT_Procesos!$E$2:$E$1581=O243)*(CAT_Procesos!$F$2:$F$1581=_xlfn.TEXTJOIN(" + ",TRUE,IF((TRIM(P243:S243)="")+(LOWER(TRIM(P243:S243))="(seleccione)"),"",PROPER(TRIM(P243:S243)))))*(CAT_Procesos!$D$2:$D$1581=IFERROR(VLOOKUP(N243&amp;"*",CAT_Procesos!$D:$D,1,FALSE),"")),0))))=SUMPRODUCT(--((CAT_Procesos!$E$2:$E$1581=O243)*(CAT_Procesos!$F$2:$F$1581=_xlfn.TEXTJOIN(" + ",TRUE,IF((TRIM(P243:S243)="")+(LOWER(TRIM(P243:S243))="(seleccione)"),"",PROPER(TRIM(P243:S243)))))*(CAT_Procesos!$D$2:$D$1581=IFERROR(VLOOKUP(N243&amp;"*",CAT_Procesos!$D:$D,1,FALSE),"")))),INDEX(CAT_Procesos!$G$2:$G$1581,MATCH(1,(CAT_Procesos!$E$2:$E$1581=O243)*(CAT_Procesos!$F$2:$F$1581=_xlfn.TEXTJOIN(" + ",TRUE,IF((TRIM(P243:S243)="")+(LOWER(TRIM(P243:S243))="(seleccione)"),"",PROPER(TRIM(P243:S243)))))*(CAT_Procesos!$D$2:$D$1581=IFERROR(VLOOKUP(N243&amp;"*",CAT_Procesos!$D:$D,1,FALSE),"")),0)),"(seleccione)"))</f>
        <v>Combinación no existente</v>
      </c>
      <c r="V243" s="55" t="s">
        <v>73</v>
      </c>
      <c r="W243" s="56" t="s">
        <v>73</v>
      </c>
      <c r="X243" s="57" t="str">
        <f t="shared" si="12"/>
        <v/>
      </c>
      <c r="Y243" s="58" t="s">
        <v>73</v>
      </c>
      <c r="Z243" s="57" t="str">
        <f t="shared" si="13"/>
        <v/>
      </c>
      <c r="AA243" s="58" t="s">
        <v>73</v>
      </c>
      <c r="AB243" s="57" t="str">
        <f t="shared" si="14"/>
        <v/>
      </c>
      <c r="AC243" s="58" t="s">
        <v>73</v>
      </c>
      <c r="AD243" s="57" t="str">
        <f t="shared" si="15"/>
        <v/>
      </c>
      <c r="AE243" s="59"/>
      <c r="AF243" s="59"/>
      <c r="AG243" s="59"/>
      <c r="AH243" s="59"/>
      <c r="AI243" s="59" t="s">
        <v>73</v>
      </c>
      <c r="AJ243" s="59"/>
      <c r="AK243" s="59" t="s">
        <v>73</v>
      </c>
      <c r="AL243" s="59"/>
      <c r="AM243" s="59" t="s">
        <v>73</v>
      </c>
      <c r="AN243" s="59"/>
      <c r="AO243" s="59" t="s">
        <v>73</v>
      </c>
      <c r="AP243" s="59"/>
      <c r="AQ243" s="59" t="s">
        <v>73</v>
      </c>
      <c r="AR243" s="59"/>
      <c r="AS243" s="59" t="s">
        <v>72</v>
      </c>
      <c r="AT243" s="59"/>
      <c r="AU243" s="59"/>
      <c r="AV243" s="59"/>
      <c r="AW243" s="59"/>
      <c r="AX243" s="59"/>
      <c r="AY243" s="60" t="str">
        <f>IF('Cálculo MP'!K253="","",'Cálculo MP'!K253)</f>
        <v/>
      </c>
      <c r="AZ243" s="60" t="str">
        <f>IF('Cálculo MP'!L253="","",'Cálculo MP'!L253)</f>
        <v/>
      </c>
      <c r="BA243" s="60" t="str">
        <f>IF('Cálculo MP'!M253="","",'Cálculo MP'!M253)</f>
        <v/>
      </c>
      <c r="BB243" s="60" t="str">
        <f>IF('Cálculo MP'!N253="","",'Cálculo MP'!N253)</f>
        <v/>
      </c>
      <c r="BC243" s="60" t="str">
        <f>IF('Cálculo MP'!O253="","",'Cálculo MP'!O253)</f>
        <v/>
      </c>
      <c r="BD243" s="60" t="str">
        <f>IF('Cálculo MP'!P253="","",'Cálculo MP'!P253)</f>
        <v/>
      </c>
      <c r="BE243" s="60" t="str">
        <f>IF('Cálculo MP'!Q253="","",'Cálculo MP'!Q253)</f>
        <v/>
      </c>
      <c r="BF243" s="60" t="str">
        <f>IF('Cálculo MP'!R253="","",'Cálculo MP'!R253)</f>
        <v/>
      </c>
      <c r="BG243" s="60" t="str">
        <f>IF('Cálculo MP'!S253="","",'Cálculo MP'!S253)</f>
        <v/>
      </c>
      <c r="BH243" s="59"/>
      <c r="BI243" s="59"/>
      <c r="BJ243" s="59"/>
      <c r="BK243" s="59"/>
      <c r="BL243" s="59"/>
      <c r="BM243" s="59"/>
      <c r="BN243" s="59"/>
      <c r="BO243" s="59"/>
    </row>
    <row r="244" spans="1:67" ht="19.5" customHeight="1" x14ac:dyDescent="0.15">
      <c r="A244" s="123" t="s">
        <v>1856</v>
      </c>
      <c r="B244" s="122" t="s">
        <v>1854</v>
      </c>
      <c r="C244" s="49"/>
      <c r="D244" s="48" t="s">
        <v>73</v>
      </c>
      <c r="E244" s="49"/>
      <c r="F244" s="50"/>
      <c r="G244" s="62"/>
      <c r="H244" s="48" t="s">
        <v>72</v>
      </c>
      <c r="I244" s="52">
        <v>1</v>
      </c>
      <c r="J244" s="52"/>
      <c r="K244" s="52" t="s">
        <v>73</v>
      </c>
      <c r="L244" s="52" t="s">
        <v>74</v>
      </c>
      <c r="M244" s="53" t="s">
        <v>942</v>
      </c>
      <c r="N244" s="58" t="s">
        <v>73</v>
      </c>
      <c r="O244" s="48" t="s">
        <v>72</v>
      </c>
      <c r="P244" s="48" t="s">
        <v>73</v>
      </c>
      <c r="Q244" s="54" t="s">
        <v>73</v>
      </c>
      <c r="R244" s="55" t="s">
        <v>73</v>
      </c>
      <c r="S244" s="48" t="s">
        <v>73</v>
      </c>
      <c r="T244" s="130"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8" t="str" cm="1">
        <f t="array" ref="U244">IF(SUMPRODUCT(--((CAT_Procesos!$E$2:$E$1581=O244)*(CAT_Procesos!$F$2:$F$1581=_xlfn.TEXTJOIN(" + ",TRUE,IF((TRIM(P244:S244)="")+(LOWER(TRIM(P244:S244))="(seleccione)"),"",PROPER(TRIM(P244:S244)))))*(CAT_Procesos!$D$2:$D$1581=IFERROR(VLOOKUP(N244&amp;"*",CAT_Procesos!$D:$D,1,FALSE),""))))=0,"Combinación no existente",IF(SUMPRODUCT(((CAT_Procesos!$E$2:$E$1581=O244)*(CAT_Procesos!$F$2:$F$1581=_xlfn.TEXTJOIN(" + ",TRUE,IF((TRIM(P244:S244)="")+(LOWER(TRIM(P244:S244))="(seleccione)"),"",PROPER(TRIM(P244:S244)))))*(CAT_Procesos!$D$2:$D$1581=IFERROR(VLOOKUP(N244&amp;"*",CAT_Procesos!$D:$D,1,FALSE),"")))*(CAT_Procesos!$G$2:$G$1581=INDEX(CAT_Procesos!$G$2:$G$1581,MATCH(1,(CAT_Procesos!$E$2:$E$1581=O244)*(CAT_Procesos!$F$2:$F$1581=_xlfn.TEXTJOIN(" + ",TRUE,IF((TRIM(P244:S244)="")+(LOWER(TRIM(P244:S244))="(seleccione)"),"",PROPER(TRIM(P244:S244)))))*(CAT_Procesos!$D$2:$D$1581=IFERROR(VLOOKUP(N244&amp;"*",CAT_Procesos!$D:$D,1,FALSE),"")),0))))=SUMPRODUCT(--((CAT_Procesos!$E$2:$E$1581=O244)*(CAT_Procesos!$F$2:$F$1581=_xlfn.TEXTJOIN(" + ",TRUE,IF((TRIM(P244:S244)="")+(LOWER(TRIM(P244:S244))="(seleccione)"),"",PROPER(TRIM(P244:S244)))))*(CAT_Procesos!$D$2:$D$1581=IFERROR(VLOOKUP(N244&amp;"*",CAT_Procesos!$D:$D,1,FALSE),"")))),INDEX(CAT_Procesos!$G$2:$G$1581,MATCH(1,(CAT_Procesos!$E$2:$E$1581=O244)*(CAT_Procesos!$F$2:$F$1581=_xlfn.TEXTJOIN(" + ",TRUE,IF((TRIM(P244:S244)="")+(LOWER(TRIM(P244:S244))="(seleccione)"),"",PROPER(TRIM(P244:S244)))))*(CAT_Procesos!$D$2:$D$1581=IFERROR(VLOOKUP(N244&amp;"*",CAT_Procesos!$D:$D,1,FALSE),"")),0)),"(seleccione)"))</f>
        <v>Combinación no existente</v>
      </c>
      <c r="V244" s="55" t="s">
        <v>73</v>
      </c>
      <c r="W244" s="56" t="s">
        <v>73</v>
      </c>
      <c r="X244" s="57" t="str">
        <f t="shared" si="12"/>
        <v/>
      </c>
      <c r="Y244" s="58" t="s">
        <v>73</v>
      </c>
      <c r="Z244" s="57" t="str">
        <f t="shared" si="13"/>
        <v/>
      </c>
      <c r="AA244" s="58" t="s">
        <v>73</v>
      </c>
      <c r="AB244" s="57" t="str">
        <f t="shared" si="14"/>
        <v/>
      </c>
      <c r="AC244" s="58" t="s">
        <v>73</v>
      </c>
      <c r="AD244" s="57" t="str">
        <f t="shared" si="15"/>
        <v/>
      </c>
      <c r="AE244" s="59"/>
      <c r="AF244" s="59"/>
      <c r="AG244" s="59"/>
      <c r="AH244" s="59"/>
      <c r="AI244" s="59" t="s">
        <v>73</v>
      </c>
      <c r="AJ244" s="59"/>
      <c r="AK244" s="59" t="s">
        <v>73</v>
      </c>
      <c r="AL244" s="59"/>
      <c r="AM244" s="59" t="s">
        <v>73</v>
      </c>
      <c r="AN244" s="59"/>
      <c r="AO244" s="59" t="s">
        <v>73</v>
      </c>
      <c r="AP244" s="59"/>
      <c r="AQ244" s="59" t="s">
        <v>73</v>
      </c>
      <c r="AR244" s="59"/>
      <c r="AS244" s="59" t="s">
        <v>72</v>
      </c>
      <c r="AT244" s="59"/>
      <c r="AU244" s="59"/>
      <c r="AV244" s="59"/>
      <c r="AW244" s="59"/>
      <c r="AX244" s="59"/>
      <c r="AY244" s="60" t="str">
        <f>IF('Cálculo MP'!K254="","",'Cálculo MP'!K254)</f>
        <v/>
      </c>
      <c r="AZ244" s="60" t="str">
        <f>IF('Cálculo MP'!L254="","",'Cálculo MP'!L254)</f>
        <v/>
      </c>
      <c r="BA244" s="60" t="str">
        <f>IF('Cálculo MP'!M254="","",'Cálculo MP'!M254)</f>
        <v/>
      </c>
      <c r="BB244" s="60" t="str">
        <f>IF('Cálculo MP'!N254="","",'Cálculo MP'!N254)</f>
        <v/>
      </c>
      <c r="BC244" s="60" t="str">
        <f>IF('Cálculo MP'!O254="","",'Cálculo MP'!O254)</f>
        <v/>
      </c>
      <c r="BD244" s="60" t="str">
        <f>IF('Cálculo MP'!P254="","",'Cálculo MP'!P254)</f>
        <v/>
      </c>
      <c r="BE244" s="60" t="str">
        <f>IF('Cálculo MP'!Q254="","",'Cálculo MP'!Q254)</f>
        <v/>
      </c>
      <c r="BF244" s="60" t="str">
        <f>IF('Cálculo MP'!R254="","",'Cálculo MP'!R254)</f>
        <v/>
      </c>
      <c r="BG244" s="60" t="str">
        <f>IF('Cálculo MP'!S254="","",'Cálculo MP'!S254)</f>
        <v/>
      </c>
      <c r="BH244" s="59"/>
      <c r="BI244" s="59"/>
      <c r="BJ244" s="59"/>
      <c r="BK244" s="59"/>
      <c r="BL244" s="59"/>
      <c r="BM244" s="59"/>
      <c r="BN244" s="59"/>
      <c r="BO244" s="59"/>
    </row>
    <row r="245" spans="1:67" ht="19.5" customHeight="1" x14ac:dyDescent="0.15">
      <c r="A245" s="123" t="s">
        <v>1856</v>
      </c>
      <c r="B245" s="122" t="s">
        <v>1854</v>
      </c>
      <c r="C245" s="49"/>
      <c r="D245" s="48" t="s">
        <v>73</v>
      </c>
      <c r="E245" s="49"/>
      <c r="F245" s="50"/>
      <c r="G245" s="62"/>
      <c r="H245" s="48" t="s">
        <v>72</v>
      </c>
      <c r="I245" s="52">
        <v>1</v>
      </c>
      <c r="J245" s="52"/>
      <c r="K245" s="52" t="s">
        <v>73</v>
      </c>
      <c r="L245" s="52" t="s">
        <v>74</v>
      </c>
      <c r="M245" s="53" t="s">
        <v>942</v>
      </c>
      <c r="N245" s="58" t="s">
        <v>73</v>
      </c>
      <c r="O245" s="48" t="s">
        <v>72</v>
      </c>
      <c r="P245" s="48" t="s">
        <v>73</v>
      </c>
      <c r="Q245" s="54" t="s">
        <v>73</v>
      </c>
      <c r="R245" s="55" t="s">
        <v>73</v>
      </c>
      <c r="S245" s="48" t="s">
        <v>73</v>
      </c>
      <c r="T245" s="130"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8" t="str" cm="1">
        <f t="array" ref="U245">IF(SUMPRODUCT(--((CAT_Procesos!$E$2:$E$1581=O245)*(CAT_Procesos!$F$2:$F$1581=_xlfn.TEXTJOIN(" + ",TRUE,IF((TRIM(P245:S245)="")+(LOWER(TRIM(P245:S245))="(seleccione)"),"",PROPER(TRIM(P245:S245)))))*(CAT_Procesos!$D$2:$D$1581=IFERROR(VLOOKUP(N245&amp;"*",CAT_Procesos!$D:$D,1,FALSE),""))))=0,"Combinación no existente",IF(SUMPRODUCT(((CAT_Procesos!$E$2:$E$1581=O245)*(CAT_Procesos!$F$2:$F$1581=_xlfn.TEXTJOIN(" + ",TRUE,IF((TRIM(P245:S245)="")+(LOWER(TRIM(P245:S245))="(seleccione)"),"",PROPER(TRIM(P245:S245)))))*(CAT_Procesos!$D$2:$D$1581=IFERROR(VLOOKUP(N245&amp;"*",CAT_Procesos!$D:$D,1,FALSE),"")))*(CAT_Procesos!$G$2:$G$1581=INDEX(CAT_Procesos!$G$2:$G$1581,MATCH(1,(CAT_Procesos!$E$2:$E$1581=O245)*(CAT_Procesos!$F$2:$F$1581=_xlfn.TEXTJOIN(" + ",TRUE,IF((TRIM(P245:S245)="")+(LOWER(TRIM(P245:S245))="(seleccione)"),"",PROPER(TRIM(P245:S245)))))*(CAT_Procesos!$D$2:$D$1581=IFERROR(VLOOKUP(N245&amp;"*",CAT_Procesos!$D:$D,1,FALSE),"")),0))))=SUMPRODUCT(--((CAT_Procesos!$E$2:$E$1581=O245)*(CAT_Procesos!$F$2:$F$1581=_xlfn.TEXTJOIN(" + ",TRUE,IF((TRIM(P245:S245)="")+(LOWER(TRIM(P245:S245))="(seleccione)"),"",PROPER(TRIM(P245:S245)))))*(CAT_Procesos!$D$2:$D$1581=IFERROR(VLOOKUP(N245&amp;"*",CAT_Procesos!$D:$D,1,FALSE),"")))),INDEX(CAT_Procesos!$G$2:$G$1581,MATCH(1,(CAT_Procesos!$E$2:$E$1581=O245)*(CAT_Procesos!$F$2:$F$1581=_xlfn.TEXTJOIN(" + ",TRUE,IF((TRIM(P245:S245)="")+(LOWER(TRIM(P245:S245))="(seleccione)"),"",PROPER(TRIM(P245:S245)))))*(CAT_Procesos!$D$2:$D$1581=IFERROR(VLOOKUP(N245&amp;"*",CAT_Procesos!$D:$D,1,FALSE),"")),0)),"(seleccione)"))</f>
        <v>Combinación no existente</v>
      </c>
      <c r="V245" s="55" t="s">
        <v>73</v>
      </c>
      <c r="W245" s="56" t="s">
        <v>73</v>
      </c>
      <c r="X245" s="57" t="str">
        <f t="shared" si="12"/>
        <v/>
      </c>
      <c r="Y245" s="58" t="s">
        <v>73</v>
      </c>
      <c r="Z245" s="57" t="str">
        <f t="shared" si="13"/>
        <v/>
      </c>
      <c r="AA245" s="58" t="s">
        <v>73</v>
      </c>
      <c r="AB245" s="57" t="str">
        <f t="shared" si="14"/>
        <v/>
      </c>
      <c r="AC245" s="58" t="s">
        <v>73</v>
      </c>
      <c r="AD245" s="57" t="str">
        <f t="shared" si="15"/>
        <v/>
      </c>
      <c r="AE245" s="59"/>
      <c r="AF245" s="59"/>
      <c r="AG245" s="59"/>
      <c r="AH245" s="59"/>
      <c r="AI245" s="59" t="s">
        <v>73</v>
      </c>
      <c r="AJ245" s="59"/>
      <c r="AK245" s="59" t="s">
        <v>73</v>
      </c>
      <c r="AL245" s="59"/>
      <c r="AM245" s="59" t="s">
        <v>73</v>
      </c>
      <c r="AN245" s="59"/>
      <c r="AO245" s="59" t="s">
        <v>73</v>
      </c>
      <c r="AP245" s="59"/>
      <c r="AQ245" s="59" t="s">
        <v>73</v>
      </c>
      <c r="AR245" s="59"/>
      <c r="AS245" s="59" t="s">
        <v>72</v>
      </c>
      <c r="AT245" s="59"/>
      <c r="AU245" s="59"/>
      <c r="AV245" s="59"/>
      <c r="AW245" s="59"/>
      <c r="AX245" s="59"/>
      <c r="AY245" s="60" t="str">
        <f>IF('Cálculo MP'!K255="","",'Cálculo MP'!K255)</f>
        <v/>
      </c>
      <c r="AZ245" s="60" t="str">
        <f>IF('Cálculo MP'!L255="","",'Cálculo MP'!L255)</f>
        <v/>
      </c>
      <c r="BA245" s="60" t="str">
        <f>IF('Cálculo MP'!M255="","",'Cálculo MP'!M255)</f>
        <v/>
      </c>
      <c r="BB245" s="60" t="str">
        <f>IF('Cálculo MP'!N255="","",'Cálculo MP'!N255)</f>
        <v/>
      </c>
      <c r="BC245" s="60" t="str">
        <f>IF('Cálculo MP'!O255="","",'Cálculo MP'!O255)</f>
        <v/>
      </c>
      <c r="BD245" s="60" t="str">
        <f>IF('Cálculo MP'!P255="","",'Cálculo MP'!P255)</f>
        <v/>
      </c>
      <c r="BE245" s="60" t="str">
        <f>IF('Cálculo MP'!Q255="","",'Cálculo MP'!Q255)</f>
        <v/>
      </c>
      <c r="BF245" s="60" t="str">
        <f>IF('Cálculo MP'!R255="","",'Cálculo MP'!R255)</f>
        <v/>
      </c>
      <c r="BG245" s="60" t="str">
        <f>IF('Cálculo MP'!S255="","",'Cálculo MP'!S255)</f>
        <v/>
      </c>
      <c r="BH245" s="59"/>
      <c r="BI245" s="59"/>
      <c r="BJ245" s="59"/>
      <c r="BK245" s="59"/>
      <c r="BL245" s="59"/>
      <c r="BM245" s="59"/>
      <c r="BN245" s="59"/>
      <c r="BO245" s="59"/>
    </row>
    <row r="246" spans="1:67" ht="19.5" customHeight="1" x14ac:dyDescent="0.15">
      <c r="A246" s="123" t="s">
        <v>1856</v>
      </c>
      <c r="B246" s="122" t="s">
        <v>1854</v>
      </c>
      <c r="C246" s="49"/>
      <c r="D246" s="48" t="s">
        <v>73</v>
      </c>
      <c r="E246" s="49"/>
      <c r="F246" s="50"/>
      <c r="G246" s="62"/>
      <c r="H246" s="48" t="s">
        <v>72</v>
      </c>
      <c r="I246" s="52">
        <v>1</v>
      </c>
      <c r="J246" s="52"/>
      <c r="K246" s="52" t="s">
        <v>73</v>
      </c>
      <c r="L246" s="52" t="s">
        <v>74</v>
      </c>
      <c r="M246" s="53" t="s">
        <v>942</v>
      </c>
      <c r="N246" s="58" t="s">
        <v>73</v>
      </c>
      <c r="O246" s="48" t="s">
        <v>72</v>
      </c>
      <c r="P246" s="48" t="s">
        <v>73</v>
      </c>
      <c r="Q246" s="54" t="s">
        <v>73</v>
      </c>
      <c r="R246" s="55" t="s">
        <v>73</v>
      </c>
      <c r="S246" s="48" t="s">
        <v>73</v>
      </c>
      <c r="T246" s="130"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8" t="str" cm="1">
        <f t="array" ref="U246">IF(SUMPRODUCT(--((CAT_Procesos!$E$2:$E$1581=O246)*(CAT_Procesos!$F$2:$F$1581=_xlfn.TEXTJOIN(" + ",TRUE,IF((TRIM(P246:S246)="")+(LOWER(TRIM(P246:S246))="(seleccione)"),"",PROPER(TRIM(P246:S246)))))*(CAT_Procesos!$D$2:$D$1581=IFERROR(VLOOKUP(N246&amp;"*",CAT_Procesos!$D:$D,1,FALSE),""))))=0,"Combinación no existente",IF(SUMPRODUCT(((CAT_Procesos!$E$2:$E$1581=O246)*(CAT_Procesos!$F$2:$F$1581=_xlfn.TEXTJOIN(" + ",TRUE,IF((TRIM(P246:S246)="")+(LOWER(TRIM(P246:S246))="(seleccione)"),"",PROPER(TRIM(P246:S246)))))*(CAT_Procesos!$D$2:$D$1581=IFERROR(VLOOKUP(N246&amp;"*",CAT_Procesos!$D:$D,1,FALSE),"")))*(CAT_Procesos!$G$2:$G$1581=INDEX(CAT_Procesos!$G$2:$G$1581,MATCH(1,(CAT_Procesos!$E$2:$E$1581=O246)*(CAT_Procesos!$F$2:$F$1581=_xlfn.TEXTJOIN(" + ",TRUE,IF((TRIM(P246:S246)="")+(LOWER(TRIM(P246:S246))="(seleccione)"),"",PROPER(TRIM(P246:S246)))))*(CAT_Procesos!$D$2:$D$1581=IFERROR(VLOOKUP(N246&amp;"*",CAT_Procesos!$D:$D,1,FALSE),"")),0))))=SUMPRODUCT(--((CAT_Procesos!$E$2:$E$1581=O246)*(CAT_Procesos!$F$2:$F$1581=_xlfn.TEXTJOIN(" + ",TRUE,IF((TRIM(P246:S246)="")+(LOWER(TRIM(P246:S246))="(seleccione)"),"",PROPER(TRIM(P246:S246)))))*(CAT_Procesos!$D$2:$D$1581=IFERROR(VLOOKUP(N246&amp;"*",CAT_Procesos!$D:$D,1,FALSE),"")))),INDEX(CAT_Procesos!$G$2:$G$1581,MATCH(1,(CAT_Procesos!$E$2:$E$1581=O246)*(CAT_Procesos!$F$2:$F$1581=_xlfn.TEXTJOIN(" + ",TRUE,IF((TRIM(P246:S246)="")+(LOWER(TRIM(P246:S246))="(seleccione)"),"",PROPER(TRIM(P246:S246)))))*(CAT_Procesos!$D$2:$D$1581=IFERROR(VLOOKUP(N246&amp;"*",CAT_Procesos!$D:$D,1,FALSE),"")),0)),"(seleccione)"))</f>
        <v>Combinación no existente</v>
      </c>
      <c r="V246" s="55" t="s">
        <v>73</v>
      </c>
      <c r="W246" s="56" t="s">
        <v>73</v>
      </c>
      <c r="X246" s="57" t="str">
        <f t="shared" si="12"/>
        <v/>
      </c>
      <c r="Y246" s="58" t="s">
        <v>73</v>
      </c>
      <c r="Z246" s="57" t="str">
        <f t="shared" si="13"/>
        <v/>
      </c>
      <c r="AA246" s="58" t="s">
        <v>73</v>
      </c>
      <c r="AB246" s="57" t="str">
        <f t="shared" si="14"/>
        <v/>
      </c>
      <c r="AC246" s="58" t="s">
        <v>73</v>
      </c>
      <c r="AD246" s="57" t="str">
        <f t="shared" si="15"/>
        <v/>
      </c>
      <c r="AE246" s="59"/>
      <c r="AF246" s="59"/>
      <c r="AG246" s="59"/>
      <c r="AH246" s="59"/>
      <c r="AI246" s="59" t="s">
        <v>73</v>
      </c>
      <c r="AJ246" s="59"/>
      <c r="AK246" s="59" t="s">
        <v>73</v>
      </c>
      <c r="AL246" s="59"/>
      <c r="AM246" s="59" t="s">
        <v>73</v>
      </c>
      <c r="AN246" s="59"/>
      <c r="AO246" s="59" t="s">
        <v>73</v>
      </c>
      <c r="AP246" s="59"/>
      <c r="AQ246" s="59" t="s">
        <v>73</v>
      </c>
      <c r="AR246" s="59"/>
      <c r="AS246" s="59" t="s">
        <v>72</v>
      </c>
      <c r="AT246" s="59"/>
      <c r="AU246" s="59"/>
      <c r="AV246" s="59"/>
      <c r="AW246" s="59"/>
      <c r="AX246" s="59"/>
      <c r="AY246" s="60" t="str">
        <f>IF('Cálculo MP'!K256="","",'Cálculo MP'!K256)</f>
        <v/>
      </c>
      <c r="AZ246" s="60" t="str">
        <f>IF('Cálculo MP'!L256="","",'Cálculo MP'!L256)</f>
        <v/>
      </c>
      <c r="BA246" s="60" t="str">
        <f>IF('Cálculo MP'!M256="","",'Cálculo MP'!M256)</f>
        <v/>
      </c>
      <c r="BB246" s="60" t="str">
        <f>IF('Cálculo MP'!N256="","",'Cálculo MP'!N256)</f>
        <v/>
      </c>
      <c r="BC246" s="60" t="str">
        <f>IF('Cálculo MP'!O256="","",'Cálculo MP'!O256)</f>
        <v/>
      </c>
      <c r="BD246" s="60" t="str">
        <f>IF('Cálculo MP'!P256="","",'Cálculo MP'!P256)</f>
        <v/>
      </c>
      <c r="BE246" s="60" t="str">
        <f>IF('Cálculo MP'!Q256="","",'Cálculo MP'!Q256)</f>
        <v/>
      </c>
      <c r="BF246" s="60" t="str">
        <f>IF('Cálculo MP'!R256="","",'Cálculo MP'!R256)</f>
        <v/>
      </c>
      <c r="BG246" s="60" t="str">
        <f>IF('Cálculo MP'!S256="","",'Cálculo MP'!S256)</f>
        <v/>
      </c>
      <c r="BH246" s="59"/>
      <c r="BI246" s="59"/>
      <c r="BJ246" s="59"/>
      <c r="BK246" s="59"/>
      <c r="BL246" s="59"/>
      <c r="BM246" s="59"/>
      <c r="BN246" s="59"/>
      <c r="BO246" s="59"/>
    </row>
    <row r="247" spans="1:67" ht="19.5" customHeight="1" x14ac:dyDescent="0.15">
      <c r="A247" s="123" t="s">
        <v>1856</v>
      </c>
      <c r="B247" s="122" t="s">
        <v>1854</v>
      </c>
      <c r="C247" s="49"/>
      <c r="D247" s="48" t="s">
        <v>73</v>
      </c>
      <c r="E247" s="49"/>
      <c r="F247" s="50"/>
      <c r="G247" s="62"/>
      <c r="H247" s="48" t="s">
        <v>72</v>
      </c>
      <c r="I247" s="52">
        <v>1</v>
      </c>
      <c r="J247" s="52"/>
      <c r="K247" s="52" t="s">
        <v>73</v>
      </c>
      <c r="L247" s="52" t="s">
        <v>74</v>
      </c>
      <c r="M247" s="53" t="s">
        <v>942</v>
      </c>
      <c r="N247" s="58" t="s">
        <v>73</v>
      </c>
      <c r="O247" s="48" t="s">
        <v>72</v>
      </c>
      <c r="P247" s="48" t="s">
        <v>73</v>
      </c>
      <c r="Q247" s="54" t="s">
        <v>73</v>
      </c>
      <c r="R247" s="55" t="s">
        <v>73</v>
      </c>
      <c r="S247" s="48" t="s">
        <v>73</v>
      </c>
      <c r="T247" s="130"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8" t="str" cm="1">
        <f t="array" ref="U247">IF(SUMPRODUCT(--((CAT_Procesos!$E$2:$E$1581=O247)*(CAT_Procesos!$F$2:$F$1581=_xlfn.TEXTJOIN(" + ",TRUE,IF((TRIM(P247:S247)="")+(LOWER(TRIM(P247:S247))="(seleccione)"),"",PROPER(TRIM(P247:S247)))))*(CAT_Procesos!$D$2:$D$1581=IFERROR(VLOOKUP(N247&amp;"*",CAT_Procesos!$D:$D,1,FALSE),""))))=0,"Combinación no existente",IF(SUMPRODUCT(((CAT_Procesos!$E$2:$E$1581=O247)*(CAT_Procesos!$F$2:$F$1581=_xlfn.TEXTJOIN(" + ",TRUE,IF((TRIM(P247:S247)="")+(LOWER(TRIM(P247:S247))="(seleccione)"),"",PROPER(TRIM(P247:S247)))))*(CAT_Procesos!$D$2:$D$1581=IFERROR(VLOOKUP(N247&amp;"*",CAT_Procesos!$D:$D,1,FALSE),"")))*(CAT_Procesos!$G$2:$G$1581=INDEX(CAT_Procesos!$G$2:$G$1581,MATCH(1,(CAT_Procesos!$E$2:$E$1581=O247)*(CAT_Procesos!$F$2:$F$1581=_xlfn.TEXTJOIN(" + ",TRUE,IF((TRIM(P247:S247)="")+(LOWER(TRIM(P247:S247))="(seleccione)"),"",PROPER(TRIM(P247:S247)))))*(CAT_Procesos!$D$2:$D$1581=IFERROR(VLOOKUP(N247&amp;"*",CAT_Procesos!$D:$D,1,FALSE),"")),0))))=SUMPRODUCT(--((CAT_Procesos!$E$2:$E$1581=O247)*(CAT_Procesos!$F$2:$F$1581=_xlfn.TEXTJOIN(" + ",TRUE,IF((TRIM(P247:S247)="")+(LOWER(TRIM(P247:S247))="(seleccione)"),"",PROPER(TRIM(P247:S247)))))*(CAT_Procesos!$D$2:$D$1581=IFERROR(VLOOKUP(N247&amp;"*",CAT_Procesos!$D:$D,1,FALSE),"")))),INDEX(CAT_Procesos!$G$2:$G$1581,MATCH(1,(CAT_Procesos!$E$2:$E$1581=O247)*(CAT_Procesos!$F$2:$F$1581=_xlfn.TEXTJOIN(" + ",TRUE,IF((TRIM(P247:S247)="")+(LOWER(TRIM(P247:S247))="(seleccione)"),"",PROPER(TRIM(P247:S247)))))*(CAT_Procesos!$D$2:$D$1581=IFERROR(VLOOKUP(N247&amp;"*",CAT_Procesos!$D:$D,1,FALSE),"")),0)),"(seleccione)"))</f>
        <v>Combinación no existente</v>
      </c>
      <c r="V247" s="55" t="s">
        <v>73</v>
      </c>
      <c r="W247" s="56" t="s">
        <v>73</v>
      </c>
      <c r="X247" s="57" t="str">
        <f t="shared" si="12"/>
        <v/>
      </c>
      <c r="Y247" s="58" t="s">
        <v>73</v>
      </c>
      <c r="Z247" s="57" t="str">
        <f t="shared" si="13"/>
        <v/>
      </c>
      <c r="AA247" s="58" t="s">
        <v>73</v>
      </c>
      <c r="AB247" s="57" t="str">
        <f t="shared" si="14"/>
        <v/>
      </c>
      <c r="AC247" s="58" t="s">
        <v>73</v>
      </c>
      <c r="AD247" s="57" t="str">
        <f t="shared" si="15"/>
        <v/>
      </c>
      <c r="AE247" s="59"/>
      <c r="AF247" s="59"/>
      <c r="AG247" s="59"/>
      <c r="AH247" s="59"/>
      <c r="AI247" s="59" t="s">
        <v>73</v>
      </c>
      <c r="AJ247" s="59"/>
      <c r="AK247" s="59" t="s">
        <v>73</v>
      </c>
      <c r="AL247" s="59"/>
      <c r="AM247" s="59" t="s">
        <v>73</v>
      </c>
      <c r="AN247" s="59"/>
      <c r="AO247" s="59" t="s">
        <v>73</v>
      </c>
      <c r="AP247" s="59"/>
      <c r="AQ247" s="59" t="s">
        <v>73</v>
      </c>
      <c r="AR247" s="59"/>
      <c r="AS247" s="59" t="s">
        <v>72</v>
      </c>
      <c r="AT247" s="59"/>
      <c r="AU247" s="59"/>
      <c r="AV247" s="59"/>
      <c r="AW247" s="59"/>
      <c r="AX247" s="59"/>
      <c r="AY247" s="60" t="str">
        <f>IF('Cálculo MP'!K257="","",'Cálculo MP'!K257)</f>
        <v/>
      </c>
      <c r="AZ247" s="60" t="str">
        <f>IF('Cálculo MP'!L257="","",'Cálculo MP'!L257)</f>
        <v/>
      </c>
      <c r="BA247" s="60" t="str">
        <f>IF('Cálculo MP'!M257="","",'Cálculo MP'!M257)</f>
        <v/>
      </c>
      <c r="BB247" s="60" t="str">
        <f>IF('Cálculo MP'!N257="","",'Cálculo MP'!N257)</f>
        <v/>
      </c>
      <c r="BC247" s="60" t="str">
        <f>IF('Cálculo MP'!O257="","",'Cálculo MP'!O257)</f>
        <v/>
      </c>
      <c r="BD247" s="60" t="str">
        <f>IF('Cálculo MP'!P257="","",'Cálculo MP'!P257)</f>
        <v/>
      </c>
      <c r="BE247" s="60" t="str">
        <f>IF('Cálculo MP'!Q257="","",'Cálculo MP'!Q257)</f>
        <v/>
      </c>
      <c r="BF247" s="60" t="str">
        <f>IF('Cálculo MP'!R257="","",'Cálculo MP'!R257)</f>
        <v/>
      </c>
      <c r="BG247" s="60" t="str">
        <f>IF('Cálculo MP'!S257="","",'Cálculo MP'!S257)</f>
        <v/>
      </c>
      <c r="BH247" s="59"/>
      <c r="BI247" s="59"/>
      <c r="BJ247" s="59"/>
      <c r="BK247" s="59"/>
      <c r="BL247" s="59"/>
      <c r="BM247" s="59"/>
      <c r="BN247" s="59"/>
      <c r="BO247" s="59"/>
    </row>
    <row r="248" spans="1:67" ht="19.5" customHeight="1" x14ac:dyDescent="0.15">
      <c r="A248" s="123" t="s">
        <v>1856</v>
      </c>
      <c r="B248" s="122" t="s">
        <v>1854</v>
      </c>
      <c r="C248" s="49"/>
      <c r="D248" s="48" t="s">
        <v>73</v>
      </c>
      <c r="E248" s="49"/>
      <c r="F248" s="50"/>
      <c r="G248" s="62"/>
      <c r="H248" s="48" t="s">
        <v>72</v>
      </c>
      <c r="I248" s="52">
        <v>1</v>
      </c>
      <c r="J248" s="52"/>
      <c r="K248" s="52" t="s">
        <v>73</v>
      </c>
      <c r="L248" s="52" t="s">
        <v>74</v>
      </c>
      <c r="M248" s="53" t="s">
        <v>942</v>
      </c>
      <c r="N248" s="58" t="s">
        <v>73</v>
      </c>
      <c r="O248" s="48" t="s">
        <v>72</v>
      </c>
      <c r="P248" s="48" t="s">
        <v>73</v>
      </c>
      <c r="Q248" s="54" t="s">
        <v>73</v>
      </c>
      <c r="R248" s="55" t="s">
        <v>73</v>
      </c>
      <c r="S248" s="48" t="s">
        <v>73</v>
      </c>
      <c r="T248" s="130"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8" t="str" cm="1">
        <f t="array" ref="U248">IF(SUMPRODUCT(--((CAT_Procesos!$E$2:$E$1581=O248)*(CAT_Procesos!$F$2:$F$1581=_xlfn.TEXTJOIN(" + ",TRUE,IF((TRIM(P248:S248)="")+(LOWER(TRIM(P248:S248))="(seleccione)"),"",PROPER(TRIM(P248:S248)))))*(CAT_Procesos!$D$2:$D$1581=IFERROR(VLOOKUP(N248&amp;"*",CAT_Procesos!$D:$D,1,FALSE),""))))=0,"Combinación no existente",IF(SUMPRODUCT(((CAT_Procesos!$E$2:$E$1581=O248)*(CAT_Procesos!$F$2:$F$1581=_xlfn.TEXTJOIN(" + ",TRUE,IF((TRIM(P248:S248)="")+(LOWER(TRIM(P248:S248))="(seleccione)"),"",PROPER(TRIM(P248:S248)))))*(CAT_Procesos!$D$2:$D$1581=IFERROR(VLOOKUP(N248&amp;"*",CAT_Procesos!$D:$D,1,FALSE),"")))*(CAT_Procesos!$G$2:$G$1581=INDEX(CAT_Procesos!$G$2:$G$1581,MATCH(1,(CAT_Procesos!$E$2:$E$1581=O248)*(CAT_Procesos!$F$2:$F$1581=_xlfn.TEXTJOIN(" + ",TRUE,IF((TRIM(P248:S248)="")+(LOWER(TRIM(P248:S248))="(seleccione)"),"",PROPER(TRIM(P248:S248)))))*(CAT_Procesos!$D$2:$D$1581=IFERROR(VLOOKUP(N248&amp;"*",CAT_Procesos!$D:$D,1,FALSE),"")),0))))=SUMPRODUCT(--((CAT_Procesos!$E$2:$E$1581=O248)*(CAT_Procesos!$F$2:$F$1581=_xlfn.TEXTJOIN(" + ",TRUE,IF((TRIM(P248:S248)="")+(LOWER(TRIM(P248:S248))="(seleccione)"),"",PROPER(TRIM(P248:S248)))))*(CAT_Procesos!$D$2:$D$1581=IFERROR(VLOOKUP(N248&amp;"*",CAT_Procesos!$D:$D,1,FALSE),"")))),INDEX(CAT_Procesos!$G$2:$G$1581,MATCH(1,(CAT_Procesos!$E$2:$E$1581=O248)*(CAT_Procesos!$F$2:$F$1581=_xlfn.TEXTJOIN(" + ",TRUE,IF((TRIM(P248:S248)="")+(LOWER(TRIM(P248:S248))="(seleccione)"),"",PROPER(TRIM(P248:S248)))))*(CAT_Procesos!$D$2:$D$1581=IFERROR(VLOOKUP(N248&amp;"*",CAT_Procesos!$D:$D,1,FALSE),"")),0)),"(seleccione)"))</f>
        <v>Combinación no existente</v>
      </c>
      <c r="V248" s="55" t="s">
        <v>73</v>
      </c>
      <c r="W248" s="56" t="s">
        <v>73</v>
      </c>
      <c r="X248" s="57" t="str">
        <f t="shared" si="12"/>
        <v/>
      </c>
      <c r="Y248" s="58" t="s">
        <v>73</v>
      </c>
      <c r="Z248" s="57" t="str">
        <f t="shared" si="13"/>
        <v/>
      </c>
      <c r="AA248" s="58" t="s">
        <v>73</v>
      </c>
      <c r="AB248" s="57" t="str">
        <f t="shared" si="14"/>
        <v/>
      </c>
      <c r="AC248" s="58" t="s">
        <v>73</v>
      </c>
      <c r="AD248" s="57" t="str">
        <f t="shared" si="15"/>
        <v/>
      </c>
      <c r="AE248" s="59"/>
      <c r="AF248" s="59"/>
      <c r="AG248" s="59"/>
      <c r="AH248" s="59"/>
      <c r="AI248" s="59" t="s">
        <v>73</v>
      </c>
      <c r="AJ248" s="59"/>
      <c r="AK248" s="59" t="s">
        <v>73</v>
      </c>
      <c r="AL248" s="59"/>
      <c r="AM248" s="59" t="s">
        <v>73</v>
      </c>
      <c r="AN248" s="59"/>
      <c r="AO248" s="59" t="s">
        <v>73</v>
      </c>
      <c r="AP248" s="59"/>
      <c r="AQ248" s="59" t="s">
        <v>73</v>
      </c>
      <c r="AR248" s="59"/>
      <c r="AS248" s="59" t="s">
        <v>72</v>
      </c>
      <c r="AT248" s="59"/>
      <c r="AU248" s="59"/>
      <c r="AV248" s="59"/>
      <c r="AW248" s="59"/>
      <c r="AX248" s="59"/>
      <c r="AY248" s="60" t="str">
        <f>IF('Cálculo MP'!K258="","",'Cálculo MP'!K258)</f>
        <v/>
      </c>
      <c r="AZ248" s="60" t="str">
        <f>IF('Cálculo MP'!L258="","",'Cálculo MP'!L258)</f>
        <v/>
      </c>
      <c r="BA248" s="60" t="str">
        <f>IF('Cálculo MP'!M258="","",'Cálculo MP'!M258)</f>
        <v/>
      </c>
      <c r="BB248" s="60" t="str">
        <f>IF('Cálculo MP'!N258="","",'Cálculo MP'!N258)</f>
        <v/>
      </c>
      <c r="BC248" s="60" t="str">
        <f>IF('Cálculo MP'!O258="","",'Cálculo MP'!O258)</f>
        <v/>
      </c>
      <c r="BD248" s="60" t="str">
        <f>IF('Cálculo MP'!P258="","",'Cálculo MP'!P258)</f>
        <v/>
      </c>
      <c r="BE248" s="60" t="str">
        <f>IF('Cálculo MP'!Q258="","",'Cálculo MP'!Q258)</f>
        <v/>
      </c>
      <c r="BF248" s="60" t="str">
        <f>IF('Cálculo MP'!R258="","",'Cálculo MP'!R258)</f>
        <v/>
      </c>
      <c r="BG248" s="60" t="str">
        <f>IF('Cálculo MP'!S258="","",'Cálculo MP'!S258)</f>
        <v/>
      </c>
      <c r="BH248" s="59"/>
      <c r="BI248" s="59"/>
      <c r="BJ248" s="59"/>
      <c r="BK248" s="59"/>
      <c r="BL248" s="59"/>
      <c r="BM248" s="59"/>
      <c r="BN248" s="59"/>
      <c r="BO248" s="59"/>
    </row>
    <row r="249" spans="1:67" ht="19.5" customHeight="1" x14ac:dyDescent="0.15">
      <c r="A249" s="123" t="s">
        <v>1856</v>
      </c>
      <c r="B249" s="122" t="s">
        <v>1854</v>
      </c>
      <c r="C249" s="49"/>
      <c r="D249" s="48" t="s">
        <v>73</v>
      </c>
      <c r="E249" s="49"/>
      <c r="F249" s="50"/>
      <c r="G249" s="62"/>
      <c r="H249" s="48" t="s">
        <v>72</v>
      </c>
      <c r="I249" s="52">
        <v>1</v>
      </c>
      <c r="J249" s="52"/>
      <c r="K249" s="52" t="s">
        <v>73</v>
      </c>
      <c r="L249" s="52" t="s">
        <v>74</v>
      </c>
      <c r="M249" s="53" t="s">
        <v>942</v>
      </c>
      <c r="N249" s="58" t="s">
        <v>73</v>
      </c>
      <c r="O249" s="48" t="s">
        <v>72</v>
      </c>
      <c r="P249" s="48" t="s">
        <v>73</v>
      </c>
      <c r="Q249" s="54" t="s">
        <v>73</v>
      </c>
      <c r="R249" s="55" t="s">
        <v>73</v>
      </c>
      <c r="S249" s="48" t="s">
        <v>73</v>
      </c>
      <c r="T249" s="130"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8" t="str" cm="1">
        <f t="array" ref="U249">IF(SUMPRODUCT(--((CAT_Procesos!$E$2:$E$1581=O249)*(CAT_Procesos!$F$2:$F$1581=_xlfn.TEXTJOIN(" + ",TRUE,IF((TRIM(P249:S249)="")+(LOWER(TRIM(P249:S249))="(seleccione)"),"",PROPER(TRIM(P249:S249)))))*(CAT_Procesos!$D$2:$D$1581=IFERROR(VLOOKUP(N249&amp;"*",CAT_Procesos!$D:$D,1,FALSE),""))))=0,"Combinación no existente",IF(SUMPRODUCT(((CAT_Procesos!$E$2:$E$1581=O249)*(CAT_Procesos!$F$2:$F$1581=_xlfn.TEXTJOIN(" + ",TRUE,IF((TRIM(P249:S249)="")+(LOWER(TRIM(P249:S249))="(seleccione)"),"",PROPER(TRIM(P249:S249)))))*(CAT_Procesos!$D$2:$D$1581=IFERROR(VLOOKUP(N249&amp;"*",CAT_Procesos!$D:$D,1,FALSE),"")))*(CAT_Procesos!$G$2:$G$1581=INDEX(CAT_Procesos!$G$2:$G$1581,MATCH(1,(CAT_Procesos!$E$2:$E$1581=O249)*(CAT_Procesos!$F$2:$F$1581=_xlfn.TEXTJOIN(" + ",TRUE,IF((TRIM(P249:S249)="")+(LOWER(TRIM(P249:S249))="(seleccione)"),"",PROPER(TRIM(P249:S249)))))*(CAT_Procesos!$D$2:$D$1581=IFERROR(VLOOKUP(N249&amp;"*",CAT_Procesos!$D:$D,1,FALSE),"")),0))))=SUMPRODUCT(--((CAT_Procesos!$E$2:$E$1581=O249)*(CAT_Procesos!$F$2:$F$1581=_xlfn.TEXTJOIN(" + ",TRUE,IF((TRIM(P249:S249)="")+(LOWER(TRIM(P249:S249))="(seleccione)"),"",PROPER(TRIM(P249:S249)))))*(CAT_Procesos!$D$2:$D$1581=IFERROR(VLOOKUP(N249&amp;"*",CAT_Procesos!$D:$D,1,FALSE),"")))),INDEX(CAT_Procesos!$G$2:$G$1581,MATCH(1,(CAT_Procesos!$E$2:$E$1581=O249)*(CAT_Procesos!$F$2:$F$1581=_xlfn.TEXTJOIN(" + ",TRUE,IF((TRIM(P249:S249)="")+(LOWER(TRIM(P249:S249))="(seleccione)"),"",PROPER(TRIM(P249:S249)))))*(CAT_Procesos!$D$2:$D$1581=IFERROR(VLOOKUP(N249&amp;"*",CAT_Procesos!$D:$D,1,FALSE),"")),0)),"(seleccione)"))</f>
        <v>Combinación no existente</v>
      </c>
      <c r="V249" s="55" t="s">
        <v>73</v>
      </c>
      <c r="W249" s="56" t="s">
        <v>73</v>
      </c>
      <c r="X249" s="57" t="str">
        <f t="shared" si="12"/>
        <v/>
      </c>
      <c r="Y249" s="58" t="s">
        <v>73</v>
      </c>
      <c r="Z249" s="57" t="str">
        <f t="shared" si="13"/>
        <v/>
      </c>
      <c r="AA249" s="58" t="s">
        <v>73</v>
      </c>
      <c r="AB249" s="57" t="str">
        <f t="shared" si="14"/>
        <v/>
      </c>
      <c r="AC249" s="58" t="s">
        <v>73</v>
      </c>
      <c r="AD249" s="57" t="str">
        <f t="shared" si="15"/>
        <v/>
      </c>
      <c r="AE249" s="59"/>
      <c r="AF249" s="59"/>
      <c r="AG249" s="59"/>
      <c r="AH249" s="59"/>
      <c r="AI249" s="59" t="s">
        <v>73</v>
      </c>
      <c r="AJ249" s="59"/>
      <c r="AK249" s="59" t="s">
        <v>73</v>
      </c>
      <c r="AL249" s="59"/>
      <c r="AM249" s="59" t="s">
        <v>73</v>
      </c>
      <c r="AN249" s="59"/>
      <c r="AO249" s="59" t="s">
        <v>73</v>
      </c>
      <c r="AP249" s="59"/>
      <c r="AQ249" s="59" t="s">
        <v>73</v>
      </c>
      <c r="AR249" s="59"/>
      <c r="AS249" s="59" t="s">
        <v>72</v>
      </c>
      <c r="AT249" s="59"/>
      <c r="AU249" s="59"/>
      <c r="AV249" s="59"/>
      <c r="AW249" s="59"/>
      <c r="AX249" s="59"/>
      <c r="AY249" s="60" t="str">
        <f>IF('Cálculo MP'!K259="","",'Cálculo MP'!K259)</f>
        <v/>
      </c>
      <c r="AZ249" s="60" t="str">
        <f>IF('Cálculo MP'!L259="","",'Cálculo MP'!L259)</f>
        <v/>
      </c>
      <c r="BA249" s="60" t="str">
        <f>IF('Cálculo MP'!M259="","",'Cálculo MP'!M259)</f>
        <v/>
      </c>
      <c r="BB249" s="60" t="str">
        <f>IF('Cálculo MP'!N259="","",'Cálculo MP'!N259)</f>
        <v/>
      </c>
      <c r="BC249" s="60" t="str">
        <f>IF('Cálculo MP'!O259="","",'Cálculo MP'!O259)</f>
        <v/>
      </c>
      <c r="BD249" s="60" t="str">
        <f>IF('Cálculo MP'!P259="","",'Cálculo MP'!P259)</f>
        <v/>
      </c>
      <c r="BE249" s="60" t="str">
        <f>IF('Cálculo MP'!Q259="","",'Cálculo MP'!Q259)</f>
        <v/>
      </c>
      <c r="BF249" s="60" t="str">
        <f>IF('Cálculo MP'!R259="","",'Cálculo MP'!R259)</f>
        <v/>
      </c>
      <c r="BG249" s="60" t="str">
        <f>IF('Cálculo MP'!S259="","",'Cálculo MP'!S259)</f>
        <v/>
      </c>
      <c r="BH249" s="59"/>
      <c r="BI249" s="59"/>
      <c r="BJ249" s="59"/>
      <c r="BK249" s="59"/>
      <c r="BL249" s="59"/>
      <c r="BM249" s="59"/>
      <c r="BN249" s="59"/>
      <c r="BO249" s="59"/>
    </row>
    <row r="250" spans="1:67" ht="19.5" customHeight="1" x14ac:dyDescent="0.15">
      <c r="A250" s="123" t="s">
        <v>1856</v>
      </c>
      <c r="B250" s="122" t="s">
        <v>1854</v>
      </c>
      <c r="C250" s="49"/>
      <c r="D250" s="48" t="s">
        <v>73</v>
      </c>
      <c r="E250" s="49"/>
      <c r="F250" s="50"/>
      <c r="G250" s="62"/>
      <c r="H250" s="48" t="s">
        <v>72</v>
      </c>
      <c r="I250" s="52">
        <v>1</v>
      </c>
      <c r="J250" s="52"/>
      <c r="K250" s="52" t="s">
        <v>73</v>
      </c>
      <c r="L250" s="52" t="s">
        <v>74</v>
      </c>
      <c r="M250" s="53" t="s">
        <v>942</v>
      </c>
      <c r="N250" s="58" t="s">
        <v>73</v>
      </c>
      <c r="O250" s="48" t="s">
        <v>72</v>
      </c>
      <c r="P250" s="48" t="s">
        <v>73</v>
      </c>
      <c r="Q250" s="54" t="s">
        <v>73</v>
      </c>
      <c r="R250" s="55" t="s">
        <v>73</v>
      </c>
      <c r="S250" s="48" t="s">
        <v>73</v>
      </c>
      <c r="T250" s="130"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8" t="str" cm="1">
        <f t="array" ref="U250">IF(SUMPRODUCT(--((CAT_Procesos!$E$2:$E$1581=O250)*(CAT_Procesos!$F$2:$F$1581=_xlfn.TEXTJOIN(" + ",TRUE,IF((TRIM(P250:S250)="")+(LOWER(TRIM(P250:S250))="(seleccione)"),"",PROPER(TRIM(P250:S250)))))*(CAT_Procesos!$D$2:$D$1581=IFERROR(VLOOKUP(N250&amp;"*",CAT_Procesos!$D:$D,1,FALSE),""))))=0,"Combinación no existente",IF(SUMPRODUCT(((CAT_Procesos!$E$2:$E$1581=O250)*(CAT_Procesos!$F$2:$F$1581=_xlfn.TEXTJOIN(" + ",TRUE,IF((TRIM(P250:S250)="")+(LOWER(TRIM(P250:S250))="(seleccione)"),"",PROPER(TRIM(P250:S250)))))*(CAT_Procesos!$D$2:$D$1581=IFERROR(VLOOKUP(N250&amp;"*",CAT_Procesos!$D:$D,1,FALSE),"")))*(CAT_Procesos!$G$2:$G$1581=INDEX(CAT_Procesos!$G$2:$G$1581,MATCH(1,(CAT_Procesos!$E$2:$E$1581=O250)*(CAT_Procesos!$F$2:$F$1581=_xlfn.TEXTJOIN(" + ",TRUE,IF((TRIM(P250:S250)="")+(LOWER(TRIM(P250:S250))="(seleccione)"),"",PROPER(TRIM(P250:S250)))))*(CAT_Procesos!$D$2:$D$1581=IFERROR(VLOOKUP(N250&amp;"*",CAT_Procesos!$D:$D,1,FALSE),"")),0))))=SUMPRODUCT(--((CAT_Procesos!$E$2:$E$1581=O250)*(CAT_Procesos!$F$2:$F$1581=_xlfn.TEXTJOIN(" + ",TRUE,IF((TRIM(P250:S250)="")+(LOWER(TRIM(P250:S250))="(seleccione)"),"",PROPER(TRIM(P250:S250)))))*(CAT_Procesos!$D$2:$D$1581=IFERROR(VLOOKUP(N250&amp;"*",CAT_Procesos!$D:$D,1,FALSE),"")))),INDEX(CAT_Procesos!$G$2:$G$1581,MATCH(1,(CAT_Procesos!$E$2:$E$1581=O250)*(CAT_Procesos!$F$2:$F$1581=_xlfn.TEXTJOIN(" + ",TRUE,IF((TRIM(P250:S250)="")+(LOWER(TRIM(P250:S250))="(seleccione)"),"",PROPER(TRIM(P250:S250)))))*(CAT_Procesos!$D$2:$D$1581=IFERROR(VLOOKUP(N250&amp;"*",CAT_Procesos!$D:$D,1,FALSE),"")),0)),"(seleccione)"))</f>
        <v>Combinación no existente</v>
      </c>
      <c r="V250" s="55" t="s">
        <v>73</v>
      </c>
      <c r="W250" s="56" t="s">
        <v>73</v>
      </c>
      <c r="X250" s="57" t="str">
        <f t="shared" si="12"/>
        <v/>
      </c>
      <c r="Y250" s="58" t="s">
        <v>73</v>
      </c>
      <c r="Z250" s="57" t="str">
        <f t="shared" si="13"/>
        <v/>
      </c>
      <c r="AA250" s="58" t="s">
        <v>73</v>
      </c>
      <c r="AB250" s="57" t="str">
        <f t="shared" si="14"/>
        <v/>
      </c>
      <c r="AC250" s="58" t="s">
        <v>73</v>
      </c>
      <c r="AD250" s="57" t="str">
        <f t="shared" si="15"/>
        <v/>
      </c>
      <c r="AE250" s="59"/>
      <c r="AF250" s="59"/>
      <c r="AG250" s="59"/>
      <c r="AH250" s="59"/>
      <c r="AI250" s="59" t="s">
        <v>73</v>
      </c>
      <c r="AJ250" s="59"/>
      <c r="AK250" s="59" t="s">
        <v>73</v>
      </c>
      <c r="AL250" s="59"/>
      <c r="AM250" s="59" t="s">
        <v>73</v>
      </c>
      <c r="AN250" s="59"/>
      <c r="AO250" s="59" t="s">
        <v>73</v>
      </c>
      <c r="AP250" s="59"/>
      <c r="AQ250" s="59" t="s">
        <v>73</v>
      </c>
      <c r="AR250" s="59"/>
      <c r="AS250" s="59" t="s">
        <v>72</v>
      </c>
      <c r="AT250" s="59"/>
      <c r="AU250" s="59"/>
      <c r="AV250" s="59"/>
      <c r="AW250" s="59"/>
      <c r="AX250" s="59"/>
      <c r="AY250" s="60" t="str">
        <f>IF('Cálculo MP'!K260="","",'Cálculo MP'!K260)</f>
        <v/>
      </c>
      <c r="AZ250" s="60" t="str">
        <f>IF('Cálculo MP'!L260="","",'Cálculo MP'!L260)</f>
        <v/>
      </c>
      <c r="BA250" s="60" t="str">
        <f>IF('Cálculo MP'!M260="","",'Cálculo MP'!M260)</f>
        <v/>
      </c>
      <c r="BB250" s="60" t="str">
        <f>IF('Cálculo MP'!N260="","",'Cálculo MP'!N260)</f>
        <v/>
      </c>
      <c r="BC250" s="60" t="str">
        <f>IF('Cálculo MP'!O260="","",'Cálculo MP'!O260)</f>
        <v/>
      </c>
      <c r="BD250" s="60" t="str">
        <f>IF('Cálculo MP'!P260="","",'Cálculo MP'!P260)</f>
        <v/>
      </c>
      <c r="BE250" s="60" t="str">
        <f>IF('Cálculo MP'!Q260="","",'Cálculo MP'!Q260)</f>
        <v/>
      </c>
      <c r="BF250" s="60" t="str">
        <f>IF('Cálculo MP'!R260="","",'Cálculo MP'!R260)</f>
        <v/>
      </c>
      <c r="BG250" s="60" t="str">
        <f>IF('Cálculo MP'!S260="","",'Cálculo MP'!S260)</f>
        <v/>
      </c>
      <c r="BH250" s="59"/>
      <c r="BI250" s="59"/>
      <c r="BJ250" s="59"/>
      <c r="BK250" s="59"/>
      <c r="BL250" s="59"/>
      <c r="BM250" s="59"/>
      <c r="BN250" s="59"/>
      <c r="BO250" s="59"/>
    </row>
    <row r="251" spans="1:67" ht="19.5" customHeight="1" x14ac:dyDescent="0.15">
      <c r="A251" s="123" t="s">
        <v>1856</v>
      </c>
      <c r="B251" s="122" t="s">
        <v>1854</v>
      </c>
      <c r="C251" s="49"/>
      <c r="D251" s="48" t="s">
        <v>73</v>
      </c>
      <c r="E251" s="49"/>
      <c r="F251" s="50"/>
      <c r="G251" s="62"/>
      <c r="H251" s="48" t="s">
        <v>72</v>
      </c>
      <c r="I251" s="52">
        <v>1</v>
      </c>
      <c r="J251" s="52"/>
      <c r="K251" s="52" t="s">
        <v>73</v>
      </c>
      <c r="L251" s="52" t="s">
        <v>74</v>
      </c>
      <c r="M251" s="53" t="s">
        <v>942</v>
      </c>
      <c r="N251" s="58" t="s">
        <v>73</v>
      </c>
      <c r="O251" s="48" t="s">
        <v>72</v>
      </c>
      <c r="P251" s="48" t="s">
        <v>73</v>
      </c>
      <c r="Q251" s="54" t="s">
        <v>73</v>
      </c>
      <c r="R251" s="55" t="s">
        <v>73</v>
      </c>
      <c r="S251" s="48" t="s">
        <v>73</v>
      </c>
      <c r="T251" s="130"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8" t="str" cm="1">
        <f t="array" ref="U251">IF(SUMPRODUCT(--((CAT_Procesos!$E$2:$E$1581=O251)*(CAT_Procesos!$F$2:$F$1581=_xlfn.TEXTJOIN(" + ",TRUE,IF((TRIM(P251:S251)="")+(LOWER(TRIM(P251:S251))="(seleccione)"),"",PROPER(TRIM(P251:S251)))))*(CAT_Procesos!$D$2:$D$1581=IFERROR(VLOOKUP(N251&amp;"*",CAT_Procesos!$D:$D,1,FALSE),""))))=0,"Combinación no existente",IF(SUMPRODUCT(((CAT_Procesos!$E$2:$E$1581=O251)*(CAT_Procesos!$F$2:$F$1581=_xlfn.TEXTJOIN(" + ",TRUE,IF((TRIM(P251:S251)="")+(LOWER(TRIM(P251:S251))="(seleccione)"),"",PROPER(TRIM(P251:S251)))))*(CAT_Procesos!$D$2:$D$1581=IFERROR(VLOOKUP(N251&amp;"*",CAT_Procesos!$D:$D,1,FALSE),"")))*(CAT_Procesos!$G$2:$G$1581=INDEX(CAT_Procesos!$G$2:$G$1581,MATCH(1,(CAT_Procesos!$E$2:$E$1581=O251)*(CAT_Procesos!$F$2:$F$1581=_xlfn.TEXTJOIN(" + ",TRUE,IF((TRIM(P251:S251)="")+(LOWER(TRIM(P251:S251))="(seleccione)"),"",PROPER(TRIM(P251:S251)))))*(CAT_Procesos!$D$2:$D$1581=IFERROR(VLOOKUP(N251&amp;"*",CAT_Procesos!$D:$D,1,FALSE),"")),0))))=SUMPRODUCT(--((CAT_Procesos!$E$2:$E$1581=O251)*(CAT_Procesos!$F$2:$F$1581=_xlfn.TEXTJOIN(" + ",TRUE,IF((TRIM(P251:S251)="")+(LOWER(TRIM(P251:S251))="(seleccione)"),"",PROPER(TRIM(P251:S251)))))*(CAT_Procesos!$D$2:$D$1581=IFERROR(VLOOKUP(N251&amp;"*",CAT_Procesos!$D:$D,1,FALSE),"")))),INDEX(CAT_Procesos!$G$2:$G$1581,MATCH(1,(CAT_Procesos!$E$2:$E$1581=O251)*(CAT_Procesos!$F$2:$F$1581=_xlfn.TEXTJOIN(" + ",TRUE,IF((TRIM(P251:S251)="")+(LOWER(TRIM(P251:S251))="(seleccione)"),"",PROPER(TRIM(P251:S251)))))*(CAT_Procesos!$D$2:$D$1581=IFERROR(VLOOKUP(N251&amp;"*",CAT_Procesos!$D:$D,1,FALSE),"")),0)),"(seleccione)"))</f>
        <v>Combinación no existente</v>
      </c>
      <c r="V251" s="55" t="s">
        <v>73</v>
      </c>
      <c r="W251" s="56" t="s">
        <v>73</v>
      </c>
      <c r="X251" s="57" t="str">
        <f t="shared" si="12"/>
        <v/>
      </c>
      <c r="Y251" s="58" t="s">
        <v>73</v>
      </c>
      <c r="Z251" s="57" t="str">
        <f t="shared" si="13"/>
        <v/>
      </c>
      <c r="AA251" s="58" t="s">
        <v>73</v>
      </c>
      <c r="AB251" s="57" t="str">
        <f t="shared" si="14"/>
        <v/>
      </c>
      <c r="AC251" s="58" t="s">
        <v>73</v>
      </c>
      <c r="AD251" s="57" t="str">
        <f t="shared" si="15"/>
        <v/>
      </c>
      <c r="AE251" s="59"/>
      <c r="AF251" s="59"/>
      <c r="AG251" s="59"/>
      <c r="AH251" s="59"/>
      <c r="AI251" s="59" t="s">
        <v>73</v>
      </c>
      <c r="AJ251" s="59"/>
      <c r="AK251" s="59" t="s">
        <v>73</v>
      </c>
      <c r="AL251" s="59"/>
      <c r="AM251" s="59" t="s">
        <v>73</v>
      </c>
      <c r="AN251" s="59"/>
      <c r="AO251" s="59" t="s">
        <v>73</v>
      </c>
      <c r="AP251" s="59"/>
      <c r="AQ251" s="59" t="s">
        <v>73</v>
      </c>
      <c r="AR251" s="59"/>
      <c r="AS251" s="59" t="s">
        <v>72</v>
      </c>
      <c r="AT251" s="59"/>
      <c r="AU251" s="59"/>
      <c r="AV251" s="59"/>
      <c r="AW251" s="59"/>
      <c r="AX251" s="59"/>
      <c r="AY251" s="60" t="str">
        <f>IF('Cálculo MP'!K261="","",'Cálculo MP'!K261)</f>
        <v/>
      </c>
      <c r="AZ251" s="60" t="str">
        <f>IF('Cálculo MP'!L261="","",'Cálculo MP'!L261)</f>
        <v/>
      </c>
      <c r="BA251" s="60" t="str">
        <f>IF('Cálculo MP'!M261="","",'Cálculo MP'!M261)</f>
        <v/>
      </c>
      <c r="BB251" s="60" t="str">
        <f>IF('Cálculo MP'!N261="","",'Cálculo MP'!N261)</f>
        <v/>
      </c>
      <c r="BC251" s="60" t="str">
        <f>IF('Cálculo MP'!O261="","",'Cálculo MP'!O261)</f>
        <v/>
      </c>
      <c r="BD251" s="60" t="str">
        <f>IF('Cálculo MP'!P261="","",'Cálculo MP'!P261)</f>
        <v/>
      </c>
      <c r="BE251" s="60" t="str">
        <f>IF('Cálculo MP'!Q261="","",'Cálculo MP'!Q261)</f>
        <v/>
      </c>
      <c r="BF251" s="60" t="str">
        <f>IF('Cálculo MP'!R261="","",'Cálculo MP'!R261)</f>
        <v/>
      </c>
      <c r="BG251" s="60" t="str">
        <f>IF('Cálculo MP'!S261="","",'Cálculo MP'!S261)</f>
        <v/>
      </c>
      <c r="BH251" s="59"/>
      <c r="BI251" s="59"/>
      <c r="BJ251" s="59"/>
      <c r="BK251" s="59"/>
      <c r="BL251" s="59"/>
      <c r="BM251" s="59"/>
      <c r="BN251" s="59"/>
      <c r="BO251" s="59"/>
    </row>
    <row r="252" spans="1:67" ht="19.5" customHeight="1" x14ac:dyDescent="0.15">
      <c r="A252" s="123" t="s">
        <v>1856</v>
      </c>
      <c r="B252" s="122" t="s">
        <v>1854</v>
      </c>
      <c r="C252" s="49"/>
      <c r="D252" s="48" t="s">
        <v>73</v>
      </c>
      <c r="E252" s="49"/>
      <c r="F252" s="50"/>
      <c r="G252" s="62"/>
      <c r="H252" s="48" t="s">
        <v>72</v>
      </c>
      <c r="I252" s="52">
        <v>1</v>
      </c>
      <c r="J252" s="52"/>
      <c r="K252" s="52" t="s">
        <v>73</v>
      </c>
      <c r="L252" s="52" t="s">
        <v>74</v>
      </c>
      <c r="M252" s="53" t="s">
        <v>942</v>
      </c>
      <c r="N252" s="58" t="s">
        <v>73</v>
      </c>
      <c r="O252" s="48" t="s">
        <v>72</v>
      </c>
      <c r="P252" s="48" t="s">
        <v>73</v>
      </c>
      <c r="Q252" s="54" t="s">
        <v>73</v>
      </c>
      <c r="R252" s="55" t="s">
        <v>73</v>
      </c>
      <c r="S252" s="48" t="s">
        <v>73</v>
      </c>
      <c r="T252" s="130"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8" t="str" cm="1">
        <f t="array" ref="U252">IF(SUMPRODUCT(--((CAT_Procesos!$E$2:$E$1581=O252)*(CAT_Procesos!$F$2:$F$1581=_xlfn.TEXTJOIN(" + ",TRUE,IF((TRIM(P252:S252)="")+(LOWER(TRIM(P252:S252))="(seleccione)"),"",PROPER(TRIM(P252:S252)))))*(CAT_Procesos!$D$2:$D$1581=IFERROR(VLOOKUP(N252&amp;"*",CAT_Procesos!$D:$D,1,FALSE),""))))=0,"Combinación no existente",IF(SUMPRODUCT(((CAT_Procesos!$E$2:$E$1581=O252)*(CAT_Procesos!$F$2:$F$1581=_xlfn.TEXTJOIN(" + ",TRUE,IF((TRIM(P252:S252)="")+(LOWER(TRIM(P252:S252))="(seleccione)"),"",PROPER(TRIM(P252:S252)))))*(CAT_Procesos!$D$2:$D$1581=IFERROR(VLOOKUP(N252&amp;"*",CAT_Procesos!$D:$D,1,FALSE),"")))*(CAT_Procesos!$G$2:$G$1581=INDEX(CAT_Procesos!$G$2:$G$1581,MATCH(1,(CAT_Procesos!$E$2:$E$1581=O252)*(CAT_Procesos!$F$2:$F$1581=_xlfn.TEXTJOIN(" + ",TRUE,IF((TRIM(P252:S252)="")+(LOWER(TRIM(P252:S252))="(seleccione)"),"",PROPER(TRIM(P252:S252)))))*(CAT_Procesos!$D$2:$D$1581=IFERROR(VLOOKUP(N252&amp;"*",CAT_Procesos!$D:$D,1,FALSE),"")),0))))=SUMPRODUCT(--((CAT_Procesos!$E$2:$E$1581=O252)*(CAT_Procesos!$F$2:$F$1581=_xlfn.TEXTJOIN(" + ",TRUE,IF((TRIM(P252:S252)="")+(LOWER(TRIM(P252:S252))="(seleccione)"),"",PROPER(TRIM(P252:S252)))))*(CAT_Procesos!$D$2:$D$1581=IFERROR(VLOOKUP(N252&amp;"*",CAT_Procesos!$D:$D,1,FALSE),"")))),INDEX(CAT_Procesos!$G$2:$G$1581,MATCH(1,(CAT_Procesos!$E$2:$E$1581=O252)*(CAT_Procesos!$F$2:$F$1581=_xlfn.TEXTJOIN(" + ",TRUE,IF((TRIM(P252:S252)="")+(LOWER(TRIM(P252:S252))="(seleccione)"),"",PROPER(TRIM(P252:S252)))))*(CAT_Procesos!$D$2:$D$1581=IFERROR(VLOOKUP(N252&amp;"*",CAT_Procesos!$D:$D,1,FALSE),"")),0)),"(seleccione)"))</f>
        <v>Combinación no existente</v>
      </c>
      <c r="V252" s="55" t="s">
        <v>73</v>
      </c>
      <c r="W252" s="56" t="s">
        <v>73</v>
      </c>
      <c r="X252" s="57" t="str">
        <f t="shared" si="12"/>
        <v/>
      </c>
      <c r="Y252" s="58" t="s">
        <v>73</v>
      </c>
      <c r="Z252" s="57" t="str">
        <f t="shared" si="13"/>
        <v/>
      </c>
      <c r="AA252" s="58" t="s">
        <v>73</v>
      </c>
      <c r="AB252" s="57" t="str">
        <f t="shared" si="14"/>
        <v/>
      </c>
      <c r="AC252" s="58" t="s">
        <v>73</v>
      </c>
      <c r="AD252" s="57" t="str">
        <f t="shared" si="15"/>
        <v/>
      </c>
      <c r="AE252" s="59"/>
      <c r="AF252" s="59"/>
      <c r="AG252" s="59"/>
      <c r="AH252" s="59"/>
      <c r="AI252" s="59" t="s">
        <v>73</v>
      </c>
      <c r="AJ252" s="59"/>
      <c r="AK252" s="59" t="s">
        <v>73</v>
      </c>
      <c r="AL252" s="59"/>
      <c r="AM252" s="59" t="s">
        <v>73</v>
      </c>
      <c r="AN252" s="59"/>
      <c r="AO252" s="59" t="s">
        <v>73</v>
      </c>
      <c r="AP252" s="59"/>
      <c r="AQ252" s="59" t="s">
        <v>73</v>
      </c>
      <c r="AR252" s="59"/>
      <c r="AS252" s="59" t="s">
        <v>72</v>
      </c>
      <c r="AT252" s="59"/>
      <c r="AU252" s="59"/>
      <c r="AV252" s="59"/>
      <c r="AW252" s="59"/>
      <c r="AX252" s="59"/>
      <c r="AY252" s="60" t="str">
        <f>IF('Cálculo MP'!K262="","",'Cálculo MP'!K262)</f>
        <v/>
      </c>
      <c r="AZ252" s="60" t="str">
        <f>IF('Cálculo MP'!L262="","",'Cálculo MP'!L262)</f>
        <v/>
      </c>
      <c r="BA252" s="60" t="str">
        <f>IF('Cálculo MP'!M262="","",'Cálculo MP'!M262)</f>
        <v/>
      </c>
      <c r="BB252" s="60" t="str">
        <f>IF('Cálculo MP'!N262="","",'Cálculo MP'!N262)</f>
        <v/>
      </c>
      <c r="BC252" s="60" t="str">
        <f>IF('Cálculo MP'!O262="","",'Cálculo MP'!O262)</f>
        <v/>
      </c>
      <c r="BD252" s="60" t="str">
        <f>IF('Cálculo MP'!P262="","",'Cálculo MP'!P262)</f>
        <v/>
      </c>
      <c r="BE252" s="60" t="str">
        <f>IF('Cálculo MP'!Q262="","",'Cálculo MP'!Q262)</f>
        <v/>
      </c>
      <c r="BF252" s="60" t="str">
        <f>IF('Cálculo MP'!R262="","",'Cálculo MP'!R262)</f>
        <v/>
      </c>
      <c r="BG252" s="60" t="str">
        <f>IF('Cálculo MP'!S262="","",'Cálculo MP'!S262)</f>
        <v/>
      </c>
      <c r="BH252" s="59"/>
      <c r="BI252" s="59"/>
      <c r="BJ252" s="59"/>
      <c r="BK252" s="59"/>
      <c r="BL252" s="59"/>
      <c r="BM252" s="59"/>
      <c r="BN252" s="59"/>
      <c r="BO252" s="59"/>
    </row>
    <row r="253" spans="1:67" ht="19.5" customHeight="1" x14ac:dyDescent="0.15">
      <c r="A253" s="123" t="s">
        <v>1856</v>
      </c>
      <c r="B253" s="122" t="s">
        <v>1854</v>
      </c>
      <c r="C253" s="49"/>
      <c r="D253" s="48" t="s">
        <v>73</v>
      </c>
      <c r="E253" s="49"/>
      <c r="F253" s="50"/>
      <c r="G253" s="62"/>
      <c r="H253" s="48" t="s">
        <v>72</v>
      </c>
      <c r="I253" s="52">
        <v>1</v>
      </c>
      <c r="J253" s="52"/>
      <c r="K253" s="52" t="s">
        <v>73</v>
      </c>
      <c r="L253" s="52" t="s">
        <v>74</v>
      </c>
      <c r="M253" s="53" t="s">
        <v>942</v>
      </c>
      <c r="N253" s="58" t="s">
        <v>73</v>
      </c>
      <c r="O253" s="48" t="s">
        <v>72</v>
      </c>
      <c r="P253" s="48" t="s">
        <v>73</v>
      </c>
      <c r="Q253" s="54" t="s">
        <v>73</v>
      </c>
      <c r="R253" s="55" t="s">
        <v>73</v>
      </c>
      <c r="S253" s="48" t="s">
        <v>73</v>
      </c>
      <c r="T253" s="130"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8" t="str" cm="1">
        <f t="array" ref="U253">IF(SUMPRODUCT(--((CAT_Procesos!$E$2:$E$1581=O253)*(CAT_Procesos!$F$2:$F$1581=_xlfn.TEXTJOIN(" + ",TRUE,IF((TRIM(P253:S253)="")+(LOWER(TRIM(P253:S253))="(seleccione)"),"",PROPER(TRIM(P253:S253)))))*(CAT_Procesos!$D$2:$D$1581=IFERROR(VLOOKUP(N253&amp;"*",CAT_Procesos!$D:$D,1,FALSE),""))))=0,"Combinación no existente",IF(SUMPRODUCT(((CAT_Procesos!$E$2:$E$1581=O253)*(CAT_Procesos!$F$2:$F$1581=_xlfn.TEXTJOIN(" + ",TRUE,IF((TRIM(P253:S253)="")+(LOWER(TRIM(P253:S253))="(seleccione)"),"",PROPER(TRIM(P253:S253)))))*(CAT_Procesos!$D$2:$D$1581=IFERROR(VLOOKUP(N253&amp;"*",CAT_Procesos!$D:$D,1,FALSE),"")))*(CAT_Procesos!$G$2:$G$1581=INDEX(CAT_Procesos!$G$2:$G$1581,MATCH(1,(CAT_Procesos!$E$2:$E$1581=O253)*(CAT_Procesos!$F$2:$F$1581=_xlfn.TEXTJOIN(" + ",TRUE,IF((TRIM(P253:S253)="")+(LOWER(TRIM(P253:S253))="(seleccione)"),"",PROPER(TRIM(P253:S253)))))*(CAT_Procesos!$D$2:$D$1581=IFERROR(VLOOKUP(N253&amp;"*",CAT_Procesos!$D:$D,1,FALSE),"")),0))))=SUMPRODUCT(--((CAT_Procesos!$E$2:$E$1581=O253)*(CAT_Procesos!$F$2:$F$1581=_xlfn.TEXTJOIN(" + ",TRUE,IF((TRIM(P253:S253)="")+(LOWER(TRIM(P253:S253))="(seleccione)"),"",PROPER(TRIM(P253:S253)))))*(CAT_Procesos!$D$2:$D$1581=IFERROR(VLOOKUP(N253&amp;"*",CAT_Procesos!$D:$D,1,FALSE),"")))),INDEX(CAT_Procesos!$G$2:$G$1581,MATCH(1,(CAT_Procesos!$E$2:$E$1581=O253)*(CAT_Procesos!$F$2:$F$1581=_xlfn.TEXTJOIN(" + ",TRUE,IF((TRIM(P253:S253)="")+(LOWER(TRIM(P253:S253))="(seleccione)"),"",PROPER(TRIM(P253:S253)))))*(CAT_Procesos!$D$2:$D$1581=IFERROR(VLOOKUP(N253&amp;"*",CAT_Procesos!$D:$D,1,FALSE),"")),0)),"(seleccione)"))</f>
        <v>Combinación no existente</v>
      </c>
      <c r="V253" s="55" t="s">
        <v>73</v>
      </c>
      <c r="W253" s="56" t="s">
        <v>73</v>
      </c>
      <c r="X253" s="57" t="str">
        <f t="shared" si="12"/>
        <v/>
      </c>
      <c r="Y253" s="58" t="s">
        <v>73</v>
      </c>
      <c r="Z253" s="57" t="str">
        <f t="shared" si="13"/>
        <v/>
      </c>
      <c r="AA253" s="58" t="s">
        <v>73</v>
      </c>
      <c r="AB253" s="57" t="str">
        <f t="shared" si="14"/>
        <v/>
      </c>
      <c r="AC253" s="58" t="s">
        <v>73</v>
      </c>
      <c r="AD253" s="57" t="str">
        <f t="shared" si="15"/>
        <v/>
      </c>
      <c r="AE253" s="59"/>
      <c r="AF253" s="59"/>
      <c r="AG253" s="59"/>
      <c r="AH253" s="59"/>
      <c r="AI253" s="59" t="s">
        <v>73</v>
      </c>
      <c r="AJ253" s="59"/>
      <c r="AK253" s="59" t="s">
        <v>73</v>
      </c>
      <c r="AL253" s="59"/>
      <c r="AM253" s="59" t="s">
        <v>73</v>
      </c>
      <c r="AN253" s="59"/>
      <c r="AO253" s="59" t="s">
        <v>73</v>
      </c>
      <c r="AP253" s="59"/>
      <c r="AQ253" s="59" t="s">
        <v>73</v>
      </c>
      <c r="AR253" s="59"/>
      <c r="AS253" s="59" t="s">
        <v>72</v>
      </c>
      <c r="AT253" s="59"/>
      <c r="AU253" s="59"/>
      <c r="AV253" s="59"/>
      <c r="AW253" s="59"/>
      <c r="AX253" s="59"/>
      <c r="AY253" s="60" t="str">
        <f>IF('Cálculo MP'!K263="","",'Cálculo MP'!K263)</f>
        <v/>
      </c>
      <c r="AZ253" s="60" t="str">
        <f>IF('Cálculo MP'!L263="","",'Cálculo MP'!L263)</f>
        <v/>
      </c>
      <c r="BA253" s="60" t="str">
        <f>IF('Cálculo MP'!M263="","",'Cálculo MP'!M263)</f>
        <v/>
      </c>
      <c r="BB253" s="60" t="str">
        <f>IF('Cálculo MP'!N263="","",'Cálculo MP'!N263)</f>
        <v/>
      </c>
      <c r="BC253" s="60" t="str">
        <f>IF('Cálculo MP'!O263="","",'Cálculo MP'!O263)</f>
        <v/>
      </c>
      <c r="BD253" s="60" t="str">
        <f>IF('Cálculo MP'!P263="","",'Cálculo MP'!P263)</f>
        <v/>
      </c>
      <c r="BE253" s="60" t="str">
        <f>IF('Cálculo MP'!Q263="","",'Cálculo MP'!Q263)</f>
        <v/>
      </c>
      <c r="BF253" s="60" t="str">
        <f>IF('Cálculo MP'!R263="","",'Cálculo MP'!R263)</f>
        <v/>
      </c>
      <c r="BG253" s="60" t="str">
        <f>IF('Cálculo MP'!S263="","",'Cálculo MP'!S263)</f>
        <v/>
      </c>
      <c r="BH253" s="59"/>
      <c r="BI253" s="59"/>
      <c r="BJ253" s="59"/>
      <c r="BK253" s="59"/>
      <c r="BL253" s="59"/>
      <c r="BM253" s="59"/>
      <c r="BN253" s="59"/>
      <c r="BO253" s="59"/>
    </row>
    <row r="254" spans="1:67" ht="19.5" customHeight="1" x14ac:dyDescent="0.15">
      <c r="A254" s="123" t="s">
        <v>1856</v>
      </c>
      <c r="B254" s="122" t="s">
        <v>1854</v>
      </c>
      <c r="C254" s="49"/>
      <c r="D254" s="48" t="s">
        <v>73</v>
      </c>
      <c r="E254" s="49"/>
      <c r="F254" s="50"/>
      <c r="G254" s="62"/>
      <c r="H254" s="48" t="s">
        <v>72</v>
      </c>
      <c r="I254" s="52">
        <v>1</v>
      </c>
      <c r="J254" s="52"/>
      <c r="K254" s="52" t="s">
        <v>73</v>
      </c>
      <c r="L254" s="52" t="s">
        <v>74</v>
      </c>
      <c r="M254" s="53" t="s">
        <v>942</v>
      </c>
      <c r="N254" s="58" t="s">
        <v>73</v>
      </c>
      <c r="O254" s="48" t="s">
        <v>72</v>
      </c>
      <c r="P254" s="48" t="s">
        <v>73</v>
      </c>
      <c r="Q254" s="54" t="s">
        <v>73</v>
      </c>
      <c r="R254" s="55" t="s">
        <v>73</v>
      </c>
      <c r="S254" s="48" t="s">
        <v>73</v>
      </c>
      <c r="T254" s="130"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8" t="str" cm="1">
        <f t="array" ref="U254">IF(SUMPRODUCT(--((CAT_Procesos!$E$2:$E$1581=O254)*(CAT_Procesos!$F$2:$F$1581=_xlfn.TEXTJOIN(" + ",TRUE,IF((TRIM(P254:S254)="")+(LOWER(TRIM(P254:S254))="(seleccione)"),"",PROPER(TRIM(P254:S254)))))*(CAT_Procesos!$D$2:$D$1581=IFERROR(VLOOKUP(N254&amp;"*",CAT_Procesos!$D:$D,1,FALSE),""))))=0,"Combinación no existente",IF(SUMPRODUCT(((CAT_Procesos!$E$2:$E$1581=O254)*(CAT_Procesos!$F$2:$F$1581=_xlfn.TEXTJOIN(" + ",TRUE,IF((TRIM(P254:S254)="")+(LOWER(TRIM(P254:S254))="(seleccione)"),"",PROPER(TRIM(P254:S254)))))*(CAT_Procesos!$D$2:$D$1581=IFERROR(VLOOKUP(N254&amp;"*",CAT_Procesos!$D:$D,1,FALSE),"")))*(CAT_Procesos!$G$2:$G$1581=INDEX(CAT_Procesos!$G$2:$G$1581,MATCH(1,(CAT_Procesos!$E$2:$E$1581=O254)*(CAT_Procesos!$F$2:$F$1581=_xlfn.TEXTJOIN(" + ",TRUE,IF((TRIM(P254:S254)="")+(LOWER(TRIM(P254:S254))="(seleccione)"),"",PROPER(TRIM(P254:S254)))))*(CAT_Procesos!$D$2:$D$1581=IFERROR(VLOOKUP(N254&amp;"*",CAT_Procesos!$D:$D,1,FALSE),"")),0))))=SUMPRODUCT(--((CAT_Procesos!$E$2:$E$1581=O254)*(CAT_Procesos!$F$2:$F$1581=_xlfn.TEXTJOIN(" + ",TRUE,IF((TRIM(P254:S254)="")+(LOWER(TRIM(P254:S254))="(seleccione)"),"",PROPER(TRIM(P254:S254)))))*(CAT_Procesos!$D$2:$D$1581=IFERROR(VLOOKUP(N254&amp;"*",CAT_Procesos!$D:$D,1,FALSE),"")))),INDEX(CAT_Procesos!$G$2:$G$1581,MATCH(1,(CAT_Procesos!$E$2:$E$1581=O254)*(CAT_Procesos!$F$2:$F$1581=_xlfn.TEXTJOIN(" + ",TRUE,IF((TRIM(P254:S254)="")+(LOWER(TRIM(P254:S254))="(seleccione)"),"",PROPER(TRIM(P254:S254)))))*(CAT_Procesos!$D$2:$D$1581=IFERROR(VLOOKUP(N254&amp;"*",CAT_Procesos!$D:$D,1,FALSE),"")),0)),"(seleccione)"))</f>
        <v>Combinación no existente</v>
      </c>
      <c r="V254" s="55" t="s">
        <v>73</v>
      </c>
      <c r="W254" s="56" t="s">
        <v>73</v>
      </c>
      <c r="X254" s="57" t="str">
        <f t="shared" si="12"/>
        <v/>
      </c>
      <c r="Y254" s="58" t="s">
        <v>73</v>
      </c>
      <c r="Z254" s="57" t="str">
        <f t="shared" si="13"/>
        <v/>
      </c>
      <c r="AA254" s="58" t="s">
        <v>73</v>
      </c>
      <c r="AB254" s="57" t="str">
        <f t="shared" si="14"/>
        <v/>
      </c>
      <c r="AC254" s="58" t="s">
        <v>73</v>
      </c>
      <c r="AD254" s="57" t="str">
        <f t="shared" si="15"/>
        <v/>
      </c>
      <c r="AE254" s="59"/>
      <c r="AF254" s="59"/>
      <c r="AG254" s="59"/>
      <c r="AH254" s="59"/>
      <c r="AI254" s="59" t="s">
        <v>73</v>
      </c>
      <c r="AJ254" s="59"/>
      <c r="AK254" s="59" t="s">
        <v>73</v>
      </c>
      <c r="AL254" s="59"/>
      <c r="AM254" s="59" t="s">
        <v>73</v>
      </c>
      <c r="AN254" s="59"/>
      <c r="AO254" s="59" t="s">
        <v>73</v>
      </c>
      <c r="AP254" s="59"/>
      <c r="AQ254" s="59" t="s">
        <v>73</v>
      </c>
      <c r="AR254" s="59"/>
      <c r="AS254" s="59" t="s">
        <v>72</v>
      </c>
      <c r="AT254" s="59"/>
      <c r="AU254" s="59"/>
      <c r="AV254" s="59"/>
      <c r="AW254" s="59"/>
      <c r="AX254" s="59"/>
      <c r="AY254" s="60" t="str">
        <f>IF('Cálculo MP'!K264="","",'Cálculo MP'!K264)</f>
        <v/>
      </c>
      <c r="AZ254" s="60" t="str">
        <f>IF('Cálculo MP'!L264="","",'Cálculo MP'!L264)</f>
        <v/>
      </c>
      <c r="BA254" s="60" t="str">
        <f>IF('Cálculo MP'!M264="","",'Cálculo MP'!M264)</f>
        <v/>
      </c>
      <c r="BB254" s="60" t="str">
        <f>IF('Cálculo MP'!N264="","",'Cálculo MP'!N264)</f>
        <v/>
      </c>
      <c r="BC254" s="60" t="str">
        <f>IF('Cálculo MP'!O264="","",'Cálculo MP'!O264)</f>
        <v/>
      </c>
      <c r="BD254" s="60" t="str">
        <f>IF('Cálculo MP'!P264="","",'Cálculo MP'!P264)</f>
        <v/>
      </c>
      <c r="BE254" s="60" t="str">
        <f>IF('Cálculo MP'!Q264="","",'Cálculo MP'!Q264)</f>
        <v/>
      </c>
      <c r="BF254" s="60" t="str">
        <f>IF('Cálculo MP'!R264="","",'Cálculo MP'!R264)</f>
        <v/>
      </c>
      <c r="BG254" s="60" t="str">
        <f>IF('Cálculo MP'!S264="","",'Cálculo MP'!S264)</f>
        <v/>
      </c>
      <c r="BH254" s="59"/>
      <c r="BI254" s="59"/>
      <c r="BJ254" s="59"/>
      <c r="BK254" s="59"/>
      <c r="BL254" s="59"/>
      <c r="BM254" s="59"/>
      <c r="BN254" s="59"/>
      <c r="BO254" s="59"/>
    </row>
    <row r="255" spans="1:67" ht="19.5" customHeight="1" x14ac:dyDescent="0.15">
      <c r="A255" s="123" t="s">
        <v>1856</v>
      </c>
      <c r="B255" s="122" t="s">
        <v>1854</v>
      </c>
      <c r="C255" s="49"/>
      <c r="D255" s="48" t="s">
        <v>73</v>
      </c>
      <c r="E255" s="49"/>
      <c r="F255" s="50"/>
      <c r="G255" s="62"/>
      <c r="H255" s="48" t="s">
        <v>72</v>
      </c>
      <c r="I255" s="52">
        <v>1</v>
      </c>
      <c r="J255" s="52"/>
      <c r="K255" s="52" t="s">
        <v>73</v>
      </c>
      <c r="L255" s="52" t="s">
        <v>74</v>
      </c>
      <c r="M255" s="53" t="s">
        <v>942</v>
      </c>
      <c r="N255" s="58" t="s">
        <v>73</v>
      </c>
      <c r="O255" s="48" t="s">
        <v>72</v>
      </c>
      <c r="P255" s="48" t="s">
        <v>73</v>
      </c>
      <c r="Q255" s="54" t="s">
        <v>73</v>
      </c>
      <c r="R255" s="55" t="s">
        <v>73</v>
      </c>
      <c r="S255" s="48" t="s">
        <v>73</v>
      </c>
      <c r="T255" s="130"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8" t="str" cm="1">
        <f t="array" ref="U255">IF(SUMPRODUCT(--((CAT_Procesos!$E$2:$E$1581=O255)*(CAT_Procesos!$F$2:$F$1581=_xlfn.TEXTJOIN(" + ",TRUE,IF((TRIM(P255:S255)="")+(LOWER(TRIM(P255:S255))="(seleccione)"),"",PROPER(TRIM(P255:S255)))))*(CAT_Procesos!$D$2:$D$1581=IFERROR(VLOOKUP(N255&amp;"*",CAT_Procesos!$D:$D,1,FALSE),""))))=0,"Combinación no existente",IF(SUMPRODUCT(((CAT_Procesos!$E$2:$E$1581=O255)*(CAT_Procesos!$F$2:$F$1581=_xlfn.TEXTJOIN(" + ",TRUE,IF((TRIM(P255:S255)="")+(LOWER(TRIM(P255:S255))="(seleccione)"),"",PROPER(TRIM(P255:S255)))))*(CAT_Procesos!$D$2:$D$1581=IFERROR(VLOOKUP(N255&amp;"*",CAT_Procesos!$D:$D,1,FALSE),"")))*(CAT_Procesos!$G$2:$G$1581=INDEX(CAT_Procesos!$G$2:$G$1581,MATCH(1,(CAT_Procesos!$E$2:$E$1581=O255)*(CAT_Procesos!$F$2:$F$1581=_xlfn.TEXTJOIN(" + ",TRUE,IF((TRIM(P255:S255)="")+(LOWER(TRIM(P255:S255))="(seleccione)"),"",PROPER(TRIM(P255:S255)))))*(CAT_Procesos!$D$2:$D$1581=IFERROR(VLOOKUP(N255&amp;"*",CAT_Procesos!$D:$D,1,FALSE),"")),0))))=SUMPRODUCT(--((CAT_Procesos!$E$2:$E$1581=O255)*(CAT_Procesos!$F$2:$F$1581=_xlfn.TEXTJOIN(" + ",TRUE,IF((TRIM(P255:S255)="")+(LOWER(TRIM(P255:S255))="(seleccione)"),"",PROPER(TRIM(P255:S255)))))*(CAT_Procesos!$D$2:$D$1581=IFERROR(VLOOKUP(N255&amp;"*",CAT_Procesos!$D:$D,1,FALSE),"")))),INDEX(CAT_Procesos!$G$2:$G$1581,MATCH(1,(CAT_Procesos!$E$2:$E$1581=O255)*(CAT_Procesos!$F$2:$F$1581=_xlfn.TEXTJOIN(" + ",TRUE,IF((TRIM(P255:S255)="")+(LOWER(TRIM(P255:S255))="(seleccione)"),"",PROPER(TRIM(P255:S255)))))*(CAT_Procesos!$D$2:$D$1581=IFERROR(VLOOKUP(N255&amp;"*",CAT_Procesos!$D:$D,1,FALSE),"")),0)),"(seleccione)"))</f>
        <v>Combinación no existente</v>
      </c>
      <c r="V255" s="55" t="s">
        <v>73</v>
      </c>
      <c r="W255" s="56" t="s">
        <v>73</v>
      </c>
      <c r="X255" s="57" t="str">
        <f t="shared" si="12"/>
        <v/>
      </c>
      <c r="Y255" s="58" t="s">
        <v>73</v>
      </c>
      <c r="Z255" s="57" t="str">
        <f t="shared" si="13"/>
        <v/>
      </c>
      <c r="AA255" s="58" t="s">
        <v>73</v>
      </c>
      <c r="AB255" s="57" t="str">
        <f t="shared" si="14"/>
        <v/>
      </c>
      <c r="AC255" s="58" t="s">
        <v>73</v>
      </c>
      <c r="AD255" s="57" t="str">
        <f t="shared" si="15"/>
        <v/>
      </c>
      <c r="AE255" s="59"/>
      <c r="AF255" s="59"/>
      <c r="AG255" s="59"/>
      <c r="AH255" s="59"/>
      <c r="AI255" s="59" t="s">
        <v>73</v>
      </c>
      <c r="AJ255" s="59"/>
      <c r="AK255" s="59" t="s">
        <v>73</v>
      </c>
      <c r="AL255" s="59"/>
      <c r="AM255" s="59" t="s">
        <v>73</v>
      </c>
      <c r="AN255" s="59"/>
      <c r="AO255" s="59" t="s">
        <v>73</v>
      </c>
      <c r="AP255" s="59"/>
      <c r="AQ255" s="59" t="s">
        <v>73</v>
      </c>
      <c r="AR255" s="59"/>
      <c r="AS255" s="59" t="s">
        <v>72</v>
      </c>
      <c r="AT255" s="59"/>
      <c r="AU255" s="59"/>
      <c r="AV255" s="59"/>
      <c r="AW255" s="59"/>
      <c r="AX255" s="59"/>
      <c r="AY255" s="60" t="str">
        <f>IF('Cálculo MP'!K265="","",'Cálculo MP'!K265)</f>
        <v/>
      </c>
      <c r="AZ255" s="60" t="str">
        <f>IF('Cálculo MP'!L265="","",'Cálculo MP'!L265)</f>
        <v/>
      </c>
      <c r="BA255" s="60" t="str">
        <f>IF('Cálculo MP'!M265="","",'Cálculo MP'!M265)</f>
        <v/>
      </c>
      <c r="BB255" s="60" t="str">
        <f>IF('Cálculo MP'!N265="","",'Cálculo MP'!N265)</f>
        <v/>
      </c>
      <c r="BC255" s="60" t="str">
        <f>IF('Cálculo MP'!O265="","",'Cálculo MP'!O265)</f>
        <v/>
      </c>
      <c r="BD255" s="60" t="str">
        <f>IF('Cálculo MP'!P265="","",'Cálculo MP'!P265)</f>
        <v/>
      </c>
      <c r="BE255" s="60" t="str">
        <f>IF('Cálculo MP'!Q265="","",'Cálculo MP'!Q265)</f>
        <v/>
      </c>
      <c r="BF255" s="60" t="str">
        <f>IF('Cálculo MP'!R265="","",'Cálculo MP'!R265)</f>
        <v/>
      </c>
      <c r="BG255" s="60" t="str">
        <f>IF('Cálculo MP'!S265="","",'Cálculo MP'!S265)</f>
        <v/>
      </c>
      <c r="BH255" s="59"/>
      <c r="BI255" s="59"/>
      <c r="BJ255" s="59"/>
      <c r="BK255" s="59"/>
      <c r="BL255" s="59"/>
      <c r="BM255" s="59"/>
      <c r="BN255" s="59"/>
      <c r="BO255" s="59"/>
    </row>
    <row r="256" spans="1:67" ht="19.5" customHeight="1" x14ac:dyDescent="0.15">
      <c r="A256" s="123" t="s">
        <v>1856</v>
      </c>
      <c r="B256" s="122" t="s">
        <v>1854</v>
      </c>
      <c r="C256" s="49"/>
      <c r="D256" s="48" t="s">
        <v>73</v>
      </c>
      <c r="E256" s="49"/>
      <c r="F256" s="50"/>
      <c r="G256" s="62"/>
      <c r="H256" s="48" t="s">
        <v>72</v>
      </c>
      <c r="I256" s="52">
        <v>1</v>
      </c>
      <c r="J256" s="52"/>
      <c r="K256" s="52" t="s">
        <v>73</v>
      </c>
      <c r="L256" s="52" t="s">
        <v>74</v>
      </c>
      <c r="M256" s="53" t="s">
        <v>942</v>
      </c>
      <c r="N256" s="58" t="s">
        <v>73</v>
      </c>
      <c r="O256" s="48" t="s">
        <v>72</v>
      </c>
      <c r="P256" s="48" t="s">
        <v>73</v>
      </c>
      <c r="Q256" s="54" t="s">
        <v>73</v>
      </c>
      <c r="R256" s="55" t="s">
        <v>73</v>
      </c>
      <c r="S256" s="48" t="s">
        <v>73</v>
      </c>
      <c r="T256" s="130"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8" t="str" cm="1">
        <f t="array" ref="U256">IF(SUMPRODUCT(--((CAT_Procesos!$E$2:$E$1581=O256)*(CAT_Procesos!$F$2:$F$1581=_xlfn.TEXTJOIN(" + ",TRUE,IF((TRIM(P256:S256)="")+(LOWER(TRIM(P256:S256))="(seleccione)"),"",PROPER(TRIM(P256:S256)))))*(CAT_Procesos!$D$2:$D$1581=IFERROR(VLOOKUP(N256&amp;"*",CAT_Procesos!$D:$D,1,FALSE),""))))=0,"Combinación no existente",IF(SUMPRODUCT(((CAT_Procesos!$E$2:$E$1581=O256)*(CAT_Procesos!$F$2:$F$1581=_xlfn.TEXTJOIN(" + ",TRUE,IF((TRIM(P256:S256)="")+(LOWER(TRIM(P256:S256))="(seleccione)"),"",PROPER(TRIM(P256:S256)))))*(CAT_Procesos!$D$2:$D$1581=IFERROR(VLOOKUP(N256&amp;"*",CAT_Procesos!$D:$D,1,FALSE),"")))*(CAT_Procesos!$G$2:$G$1581=INDEX(CAT_Procesos!$G$2:$G$1581,MATCH(1,(CAT_Procesos!$E$2:$E$1581=O256)*(CAT_Procesos!$F$2:$F$1581=_xlfn.TEXTJOIN(" + ",TRUE,IF((TRIM(P256:S256)="")+(LOWER(TRIM(P256:S256))="(seleccione)"),"",PROPER(TRIM(P256:S256)))))*(CAT_Procesos!$D$2:$D$1581=IFERROR(VLOOKUP(N256&amp;"*",CAT_Procesos!$D:$D,1,FALSE),"")),0))))=SUMPRODUCT(--((CAT_Procesos!$E$2:$E$1581=O256)*(CAT_Procesos!$F$2:$F$1581=_xlfn.TEXTJOIN(" + ",TRUE,IF((TRIM(P256:S256)="")+(LOWER(TRIM(P256:S256))="(seleccione)"),"",PROPER(TRIM(P256:S256)))))*(CAT_Procesos!$D$2:$D$1581=IFERROR(VLOOKUP(N256&amp;"*",CAT_Procesos!$D:$D,1,FALSE),"")))),INDEX(CAT_Procesos!$G$2:$G$1581,MATCH(1,(CAT_Procesos!$E$2:$E$1581=O256)*(CAT_Procesos!$F$2:$F$1581=_xlfn.TEXTJOIN(" + ",TRUE,IF((TRIM(P256:S256)="")+(LOWER(TRIM(P256:S256))="(seleccione)"),"",PROPER(TRIM(P256:S256)))))*(CAT_Procesos!$D$2:$D$1581=IFERROR(VLOOKUP(N256&amp;"*",CAT_Procesos!$D:$D,1,FALSE),"")),0)),"(seleccione)"))</f>
        <v>Combinación no existente</v>
      </c>
      <c r="V256" s="55" t="s">
        <v>73</v>
      </c>
      <c r="W256" s="56" t="s">
        <v>73</v>
      </c>
      <c r="X256" s="57" t="str">
        <f t="shared" si="12"/>
        <v/>
      </c>
      <c r="Y256" s="58" t="s">
        <v>73</v>
      </c>
      <c r="Z256" s="57" t="str">
        <f t="shared" si="13"/>
        <v/>
      </c>
      <c r="AA256" s="58" t="s">
        <v>73</v>
      </c>
      <c r="AB256" s="57" t="str">
        <f t="shared" si="14"/>
        <v/>
      </c>
      <c r="AC256" s="58" t="s">
        <v>73</v>
      </c>
      <c r="AD256" s="57" t="str">
        <f t="shared" si="15"/>
        <v/>
      </c>
      <c r="AE256" s="59"/>
      <c r="AF256" s="59"/>
      <c r="AG256" s="59"/>
      <c r="AH256" s="59"/>
      <c r="AI256" s="59" t="s">
        <v>73</v>
      </c>
      <c r="AJ256" s="59"/>
      <c r="AK256" s="59" t="s">
        <v>73</v>
      </c>
      <c r="AL256" s="59"/>
      <c r="AM256" s="59" t="s">
        <v>73</v>
      </c>
      <c r="AN256" s="59"/>
      <c r="AO256" s="59" t="s">
        <v>73</v>
      </c>
      <c r="AP256" s="59"/>
      <c r="AQ256" s="59" t="s">
        <v>73</v>
      </c>
      <c r="AR256" s="59"/>
      <c r="AS256" s="59" t="s">
        <v>72</v>
      </c>
      <c r="AT256" s="59"/>
      <c r="AU256" s="59"/>
      <c r="AV256" s="59"/>
      <c r="AW256" s="59"/>
      <c r="AX256" s="59"/>
      <c r="AY256" s="60" t="str">
        <f>IF('Cálculo MP'!K266="","",'Cálculo MP'!K266)</f>
        <v/>
      </c>
      <c r="AZ256" s="60" t="str">
        <f>IF('Cálculo MP'!L266="","",'Cálculo MP'!L266)</f>
        <v/>
      </c>
      <c r="BA256" s="60" t="str">
        <f>IF('Cálculo MP'!M266="","",'Cálculo MP'!M266)</f>
        <v/>
      </c>
      <c r="BB256" s="60" t="str">
        <f>IF('Cálculo MP'!N266="","",'Cálculo MP'!N266)</f>
        <v/>
      </c>
      <c r="BC256" s="60" t="str">
        <f>IF('Cálculo MP'!O266="","",'Cálculo MP'!O266)</f>
        <v/>
      </c>
      <c r="BD256" s="60" t="str">
        <f>IF('Cálculo MP'!P266="","",'Cálculo MP'!P266)</f>
        <v/>
      </c>
      <c r="BE256" s="60" t="str">
        <f>IF('Cálculo MP'!Q266="","",'Cálculo MP'!Q266)</f>
        <v/>
      </c>
      <c r="BF256" s="60" t="str">
        <f>IF('Cálculo MP'!R266="","",'Cálculo MP'!R266)</f>
        <v/>
      </c>
      <c r="BG256" s="60" t="str">
        <f>IF('Cálculo MP'!S266="","",'Cálculo MP'!S266)</f>
        <v/>
      </c>
      <c r="BH256" s="59"/>
      <c r="BI256" s="59"/>
      <c r="BJ256" s="59"/>
      <c r="BK256" s="59"/>
      <c r="BL256" s="59"/>
      <c r="BM256" s="59"/>
      <c r="BN256" s="59"/>
      <c r="BO256" s="59"/>
    </row>
    <row r="257" spans="1:67" ht="19.5" customHeight="1" x14ac:dyDescent="0.15">
      <c r="A257" s="123" t="s">
        <v>1856</v>
      </c>
      <c r="B257" s="122" t="s">
        <v>1854</v>
      </c>
      <c r="C257" s="49"/>
      <c r="D257" s="48" t="s">
        <v>73</v>
      </c>
      <c r="E257" s="49"/>
      <c r="F257" s="50"/>
      <c r="G257" s="62"/>
      <c r="H257" s="48" t="s">
        <v>72</v>
      </c>
      <c r="I257" s="52">
        <v>1</v>
      </c>
      <c r="J257" s="52"/>
      <c r="K257" s="52" t="s">
        <v>73</v>
      </c>
      <c r="L257" s="52" t="s">
        <v>74</v>
      </c>
      <c r="M257" s="53" t="s">
        <v>942</v>
      </c>
      <c r="N257" s="58" t="s">
        <v>73</v>
      </c>
      <c r="O257" s="48" t="s">
        <v>72</v>
      </c>
      <c r="P257" s="48" t="s">
        <v>73</v>
      </c>
      <c r="Q257" s="54" t="s">
        <v>73</v>
      </c>
      <c r="R257" s="55" t="s">
        <v>73</v>
      </c>
      <c r="S257" s="48" t="s">
        <v>73</v>
      </c>
      <c r="T257" s="130"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8" t="str" cm="1">
        <f t="array" ref="U257">IF(SUMPRODUCT(--((CAT_Procesos!$E$2:$E$1581=O257)*(CAT_Procesos!$F$2:$F$1581=_xlfn.TEXTJOIN(" + ",TRUE,IF((TRIM(P257:S257)="")+(LOWER(TRIM(P257:S257))="(seleccione)"),"",PROPER(TRIM(P257:S257)))))*(CAT_Procesos!$D$2:$D$1581=IFERROR(VLOOKUP(N257&amp;"*",CAT_Procesos!$D:$D,1,FALSE),""))))=0,"Combinación no existente",IF(SUMPRODUCT(((CAT_Procesos!$E$2:$E$1581=O257)*(CAT_Procesos!$F$2:$F$1581=_xlfn.TEXTJOIN(" + ",TRUE,IF((TRIM(P257:S257)="")+(LOWER(TRIM(P257:S257))="(seleccione)"),"",PROPER(TRIM(P257:S257)))))*(CAT_Procesos!$D$2:$D$1581=IFERROR(VLOOKUP(N257&amp;"*",CAT_Procesos!$D:$D,1,FALSE),"")))*(CAT_Procesos!$G$2:$G$1581=INDEX(CAT_Procesos!$G$2:$G$1581,MATCH(1,(CAT_Procesos!$E$2:$E$1581=O257)*(CAT_Procesos!$F$2:$F$1581=_xlfn.TEXTJOIN(" + ",TRUE,IF((TRIM(P257:S257)="")+(LOWER(TRIM(P257:S257))="(seleccione)"),"",PROPER(TRIM(P257:S257)))))*(CAT_Procesos!$D$2:$D$1581=IFERROR(VLOOKUP(N257&amp;"*",CAT_Procesos!$D:$D,1,FALSE),"")),0))))=SUMPRODUCT(--((CAT_Procesos!$E$2:$E$1581=O257)*(CAT_Procesos!$F$2:$F$1581=_xlfn.TEXTJOIN(" + ",TRUE,IF((TRIM(P257:S257)="")+(LOWER(TRIM(P257:S257))="(seleccione)"),"",PROPER(TRIM(P257:S257)))))*(CAT_Procesos!$D$2:$D$1581=IFERROR(VLOOKUP(N257&amp;"*",CAT_Procesos!$D:$D,1,FALSE),"")))),INDEX(CAT_Procesos!$G$2:$G$1581,MATCH(1,(CAT_Procesos!$E$2:$E$1581=O257)*(CAT_Procesos!$F$2:$F$1581=_xlfn.TEXTJOIN(" + ",TRUE,IF((TRIM(P257:S257)="")+(LOWER(TRIM(P257:S257))="(seleccione)"),"",PROPER(TRIM(P257:S257)))))*(CAT_Procesos!$D$2:$D$1581=IFERROR(VLOOKUP(N257&amp;"*",CAT_Procesos!$D:$D,1,FALSE),"")),0)),"(seleccione)"))</f>
        <v>Combinación no existente</v>
      </c>
      <c r="V257" s="55" t="s">
        <v>73</v>
      </c>
      <c r="W257" s="56" t="s">
        <v>73</v>
      </c>
      <c r="X257" s="57" t="str">
        <f t="shared" si="12"/>
        <v/>
      </c>
      <c r="Y257" s="58" t="s">
        <v>73</v>
      </c>
      <c r="Z257" s="57" t="str">
        <f t="shared" si="13"/>
        <v/>
      </c>
      <c r="AA257" s="58" t="s">
        <v>73</v>
      </c>
      <c r="AB257" s="57" t="str">
        <f t="shared" si="14"/>
        <v/>
      </c>
      <c r="AC257" s="58" t="s">
        <v>73</v>
      </c>
      <c r="AD257" s="57" t="str">
        <f t="shared" si="15"/>
        <v/>
      </c>
      <c r="AE257" s="59"/>
      <c r="AF257" s="59"/>
      <c r="AG257" s="59"/>
      <c r="AH257" s="59"/>
      <c r="AI257" s="59" t="s">
        <v>73</v>
      </c>
      <c r="AJ257" s="59"/>
      <c r="AK257" s="59" t="s">
        <v>73</v>
      </c>
      <c r="AL257" s="59"/>
      <c r="AM257" s="59" t="s">
        <v>73</v>
      </c>
      <c r="AN257" s="59"/>
      <c r="AO257" s="59" t="s">
        <v>73</v>
      </c>
      <c r="AP257" s="59"/>
      <c r="AQ257" s="59" t="s">
        <v>73</v>
      </c>
      <c r="AR257" s="59"/>
      <c r="AS257" s="59" t="s">
        <v>72</v>
      </c>
      <c r="AT257" s="59"/>
      <c r="AU257" s="59"/>
      <c r="AV257" s="59"/>
      <c r="AW257" s="59"/>
      <c r="AX257" s="59"/>
      <c r="AY257" s="60" t="str">
        <f>IF('Cálculo MP'!K267="","",'Cálculo MP'!K267)</f>
        <v/>
      </c>
      <c r="AZ257" s="60" t="str">
        <f>IF('Cálculo MP'!L267="","",'Cálculo MP'!L267)</f>
        <v/>
      </c>
      <c r="BA257" s="60" t="str">
        <f>IF('Cálculo MP'!M267="","",'Cálculo MP'!M267)</f>
        <v/>
      </c>
      <c r="BB257" s="60" t="str">
        <f>IF('Cálculo MP'!N267="","",'Cálculo MP'!N267)</f>
        <v/>
      </c>
      <c r="BC257" s="60" t="str">
        <f>IF('Cálculo MP'!O267="","",'Cálculo MP'!O267)</f>
        <v/>
      </c>
      <c r="BD257" s="60" t="str">
        <f>IF('Cálculo MP'!P267="","",'Cálculo MP'!P267)</f>
        <v/>
      </c>
      <c r="BE257" s="60" t="str">
        <f>IF('Cálculo MP'!Q267="","",'Cálculo MP'!Q267)</f>
        <v/>
      </c>
      <c r="BF257" s="60" t="str">
        <f>IF('Cálculo MP'!R267="","",'Cálculo MP'!R267)</f>
        <v/>
      </c>
      <c r="BG257" s="60" t="str">
        <f>IF('Cálculo MP'!S267="","",'Cálculo MP'!S267)</f>
        <v/>
      </c>
      <c r="BH257" s="59"/>
      <c r="BI257" s="59"/>
      <c r="BJ257" s="59"/>
      <c r="BK257" s="59"/>
      <c r="BL257" s="59"/>
      <c r="BM257" s="59"/>
      <c r="BN257" s="59"/>
      <c r="BO257" s="59"/>
    </row>
    <row r="258" spans="1:67" ht="19.5" customHeight="1" x14ac:dyDescent="0.15">
      <c r="A258" s="123" t="s">
        <v>1856</v>
      </c>
      <c r="B258" s="122" t="s">
        <v>1854</v>
      </c>
      <c r="C258" s="49"/>
      <c r="D258" s="48" t="s">
        <v>73</v>
      </c>
      <c r="E258" s="49"/>
      <c r="F258" s="50"/>
      <c r="G258" s="62"/>
      <c r="H258" s="48" t="s">
        <v>72</v>
      </c>
      <c r="I258" s="52">
        <v>1</v>
      </c>
      <c r="J258" s="52"/>
      <c r="K258" s="52" t="s">
        <v>73</v>
      </c>
      <c r="L258" s="52" t="s">
        <v>74</v>
      </c>
      <c r="M258" s="53" t="s">
        <v>942</v>
      </c>
      <c r="N258" s="58" t="s">
        <v>73</v>
      </c>
      <c r="O258" s="48" t="s">
        <v>72</v>
      </c>
      <c r="P258" s="48" t="s">
        <v>73</v>
      </c>
      <c r="Q258" s="54" t="s">
        <v>73</v>
      </c>
      <c r="R258" s="55" t="s">
        <v>73</v>
      </c>
      <c r="S258" s="48" t="s">
        <v>73</v>
      </c>
      <c r="T258" s="130"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8" t="str" cm="1">
        <f t="array" ref="U258">IF(SUMPRODUCT(--((CAT_Procesos!$E$2:$E$1581=O258)*(CAT_Procesos!$F$2:$F$1581=_xlfn.TEXTJOIN(" + ",TRUE,IF((TRIM(P258:S258)="")+(LOWER(TRIM(P258:S258))="(seleccione)"),"",PROPER(TRIM(P258:S258)))))*(CAT_Procesos!$D$2:$D$1581=IFERROR(VLOOKUP(N258&amp;"*",CAT_Procesos!$D:$D,1,FALSE),""))))=0,"Combinación no existente",IF(SUMPRODUCT(((CAT_Procesos!$E$2:$E$1581=O258)*(CAT_Procesos!$F$2:$F$1581=_xlfn.TEXTJOIN(" + ",TRUE,IF((TRIM(P258:S258)="")+(LOWER(TRIM(P258:S258))="(seleccione)"),"",PROPER(TRIM(P258:S258)))))*(CAT_Procesos!$D$2:$D$1581=IFERROR(VLOOKUP(N258&amp;"*",CAT_Procesos!$D:$D,1,FALSE),"")))*(CAT_Procesos!$G$2:$G$1581=INDEX(CAT_Procesos!$G$2:$G$1581,MATCH(1,(CAT_Procesos!$E$2:$E$1581=O258)*(CAT_Procesos!$F$2:$F$1581=_xlfn.TEXTJOIN(" + ",TRUE,IF((TRIM(P258:S258)="")+(LOWER(TRIM(P258:S258))="(seleccione)"),"",PROPER(TRIM(P258:S258)))))*(CAT_Procesos!$D$2:$D$1581=IFERROR(VLOOKUP(N258&amp;"*",CAT_Procesos!$D:$D,1,FALSE),"")),0))))=SUMPRODUCT(--((CAT_Procesos!$E$2:$E$1581=O258)*(CAT_Procesos!$F$2:$F$1581=_xlfn.TEXTJOIN(" + ",TRUE,IF((TRIM(P258:S258)="")+(LOWER(TRIM(P258:S258))="(seleccione)"),"",PROPER(TRIM(P258:S258)))))*(CAT_Procesos!$D$2:$D$1581=IFERROR(VLOOKUP(N258&amp;"*",CAT_Procesos!$D:$D,1,FALSE),"")))),INDEX(CAT_Procesos!$G$2:$G$1581,MATCH(1,(CAT_Procesos!$E$2:$E$1581=O258)*(CAT_Procesos!$F$2:$F$1581=_xlfn.TEXTJOIN(" + ",TRUE,IF((TRIM(P258:S258)="")+(LOWER(TRIM(P258:S258))="(seleccione)"),"",PROPER(TRIM(P258:S258)))))*(CAT_Procesos!$D$2:$D$1581=IFERROR(VLOOKUP(N258&amp;"*",CAT_Procesos!$D:$D,1,FALSE),"")),0)),"(seleccione)"))</f>
        <v>Combinación no existente</v>
      </c>
      <c r="V258" s="55" t="s">
        <v>73</v>
      </c>
      <c r="W258" s="56" t="s">
        <v>73</v>
      </c>
      <c r="X258" s="57" t="str">
        <f t="shared" si="12"/>
        <v/>
      </c>
      <c r="Y258" s="58" t="s">
        <v>73</v>
      </c>
      <c r="Z258" s="57" t="str">
        <f t="shared" si="13"/>
        <v/>
      </c>
      <c r="AA258" s="58" t="s">
        <v>73</v>
      </c>
      <c r="AB258" s="57" t="str">
        <f t="shared" si="14"/>
        <v/>
      </c>
      <c r="AC258" s="58" t="s">
        <v>73</v>
      </c>
      <c r="AD258" s="57" t="str">
        <f t="shared" si="15"/>
        <v/>
      </c>
      <c r="AE258" s="59"/>
      <c r="AF258" s="59"/>
      <c r="AG258" s="59"/>
      <c r="AH258" s="59"/>
      <c r="AI258" s="59" t="s">
        <v>73</v>
      </c>
      <c r="AJ258" s="59"/>
      <c r="AK258" s="59" t="s">
        <v>73</v>
      </c>
      <c r="AL258" s="59"/>
      <c r="AM258" s="59" t="s">
        <v>73</v>
      </c>
      <c r="AN258" s="59"/>
      <c r="AO258" s="59" t="s">
        <v>73</v>
      </c>
      <c r="AP258" s="59"/>
      <c r="AQ258" s="59" t="s">
        <v>73</v>
      </c>
      <c r="AR258" s="59"/>
      <c r="AS258" s="59" t="s">
        <v>72</v>
      </c>
      <c r="AT258" s="59"/>
      <c r="AU258" s="59"/>
      <c r="AV258" s="59"/>
      <c r="AW258" s="59"/>
      <c r="AX258" s="59"/>
      <c r="AY258" s="60" t="str">
        <f>IF('Cálculo MP'!K268="","",'Cálculo MP'!K268)</f>
        <v/>
      </c>
      <c r="AZ258" s="60" t="str">
        <f>IF('Cálculo MP'!L268="","",'Cálculo MP'!L268)</f>
        <v/>
      </c>
      <c r="BA258" s="60" t="str">
        <f>IF('Cálculo MP'!M268="","",'Cálculo MP'!M268)</f>
        <v/>
      </c>
      <c r="BB258" s="60" t="str">
        <f>IF('Cálculo MP'!N268="","",'Cálculo MP'!N268)</f>
        <v/>
      </c>
      <c r="BC258" s="60" t="str">
        <f>IF('Cálculo MP'!O268="","",'Cálculo MP'!O268)</f>
        <v/>
      </c>
      <c r="BD258" s="60" t="str">
        <f>IF('Cálculo MP'!P268="","",'Cálculo MP'!P268)</f>
        <v/>
      </c>
      <c r="BE258" s="60" t="str">
        <f>IF('Cálculo MP'!Q268="","",'Cálculo MP'!Q268)</f>
        <v/>
      </c>
      <c r="BF258" s="60" t="str">
        <f>IF('Cálculo MP'!R268="","",'Cálculo MP'!R268)</f>
        <v/>
      </c>
      <c r="BG258" s="60" t="str">
        <f>IF('Cálculo MP'!S268="","",'Cálculo MP'!S268)</f>
        <v/>
      </c>
      <c r="BH258" s="59"/>
      <c r="BI258" s="59"/>
      <c r="BJ258" s="59"/>
      <c r="BK258" s="59"/>
      <c r="BL258" s="59"/>
      <c r="BM258" s="59"/>
      <c r="BN258" s="59"/>
      <c r="BO258" s="59"/>
    </row>
    <row r="259" spans="1:67" ht="19.5" customHeight="1" x14ac:dyDescent="0.15">
      <c r="A259" s="123" t="s">
        <v>1856</v>
      </c>
      <c r="B259" s="122" t="s">
        <v>1854</v>
      </c>
      <c r="C259" s="49"/>
      <c r="D259" s="48" t="s">
        <v>73</v>
      </c>
      <c r="E259" s="49"/>
      <c r="F259" s="50"/>
      <c r="G259" s="62"/>
      <c r="H259" s="48" t="s">
        <v>72</v>
      </c>
      <c r="I259" s="52">
        <v>1</v>
      </c>
      <c r="J259" s="52"/>
      <c r="K259" s="52" t="s">
        <v>73</v>
      </c>
      <c r="L259" s="52" t="s">
        <v>74</v>
      </c>
      <c r="M259" s="53" t="s">
        <v>942</v>
      </c>
      <c r="N259" s="58" t="s">
        <v>73</v>
      </c>
      <c r="O259" s="48" t="s">
        <v>72</v>
      </c>
      <c r="P259" s="48" t="s">
        <v>73</v>
      </c>
      <c r="Q259" s="54" t="s">
        <v>73</v>
      </c>
      <c r="R259" s="55" t="s">
        <v>73</v>
      </c>
      <c r="S259" s="48" t="s">
        <v>73</v>
      </c>
      <c r="T259" s="130"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8" t="str" cm="1">
        <f t="array" ref="U259">IF(SUMPRODUCT(--((CAT_Procesos!$E$2:$E$1581=O259)*(CAT_Procesos!$F$2:$F$1581=_xlfn.TEXTJOIN(" + ",TRUE,IF((TRIM(P259:S259)="")+(LOWER(TRIM(P259:S259))="(seleccione)"),"",PROPER(TRIM(P259:S259)))))*(CAT_Procesos!$D$2:$D$1581=IFERROR(VLOOKUP(N259&amp;"*",CAT_Procesos!$D:$D,1,FALSE),""))))=0,"Combinación no existente",IF(SUMPRODUCT(((CAT_Procesos!$E$2:$E$1581=O259)*(CAT_Procesos!$F$2:$F$1581=_xlfn.TEXTJOIN(" + ",TRUE,IF((TRIM(P259:S259)="")+(LOWER(TRIM(P259:S259))="(seleccione)"),"",PROPER(TRIM(P259:S259)))))*(CAT_Procesos!$D$2:$D$1581=IFERROR(VLOOKUP(N259&amp;"*",CAT_Procesos!$D:$D,1,FALSE),"")))*(CAT_Procesos!$G$2:$G$1581=INDEX(CAT_Procesos!$G$2:$G$1581,MATCH(1,(CAT_Procesos!$E$2:$E$1581=O259)*(CAT_Procesos!$F$2:$F$1581=_xlfn.TEXTJOIN(" + ",TRUE,IF((TRIM(P259:S259)="")+(LOWER(TRIM(P259:S259))="(seleccione)"),"",PROPER(TRIM(P259:S259)))))*(CAT_Procesos!$D$2:$D$1581=IFERROR(VLOOKUP(N259&amp;"*",CAT_Procesos!$D:$D,1,FALSE),"")),0))))=SUMPRODUCT(--((CAT_Procesos!$E$2:$E$1581=O259)*(CAT_Procesos!$F$2:$F$1581=_xlfn.TEXTJOIN(" + ",TRUE,IF((TRIM(P259:S259)="")+(LOWER(TRIM(P259:S259))="(seleccione)"),"",PROPER(TRIM(P259:S259)))))*(CAT_Procesos!$D$2:$D$1581=IFERROR(VLOOKUP(N259&amp;"*",CAT_Procesos!$D:$D,1,FALSE),"")))),INDEX(CAT_Procesos!$G$2:$G$1581,MATCH(1,(CAT_Procesos!$E$2:$E$1581=O259)*(CAT_Procesos!$F$2:$F$1581=_xlfn.TEXTJOIN(" + ",TRUE,IF((TRIM(P259:S259)="")+(LOWER(TRIM(P259:S259))="(seleccione)"),"",PROPER(TRIM(P259:S259)))))*(CAT_Procesos!$D$2:$D$1581=IFERROR(VLOOKUP(N259&amp;"*",CAT_Procesos!$D:$D,1,FALSE),"")),0)),"(seleccione)"))</f>
        <v>Combinación no existente</v>
      </c>
      <c r="V259" s="55" t="s">
        <v>73</v>
      </c>
      <c r="W259" s="56" t="s">
        <v>73</v>
      </c>
      <c r="X259" s="57" t="str">
        <f t="shared" si="12"/>
        <v/>
      </c>
      <c r="Y259" s="58" t="s">
        <v>73</v>
      </c>
      <c r="Z259" s="57" t="str">
        <f t="shared" si="13"/>
        <v/>
      </c>
      <c r="AA259" s="58" t="s">
        <v>73</v>
      </c>
      <c r="AB259" s="57" t="str">
        <f t="shared" si="14"/>
        <v/>
      </c>
      <c r="AC259" s="58" t="s">
        <v>73</v>
      </c>
      <c r="AD259" s="57" t="str">
        <f t="shared" si="15"/>
        <v/>
      </c>
      <c r="AE259" s="59"/>
      <c r="AF259" s="59"/>
      <c r="AG259" s="59"/>
      <c r="AH259" s="59"/>
      <c r="AI259" s="59" t="s">
        <v>73</v>
      </c>
      <c r="AJ259" s="59"/>
      <c r="AK259" s="59" t="s">
        <v>73</v>
      </c>
      <c r="AL259" s="59"/>
      <c r="AM259" s="59" t="s">
        <v>73</v>
      </c>
      <c r="AN259" s="59"/>
      <c r="AO259" s="59" t="s">
        <v>73</v>
      </c>
      <c r="AP259" s="59"/>
      <c r="AQ259" s="59" t="s">
        <v>73</v>
      </c>
      <c r="AR259" s="59"/>
      <c r="AS259" s="59" t="s">
        <v>72</v>
      </c>
      <c r="AT259" s="59"/>
      <c r="AU259" s="59"/>
      <c r="AV259" s="59"/>
      <c r="AW259" s="59"/>
      <c r="AX259" s="59"/>
      <c r="AY259" s="60" t="str">
        <f>IF('Cálculo MP'!K269="","",'Cálculo MP'!K269)</f>
        <v/>
      </c>
      <c r="AZ259" s="60" t="str">
        <f>IF('Cálculo MP'!L269="","",'Cálculo MP'!L269)</f>
        <v/>
      </c>
      <c r="BA259" s="60" t="str">
        <f>IF('Cálculo MP'!M269="","",'Cálculo MP'!M269)</f>
        <v/>
      </c>
      <c r="BB259" s="60" t="str">
        <f>IF('Cálculo MP'!N269="","",'Cálculo MP'!N269)</f>
        <v/>
      </c>
      <c r="BC259" s="60" t="str">
        <f>IF('Cálculo MP'!O269="","",'Cálculo MP'!O269)</f>
        <v/>
      </c>
      <c r="BD259" s="60" t="str">
        <f>IF('Cálculo MP'!P269="","",'Cálculo MP'!P269)</f>
        <v/>
      </c>
      <c r="BE259" s="60" t="str">
        <f>IF('Cálculo MP'!Q269="","",'Cálculo MP'!Q269)</f>
        <v/>
      </c>
      <c r="BF259" s="60" t="str">
        <f>IF('Cálculo MP'!R269="","",'Cálculo MP'!R269)</f>
        <v/>
      </c>
      <c r="BG259" s="60" t="str">
        <f>IF('Cálculo MP'!S269="","",'Cálculo MP'!S269)</f>
        <v/>
      </c>
      <c r="BH259" s="59"/>
      <c r="BI259" s="59"/>
      <c r="BJ259" s="59"/>
      <c r="BK259" s="59"/>
      <c r="BL259" s="59"/>
      <c r="BM259" s="59"/>
      <c r="BN259" s="59"/>
      <c r="BO259" s="59"/>
    </row>
    <row r="260" spans="1:67" ht="19.5" customHeight="1" x14ac:dyDescent="0.15">
      <c r="A260" s="123" t="s">
        <v>1856</v>
      </c>
      <c r="B260" s="122" t="s">
        <v>1854</v>
      </c>
      <c r="C260" s="49"/>
      <c r="D260" s="48" t="s">
        <v>73</v>
      </c>
      <c r="E260" s="49"/>
      <c r="F260" s="50"/>
      <c r="G260" s="62"/>
      <c r="H260" s="48" t="s">
        <v>72</v>
      </c>
      <c r="I260" s="52">
        <v>1</v>
      </c>
      <c r="J260" s="52"/>
      <c r="K260" s="52" t="s">
        <v>73</v>
      </c>
      <c r="L260" s="52" t="s">
        <v>74</v>
      </c>
      <c r="M260" s="53" t="s">
        <v>942</v>
      </c>
      <c r="N260" s="58" t="s">
        <v>73</v>
      </c>
      <c r="O260" s="48" t="s">
        <v>72</v>
      </c>
      <c r="P260" s="48" t="s">
        <v>73</v>
      </c>
      <c r="Q260" s="54" t="s">
        <v>73</v>
      </c>
      <c r="R260" s="55" t="s">
        <v>73</v>
      </c>
      <c r="S260" s="48" t="s">
        <v>73</v>
      </c>
      <c r="T260" s="130"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8" t="str" cm="1">
        <f t="array" ref="U260">IF(SUMPRODUCT(--((CAT_Procesos!$E$2:$E$1581=O260)*(CAT_Procesos!$F$2:$F$1581=_xlfn.TEXTJOIN(" + ",TRUE,IF((TRIM(P260:S260)="")+(LOWER(TRIM(P260:S260))="(seleccione)"),"",PROPER(TRIM(P260:S260)))))*(CAT_Procesos!$D$2:$D$1581=IFERROR(VLOOKUP(N260&amp;"*",CAT_Procesos!$D:$D,1,FALSE),""))))=0,"Combinación no existente",IF(SUMPRODUCT(((CAT_Procesos!$E$2:$E$1581=O260)*(CAT_Procesos!$F$2:$F$1581=_xlfn.TEXTJOIN(" + ",TRUE,IF((TRIM(P260:S260)="")+(LOWER(TRIM(P260:S260))="(seleccione)"),"",PROPER(TRIM(P260:S260)))))*(CAT_Procesos!$D$2:$D$1581=IFERROR(VLOOKUP(N260&amp;"*",CAT_Procesos!$D:$D,1,FALSE),"")))*(CAT_Procesos!$G$2:$G$1581=INDEX(CAT_Procesos!$G$2:$G$1581,MATCH(1,(CAT_Procesos!$E$2:$E$1581=O260)*(CAT_Procesos!$F$2:$F$1581=_xlfn.TEXTJOIN(" + ",TRUE,IF((TRIM(P260:S260)="")+(LOWER(TRIM(P260:S260))="(seleccione)"),"",PROPER(TRIM(P260:S260)))))*(CAT_Procesos!$D$2:$D$1581=IFERROR(VLOOKUP(N260&amp;"*",CAT_Procesos!$D:$D,1,FALSE),"")),0))))=SUMPRODUCT(--((CAT_Procesos!$E$2:$E$1581=O260)*(CAT_Procesos!$F$2:$F$1581=_xlfn.TEXTJOIN(" + ",TRUE,IF((TRIM(P260:S260)="")+(LOWER(TRIM(P260:S260))="(seleccione)"),"",PROPER(TRIM(P260:S260)))))*(CAT_Procesos!$D$2:$D$1581=IFERROR(VLOOKUP(N260&amp;"*",CAT_Procesos!$D:$D,1,FALSE),"")))),INDEX(CAT_Procesos!$G$2:$G$1581,MATCH(1,(CAT_Procesos!$E$2:$E$1581=O260)*(CAT_Procesos!$F$2:$F$1581=_xlfn.TEXTJOIN(" + ",TRUE,IF((TRIM(P260:S260)="")+(LOWER(TRIM(P260:S260))="(seleccione)"),"",PROPER(TRIM(P260:S260)))))*(CAT_Procesos!$D$2:$D$1581=IFERROR(VLOOKUP(N260&amp;"*",CAT_Procesos!$D:$D,1,FALSE),"")),0)),"(seleccione)"))</f>
        <v>Combinación no existente</v>
      </c>
      <c r="V260" s="55" t="s">
        <v>73</v>
      </c>
      <c r="W260" s="56" t="s">
        <v>73</v>
      </c>
      <c r="X260" s="57" t="str">
        <f t="shared" si="12"/>
        <v/>
      </c>
      <c r="Y260" s="58" t="s">
        <v>73</v>
      </c>
      <c r="Z260" s="57" t="str">
        <f t="shared" si="13"/>
        <v/>
      </c>
      <c r="AA260" s="58" t="s">
        <v>73</v>
      </c>
      <c r="AB260" s="57" t="str">
        <f t="shared" si="14"/>
        <v/>
      </c>
      <c r="AC260" s="58" t="s">
        <v>73</v>
      </c>
      <c r="AD260" s="57" t="str">
        <f t="shared" si="15"/>
        <v/>
      </c>
      <c r="AE260" s="59"/>
      <c r="AF260" s="59"/>
      <c r="AG260" s="59"/>
      <c r="AH260" s="59"/>
      <c r="AI260" s="59" t="s">
        <v>73</v>
      </c>
      <c r="AJ260" s="59"/>
      <c r="AK260" s="59" t="s">
        <v>73</v>
      </c>
      <c r="AL260" s="59"/>
      <c r="AM260" s="59" t="s">
        <v>73</v>
      </c>
      <c r="AN260" s="59"/>
      <c r="AO260" s="59" t="s">
        <v>73</v>
      </c>
      <c r="AP260" s="59"/>
      <c r="AQ260" s="59" t="s">
        <v>73</v>
      </c>
      <c r="AR260" s="59"/>
      <c r="AS260" s="59" t="s">
        <v>72</v>
      </c>
      <c r="AT260" s="59"/>
      <c r="AU260" s="59"/>
      <c r="AV260" s="59"/>
      <c r="AW260" s="59"/>
      <c r="AX260" s="59"/>
      <c r="AY260" s="60" t="str">
        <f>IF('Cálculo MP'!K270="","",'Cálculo MP'!K270)</f>
        <v/>
      </c>
      <c r="AZ260" s="60" t="str">
        <f>IF('Cálculo MP'!L270="","",'Cálculo MP'!L270)</f>
        <v/>
      </c>
      <c r="BA260" s="60" t="str">
        <f>IF('Cálculo MP'!M270="","",'Cálculo MP'!M270)</f>
        <v/>
      </c>
      <c r="BB260" s="60" t="str">
        <f>IF('Cálculo MP'!N270="","",'Cálculo MP'!N270)</f>
        <v/>
      </c>
      <c r="BC260" s="60" t="str">
        <f>IF('Cálculo MP'!O270="","",'Cálculo MP'!O270)</f>
        <v/>
      </c>
      <c r="BD260" s="60" t="str">
        <f>IF('Cálculo MP'!P270="","",'Cálculo MP'!P270)</f>
        <v/>
      </c>
      <c r="BE260" s="60" t="str">
        <f>IF('Cálculo MP'!Q270="","",'Cálculo MP'!Q270)</f>
        <v/>
      </c>
      <c r="BF260" s="60" t="str">
        <f>IF('Cálculo MP'!R270="","",'Cálculo MP'!R270)</f>
        <v/>
      </c>
      <c r="BG260" s="60" t="str">
        <f>IF('Cálculo MP'!S270="","",'Cálculo MP'!S270)</f>
        <v/>
      </c>
      <c r="BH260" s="59"/>
      <c r="BI260" s="59"/>
      <c r="BJ260" s="59"/>
      <c r="BK260" s="59"/>
      <c r="BL260" s="59"/>
      <c r="BM260" s="59"/>
      <c r="BN260" s="59"/>
      <c r="BO260" s="59"/>
    </row>
    <row r="261" spans="1:67" ht="19.5" customHeight="1" x14ac:dyDescent="0.15">
      <c r="A261" s="123" t="s">
        <v>1856</v>
      </c>
      <c r="B261" s="122" t="s">
        <v>1854</v>
      </c>
      <c r="C261" s="49"/>
      <c r="D261" s="48" t="s">
        <v>73</v>
      </c>
      <c r="E261" s="49"/>
      <c r="F261" s="50"/>
      <c r="G261" s="62"/>
      <c r="H261" s="48" t="s">
        <v>72</v>
      </c>
      <c r="I261" s="52">
        <v>1</v>
      </c>
      <c r="J261" s="52"/>
      <c r="K261" s="52" t="s">
        <v>73</v>
      </c>
      <c r="L261" s="52" t="s">
        <v>74</v>
      </c>
      <c r="M261" s="53" t="s">
        <v>942</v>
      </c>
      <c r="N261" s="58" t="s">
        <v>73</v>
      </c>
      <c r="O261" s="48" t="s">
        <v>72</v>
      </c>
      <c r="P261" s="48" t="s">
        <v>73</v>
      </c>
      <c r="Q261" s="54" t="s">
        <v>73</v>
      </c>
      <c r="R261" s="55" t="s">
        <v>73</v>
      </c>
      <c r="S261" s="48" t="s">
        <v>73</v>
      </c>
      <c r="T261" s="130"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8" t="str" cm="1">
        <f t="array" ref="U261">IF(SUMPRODUCT(--((CAT_Procesos!$E$2:$E$1581=O261)*(CAT_Procesos!$F$2:$F$1581=_xlfn.TEXTJOIN(" + ",TRUE,IF((TRIM(P261:S261)="")+(LOWER(TRIM(P261:S261))="(seleccione)"),"",PROPER(TRIM(P261:S261)))))*(CAT_Procesos!$D$2:$D$1581=IFERROR(VLOOKUP(N261&amp;"*",CAT_Procesos!$D:$D,1,FALSE),""))))=0,"Combinación no existente",IF(SUMPRODUCT(((CAT_Procesos!$E$2:$E$1581=O261)*(CAT_Procesos!$F$2:$F$1581=_xlfn.TEXTJOIN(" + ",TRUE,IF((TRIM(P261:S261)="")+(LOWER(TRIM(P261:S261))="(seleccione)"),"",PROPER(TRIM(P261:S261)))))*(CAT_Procesos!$D$2:$D$1581=IFERROR(VLOOKUP(N261&amp;"*",CAT_Procesos!$D:$D,1,FALSE),"")))*(CAT_Procesos!$G$2:$G$1581=INDEX(CAT_Procesos!$G$2:$G$1581,MATCH(1,(CAT_Procesos!$E$2:$E$1581=O261)*(CAT_Procesos!$F$2:$F$1581=_xlfn.TEXTJOIN(" + ",TRUE,IF((TRIM(P261:S261)="")+(LOWER(TRIM(P261:S261))="(seleccione)"),"",PROPER(TRIM(P261:S261)))))*(CAT_Procesos!$D$2:$D$1581=IFERROR(VLOOKUP(N261&amp;"*",CAT_Procesos!$D:$D,1,FALSE),"")),0))))=SUMPRODUCT(--((CAT_Procesos!$E$2:$E$1581=O261)*(CAT_Procesos!$F$2:$F$1581=_xlfn.TEXTJOIN(" + ",TRUE,IF((TRIM(P261:S261)="")+(LOWER(TRIM(P261:S261))="(seleccione)"),"",PROPER(TRIM(P261:S261)))))*(CAT_Procesos!$D$2:$D$1581=IFERROR(VLOOKUP(N261&amp;"*",CAT_Procesos!$D:$D,1,FALSE),"")))),INDEX(CAT_Procesos!$G$2:$G$1581,MATCH(1,(CAT_Procesos!$E$2:$E$1581=O261)*(CAT_Procesos!$F$2:$F$1581=_xlfn.TEXTJOIN(" + ",TRUE,IF((TRIM(P261:S261)="")+(LOWER(TRIM(P261:S261))="(seleccione)"),"",PROPER(TRIM(P261:S261)))))*(CAT_Procesos!$D$2:$D$1581=IFERROR(VLOOKUP(N261&amp;"*",CAT_Procesos!$D:$D,1,FALSE),"")),0)),"(seleccione)"))</f>
        <v>Combinación no existente</v>
      </c>
      <c r="V261" s="55" t="s">
        <v>73</v>
      </c>
      <c r="W261" s="56" t="s">
        <v>73</v>
      </c>
      <c r="X261" s="57" t="str">
        <f t="shared" si="12"/>
        <v/>
      </c>
      <c r="Y261" s="58" t="s">
        <v>73</v>
      </c>
      <c r="Z261" s="57" t="str">
        <f t="shared" si="13"/>
        <v/>
      </c>
      <c r="AA261" s="58" t="s">
        <v>73</v>
      </c>
      <c r="AB261" s="57" t="str">
        <f t="shared" si="14"/>
        <v/>
      </c>
      <c r="AC261" s="58" t="s">
        <v>73</v>
      </c>
      <c r="AD261" s="57" t="str">
        <f t="shared" si="15"/>
        <v/>
      </c>
      <c r="AE261" s="59"/>
      <c r="AF261" s="59"/>
      <c r="AG261" s="59"/>
      <c r="AH261" s="59"/>
      <c r="AI261" s="59" t="s">
        <v>73</v>
      </c>
      <c r="AJ261" s="59"/>
      <c r="AK261" s="59" t="s">
        <v>73</v>
      </c>
      <c r="AL261" s="59"/>
      <c r="AM261" s="59" t="s">
        <v>73</v>
      </c>
      <c r="AN261" s="59"/>
      <c r="AO261" s="59" t="s">
        <v>73</v>
      </c>
      <c r="AP261" s="59"/>
      <c r="AQ261" s="59" t="s">
        <v>73</v>
      </c>
      <c r="AR261" s="59"/>
      <c r="AS261" s="59" t="s">
        <v>72</v>
      </c>
      <c r="AT261" s="59"/>
      <c r="AU261" s="59"/>
      <c r="AV261" s="59"/>
      <c r="AW261" s="59"/>
      <c r="AX261" s="59"/>
      <c r="AY261" s="60" t="str">
        <f>IF('Cálculo MP'!K271="","",'Cálculo MP'!K271)</f>
        <v/>
      </c>
      <c r="AZ261" s="60" t="str">
        <f>IF('Cálculo MP'!L271="","",'Cálculo MP'!L271)</f>
        <v/>
      </c>
      <c r="BA261" s="60" t="str">
        <f>IF('Cálculo MP'!M271="","",'Cálculo MP'!M271)</f>
        <v/>
      </c>
      <c r="BB261" s="60" t="str">
        <f>IF('Cálculo MP'!N271="","",'Cálculo MP'!N271)</f>
        <v/>
      </c>
      <c r="BC261" s="60" t="str">
        <f>IF('Cálculo MP'!O271="","",'Cálculo MP'!O271)</f>
        <v/>
      </c>
      <c r="BD261" s="60" t="str">
        <f>IF('Cálculo MP'!P271="","",'Cálculo MP'!P271)</f>
        <v/>
      </c>
      <c r="BE261" s="60" t="str">
        <f>IF('Cálculo MP'!Q271="","",'Cálculo MP'!Q271)</f>
        <v/>
      </c>
      <c r="BF261" s="60" t="str">
        <f>IF('Cálculo MP'!R271="","",'Cálculo MP'!R271)</f>
        <v/>
      </c>
      <c r="BG261" s="60" t="str">
        <f>IF('Cálculo MP'!S271="","",'Cálculo MP'!S271)</f>
        <v/>
      </c>
      <c r="BH261" s="59"/>
      <c r="BI261" s="59"/>
      <c r="BJ261" s="59"/>
      <c r="BK261" s="59"/>
      <c r="BL261" s="59"/>
      <c r="BM261" s="59"/>
      <c r="BN261" s="59"/>
      <c r="BO261" s="59"/>
    </row>
    <row r="262" spans="1:67" ht="19.5" customHeight="1" x14ac:dyDescent="0.15">
      <c r="A262" s="123" t="s">
        <v>1856</v>
      </c>
      <c r="B262" s="122" t="s">
        <v>1854</v>
      </c>
      <c r="C262" s="49"/>
      <c r="D262" s="48" t="s">
        <v>73</v>
      </c>
      <c r="E262" s="49"/>
      <c r="F262" s="50"/>
      <c r="G262" s="62"/>
      <c r="H262" s="48" t="s">
        <v>72</v>
      </c>
      <c r="I262" s="52">
        <v>1</v>
      </c>
      <c r="J262" s="52"/>
      <c r="K262" s="52" t="s">
        <v>73</v>
      </c>
      <c r="L262" s="52" t="s">
        <v>74</v>
      </c>
      <c r="M262" s="53" t="s">
        <v>942</v>
      </c>
      <c r="N262" s="58" t="s">
        <v>73</v>
      </c>
      <c r="O262" s="48" t="s">
        <v>72</v>
      </c>
      <c r="P262" s="48" t="s">
        <v>73</v>
      </c>
      <c r="Q262" s="54" t="s">
        <v>73</v>
      </c>
      <c r="R262" s="55" t="s">
        <v>73</v>
      </c>
      <c r="S262" s="48" t="s">
        <v>73</v>
      </c>
      <c r="T262" s="130"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8" t="str" cm="1">
        <f t="array" ref="U262">IF(SUMPRODUCT(--((CAT_Procesos!$E$2:$E$1581=O262)*(CAT_Procesos!$F$2:$F$1581=_xlfn.TEXTJOIN(" + ",TRUE,IF((TRIM(P262:S262)="")+(LOWER(TRIM(P262:S262))="(seleccione)"),"",PROPER(TRIM(P262:S262)))))*(CAT_Procesos!$D$2:$D$1581=IFERROR(VLOOKUP(N262&amp;"*",CAT_Procesos!$D:$D,1,FALSE),""))))=0,"Combinación no existente",IF(SUMPRODUCT(((CAT_Procesos!$E$2:$E$1581=O262)*(CAT_Procesos!$F$2:$F$1581=_xlfn.TEXTJOIN(" + ",TRUE,IF((TRIM(P262:S262)="")+(LOWER(TRIM(P262:S262))="(seleccione)"),"",PROPER(TRIM(P262:S262)))))*(CAT_Procesos!$D$2:$D$1581=IFERROR(VLOOKUP(N262&amp;"*",CAT_Procesos!$D:$D,1,FALSE),"")))*(CAT_Procesos!$G$2:$G$1581=INDEX(CAT_Procesos!$G$2:$G$1581,MATCH(1,(CAT_Procesos!$E$2:$E$1581=O262)*(CAT_Procesos!$F$2:$F$1581=_xlfn.TEXTJOIN(" + ",TRUE,IF((TRIM(P262:S262)="")+(LOWER(TRIM(P262:S262))="(seleccione)"),"",PROPER(TRIM(P262:S262)))))*(CAT_Procesos!$D$2:$D$1581=IFERROR(VLOOKUP(N262&amp;"*",CAT_Procesos!$D:$D,1,FALSE),"")),0))))=SUMPRODUCT(--((CAT_Procesos!$E$2:$E$1581=O262)*(CAT_Procesos!$F$2:$F$1581=_xlfn.TEXTJOIN(" + ",TRUE,IF((TRIM(P262:S262)="")+(LOWER(TRIM(P262:S262))="(seleccione)"),"",PROPER(TRIM(P262:S262)))))*(CAT_Procesos!$D$2:$D$1581=IFERROR(VLOOKUP(N262&amp;"*",CAT_Procesos!$D:$D,1,FALSE),"")))),INDEX(CAT_Procesos!$G$2:$G$1581,MATCH(1,(CAT_Procesos!$E$2:$E$1581=O262)*(CAT_Procesos!$F$2:$F$1581=_xlfn.TEXTJOIN(" + ",TRUE,IF((TRIM(P262:S262)="")+(LOWER(TRIM(P262:S262))="(seleccione)"),"",PROPER(TRIM(P262:S262)))))*(CAT_Procesos!$D$2:$D$1581=IFERROR(VLOOKUP(N262&amp;"*",CAT_Procesos!$D:$D,1,FALSE),"")),0)),"(seleccione)"))</f>
        <v>Combinación no existente</v>
      </c>
      <c r="V262" s="55" t="s">
        <v>73</v>
      </c>
      <c r="W262" s="56" t="s">
        <v>73</v>
      </c>
      <c r="X262" s="57" t="str">
        <f t="shared" si="12"/>
        <v/>
      </c>
      <c r="Y262" s="58" t="s">
        <v>73</v>
      </c>
      <c r="Z262" s="57" t="str">
        <f t="shared" si="13"/>
        <v/>
      </c>
      <c r="AA262" s="58" t="s">
        <v>73</v>
      </c>
      <c r="AB262" s="57" t="str">
        <f t="shared" si="14"/>
        <v/>
      </c>
      <c r="AC262" s="58" t="s">
        <v>73</v>
      </c>
      <c r="AD262" s="57" t="str">
        <f t="shared" si="15"/>
        <v/>
      </c>
      <c r="AE262" s="59"/>
      <c r="AF262" s="59"/>
      <c r="AG262" s="59"/>
      <c r="AH262" s="59"/>
      <c r="AI262" s="59" t="s">
        <v>73</v>
      </c>
      <c r="AJ262" s="59"/>
      <c r="AK262" s="59" t="s">
        <v>73</v>
      </c>
      <c r="AL262" s="59"/>
      <c r="AM262" s="59" t="s">
        <v>73</v>
      </c>
      <c r="AN262" s="59"/>
      <c r="AO262" s="59" t="s">
        <v>73</v>
      </c>
      <c r="AP262" s="59"/>
      <c r="AQ262" s="59" t="s">
        <v>73</v>
      </c>
      <c r="AR262" s="59"/>
      <c r="AS262" s="59" t="s">
        <v>72</v>
      </c>
      <c r="AT262" s="59"/>
      <c r="AU262" s="59"/>
      <c r="AV262" s="59"/>
      <c r="AW262" s="59"/>
      <c r="AX262" s="59"/>
      <c r="AY262" s="60" t="str">
        <f>IF('Cálculo MP'!K272="","",'Cálculo MP'!K272)</f>
        <v/>
      </c>
      <c r="AZ262" s="60" t="str">
        <f>IF('Cálculo MP'!L272="","",'Cálculo MP'!L272)</f>
        <v/>
      </c>
      <c r="BA262" s="60" t="str">
        <f>IF('Cálculo MP'!M272="","",'Cálculo MP'!M272)</f>
        <v/>
      </c>
      <c r="BB262" s="60" t="str">
        <f>IF('Cálculo MP'!N272="","",'Cálculo MP'!N272)</f>
        <v/>
      </c>
      <c r="BC262" s="60" t="str">
        <f>IF('Cálculo MP'!O272="","",'Cálculo MP'!O272)</f>
        <v/>
      </c>
      <c r="BD262" s="60" t="str">
        <f>IF('Cálculo MP'!P272="","",'Cálculo MP'!P272)</f>
        <v/>
      </c>
      <c r="BE262" s="60" t="str">
        <f>IF('Cálculo MP'!Q272="","",'Cálculo MP'!Q272)</f>
        <v/>
      </c>
      <c r="BF262" s="60" t="str">
        <f>IF('Cálculo MP'!R272="","",'Cálculo MP'!R272)</f>
        <v/>
      </c>
      <c r="BG262" s="60" t="str">
        <f>IF('Cálculo MP'!S272="","",'Cálculo MP'!S272)</f>
        <v/>
      </c>
      <c r="BH262" s="59"/>
      <c r="BI262" s="59"/>
      <c r="BJ262" s="59"/>
      <c r="BK262" s="59"/>
      <c r="BL262" s="59"/>
      <c r="BM262" s="59"/>
      <c r="BN262" s="59"/>
      <c r="BO262" s="59"/>
    </row>
    <row r="263" spans="1:67" ht="19.5" customHeight="1" x14ac:dyDescent="0.15">
      <c r="A263" s="123" t="s">
        <v>1856</v>
      </c>
      <c r="B263" s="122" t="s">
        <v>1854</v>
      </c>
      <c r="C263" s="49"/>
      <c r="D263" s="48" t="s">
        <v>73</v>
      </c>
      <c r="E263" s="49"/>
      <c r="F263" s="50"/>
      <c r="G263" s="62"/>
      <c r="H263" s="48" t="s">
        <v>72</v>
      </c>
      <c r="I263" s="52">
        <v>1</v>
      </c>
      <c r="J263" s="52"/>
      <c r="K263" s="52" t="s">
        <v>73</v>
      </c>
      <c r="L263" s="52" t="s">
        <v>74</v>
      </c>
      <c r="M263" s="53" t="s">
        <v>942</v>
      </c>
      <c r="N263" s="58" t="s">
        <v>73</v>
      </c>
      <c r="O263" s="48" t="s">
        <v>72</v>
      </c>
      <c r="P263" s="48" t="s">
        <v>73</v>
      </c>
      <c r="Q263" s="54" t="s">
        <v>73</v>
      </c>
      <c r="R263" s="55" t="s">
        <v>73</v>
      </c>
      <c r="S263" s="48" t="s">
        <v>73</v>
      </c>
      <c r="T263" s="130"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8" t="str" cm="1">
        <f t="array" ref="U263">IF(SUMPRODUCT(--((CAT_Procesos!$E$2:$E$1581=O263)*(CAT_Procesos!$F$2:$F$1581=_xlfn.TEXTJOIN(" + ",TRUE,IF((TRIM(P263:S263)="")+(LOWER(TRIM(P263:S263))="(seleccione)"),"",PROPER(TRIM(P263:S263)))))*(CAT_Procesos!$D$2:$D$1581=IFERROR(VLOOKUP(N263&amp;"*",CAT_Procesos!$D:$D,1,FALSE),""))))=0,"Combinación no existente",IF(SUMPRODUCT(((CAT_Procesos!$E$2:$E$1581=O263)*(CAT_Procesos!$F$2:$F$1581=_xlfn.TEXTJOIN(" + ",TRUE,IF((TRIM(P263:S263)="")+(LOWER(TRIM(P263:S263))="(seleccione)"),"",PROPER(TRIM(P263:S263)))))*(CAT_Procesos!$D$2:$D$1581=IFERROR(VLOOKUP(N263&amp;"*",CAT_Procesos!$D:$D,1,FALSE),"")))*(CAT_Procesos!$G$2:$G$1581=INDEX(CAT_Procesos!$G$2:$G$1581,MATCH(1,(CAT_Procesos!$E$2:$E$1581=O263)*(CAT_Procesos!$F$2:$F$1581=_xlfn.TEXTJOIN(" + ",TRUE,IF((TRIM(P263:S263)="")+(LOWER(TRIM(P263:S263))="(seleccione)"),"",PROPER(TRIM(P263:S263)))))*(CAT_Procesos!$D$2:$D$1581=IFERROR(VLOOKUP(N263&amp;"*",CAT_Procesos!$D:$D,1,FALSE),"")),0))))=SUMPRODUCT(--((CAT_Procesos!$E$2:$E$1581=O263)*(CAT_Procesos!$F$2:$F$1581=_xlfn.TEXTJOIN(" + ",TRUE,IF((TRIM(P263:S263)="")+(LOWER(TRIM(P263:S263))="(seleccione)"),"",PROPER(TRIM(P263:S263)))))*(CAT_Procesos!$D$2:$D$1581=IFERROR(VLOOKUP(N263&amp;"*",CAT_Procesos!$D:$D,1,FALSE),"")))),INDEX(CAT_Procesos!$G$2:$G$1581,MATCH(1,(CAT_Procesos!$E$2:$E$1581=O263)*(CAT_Procesos!$F$2:$F$1581=_xlfn.TEXTJOIN(" + ",TRUE,IF((TRIM(P263:S263)="")+(LOWER(TRIM(P263:S263))="(seleccione)"),"",PROPER(TRIM(P263:S263)))))*(CAT_Procesos!$D$2:$D$1581=IFERROR(VLOOKUP(N263&amp;"*",CAT_Procesos!$D:$D,1,FALSE),"")),0)),"(seleccione)"))</f>
        <v>Combinación no existente</v>
      </c>
      <c r="V263" s="55" t="s">
        <v>73</v>
      </c>
      <c r="W263" s="56" t="s">
        <v>73</v>
      </c>
      <c r="X263" s="57" t="str">
        <f t="shared" si="12"/>
        <v/>
      </c>
      <c r="Y263" s="58" t="s">
        <v>73</v>
      </c>
      <c r="Z263" s="57" t="str">
        <f t="shared" si="13"/>
        <v/>
      </c>
      <c r="AA263" s="58" t="s">
        <v>73</v>
      </c>
      <c r="AB263" s="57" t="str">
        <f t="shared" si="14"/>
        <v/>
      </c>
      <c r="AC263" s="58" t="s">
        <v>73</v>
      </c>
      <c r="AD263" s="57" t="str">
        <f t="shared" si="15"/>
        <v/>
      </c>
      <c r="AE263" s="59"/>
      <c r="AF263" s="59"/>
      <c r="AG263" s="59"/>
      <c r="AH263" s="59"/>
      <c r="AI263" s="59" t="s">
        <v>73</v>
      </c>
      <c r="AJ263" s="59"/>
      <c r="AK263" s="59" t="s">
        <v>73</v>
      </c>
      <c r="AL263" s="59"/>
      <c r="AM263" s="59" t="s">
        <v>73</v>
      </c>
      <c r="AN263" s="59"/>
      <c r="AO263" s="59" t="s">
        <v>73</v>
      </c>
      <c r="AP263" s="59"/>
      <c r="AQ263" s="59" t="s">
        <v>73</v>
      </c>
      <c r="AR263" s="59"/>
      <c r="AS263" s="59" t="s">
        <v>72</v>
      </c>
      <c r="AT263" s="59"/>
      <c r="AU263" s="59"/>
      <c r="AV263" s="59"/>
      <c r="AW263" s="59"/>
      <c r="AX263" s="59"/>
      <c r="AY263" s="60" t="str">
        <f>IF('Cálculo MP'!K273="","",'Cálculo MP'!K273)</f>
        <v/>
      </c>
      <c r="AZ263" s="60" t="str">
        <f>IF('Cálculo MP'!L273="","",'Cálculo MP'!L273)</f>
        <v/>
      </c>
      <c r="BA263" s="60" t="str">
        <f>IF('Cálculo MP'!M273="","",'Cálculo MP'!M273)</f>
        <v/>
      </c>
      <c r="BB263" s="60" t="str">
        <f>IF('Cálculo MP'!N273="","",'Cálculo MP'!N273)</f>
        <v/>
      </c>
      <c r="BC263" s="60" t="str">
        <f>IF('Cálculo MP'!O273="","",'Cálculo MP'!O273)</f>
        <v/>
      </c>
      <c r="BD263" s="60" t="str">
        <f>IF('Cálculo MP'!P273="","",'Cálculo MP'!P273)</f>
        <v/>
      </c>
      <c r="BE263" s="60" t="str">
        <f>IF('Cálculo MP'!Q273="","",'Cálculo MP'!Q273)</f>
        <v/>
      </c>
      <c r="BF263" s="60" t="str">
        <f>IF('Cálculo MP'!R273="","",'Cálculo MP'!R273)</f>
        <v/>
      </c>
      <c r="BG263" s="60" t="str">
        <f>IF('Cálculo MP'!S273="","",'Cálculo MP'!S273)</f>
        <v/>
      </c>
      <c r="BH263" s="59"/>
      <c r="BI263" s="59"/>
      <c r="BJ263" s="59"/>
      <c r="BK263" s="59"/>
      <c r="BL263" s="59"/>
      <c r="BM263" s="59"/>
      <c r="BN263" s="59"/>
      <c r="BO263" s="59"/>
    </row>
    <row r="264" spans="1:67" ht="19.5" customHeight="1" x14ac:dyDescent="0.15">
      <c r="A264" s="123" t="s">
        <v>1856</v>
      </c>
      <c r="B264" s="122" t="s">
        <v>1854</v>
      </c>
      <c r="C264" s="49"/>
      <c r="D264" s="48" t="s">
        <v>73</v>
      </c>
      <c r="E264" s="49"/>
      <c r="F264" s="50"/>
      <c r="G264" s="62"/>
      <c r="H264" s="48" t="s">
        <v>72</v>
      </c>
      <c r="I264" s="52">
        <v>1</v>
      </c>
      <c r="J264" s="52"/>
      <c r="K264" s="52" t="s">
        <v>73</v>
      </c>
      <c r="L264" s="52" t="s">
        <v>74</v>
      </c>
      <c r="M264" s="53" t="s">
        <v>942</v>
      </c>
      <c r="N264" s="58" t="s">
        <v>73</v>
      </c>
      <c r="O264" s="48" t="s">
        <v>72</v>
      </c>
      <c r="P264" s="48" t="s">
        <v>73</v>
      </c>
      <c r="Q264" s="54" t="s">
        <v>73</v>
      </c>
      <c r="R264" s="55" t="s">
        <v>73</v>
      </c>
      <c r="S264" s="48" t="s">
        <v>73</v>
      </c>
      <c r="T264" s="130"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8" t="str" cm="1">
        <f t="array" ref="U264">IF(SUMPRODUCT(--((CAT_Procesos!$E$2:$E$1581=O264)*(CAT_Procesos!$F$2:$F$1581=_xlfn.TEXTJOIN(" + ",TRUE,IF((TRIM(P264:S264)="")+(LOWER(TRIM(P264:S264))="(seleccione)"),"",PROPER(TRIM(P264:S264)))))*(CAT_Procesos!$D$2:$D$1581=IFERROR(VLOOKUP(N264&amp;"*",CAT_Procesos!$D:$D,1,FALSE),""))))=0,"Combinación no existente",IF(SUMPRODUCT(((CAT_Procesos!$E$2:$E$1581=O264)*(CAT_Procesos!$F$2:$F$1581=_xlfn.TEXTJOIN(" + ",TRUE,IF((TRIM(P264:S264)="")+(LOWER(TRIM(P264:S264))="(seleccione)"),"",PROPER(TRIM(P264:S264)))))*(CAT_Procesos!$D$2:$D$1581=IFERROR(VLOOKUP(N264&amp;"*",CAT_Procesos!$D:$D,1,FALSE),"")))*(CAT_Procesos!$G$2:$G$1581=INDEX(CAT_Procesos!$G$2:$G$1581,MATCH(1,(CAT_Procesos!$E$2:$E$1581=O264)*(CAT_Procesos!$F$2:$F$1581=_xlfn.TEXTJOIN(" + ",TRUE,IF((TRIM(P264:S264)="")+(LOWER(TRIM(P264:S264))="(seleccione)"),"",PROPER(TRIM(P264:S264)))))*(CAT_Procesos!$D$2:$D$1581=IFERROR(VLOOKUP(N264&amp;"*",CAT_Procesos!$D:$D,1,FALSE),"")),0))))=SUMPRODUCT(--((CAT_Procesos!$E$2:$E$1581=O264)*(CAT_Procesos!$F$2:$F$1581=_xlfn.TEXTJOIN(" + ",TRUE,IF((TRIM(P264:S264)="")+(LOWER(TRIM(P264:S264))="(seleccione)"),"",PROPER(TRIM(P264:S264)))))*(CAT_Procesos!$D$2:$D$1581=IFERROR(VLOOKUP(N264&amp;"*",CAT_Procesos!$D:$D,1,FALSE),"")))),INDEX(CAT_Procesos!$G$2:$G$1581,MATCH(1,(CAT_Procesos!$E$2:$E$1581=O264)*(CAT_Procesos!$F$2:$F$1581=_xlfn.TEXTJOIN(" + ",TRUE,IF((TRIM(P264:S264)="")+(LOWER(TRIM(P264:S264))="(seleccione)"),"",PROPER(TRIM(P264:S264)))))*(CAT_Procesos!$D$2:$D$1581=IFERROR(VLOOKUP(N264&amp;"*",CAT_Procesos!$D:$D,1,FALSE),"")),0)),"(seleccione)"))</f>
        <v>Combinación no existente</v>
      </c>
      <c r="V264" s="55" t="s">
        <v>73</v>
      </c>
      <c r="W264" s="56" t="s">
        <v>73</v>
      </c>
      <c r="X264" s="57" t="str">
        <f t="shared" si="12"/>
        <v/>
      </c>
      <c r="Y264" s="58" t="s">
        <v>73</v>
      </c>
      <c r="Z264" s="57" t="str">
        <f t="shared" si="13"/>
        <v/>
      </c>
      <c r="AA264" s="58" t="s">
        <v>73</v>
      </c>
      <c r="AB264" s="57" t="str">
        <f t="shared" si="14"/>
        <v/>
      </c>
      <c r="AC264" s="58" t="s">
        <v>73</v>
      </c>
      <c r="AD264" s="57" t="str">
        <f t="shared" si="15"/>
        <v/>
      </c>
      <c r="AE264" s="59"/>
      <c r="AF264" s="59"/>
      <c r="AG264" s="59"/>
      <c r="AH264" s="59"/>
      <c r="AI264" s="59" t="s">
        <v>73</v>
      </c>
      <c r="AJ264" s="59"/>
      <c r="AK264" s="59" t="s">
        <v>73</v>
      </c>
      <c r="AL264" s="59"/>
      <c r="AM264" s="59" t="s">
        <v>73</v>
      </c>
      <c r="AN264" s="59"/>
      <c r="AO264" s="59" t="s">
        <v>73</v>
      </c>
      <c r="AP264" s="59"/>
      <c r="AQ264" s="59" t="s">
        <v>73</v>
      </c>
      <c r="AR264" s="59"/>
      <c r="AS264" s="59" t="s">
        <v>72</v>
      </c>
      <c r="AT264" s="59"/>
      <c r="AU264" s="59"/>
      <c r="AV264" s="59"/>
      <c r="AW264" s="59"/>
      <c r="AX264" s="59"/>
      <c r="AY264" s="60" t="str">
        <f>IF('Cálculo MP'!K274="","",'Cálculo MP'!K274)</f>
        <v/>
      </c>
      <c r="AZ264" s="60" t="str">
        <f>IF('Cálculo MP'!L274="","",'Cálculo MP'!L274)</f>
        <v/>
      </c>
      <c r="BA264" s="60" t="str">
        <f>IF('Cálculo MP'!M274="","",'Cálculo MP'!M274)</f>
        <v/>
      </c>
      <c r="BB264" s="60" t="str">
        <f>IF('Cálculo MP'!N274="","",'Cálculo MP'!N274)</f>
        <v/>
      </c>
      <c r="BC264" s="60" t="str">
        <f>IF('Cálculo MP'!O274="","",'Cálculo MP'!O274)</f>
        <v/>
      </c>
      <c r="BD264" s="60" t="str">
        <f>IF('Cálculo MP'!P274="","",'Cálculo MP'!P274)</f>
        <v/>
      </c>
      <c r="BE264" s="60" t="str">
        <f>IF('Cálculo MP'!Q274="","",'Cálculo MP'!Q274)</f>
        <v/>
      </c>
      <c r="BF264" s="60" t="str">
        <f>IF('Cálculo MP'!R274="","",'Cálculo MP'!R274)</f>
        <v/>
      </c>
      <c r="BG264" s="60" t="str">
        <f>IF('Cálculo MP'!S274="","",'Cálculo MP'!S274)</f>
        <v/>
      </c>
      <c r="BH264" s="59"/>
      <c r="BI264" s="59"/>
      <c r="BJ264" s="59"/>
      <c r="BK264" s="59"/>
      <c r="BL264" s="59"/>
      <c r="BM264" s="59"/>
      <c r="BN264" s="59"/>
      <c r="BO264" s="59"/>
    </row>
    <row r="265" spans="1:67" ht="19.5" customHeight="1" x14ac:dyDescent="0.15">
      <c r="A265" s="123" t="s">
        <v>1856</v>
      </c>
      <c r="B265" s="122" t="s">
        <v>1854</v>
      </c>
      <c r="C265" s="49"/>
      <c r="D265" s="48" t="s">
        <v>73</v>
      </c>
      <c r="E265" s="49"/>
      <c r="F265" s="50"/>
      <c r="G265" s="62"/>
      <c r="H265" s="48" t="s">
        <v>72</v>
      </c>
      <c r="I265" s="52">
        <v>1</v>
      </c>
      <c r="J265" s="52"/>
      <c r="K265" s="52" t="s">
        <v>73</v>
      </c>
      <c r="L265" s="52" t="s">
        <v>74</v>
      </c>
      <c r="M265" s="53" t="s">
        <v>942</v>
      </c>
      <c r="N265" s="58" t="s">
        <v>73</v>
      </c>
      <c r="O265" s="48" t="s">
        <v>72</v>
      </c>
      <c r="P265" s="48" t="s">
        <v>73</v>
      </c>
      <c r="Q265" s="54" t="s">
        <v>73</v>
      </c>
      <c r="R265" s="55" t="s">
        <v>73</v>
      </c>
      <c r="S265" s="48" t="s">
        <v>73</v>
      </c>
      <c r="T265" s="130"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8" t="str" cm="1">
        <f t="array" ref="U265">IF(SUMPRODUCT(--((CAT_Procesos!$E$2:$E$1581=O265)*(CAT_Procesos!$F$2:$F$1581=_xlfn.TEXTJOIN(" + ",TRUE,IF((TRIM(P265:S265)="")+(LOWER(TRIM(P265:S265))="(seleccione)"),"",PROPER(TRIM(P265:S265)))))*(CAT_Procesos!$D$2:$D$1581=IFERROR(VLOOKUP(N265&amp;"*",CAT_Procesos!$D:$D,1,FALSE),""))))=0,"Combinación no existente",IF(SUMPRODUCT(((CAT_Procesos!$E$2:$E$1581=O265)*(CAT_Procesos!$F$2:$F$1581=_xlfn.TEXTJOIN(" + ",TRUE,IF((TRIM(P265:S265)="")+(LOWER(TRIM(P265:S265))="(seleccione)"),"",PROPER(TRIM(P265:S265)))))*(CAT_Procesos!$D$2:$D$1581=IFERROR(VLOOKUP(N265&amp;"*",CAT_Procesos!$D:$D,1,FALSE),"")))*(CAT_Procesos!$G$2:$G$1581=INDEX(CAT_Procesos!$G$2:$G$1581,MATCH(1,(CAT_Procesos!$E$2:$E$1581=O265)*(CAT_Procesos!$F$2:$F$1581=_xlfn.TEXTJOIN(" + ",TRUE,IF((TRIM(P265:S265)="")+(LOWER(TRIM(P265:S265))="(seleccione)"),"",PROPER(TRIM(P265:S265)))))*(CAT_Procesos!$D$2:$D$1581=IFERROR(VLOOKUP(N265&amp;"*",CAT_Procesos!$D:$D,1,FALSE),"")),0))))=SUMPRODUCT(--((CAT_Procesos!$E$2:$E$1581=O265)*(CAT_Procesos!$F$2:$F$1581=_xlfn.TEXTJOIN(" + ",TRUE,IF((TRIM(P265:S265)="")+(LOWER(TRIM(P265:S265))="(seleccione)"),"",PROPER(TRIM(P265:S265)))))*(CAT_Procesos!$D$2:$D$1581=IFERROR(VLOOKUP(N265&amp;"*",CAT_Procesos!$D:$D,1,FALSE),"")))),INDEX(CAT_Procesos!$G$2:$G$1581,MATCH(1,(CAT_Procesos!$E$2:$E$1581=O265)*(CAT_Procesos!$F$2:$F$1581=_xlfn.TEXTJOIN(" + ",TRUE,IF((TRIM(P265:S265)="")+(LOWER(TRIM(P265:S265))="(seleccione)"),"",PROPER(TRIM(P265:S265)))))*(CAT_Procesos!$D$2:$D$1581=IFERROR(VLOOKUP(N265&amp;"*",CAT_Procesos!$D:$D,1,FALSE),"")),0)),"(seleccione)"))</f>
        <v>Combinación no existente</v>
      </c>
      <c r="V265" s="55" t="s">
        <v>73</v>
      </c>
      <c r="W265" s="56" t="s">
        <v>73</v>
      </c>
      <c r="X265" s="57" t="str">
        <f t="shared" ref="X265:X328" si="16">IFERROR(((VALUE(TRIM(LEFT(MID(W265,FIND("|",W265)+1,99),FIND("-",MID(W265,FIND("|",W265)+1,99))-1)))+VALUE(TRIM(SUBSTITUTE(SUBSTITUTE(SUBSTITUTE(SUBSTITUTE(SUBSTITUTE(MID(MID(W265,FIND("|",W265)+1,99),FIND("-",MID(W265,FIND("|",W265)+1,99))+1,20),"µm",""),"μm",""),"mils",""),"mil",""),"",""))))/2)*IF(ISNUMBER(SEARCH("mil",MID(W265,FIND("|",W265)+1,99))),25.4,1),"")</f>
        <v/>
      </c>
      <c r="Y265" s="58" t="s">
        <v>73</v>
      </c>
      <c r="Z265" s="57" t="str">
        <f t="shared" ref="Z265:Z328" si="17">IFERROR(((VALUE(TRIM(LEFT(MID(Y265,FIND("|",Y265)+1,99),FIND("-",MID(Y265,FIND("|",Y265)+1,99))-1)))+VALUE(TRIM(SUBSTITUTE(SUBSTITUTE(SUBSTITUTE(SUBSTITUTE(SUBSTITUTE(MID(MID(Y265,FIND("|",Y265)+1,99),FIND("-",MID(Y265,FIND("|",Y265)+1,99))+1,20),"µm",""),"μm",""),"mils",""),"mil",""),"",""))))/2)*IF(ISNUMBER(SEARCH("mil",MID(Y265,FIND("|",Y265)+1,99))),25.4,1),"")</f>
        <v/>
      </c>
      <c r="AA265" s="58" t="s">
        <v>73</v>
      </c>
      <c r="AB265" s="57"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8" t="s">
        <v>73</v>
      </c>
      <c r="AD265" s="57"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59"/>
      <c r="AF265" s="59"/>
      <c r="AG265" s="59"/>
      <c r="AH265" s="59"/>
      <c r="AI265" s="59" t="s">
        <v>73</v>
      </c>
      <c r="AJ265" s="59"/>
      <c r="AK265" s="59" t="s">
        <v>73</v>
      </c>
      <c r="AL265" s="59"/>
      <c r="AM265" s="59" t="s">
        <v>73</v>
      </c>
      <c r="AN265" s="59"/>
      <c r="AO265" s="59" t="s">
        <v>73</v>
      </c>
      <c r="AP265" s="59"/>
      <c r="AQ265" s="59" t="s">
        <v>73</v>
      </c>
      <c r="AR265" s="59"/>
      <c r="AS265" s="59" t="s">
        <v>72</v>
      </c>
      <c r="AT265" s="59"/>
      <c r="AU265" s="59"/>
      <c r="AV265" s="59"/>
      <c r="AW265" s="59"/>
      <c r="AX265" s="59"/>
      <c r="AY265" s="60" t="str">
        <f>IF('Cálculo MP'!K275="","",'Cálculo MP'!K275)</f>
        <v/>
      </c>
      <c r="AZ265" s="60" t="str">
        <f>IF('Cálculo MP'!L275="","",'Cálculo MP'!L275)</f>
        <v/>
      </c>
      <c r="BA265" s="60" t="str">
        <f>IF('Cálculo MP'!M275="","",'Cálculo MP'!M275)</f>
        <v/>
      </c>
      <c r="BB265" s="60" t="str">
        <f>IF('Cálculo MP'!N275="","",'Cálculo MP'!N275)</f>
        <v/>
      </c>
      <c r="BC265" s="60" t="str">
        <f>IF('Cálculo MP'!O275="","",'Cálculo MP'!O275)</f>
        <v/>
      </c>
      <c r="BD265" s="60" t="str">
        <f>IF('Cálculo MP'!P275="","",'Cálculo MP'!P275)</f>
        <v/>
      </c>
      <c r="BE265" s="60" t="str">
        <f>IF('Cálculo MP'!Q275="","",'Cálculo MP'!Q275)</f>
        <v/>
      </c>
      <c r="BF265" s="60" t="str">
        <f>IF('Cálculo MP'!R275="","",'Cálculo MP'!R275)</f>
        <v/>
      </c>
      <c r="BG265" s="60" t="str">
        <f>IF('Cálculo MP'!S275="","",'Cálculo MP'!S275)</f>
        <v/>
      </c>
      <c r="BH265" s="59"/>
      <c r="BI265" s="59"/>
      <c r="BJ265" s="59"/>
      <c r="BK265" s="59"/>
      <c r="BL265" s="59"/>
      <c r="BM265" s="59"/>
      <c r="BN265" s="59"/>
      <c r="BO265" s="59"/>
    </row>
    <row r="266" spans="1:67" ht="19.5" customHeight="1" x14ac:dyDescent="0.15">
      <c r="A266" s="123" t="s">
        <v>1856</v>
      </c>
      <c r="B266" s="122" t="s">
        <v>1854</v>
      </c>
      <c r="C266" s="49"/>
      <c r="D266" s="48" t="s">
        <v>73</v>
      </c>
      <c r="E266" s="49"/>
      <c r="F266" s="50"/>
      <c r="G266" s="62"/>
      <c r="H266" s="48" t="s">
        <v>72</v>
      </c>
      <c r="I266" s="52">
        <v>1</v>
      </c>
      <c r="J266" s="52"/>
      <c r="K266" s="52" t="s">
        <v>73</v>
      </c>
      <c r="L266" s="52" t="s">
        <v>74</v>
      </c>
      <c r="M266" s="53" t="s">
        <v>942</v>
      </c>
      <c r="N266" s="58" t="s">
        <v>73</v>
      </c>
      <c r="O266" s="48" t="s">
        <v>72</v>
      </c>
      <c r="P266" s="48" t="s">
        <v>73</v>
      </c>
      <c r="Q266" s="54" t="s">
        <v>73</v>
      </c>
      <c r="R266" s="55" t="s">
        <v>73</v>
      </c>
      <c r="S266" s="48" t="s">
        <v>73</v>
      </c>
      <c r="T266" s="130"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8" t="str" cm="1">
        <f t="array" ref="U266">IF(SUMPRODUCT(--((CAT_Procesos!$E$2:$E$1581=O266)*(CAT_Procesos!$F$2:$F$1581=_xlfn.TEXTJOIN(" + ",TRUE,IF((TRIM(P266:S266)="")+(LOWER(TRIM(P266:S266))="(seleccione)"),"",PROPER(TRIM(P266:S266)))))*(CAT_Procesos!$D$2:$D$1581=IFERROR(VLOOKUP(N266&amp;"*",CAT_Procesos!$D:$D,1,FALSE),""))))=0,"Combinación no existente",IF(SUMPRODUCT(((CAT_Procesos!$E$2:$E$1581=O266)*(CAT_Procesos!$F$2:$F$1581=_xlfn.TEXTJOIN(" + ",TRUE,IF((TRIM(P266:S266)="")+(LOWER(TRIM(P266:S266))="(seleccione)"),"",PROPER(TRIM(P266:S266)))))*(CAT_Procesos!$D$2:$D$1581=IFERROR(VLOOKUP(N266&amp;"*",CAT_Procesos!$D:$D,1,FALSE),"")))*(CAT_Procesos!$G$2:$G$1581=INDEX(CAT_Procesos!$G$2:$G$1581,MATCH(1,(CAT_Procesos!$E$2:$E$1581=O266)*(CAT_Procesos!$F$2:$F$1581=_xlfn.TEXTJOIN(" + ",TRUE,IF((TRIM(P266:S266)="")+(LOWER(TRIM(P266:S266))="(seleccione)"),"",PROPER(TRIM(P266:S266)))))*(CAT_Procesos!$D$2:$D$1581=IFERROR(VLOOKUP(N266&amp;"*",CAT_Procesos!$D:$D,1,FALSE),"")),0))))=SUMPRODUCT(--((CAT_Procesos!$E$2:$E$1581=O266)*(CAT_Procesos!$F$2:$F$1581=_xlfn.TEXTJOIN(" + ",TRUE,IF((TRIM(P266:S266)="")+(LOWER(TRIM(P266:S266))="(seleccione)"),"",PROPER(TRIM(P266:S266)))))*(CAT_Procesos!$D$2:$D$1581=IFERROR(VLOOKUP(N266&amp;"*",CAT_Procesos!$D:$D,1,FALSE),"")))),INDEX(CAT_Procesos!$G$2:$G$1581,MATCH(1,(CAT_Procesos!$E$2:$E$1581=O266)*(CAT_Procesos!$F$2:$F$1581=_xlfn.TEXTJOIN(" + ",TRUE,IF((TRIM(P266:S266)="")+(LOWER(TRIM(P266:S266))="(seleccione)"),"",PROPER(TRIM(P266:S266)))))*(CAT_Procesos!$D$2:$D$1581=IFERROR(VLOOKUP(N266&amp;"*",CAT_Procesos!$D:$D,1,FALSE),"")),0)),"(seleccione)"))</f>
        <v>Combinación no existente</v>
      </c>
      <c r="V266" s="55" t="s">
        <v>73</v>
      </c>
      <c r="W266" s="56" t="s">
        <v>73</v>
      </c>
      <c r="X266" s="57" t="str">
        <f t="shared" si="16"/>
        <v/>
      </c>
      <c r="Y266" s="58" t="s">
        <v>73</v>
      </c>
      <c r="Z266" s="57" t="str">
        <f t="shared" si="17"/>
        <v/>
      </c>
      <c r="AA266" s="58" t="s">
        <v>73</v>
      </c>
      <c r="AB266" s="57" t="str">
        <f t="shared" si="18"/>
        <v/>
      </c>
      <c r="AC266" s="58" t="s">
        <v>73</v>
      </c>
      <c r="AD266" s="57" t="str">
        <f t="shared" si="19"/>
        <v/>
      </c>
      <c r="AE266" s="59"/>
      <c r="AF266" s="59"/>
      <c r="AG266" s="59"/>
      <c r="AH266" s="59"/>
      <c r="AI266" s="59" t="s">
        <v>73</v>
      </c>
      <c r="AJ266" s="59"/>
      <c r="AK266" s="59" t="s">
        <v>73</v>
      </c>
      <c r="AL266" s="59"/>
      <c r="AM266" s="59" t="s">
        <v>73</v>
      </c>
      <c r="AN266" s="59"/>
      <c r="AO266" s="59" t="s">
        <v>73</v>
      </c>
      <c r="AP266" s="59"/>
      <c r="AQ266" s="59" t="s">
        <v>73</v>
      </c>
      <c r="AR266" s="59"/>
      <c r="AS266" s="59" t="s">
        <v>72</v>
      </c>
      <c r="AT266" s="59"/>
      <c r="AU266" s="59"/>
      <c r="AV266" s="59"/>
      <c r="AW266" s="59"/>
      <c r="AX266" s="59"/>
      <c r="AY266" s="60" t="str">
        <f>IF('Cálculo MP'!K276="","",'Cálculo MP'!K276)</f>
        <v/>
      </c>
      <c r="AZ266" s="60" t="str">
        <f>IF('Cálculo MP'!L276="","",'Cálculo MP'!L276)</f>
        <v/>
      </c>
      <c r="BA266" s="60" t="str">
        <f>IF('Cálculo MP'!M276="","",'Cálculo MP'!M276)</f>
        <v/>
      </c>
      <c r="BB266" s="60" t="str">
        <f>IF('Cálculo MP'!N276="","",'Cálculo MP'!N276)</f>
        <v/>
      </c>
      <c r="BC266" s="60" t="str">
        <f>IF('Cálculo MP'!O276="","",'Cálculo MP'!O276)</f>
        <v/>
      </c>
      <c r="BD266" s="60" t="str">
        <f>IF('Cálculo MP'!P276="","",'Cálculo MP'!P276)</f>
        <v/>
      </c>
      <c r="BE266" s="60" t="str">
        <f>IF('Cálculo MP'!Q276="","",'Cálculo MP'!Q276)</f>
        <v/>
      </c>
      <c r="BF266" s="60" t="str">
        <f>IF('Cálculo MP'!R276="","",'Cálculo MP'!R276)</f>
        <v/>
      </c>
      <c r="BG266" s="60" t="str">
        <f>IF('Cálculo MP'!S276="","",'Cálculo MP'!S276)</f>
        <v/>
      </c>
      <c r="BH266" s="59"/>
      <c r="BI266" s="59"/>
      <c r="BJ266" s="59"/>
      <c r="BK266" s="59"/>
      <c r="BL266" s="59"/>
      <c r="BM266" s="59"/>
      <c r="BN266" s="59"/>
      <c r="BO266" s="59"/>
    </row>
    <row r="267" spans="1:67" ht="19.5" customHeight="1" x14ac:dyDescent="0.15">
      <c r="A267" s="123" t="s">
        <v>1856</v>
      </c>
      <c r="B267" s="122" t="s">
        <v>1854</v>
      </c>
      <c r="C267" s="49"/>
      <c r="D267" s="48" t="s">
        <v>73</v>
      </c>
      <c r="E267" s="49"/>
      <c r="F267" s="50"/>
      <c r="G267" s="62"/>
      <c r="H267" s="48" t="s">
        <v>72</v>
      </c>
      <c r="I267" s="52">
        <v>1</v>
      </c>
      <c r="J267" s="52"/>
      <c r="K267" s="52" t="s">
        <v>73</v>
      </c>
      <c r="L267" s="52" t="s">
        <v>74</v>
      </c>
      <c r="M267" s="53" t="s">
        <v>942</v>
      </c>
      <c r="N267" s="58" t="s">
        <v>73</v>
      </c>
      <c r="O267" s="48" t="s">
        <v>72</v>
      </c>
      <c r="P267" s="48" t="s">
        <v>73</v>
      </c>
      <c r="Q267" s="54" t="s">
        <v>73</v>
      </c>
      <c r="R267" s="55" t="s">
        <v>73</v>
      </c>
      <c r="S267" s="48" t="s">
        <v>73</v>
      </c>
      <c r="T267" s="130"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8" t="str" cm="1">
        <f t="array" ref="U267">IF(SUMPRODUCT(--((CAT_Procesos!$E$2:$E$1581=O267)*(CAT_Procesos!$F$2:$F$1581=_xlfn.TEXTJOIN(" + ",TRUE,IF((TRIM(P267:S267)="")+(LOWER(TRIM(P267:S267))="(seleccione)"),"",PROPER(TRIM(P267:S267)))))*(CAT_Procesos!$D$2:$D$1581=IFERROR(VLOOKUP(N267&amp;"*",CAT_Procesos!$D:$D,1,FALSE),""))))=0,"Combinación no existente",IF(SUMPRODUCT(((CAT_Procesos!$E$2:$E$1581=O267)*(CAT_Procesos!$F$2:$F$1581=_xlfn.TEXTJOIN(" + ",TRUE,IF((TRIM(P267:S267)="")+(LOWER(TRIM(P267:S267))="(seleccione)"),"",PROPER(TRIM(P267:S267)))))*(CAT_Procesos!$D$2:$D$1581=IFERROR(VLOOKUP(N267&amp;"*",CAT_Procesos!$D:$D,1,FALSE),"")))*(CAT_Procesos!$G$2:$G$1581=INDEX(CAT_Procesos!$G$2:$G$1581,MATCH(1,(CAT_Procesos!$E$2:$E$1581=O267)*(CAT_Procesos!$F$2:$F$1581=_xlfn.TEXTJOIN(" + ",TRUE,IF((TRIM(P267:S267)="")+(LOWER(TRIM(P267:S267))="(seleccione)"),"",PROPER(TRIM(P267:S267)))))*(CAT_Procesos!$D$2:$D$1581=IFERROR(VLOOKUP(N267&amp;"*",CAT_Procesos!$D:$D,1,FALSE),"")),0))))=SUMPRODUCT(--((CAT_Procesos!$E$2:$E$1581=O267)*(CAT_Procesos!$F$2:$F$1581=_xlfn.TEXTJOIN(" + ",TRUE,IF((TRIM(P267:S267)="")+(LOWER(TRIM(P267:S267))="(seleccione)"),"",PROPER(TRIM(P267:S267)))))*(CAT_Procesos!$D$2:$D$1581=IFERROR(VLOOKUP(N267&amp;"*",CAT_Procesos!$D:$D,1,FALSE),"")))),INDEX(CAT_Procesos!$G$2:$G$1581,MATCH(1,(CAT_Procesos!$E$2:$E$1581=O267)*(CAT_Procesos!$F$2:$F$1581=_xlfn.TEXTJOIN(" + ",TRUE,IF((TRIM(P267:S267)="")+(LOWER(TRIM(P267:S267))="(seleccione)"),"",PROPER(TRIM(P267:S267)))))*(CAT_Procesos!$D$2:$D$1581=IFERROR(VLOOKUP(N267&amp;"*",CAT_Procesos!$D:$D,1,FALSE),"")),0)),"(seleccione)"))</f>
        <v>Combinación no existente</v>
      </c>
      <c r="V267" s="55" t="s">
        <v>73</v>
      </c>
      <c r="W267" s="56" t="s">
        <v>73</v>
      </c>
      <c r="X267" s="57" t="str">
        <f t="shared" si="16"/>
        <v/>
      </c>
      <c r="Y267" s="58" t="s">
        <v>73</v>
      </c>
      <c r="Z267" s="57" t="str">
        <f t="shared" si="17"/>
        <v/>
      </c>
      <c r="AA267" s="58" t="s">
        <v>73</v>
      </c>
      <c r="AB267" s="57" t="str">
        <f t="shared" si="18"/>
        <v/>
      </c>
      <c r="AC267" s="58" t="s">
        <v>73</v>
      </c>
      <c r="AD267" s="57" t="str">
        <f t="shared" si="19"/>
        <v/>
      </c>
      <c r="AE267" s="59"/>
      <c r="AF267" s="59"/>
      <c r="AG267" s="59"/>
      <c r="AH267" s="59"/>
      <c r="AI267" s="59" t="s">
        <v>73</v>
      </c>
      <c r="AJ267" s="59"/>
      <c r="AK267" s="59" t="s">
        <v>73</v>
      </c>
      <c r="AL267" s="59"/>
      <c r="AM267" s="59" t="s">
        <v>73</v>
      </c>
      <c r="AN267" s="59"/>
      <c r="AO267" s="59" t="s">
        <v>73</v>
      </c>
      <c r="AP267" s="59"/>
      <c r="AQ267" s="59" t="s">
        <v>73</v>
      </c>
      <c r="AR267" s="59"/>
      <c r="AS267" s="59" t="s">
        <v>72</v>
      </c>
      <c r="AT267" s="59"/>
      <c r="AU267" s="59"/>
      <c r="AV267" s="59"/>
      <c r="AW267" s="59"/>
      <c r="AX267" s="59"/>
      <c r="AY267" s="60" t="str">
        <f>IF('Cálculo MP'!K277="","",'Cálculo MP'!K277)</f>
        <v/>
      </c>
      <c r="AZ267" s="60" t="str">
        <f>IF('Cálculo MP'!L277="","",'Cálculo MP'!L277)</f>
        <v/>
      </c>
      <c r="BA267" s="60" t="str">
        <f>IF('Cálculo MP'!M277="","",'Cálculo MP'!M277)</f>
        <v/>
      </c>
      <c r="BB267" s="60" t="str">
        <f>IF('Cálculo MP'!N277="","",'Cálculo MP'!N277)</f>
        <v/>
      </c>
      <c r="BC267" s="60" t="str">
        <f>IF('Cálculo MP'!O277="","",'Cálculo MP'!O277)</f>
        <v/>
      </c>
      <c r="BD267" s="60" t="str">
        <f>IF('Cálculo MP'!P277="","",'Cálculo MP'!P277)</f>
        <v/>
      </c>
      <c r="BE267" s="60" t="str">
        <f>IF('Cálculo MP'!Q277="","",'Cálculo MP'!Q277)</f>
        <v/>
      </c>
      <c r="BF267" s="60" t="str">
        <f>IF('Cálculo MP'!R277="","",'Cálculo MP'!R277)</f>
        <v/>
      </c>
      <c r="BG267" s="60" t="str">
        <f>IF('Cálculo MP'!S277="","",'Cálculo MP'!S277)</f>
        <v/>
      </c>
      <c r="BH267" s="59"/>
      <c r="BI267" s="59"/>
      <c r="BJ267" s="59"/>
      <c r="BK267" s="59"/>
      <c r="BL267" s="59"/>
      <c r="BM267" s="59"/>
      <c r="BN267" s="59"/>
      <c r="BO267" s="59"/>
    </row>
    <row r="268" spans="1:67" ht="19.5" customHeight="1" x14ac:dyDescent="0.15">
      <c r="A268" s="123" t="s">
        <v>1856</v>
      </c>
      <c r="B268" s="122" t="s">
        <v>1854</v>
      </c>
      <c r="C268" s="49"/>
      <c r="D268" s="48" t="s">
        <v>73</v>
      </c>
      <c r="E268" s="49"/>
      <c r="F268" s="50"/>
      <c r="G268" s="62"/>
      <c r="H268" s="48" t="s">
        <v>72</v>
      </c>
      <c r="I268" s="52">
        <v>1</v>
      </c>
      <c r="J268" s="52"/>
      <c r="K268" s="52" t="s">
        <v>73</v>
      </c>
      <c r="L268" s="52" t="s">
        <v>74</v>
      </c>
      <c r="M268" s="53" t="s">
        <v>942</v>
      </c>
      <c r="N268" s="58" t="s">
        <v>73</v>
      </c>
      <c r="O268" s="48" t="s">
        <v>72</v>
      </c>
      <c r="P268" s="48" t="s">
        <v>73</v>
      </c>
      <c r="Q268" s="54" t="s">
        <v>73</v>
      </c>
      <c r="R268" s="55" t="s">
        <v>73</v>
      </c>
      <c r="S268" s="48" t="s">
        <v>73</v>
      </c>
      <c r="T268" s="130"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8" t="str" cm="1">
        <f t="array" ref="U268">IF(SUMPRODUCT(--((CAT_Procesos!$E$2:$E$1581=O268)*(CAT_Procesos!$F$2:$F$1581=_xlfn.TEXTJOIN(" + ",TRUE,IF((TRIM(P268:S268)="")+(LOWER(TRIM(P268:S268))="(seleccione)"),"",PROPER(TRIM(P268:S268)))))*(CAT_Procesos!$D$2:$D$1581=IFERROR(VLOOKUP(N268&amp;"*",CAT_Procesos!$D:$D,1,FALSE),""))))=0,"Combinación no existente",IF(SUMPRODUCT(((CAT_Procesos!$E$2:$E$1581=O268)*(CAT_Procesos!$F$2:$F$1581=_xlfn.TEXTJOIN(" + ",TRUE,IF((TRIM(P268:S268)="")+(LOWER(TRIM(P268:S268))="(seleccione)"),"",PROPER(TRIM(P268:S268)))))*(CAT_Procesos!$D$2:$D$1581=IFERROR(VLOOKUP(N268&amp;"*",CAT_Procesos!$D:$D,1,FALSE),"")))*(CAT_Procesos!$G$2:$G$1581=INDEX(CAT_Procesos!$G$2:$G$1581,MATCH(1,(CAT_Procesos!$E$2:$E$1581=O268)*(CAT_Procesos!$F$2:$F$1581=_xlfn.TEXTJOIN(" + ",TRUE,IF((TRIM(P268:S268)="")+(LOWER(TRIM(P268:S268))="(seleccione)"),"",PROPER(TRIM(P268:S268)))))*(CAT_Procesos!$D$2:$D$1581=IFERROR(VLOOKUP(N268&amp;"*",CAT_Procesos!$D:$D,1,FALSE),"")),0))))=SUMPRODUCT(--((CAT_Procesos!$E$2:$E$1581=O268)*(CAT_Procesos!$F$2:$F$1581=_xlfn.TEXTJOIN(" + ",TRUE,IF((TRIM(P268:S268)="")+(LOWER(TRIM(P268:S268))="(seleccione)"),"",PROPER(TRIM(P268:S268)))))*(CAT_Procesos!$D$2:$D$1581=IFERROR(VLOOKUP(N268&amp;"*",CAT_Procesos!$D:$D,1,FALSE),"")))),INDEX(CAT_Procesos!$G$2:$G$1581,MATCH(1,(CAT_Procesos!$E$2:$E$1581=O268)*(CAT_Procesos!$F$2:$F$1581=_xlfn.TEXTJOIN(" + ",TRUE,IF((TRIM(P268:S268)="")+(LOWER(TRIM(P268:S268))="(seleccione)"),"",PROPER(TRIM(P268:S268)))))*(CAT_Procesos!$D$2:$D$1581=IFERROR(VLOOKUP(N268&amp;"*",CAT_Procesos!$D:$D,1,FALSE),"")),0)),"(seleccione)"))</f>
        <v>Combinación no existente</v>
      </c>
      <c r="V268" s="55" t="s">
        <v>73</v>
      </c>
      <c r="W268" s="56" t="s">
        <v>73</v>
      </c>
      <c r="X268" s="57" t="str">
        <f t="shared" si="16"/>
        <v/>
      </c>
      <c r="Y268" s="58" t="s">
        <v>73</v>
      </c>
      <c r="Z268" s="57" t="str">
        <f t="shared" si="17"/>
        <v/>
      </c>
      <c r="AA268" s="58" t="s">
        <v>73</v>
      </c>
      <c r="AB268" s="57" t="str">
        <f t="shared" si="18"/>
        <v/>
      </c>
      <c r="AC268" s="58" t="s">
        <v>73</v>
      </c>
      <c r="AD268" s="57" t="str">
        <f t="shared" si="19"/>
        <v/>
      </c>
      <c r="AE268" s="59"/>
      <c r="AF268" s="59"/>
      <c r="AG268" s="59"/>
      <c r="AH268" s="59"/>
      <c r="AI268" s="59" t="s">
        <v>73</v>
      </c>
      <c r="AJ268" s="59"/>
      <c r="AK268" s="59" t="s">
        <v>73</v>
      </c>
      <c r="AL268" s="59"/>
      <c r="AM268" s="59" t="s">
        <v>73</v>
      </c>
      <c r="AN268" s="59"/>
      <c r="AO268" s="59" t="s">
        <v>73</v>
      </c>
      <c r="AP268" s="59"/>
      <c r="AQ268" s="59" t="s">
        <v>73</v>
      </c>
      <c r="AR268" s="59"/>
      <c r="AS268" s="59" t="s">
        <v>72</v>
      </c>
      <c r="AT268" s="59"/>
      <c r="AU268" s="59"/>
      <c r="AV268" s="59"/>
      <c r="AW268" s="59"/>
      <c r="AX268" s="59"/>
      <c r="AY268" s="60" t="str">
        <f>IF('Cálculo MP'!K278="","",'Cálculo MP'!K278)</f>
        <v/>
      </c>
      <c r="AZ268" s="60" t="str">
        <f>IF('Cálculo MP'!L278="","",'Cálculo MP'!L278)</f>
        <v/>
      </c>
      <c r="BA268" s="60" t="str">
        <f>IF('Cálculo MP'!M278="","",'Cálculo MP'!M278)</f>
        <v/>
      </c>
      <c r="BB268" s="60" t="str">
        <f>IF('Cálculo MP'!N278="","",'Cálculo MP'!N278)</f>
        <v/>
      </c>
      <c r="BC268" s="60" t="str">
        <f>IF('Cálculo MP'!O278="","",'Cálculo MP'!O278)</f>
        <v/>
      </c>
      <c r="BD268" s="60" t="str">
        <f>IF('Cálculo MP'!P278="","",'Cálculo MP'!P278)</f>
        <v/>
      </c>
      <c r="BE268" s="60" t="str">
        <f>IF('Cálculo MP'!Q278="","",'Cálculo MP'!Q278)</f>
        <v/>
      </c>
      <c r="BF268" s="60" t="str">
        <f>IF('Cálculo MP'!R278="","",'Cálculo MP'!R278)</f>
        <v/>
      </c>
      <c r="BG268" s="60" t="str">
        <f>IF('Cálculo MP'!S278="","",'Cálculo MP'!S278)</f>
        <v/>
      </c>
      <c r="BH268" s="59"/>
      <c r="BI268" s="59"/>
      <c r="BJ268" s="59"/>
      <c r="BK268" s="59"/>
      <c r="BL268" s="59"/>
      <c r="BM268" s="59"/>
      <c r="BN268" s="59"/>
      <c r="BO268" s="59"/>
    </row>
    <row r="269" spans="1:67" ht="19.5" customHeight="1" x14ac:dyDescent="0.15">
      <c r="A269" s="123" t="s">
        <v>1856</v>
      </c>
      <c r="B269" s="122" t="s">
        <v>1854</v>
      </c>
      <c r="C269" s="49"/>
      <c r="D269" s="48" t="s">
        <v>73</v>
      </c>
      <c r="E269" s="49"/>
      <c r="F269" s="50"/>
      <c r="G269" s="62"/>
      <c r="H269" s="48" t="s">
        <v>72</v>
      </c>
      <c r="I269" s="52">
        <v>1</v>
      </c>
      <c r="J269" s="52"/>
      <c r="K269" s="52" t="s">
        <v>73</v>
      </c>
      <c r="L269" s="52" t="s">
        <v>74</v>
      </c>
      <c r="M269" s="53" t="s">
        <v>942</v>
      </c>
      <c r="N269" s="58" t="s">
        <v>73</v>
      </c>
      <c r="O269" s="48" t="s">
        <v>72</v>
      </c>
      <c r="P269" s="48" t="s">
        <v>73</v>
      </c>
      <c r="Q269" s="54" t="s">
        <v>73</v>
      </c>
      <c r="R269" s="55" t="s">
        <v>73</v>
      </c>
      <c r="S269" s="48" t="s">
        <v>73</v>
      </c>
      <c r="T269" s="130"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8" t="str" cm="1">
        <f t="array" ref="U269">IF(SUMPRODUCT(--((CAT_Procesos!$E$2:$E$1581=O269)*(CAT_Procesos!$F$2:$F$1581=_xlfn.TEXTJOIN(" + ",TRUE,IF((TRIM(P269:S269)="")+(LOWER(TRIM(P269:S269))="(seleccione)"),"",PROPER(TRIM(P269:S269)))))*(CAT_Procesos!$D$2:$D$1581=IFERROR(VLOOKUP(N269&amp;"*",CAT_Procesos!$D:$D,1,FALSE),""))))=0,"Combinación no existente",IF(SUMPRODUCT(((CAT_Procesos!$E$2:$E$1581=O269)*(CAT_Procesos!$F$2:$F$1581=_xlfn.TEXTJOIN(" + ",TRUE,IF((TRIM(P269:S269)="")+(LOWER(TRIM(P269:S269))="(seleccione)"),"",PROPER(TRIM(P269:S269)))))*(CAT_Procesos!$D$2:$D$1581=IFERROR(VLOOKUP(N269&amp;"*",CAT_Procesos!$D:$D,1,FALSE),"")))*(CAT_Procesos!$G$2:$G$1581=INDEX(CAT_Procesos!$G$2:$G$1581,MATCH(1,(CAT_Procesos!$E$2:$E$1581=O269)*(CAT_Procesos!$F$2:$F$1581=_xlfn.TEXTJOIN(" + ",TRUE,IF((TRIM(P269:S269)="")+(LOWER(TRIM(P269:S269))="(seleccione)"),"",PROPER(TRIM(P269:S269)))))*(CAT_Procesos!$D$2:$D$1581=IFERROR(VLOOKUP(N269&amp;"*",CAT_Procesos!$D:$D,1,FALSE),"")),0))))=SUMPRODUCT(--((CAT_Procesos!$E$2:$E$1581=O269)*(CAT_Procesos!$F$2:$F$1581=_xlfn.TEXTJOIN(" + ",TRUE,IF((TRIM(P269:S269)="")+(LOWER(TRIM(P269:S269))="(seleccione)"),"",PROPER(TRIM(P269:S269)))))*(CAT_Procesos!$D$2:$D$1581=IFERROR(VLOOKUP(N269&amp;"*",CAT_Procesos!$D:$D,1,FALSE),"")))),INDEX(CAT_Procesos!$G$2:$G$1581,MATCH(1,(CAT_Procesos!$E$2:$E$1581=O269)*(CAT_Procesos!$F$2:$F$1581=_xlfn.TEXTJOIN(" + ",TRUE,IF((TRIM(P269:S269)="")+(LOWER(TRIM(P269:S269))="(seleccione)"),"",PROPER(TRIM(P269:S269)))))*(CAT_Procesos!$D$2:$D$1581=IFERROR(VLOOKUP(N269&amp;"*",CAT_Procesos!$D:$D,1,FALSE),"")),0)),"(seleccione)"))</f>
        <v>Combinación no existente</v>
      </c>
      <c r="V269" s="55" t="s">
        <v>73</v>
      </c>
      <c r="W269" s="56" t="s">
        <v>73</v>
      </c>
      <c r="X269" s="57" t="str">
        <f t="shared" si="16"/>
        <v/>
      </c>
      <c r="Y269" s="58" t="s">
        <v>73</v>
      </c>
      <c r="Z269" s="57" t="str">
        <f t="shared" si="17"/>
        <v/>
      </c>
      <c r="AA269" s="58" t="s">
        <v>73</v>
      </c>
      <c r="AB269" s="57" t="str">
        <f t="shared" si="18"/>
        <v/>
      </c>
      <c r="AC269" s="58" t="s">
        <v>73</v>
      </c>
      <c r="AD269" s="57" t="str">
        <f t="shared" si="19"/>
        <v/>
      </c>
      <c r="AE269" s="59"/>
      <c r="AF269" s="59"/>
      <c r="AG269" s="59"/>
      <c r="AH269" s="59"/>
      <c r="AI269" s="59" t="s">
        <v>73</v>
      </c>
      <c r="AJ269" s="59"/>
      <c r="AK269" s="59" t="s">
        <v>73</v>
      </c>
      <c r="AL269" s="59"/>
      <c r="AM269" s="59" t="s">
        <v>73</v>
      </c>
      <c r="AN269" s="59"/>
      <c r="AO269" s="59" t="s">
        <v>73</v>
      </c>
      <c r="AP269" s="59"/>
      <c r="AQ269" s="59" t="s">
        <v>73</v>
      </c>
      <c r="AR269" s="59"/>
      <c r="AS269" s="59" t="s">
        <v>72</v>
      </c>
      <c r="AT269" s="59"/>
      <c r="AU269" s="59"/>
      <c r="AV269" s="59"/>
      <c r="AW269" s="59"/>
      <c r="AX269" s="59"/>
      <c r="AY269" s="60" t="str">
        <f>IF('Cálculo MP'!K279="","",'Cálculo MP'!K279)</f>
        <v/>
      </c>
      <c r="AZ269" s="60" t="str">
        <f>IF('Cálculo MP'!L279="","",'Cálculo MP'!L279)</f>
        <v/>
      </c>
      <c r="BA269" s="60" t="str">
        <f>IF('Cálculo MP'!M279="","",'Cálculo MP'!M279)</f>
        <v/>
      </c>
      <c r="BB269" s="60" t="str">
        <f>IF('Cálculo MP'!N279="","",'Cálculo MP'!N279)</f>
        <v/>
      </c>
      <c r="BC269" s="60" t="str">
        <f>IF('Cálculo MP'!O279="","",'Cálculo MP'!O279)</f>
        <v/>
      </c>
      <c r="BD269" s="60" t="str">
        <f>IF('Cálculo MP'!P279="","",'Cálculo MP'!P279)</f>
        <v/>
      </c>
      <c r="BE269" s="60" t="str">
        <f>IF('Cálculo MP'!Q279="","",'Cálculo MP'!Q279)</f>
        <v/>
      </c>
      <c r="BF269" s="60" t="str">
        <f>IF('Cálculo MP'!R279="","",'Cálculo MP'!R279)</f>
        <v/>
      </c>
      <c r="BG269" s="60" t="str">
        <f>IF('Cálculo MP'!S279="","",'Cálculo MP'!S279)</f>
        <v/>
      </c>
      <c r="BH269" s="59"/>
      <c r="BI269" s="59"/>
      <c r="BJ269" s="59"/>
      <c r="BK269" s="59"/>
      <c r="BL269" s="59"/>
      <c r="BM269" s="59"/>
      <c r="BN269" s="59"/>
      <c r="BO269" s="59"/>
    </row>
    <row r="270" spans="1:67" ht="19.5" customHeight="1" x14ac:dyDescent="0.15">
      <c r="A270" s="123" t="s">
        <v>1856</v>
      </c>
      <c r="B270" s="122" t="s">
        <v>1854</v>
      </c>
      <c r="C270" s="49"/>
      <c r="D270" s="48" t="s">
        <v>73</v>
      </c>
      <c r="E270" s="49"/>
      <c r="F270" s="50"/>
      <c r="G270" s="62"/>
      <c r="H270" s="48" t="s">
        <v>72</v>
      </c>
      <c r="I270" s="52">
        <v>1</v>
      </c>
      <c r="J270" s="52"/>
      <c r="K270" s="52" t="s">
        <v>73</v>
      </c>
      <c r="L270" s="52" t="s">
        <v>74</v>
      </c>
      <c r="M270" s="53" t="s">
        <v>942</v>
      </c>
      <c r="N270" s="58" t="s">
        <v>73</v>
      </c>
      <c r="O270" s="48" t="s">
        <v>72</v>
      </c>
      <c r="P270" s="48" t="s">
        <v>73</v>
      </c>
      <c r="Q270" s="54" t="s">
        <v>73</v>
      </c>
      <c r="R270" s="55" t="s">
        <v>73</v>
      </c>
      <c r="S270" s="48" t="s">
        <v>73</v>
      </c>
      <c r="T270" s="130"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8" t="str" cm="1">
        <f t="array" ref="U270">IF(SUMPRODUCT(--((CAT_Procesos!$E$2:$E$1581=O270)*(CAT_Procesos!$F$2:$F$1581=_xlfn.TEXTJOIN(" + ",TRUE,IF((TRIM(P270:S270)="")+(LOWER(TRIM(P270:S270))="(seleccione)"),"",PROPER(TRIM(P270:S270)))))*(CAT_Procesos!$D$2:$D$1581=IFERROR(VLOOKUP(N270&amp;"*",CAT_Procesos!$D:$D,1,FALSE),""))))=0,"Combinación no existente",IF(SUMPRODUCT(((CAT_Procesos!$E$2:$E$1581=O270)*(CAT_Procesos!$F$2:$F$1581=_xlfn.TEXTJOIN(" + ",TRUE,IF((TRIM(P270:S270)="")+(LOWER(TRIM(P270:S270))="(seleccione)"),"",PROPER(TRIM(P270:S270)))))*(CAT_Procesos!$D$2:$D$1581=IFERROR(VLOOKUP(N270&amp;"*",CAT_Procesos!$D:$D,1,FALSE),"")))*(CAT_Procesos!$G$2:$G$1581=INDEX(CAT_Procesos!$G$2:$G$1581,MATCH(1,(CAT_Procesos!$E$2:$E$1581=O270)*(CAT_Procesos!$F$2:$F$1581=_xlfn.TEXTJOIN(" + ",TRUE,IF((TRIM(P270:S270)="")+(LOWER(TRIM(P270:S270))="(seleccione)"),"",PROPER(TRIM(P270:S270)))))*(CAT_Procesos!$D$2:$D$1581=IFERROR(VLOOKUP(N270&amp;"*",CAT_Procesos!$D:$D,1,FALSE),"")),0))))=SUMPRODUCT(--((CAT_Procesos!$E$2:$E$1581=O270)*(CAT_Procesos!$F$2:$F$1581=_xlfn.TEXTJOIN(" + ",TRUE,IF((TRIM(P270:S270)="")+(LOWER(TRIM(P270:S270))="(seleccione)"),"",PROPER(TRIM(P270:S270)))))*(CAT_Procesos!$D$2:$D$1581=IFERROR(VLOOKUP(N270&amp;"*",CAT_Procesos!$D:$D,1,FALSE),"")))),INDEX(CAT_Procesos!$G$2:$G$1581,MATCH(1,(CAT_Procesos!$E$2:$E$1581=O270)*(CAT_Procesos!$F$2:$F$1581=_xlfn.TEXTJOIN(" + ",TRUE,IF((TRIM(P270:S270)="")+(LOWER(TRIM(P270:S270))="(seleccione)"),"",PROPER(TRIM(P270:S270)))))*(CAT_Procesos!$D$2:$D$1581=IFERROR(VLOOKUP(N270&amp;"*",CAT_Procesos!$D:$D,1,FALSE),"")),0)),"(seleccione)"))</f>
        <v>Combinación no existente</v>
      </c>
      <c r="V270" s="55" t="s">
        <v>73</v>
      </c>
      <c r="W270" s="56" t="s">
        <v>73</v>
      </c>
      <c r="X270" s="57" t="str">
        <f t="shared" si="16"/>
        <v/>
      </c>
      <c r="Y270" s="58" t="s">
        <v>73</v>
      </c>
      <c r="Z270" s="57" t="str">
        <f t="shared" si="17"/>
        <v/>
      </c>
      <c r="AA270" s="58" t="s">
        <v>73</v>
      </c>
      <c r="AB270" s="57" t="str">
        <f t="shared" si="18"/>
        <v/>
      </c>
      <c r="AC270" s="58" t="s">
        <v>73</v>
      </c>
      <c r="AD270" s="57" t="str">
        <f t="shared" si="19"/>
        <v/>
      </c>
      <c r="AE270" s="59"/>
      <c r="AF270" s="59"/>
      <c r="AG270" s="59"/>
      <c r="AH270" s="59"/>
      <c r="AI270" s="59" t="s">
        <v>73</v>
      </c>
      <c r="AJ270" s="59"/>
      <c r="AK270" s="59" t="s">
        <v>73</v>
      </c>
      <c r="AL270" s="59"/>
      <c r="AM270" s="59" t="s">
        <v>73</v>
      </c>
      <c r="AN270" s="59"/>
      <c r="AO270" s="59" t="s">
        <v>73</v>
      </c>
      <c r="AP270" s="59"/>
      <c r="AQ270" s="59" t="s">
        <v>73</v>
      </c>
      <c r="AR270" s="59"/>
      <c r="AS270" s="59" t="s">
        <v>72</v>
      </c>
      <c r="AT270" s="59"/>
      <c r="AU270" s="59"/>
      <c r="AV270" s="59"/>
      <c r="AW270" s="59"/>
      <c r="AX270" s="59"/>
      <c r="AY270" s="60" t="str">
        <f>IF('Cálculo MP'!K280="","",'Cálculo MP'!K280)</f>
        <v/>
      </c>
      <c r="AZ270" s="60" t="str">
        <f>IF('Cálculo MP'!L280="","",'Cálculo MP'!L280)</f>
        <v/>
      </c>
      <c r="BA270" s="60" t="str">
        <f>IF('Cálculo MP'!M280="","",'Cálculo MP'!M280)</f>
        <v/>
      </c>
      <c r="BB270" s="60" t="str">
        <f>IF('Cálculo MP'!N280="","",'Cálculo MP'!N280)</f>
        <v/>
      </c>
      <c r="BC270" s="60" t="str">
        <f>IF('Cálculo MP'!O280="","",'Cálculo MP'!O280)</f>
        <v/>
      </c>
      <c r="BD270" s="60" t="str">
        <f>IF('Cálculo MP'!P280="","",'Cálculo MP'!P280)</f>
        <v/>
      </c>
      <c r="BE270" s="60" t="str">
        <f>IF('Cálculo MP'!Q280="","",'Cálculo MP'!Q280)</f>
        <v/>
      </c>
      <c r="BF270" s="60" t="str">
        <f>IF('Cálculo MP'!R280="","",'Cálculo MP'!R280)</f>
        <v/>
      </c>
      <c r="BG270" s="60" t="str">
        <f>IF('Cálculo MP'!S280="","",'Cálculo MP'!S280)</f>
        <v/>
      </c>
      <c r="BH270" s="59"/>
      <c r="BI270" s="59"/>
      <c r="BJ270" s="59"/>
      <c r="BK270" s="59"/>
      <c r="BL270" s="59"/>
      <c r="BM270" s="59"/>
      <c r="BN270" s="59"/>
      <c r="BO270" s="59"/>
    </row>
    <row r="271" spans="1:67" ht="19.5" customHeight="1" x14ac:dyDescent="0.15">
      <c r="A271" s="123" t="s">
        <v>1856</v>
      </c>
      <c r="B271" s="122" t="s">
        <v>1854</v>
      </c>
      <c r="C271" s="49"/>
      <c r="D271" s="48" t="s">
        <v>73</v>
      </c>
      <c r="E271" s="49"/>
      <c r="F271" s="50"/>
      <c r="G271" s="62"/>
      <c r="H271" s="48" t="s">
        <v>72</v>
      </c>
      <c r="I271" s="52">
        <v>1</v>
      </c>
      <c r="J271" s="52"/>
      <c r="K271" s="52" t="s">
        <v>73</v>
      </c>
      <c r="L271" s="52" t="s">
        <v>74</v>
      </c>
      <c r="M271" s="53" t="s">
        <v>942</v>
      </c>
      <c r="N271" s="58" t="s">
        <v>73</v>
      </c>
      <c r="O271" s="48" t="s">
        <v>72</v>
      </c>
      <c r="P271" s="48" t="s">
        <v>73</v>
      </c>
      <c r="Q271" s="54" t="s">
        <v>73</v>
      </c>
      <c r="R271" s="55" t="s">
        <v>73</v>
      </c>
      <c r="S271" s="48" t="s">
        <v>73</v>
      </c>
      <c r="T271" s="130"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8" t="str" cm="1">
        <f t="array" ref="U271">IF(SUMPRODUCT(--((CAT_Procesos!$E$2:$E$1581=O271)*(CAT_Procesos!$F$2:$F$1581=_xlfn.TEXTJOIN(" + ",TRUE,IF((TRIM(P271:S271)="")+(LOWER(TRIM(P271:S271))="(seleccione)"),"",PROPER(TRIM(P271:S271)))))*(CAT_Procesos!$D$2:$D$1581=IFERROR(VLOOKUP(N271&amp;"*",CAT_Procesos!$D:$D,1,FALSE),""))))=0,"Combinación no existente",IF(SUMPRODUCT(((CAT_Procesos!$E$2:$E$1581=O271)*(CAT_Procesos!$F$2:$F$1581=_xlfn.TEXTJOIN(" + ",TRUE,IF((TRIM(P271:S271)="")+(LOWER(TRIM(P271:S271))="(seleccione)"),"",PROPER(TRIM(P271:S271)))))*(CAT_Procesos!$D$2:$D$1581=IFERROR(VLOOKUP(N271&amp;"*",CAT_Procesos!$D:$D,1,FALSE),"")))*(CAT_Procesos!$G$2:$G$1581=INDEX(CAT_Procesos!$G$2:$G$1581,MATCH(1,(CAT_Procesos!$E$2:$E$1581=O271)*(CAT_Procesos!$F$2:$F$1581=_xlfn.TEXTJOIN(" + ",TRUE,IF((TRIM(P271:S271)="")+(LOWER(TRIM(P271:S271))="(seleccione)"),"",PROPER(TRIM(P271:S271)))))*(CAT_Procesos!$D$2:$D$1581=IFERROR(VLOOKUP(N271&amp;"*",CAT_Procesos!$D:$D,1,FALSE),"")),0))))=SUMPRODUCT(--((CAT_Procesos!$E$2:$E$1581=O271)*(CAT_Procesos!$F$2:$F$1581=_xlfn.TEXTJOIN(" + ",TRUE,IF((TRIM(P271:S271)="")+(LOWER(TRIM(P271:S271))="(seleccione)"),"",PROPER(TRIM(P271:S271)))))*(CAT_Procesos!$D$2:$D$1581=IFERROR(VLOOKUP(N271&amp;"*",CAT_Procesos!$D:$D,1,FALSE),"")))),INDEX(CAT_Procesos!$G$2:$G$1581,MATCH(1,(CAT_Procesos!$E$2:$E$1581=O271)*(CAT_Procesos!$F$2:$F$1581=_xlfn.TEXTJOIN(" + ",TRUE,IF((TRIM(P271:S271)="")+(LOWER(TRIM(P271:S271))="(seleccione)"),"",PROPER(TRIM(P271:S271)))))*(CAT_Procesos!$D$2:$D$1581=IFERROR(VLOOKUP(N271&amp;"*",CAT_Procesos!$D:$D,1,FALSE),"")),0)),"(seleccione)"))</f>
        <v>Combinación no existente</v>
      </c>
      <c r="V271" s="55" t="s">
        <v>73</v>
      </c>
      <c r="W271" s="56" t="s">
        <v>73</v>
      </c>
      <c r="X271" s="57" t="str">
        <f t="shared" si="16"/>
        <v/>
      </c>
      <c r="Y271" s="58" t="s">
        <v>73</v>
      </c>
      <c r="Z271" s="57" t="str">
        <f t="shared" si="17"/>
        <v/>
      </c>
      <c r="AA271" s="58" t="s">
        <v>73</v>
      </c>
      <c r="AB271" s="57" t="str">
        <f t="shared" si="18"/>
        <v/>
      </c>
      <c r="AC271" s="58" t="s">
        <v>73</v>
      </c>
      <c r="AD271" s="57" t="str">
        <f t="shared" si="19"/>
        <v/>
      </c>
      <c r="AE271" s="59"/>
      <c r="AF271" s="59"/>
      <c r="AG271" s="59"/>
      <c r="AH271" s="59"/>
      <c r="AI271" s="59" t="s">
        <v>73</v>
      </c>
      <c r="AJ271" s="59"/>
      <c r="AK271" s="59" t="s">
        <v>73</v>
      </c>
      <c r="AL271" s="59"/>
      <c r="AM271" s="59" t="s">
        <v>73</v>
      </c>
      <c r="AN271" s="59"/>
      <c r="AO271" s="59" t="s">
        <v>73</v>
      </c>
      <c r="AP271" s="59"/>
      <c r="AQ271" s="59" t="s">
        <v>73</v>
      </c>
      <c r="AR271" s="59"/>
      <c r="AS271" s="59" t="s">
        <v>72</v>
      </c>
      <c r="AT271" s="59"/>
      <c r="AU271" s="59"/>
      <c r="AV271" s="59"/>
      <c r="AW271" s="59"/>
      <c r="AX271" s="59"/>
      <c r="AY271" s="60" t="str">
        <f>IF('Cálculo MP'!K281="","",'Cálculo MP'!K281)</f>
        <v/>
      </c>
      <c r="AZ271" s="60" t="str">
        <f>IF('Cálculo MP'!L281="","",'Cálculo MP'!L281)</f>
        <v/>
      </c>
      <c r="BA271" s="60" t="str">
        <f>IF('Cálculo MP'!M281="","",'Cálculo MP'!M281)</f>
        <v/>
      </c>
      <c r="BB271" s="60" t="str">
        <f>IF('Cálculo MP'!N281="","",'Cálculo MP'!N281)</f>
        <v/>
      </c>
      <c r="BC271" s="60" t="str">
        <f>IF('Cálculo MP'!O281="","",'Cálculo MP'!O281)</f>
        <v/>
      </c>
      <c r="BD271" s="60" t="str">
        <f>IF('Cálculo MP'!P281="","",'Cálculo MP'!P281)</f>
        <v/>
      </c>
      <c r="BE271" s="60" t="str">
        <f>IF('Cálculo MP'!Q281="","",'Cálculo MP'!Q281)</f>
        <v/>
      </c>
      <c r="BF271" s="60" t="str">
        <f>IF('Cálculo MP'!R281="","",'Cálculo MP'!R281)</f>
        <v/>
      </c>
      <c r="BG271" s="60" t="str">
        <f>IF('Cálculo MP'!S281="","",'Cálculo MP'!S281)</f>
        <v/>
      </c>
      <c r="BH271" s="59"/>
      <c r="BI271" s="59"/>
      <c r="BJ271" s="59"/>
      <c r="BK271" s="59"/>
      <c r="BL271" s="59"/>
      <c r="BM271" s="59"/>
      <c r="BN271" s="59"/>
      <c r="BO271" s="59"/>
    </row>
    <row r="272" spans="1:67" ht="19.5" customHeight="1" x14ac:dyDescent="0.15">
      <c r="A272" s="123" t="s">
        <v>1856</v>
      </c>
      <c r="B272" s="122" t="s">
        <v>1854</v>
      </c>
      <c r="C272" s="49"/>
      <c r="D272" s="48" t="s">
        <v>73</v>
      </c>
      <c r="E272" s="49"/>
      <c r="F272" s="50"/>
      <c r="G272" s="62"/>
      <c r="H272" s="48" t="s">
        <v>72</v>
      </c>
      <c r="I272" s="52">
        <v>1</v>
      </c>
      <c r="J272" s="52"/>
      <c r="K272" s="52" t="s">
        <v>73</v>
      </c>
      <c r="L272" s="52" t="s">
        <v>74</v>
      </c>
      <c r="M272" s="53" t="s">
        <v>942</v>
      </c>
      <c r="N272" s="58" t="s">
        <v>73</v>
      </c>
      <c r="O272" s="48" t="s">
        <v>72</v>
      </c>
      <c r="P272" s="48" t="s">
        <v>73</v>
      </c>
      <c r="Q272" s="54" t="s">
        <v>73</v>
      </c>
      <c r="R272" s="55" t="s">
        <v>73</v>
      </c>
      <c r="S272" s="48" t="s">
        <v>73</v>
      </c>
      <c r="T272" s="130"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8" t="str" cm="1">
        <f t="array" ref="U272">IF(SUMPRODUCT(--((CAT_Procesos!$E$2:$E$1581=O272)*(CAT_Procesos!$F$2:$F$1581=_xlfn.TEXTJOIN(" + ",TRUE,IF((TRIM(P272:S272)="")+(LOWER(TRIM(P272:S272))="(seleccione)"),"",PROPER(TRIM(P272:S272)))))*(CAT_Procesos!$D$2:$D$1581=IFERROR(VLOOKUP(N272&amp;"*",CAT_Procesos!$D:$D,1,FALSE),""))))=0,"Combinación no existente",IF(SUMPRODUCT(((CAT_Procesos!$E$2:$E$1581=O272)*(CAT_Procesos!$F$2:$F$1581=_xlfn.TEXTJOIN(" + ",TRUE,IF((TRIM(P272:S272)="")+(LOWER(TRIM(P272:S272))="(seleccione)"),"",PROPER(TRIM(P272:S272)))))*(CAT_Procesos!$D$2:$D$1581=IFERROR(VLOOKUP(N272&amp;"*",CAT_Procesos!$D:$D,1,FALSE),"")))*(CAT_Procesos!$G$2:$G$1581=INDEX(CAT_Procesos!$G$2:$G$1581,MATCH(1,(CAT_Procesos!$E$2:$E$1581=O272)*(CAT_Procesos!$F$2:$F$1581=_xlfn.TEXTJOIN(" + ",TRUE,IF((TRIM(P272:S272)="")+(LOWER(TRIM(P272:S272))="(seleccione)"),"",PROPER(TRIM(P272:S272)))))*(CAT_Procesos!$D$2:$D$1581=IFERROR(VLOOKUP(N272&amp;"*",CAT_Procesos!$D:$D,1,FALSE),"")),0))))=SUMPRODUCT(--((CAT_Procesos!$E$2:$E$1581=O272)*(CAT_Procesos!$F$2:$F$1581=_xlfn.TEXTJOIN(" + ",TRUE,IF((TRIM(P272:S272)="")+(LOWER(TRIM(P272:S272))="(seleccione)"),"",PROPER(TRIM(P272:S272)))))*(CAT_Procesos!$D$2:$D$1581=IFERROR(VLOOKUP(N272&amp;"*",CAT_Procesos!$D:$D,1,FALSE),"")))),INDEX(CAT_Procesos!$G$2:$G$1581,MATCH(1,(CAT_Procesos!$E$2:$E$1581=O272)*(CAT_Procesos!$F$2:$F$1581=_xlfn.TEXTJOIN(" + ",TRUE,IF((TRIM(P272:S272)="")+(LOWER(TRIM(P272:S272))="(seleccione)"),"",PROPER(TRIM(P272:S272)))))*(CAT_Procesos!$D$2:$D$1581=IFERROR(VLOOKUP(N272&amp;"*",CAT_Procesos!$D:$D,1,FALSE),"")),0)),"(seleccione)"))</f>
        <v>Combinación no existente</v>
      </c>
      <c r="V272" s="55" t="s">
        <v>73</v>
      </c>
      <c r="W272" s="56" t="s">
        <v>73</v>
      </c>
      <c r="X272" s="57" t="str">
        <f t="shared" si="16"/>
        <v/>
      </c>
      <c r="Y272" s="58" t="s">
        <v>73</v>
      </c>
      <c r="Z272" s="57" t="str">
        <f t="shared" si="17"/>
        <v/>
      </c>
      <c r="AA272" s="58" t="s">
        <v>73</v>
      </c>
      <c r="AB272" s="57" t="str">
        <f t="shared" si="18"/>
        <v/>
      </c>
      <c r="AC272" s="58" t="s">
        <v>73</v>
      </c>
      <c r="AD272" s="57" t="str">
        <f t="shared" si="19"/>
        <v/>
      </c>
      <c r="AE272" s="59"/>
      <c r="AF272" s="59"/>
      <c r="AG272" s="59"/>
      <c r="AH272" s="59"/>
      <c r="AI272" s="59" t="s">
        <v>73</v>
      </c>
      <c r="AJ272" s="59"/>
      <c r="AK272" s="59" t="s">
        <v>73</v>
      </c>
      <c r="AL272" s="59"/>
      <c r="AM272" s="59" t="s">
        <v>73</v>
      </c>
      <c r="AN272" s="59"/>
      <c r="AO272" s="59" t="s">
        <v>73</v>
      </c>
      <c r="AP272" s="59"/>
      <c r="AQ272" s="59" t="s">
        <v>73</v>
      </c>
      <c r="AR272" s="59"/>
      <c r="AS272" s="59" t="s">
        <v>72</v>
      </c>
      <c r="AT272" s="59"/>
      <c r="AU272" s="59"/>
      <c r="AV272" s="59"/>
      <c r="AW272" s="59"/>
      <c r="AX272" s="59"/>
      <c r="AY272" s="60" t="str">
        <f>IF('Cálculo MP'!K282="","",'Cálculo MP'!K282)</f>
        <v/>
      </c>
      <c r="AZ272" s="60" t="str">
        <f>IF('Cálculo MP'!L282="","",'Cálculo MP'!L282)</f>
        <v/>
      </c>
      <c r="BA272" s="60" t="str">
        <f>IF('Cálculo MP'!M282="","",'Cálculo MP'!M282)</f>
        <v/>
      </c>
      <c r="BB272" s="60" t="str">
        <f>IF('Cálculo MP'!N282="","",'Cálculo MP'!N282)</f>
        <v/>
      </c>
      <c r="BC272" s="60" t="str">
        <f>IF('Cálculo MP'!O282="","",'Cálculo MP'!O282)</f>
        <v/>
      </c>
      <c r="BD272" s="60" t="str">
        <f>IF('Cálculo MP'!P282="","",'Cálculo MP'!P282)</f>
        <v/>
      </c>
      <c r="BE272" s="60" t="str">
        <f>IF('Cálculo MP'!Q282="","",'Cálculo MP'!Q282)</f>
        <v/>
      </c>
      <c r="BF272" s="60" t="str">
        <f>IF('Cálculo MP'!R282="","",'Cálculo MP'!R282)</f>
        <v/>
      </c>
      <c r="BG272" s="60" t="str">
        <f>IF('Cálculo MP'!S282="","",'Cálculo MP'!S282)</f>
        <v/>
      </c>
      <c r="BH272" s="59"/>
      <c r="BI272" s="59"/>
      <c r="BJ272" s="59"/>
      <c r="BK272" s="59"/>
      <c r="BL272" s="59"/>
      <c r="BM272" s="59"/>
      <c r="BN272" s="59"/>
      <c r="BO272" s="59"/>
    </row>
    <row r="273" spans="1:67" ht="19.5" customHeight="1" x14ac:dyDescent="0.15">
      <c r="A273" s="123" t="s">
        <v>1856</v>
      </c>
      <c r="B273" s="122" t="s">
        <v>1854</v>
      </c>
      <c r="C273" s="49"/>
      <c r="D273" s="48" t="s">
        <v>73</v>
      </c>
      <c r="E273" s="49"/>
      <c r="F273" s="50"/>
      <c r="G273" s="62"/>
      <c r="H273" s="48" t="s">
        <v>72</v>
      </c>
      <c r="I273" s="52">
        <v>1</v>
      </c>
      <c r="J273" s="52"/>
      <c r="K273" s="52" t="s">
        <v>73</v>
      </c>
      <c r="L273" s="52" t="s">
        <v>74</v>
      </c>
      <c r="M273" s="53" t="s">
        <v>942</v>
      </c>
      <c r="N273" s="58" t="s">
        <v>73</v>
      </c>
      <c r="O273" s="48" t="s">
        <v>72</v>
      </c>
      <c r="P273" s="48" t="s">
        <v>73</v>
      </c>
      <c r="Q273" s="54" t="s">
        <v>73</v>
      </c>
      <c r="R273" s="55" t="s">
        <v>73</v>
      </c>
      <c r="S273" s="48" t="s">
        <v>73</v>
      </c>
      <c r="T273" s="130"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8" t="str" cm="1">
        <f t="array" ref="U273">IF(SUMPRODUCT(--((CAT_Procesos!$E$2:$E$1581=O273)*(CAT_Procesos!$F$2:$F$1581=_xlfn.TEXTJOIN(" + ",TRUE,IF((TRIM(P273:S273)="")+(LOWER(TRIM(P273:S273))="(seleccione)"),"",PROPER(TRIM(P273:S273)))))*(CAT_Procesos!$D$2:$D$1581=IFERROR(VLOOKUP(N273&amp;"*",CAT_Procesos!$D:$D,1,FALSE),""))))=0,"Combinación no existente",IF(SUMPRODUCT(((CAT_Procesos!$E$2:$E$1581=O273)*(CAT_Procesos!$F$2:$F$1581=_xlfn.TEXTJOIN(" + ",TRUE,IF((TRIM(P273:S273)="")+(LOWER(TRIM(P273:S273))="(seleccione)"),"",PROPER(TRIM(P273:S273)))))*(CAT_Procesos!$D$2:$D$1581=IFERROR(VLOOKUP(N273&amp;"*",CAT_Procesos!$D:$D,1,FALSE),"")))*(CAT_Procesos!$G$2:$G$1581=INDEX(CAT_Procesos!$G$2:$G$1581,MATCH(1,(CAT_Procesos!$E$2:$E$1581=O273)*(CAT_Procesos!$F$2:$F$1581=_xlfn.TEXTJOIN(" + ",TRUE,IF((TRIM(P273:S273)="")+(LOWER(TRIM(P273:S273))="(seleccione)"),"",PROPER(TRIM(P273:S273)))))*(CAT_Procesos!$D$2:$D$1581=IFERROR(VLOOKUP(N273&amp;"*",CAT_Procesos!$D:$D,1,FALSE),"")),0))))=SUMPRODUCT(--((CAT_Procesos!$E$2:$E$1581=O273)*(CAT_Procesos!$F$2:$F$1581=_xlfn.TEXTJOIN(" + ",TRUE,IF((TRIM(P273:S273)="")+(LOWER(TRIM(P273:S273))="(seleccione)"),"",PROPER(TRIM(P273:S273)))))*(CAT_Procesos!$D$2:$D$1581=IFERROR(VLOOKUP(N273&amp;"*",CAT_Procesos!$D:$D,1,FALSE),"")))),INDEX(CAT_Procesos!$G$2:$G$1581,MATCH(1,(CAT_Procesos!$E$2:$E$1581=O273)*(CAT_Procesos!$F$2:$F$1581=_xlfn.TEXTJOIN(" + ",TRUE,IF((TRIM(P273:S273)="")+(LOWER(TRIM(P273:S273))="(seleccione)"),"",PROPER(TRIM(P273:S273)))))*(CAT_Procesos!$D$2:$D$1581=IFERROR(VLOOKUP(N273&amp;"*",CAT_Procesos!$D:$D,1,FALSE),"")),0)),"(seleccione)"))</f>
        <v>Combinación no existente</v>
      </c>
      <c r="V273" s="55" t="s">
        <v>73</v>
      </c>
      <c r="W273" s="56" t="s">
        <v>73</v>
      </c>
      <c r="X273" s="57" t="str">
        <f t="shared" si="16"/>
        <v/>
      </c>
      <c r="Y273" s="58" t="s">
        <v>73</v>
      </c>
      <c r="Z273" s="57" t="str">
        <f t="shared" si="17"/>
        <v/>
      </c>
      <c r="AA273" s="58" t="s">
        <v>73</v>
      </c>
      <c r="AB273" s="57" t="str">
        <f t="shared" si="18"/>
        <v/>
      </c>
      <c r="AC273" s="58" t="s">
        <v>73</v>
      </c>
      <c r="AD273" s="57" t="str">
        <f t="shared" si="19"/>
        <v/>
      </c>
      <c r="AE273" s="59"/>
      <c r="AF273" s="59"/>
      <c r="AG273" s="59"/>
      <c r="AH273" s="59"/>
      <c r="AI273" s="59" t="s">
        <v>73</v>
      </c>
      <c r="AJ273" s="59"/>
      <c r="AK273" s="59" t="s">
        <v>73</v>
      </c>
      <c r="AL273" s="59"/>
      <c r="AM273" s="59" t="s">
        <v>73</v>
      </c>
      <c r="AN273" s="59"/>
      <c r="AO273" s="59" t="s">
        <v>73</v>
      </c>
      <c r="AP273" s="59"/>
      <c r="AQ273" s="59" t="s">
        <v>73</v>
      </c>
      <c r="AR273" s="59"/>
      <c r="AS273" s="59" t="s">
        <v>72</v>
      </c>
      <c r="AT273" s="59"/>
      <c r="AU273" s="59"/>
      <c r="AV273" s="59"/>
      <c r="AW273" s="59"/>
      <c r="AX273" s="59"/>
      <c r="AY273" s="60" t="str">
        <f>IF('Cálculo MP'!K283="","",'Cálculo MP'!K283)</f>
        <v/>
      </c>
      <c r="AZ273" s="60" t="str">
        <f>IF('Cálculo MP'!L283="","",'Cálculo MP'!L283)</f>
        <v/>
      </c>
      <c r="BA273" s="60" t="str">
        <f>IF('Cálculo MP'!M283="","",'Cálculo MP'!M283)</f>
        <v/>
      </c>
      <c r="BB273" s="60" t="str">
        <f>IF('Cálculo MP'!N283="","",'Cálculo MP'!N283)</f>
        <v/>
      </c>
      <c r="BC273" s="60" t="str">
        <f>IF('Cálculo MP'!O283="","",'Cálculo MP'!O283)</f>
        <v/>
      </c>
      <c r="BD273" s="60" t="str">
        <f>IF('Cálculo MP'!P283="","",'Cálculo MP'!P283)</f>
        <v/>
      </c>
      <c r="BE273" s="60" t="str">
        <f>IF('Cálculo MP'!Q283="","",'Cálculo MP'!Q283)</f>
        <v/>
      </c>
      <c r="BF273" s="60" t="str">
        <f>IF('Cálculo MP'!R283="","",'Cálculo MP'!R283)</f>
        <v/>
      </c>
      <c r="BG273" s="60" t="str">
        <f>IF('Cálculo MP'!S283="","",'Cálculo MP'!S283)</f>
        <v/>
      </c>
      <c r="BH273" s="59"/>
      <c r="BI273" s="59"/>
      <c r="BJ273" s="59"/>
      <c r="BK273" s="59"/>
      <c r="BL273" s="59"/>
      <c r="BM273" s="59"/>
      <c r="BN273" s="59"/>
      <c r="BO273" s="59"/>
    </row>
    <row r="274" spans="1:67" ht="19.5" customHeight="1" x14ac:dyDescent="0.15">
      <c r="A274" s="123" t="s">
        <v>1856</v>
      </c>
      <c r="B274" s="122" t="s">
        <v>1854</v>
      </c>
      <c r="C274" s="49"/>
      <c r="D274" s="48" t="s">
        <v>73</v>
      </c>
      <c r="E274" s="49"/>
      <c r="F274" s="50"/>
      <c r="G274" s="62"/>
      <c r="H274" s="48" t="s">
        <v>72</v>
      </c>
      <c r="I274" s="52">
        <v>1</v>
      </c>
      <c r="J274" s="52"/>
      <c r="K274" s="52" t="s">
        <v>73</v>
      </c>
      <c r="L274" s="52" t="s">
        <v>74</v>
      </c>
      <c r="M274" s="53" t="s">
        <v>942</v>
      </c>
      <c r="N274" s="58" t="s">
        <v>73</v>
      </c>
      <c r="O274" s="48" t="s">
        <v>72</v>
      </c>
      <c r="P274" s="48" t="s">
        <v>73</v>
      </c>
      <c r="Q274" s="54" t="s">
        <v>73</v>
      </c>
      <c r="R274" s="55" t="s">
        <v>73</v>
      </c>
      <c r="S274" s="48" t="s">
        <v>73</v>
      </c>
      <c r="T274" s="130"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8" t="str" cm="1">
        <f t="array" ref="U274">IF(SUMPRODUCT(--((CAT_Procesos!$E$2:$E$1581=O274)*(CAT_Procesos!$F$2:$F$1581=_xlfn.TEXTJOIN(" + ",TRUE,IF((TRIM(P274:S274)="")+(LOWER(TRIM(P274:S274))="(seleccione)"),"",PROPER(TRIM(P274:S274)))))*(CAT_Procesos!$D$2:$D$1581=IFERROR(VLOOKUP(N274&amp;"*",CAT_Procesos!$D:$D,1,FALSE),""))))=0,"Combinación no existente",IF(SUMPRODUCT(((CAT_Procesos!$E$2:$E$1581=O274)*(CAT_Procesos!$F$2:$F$1581=_xlfn.TEXTJOIN(" + ",TRUE,IF((TRIM(P274:S274)="")+(LOWER(TRIM(P274:S274))="(seleccione)"),"",PROPER(TRIM(P274:S274)))))*(CAT_Procesos!$D$2:$D$1581=IFERROR(VLOOKUP(N274&amp;"*",CAT_Procesos!$D:$D,1,FALSE),"")))*(CAT_Procesos!$G$2:$G$1581=INDEX(CAT_Procesos!$G$2:$G$1581,MATCH(1,(CAT_Procesos!$E$2:$E$1581=O274)*(CAT_Procesos!$F$2:$F$1581=_xlfn.TEXTJOIN(" + ",TRUE,IF((TRIM(P274:S274)="")+(LOWER(TRIM(P274:S274))="(seleccione)"),"",PROPER(TRIM(P274:S274)))))*(CAT_Procesos!$D$2:$D$1581=IFERROR(VLOOKUP(N274&amp;"*",CAT_Procesos!$D:$D,1,FALSE),"")),0))))=SUMPRODUCT(--((CAT_Procesos!$E$2:$E$1581=O274)*(CAT_Procesos!$F$2:$F$1581=_xlfn.TEXTJOIN(" + ",TRUE,IF((TRIM(P274:S274)="")+(LOWER(TRIM(P274:S274))="(seleccione)"),"",PROPER(TRIM(P274:S274)))))*(CAT_Procesos!$D$2:$D$1581=IFERROR(VLOOKUP(N274&amp;"*",CAT_Procesos!$D:$D,1,FALSE),"")))),INDEX(CAT_Procesos!$G$2:$G$1581,MATCH(1,(CAT_Procesos!$E$2:$E$1581=O274)*(CAT_Procesos!$F$2:$F$1581=_xlfn.TEXTJOIN(" + ",TRUE,IF((TRIM(P274:S274)="")+(LOWER(TRIM(P274:S274))="(seleccione)"),"",PROPER(TRIM(P274:S274)))))*(CAT_Procesos!$D$2:$D$1581=IFERROR(VLOOKUP(N274&amp;"*",CAT_Procesos!$D:$D,1,FALSE),"")),0)),"(seleccione)"))</f>
        <v>Combinación no existente</v>
      </c>
      <c r="V274" s="55" t="s">
        <v>73</v>
      </c>
      <c r="W274" s="56" t="s">
        <v>73</v>
      </c>
      <c r="X274" s="57" t="str">
        <f t="shared" si="16"/>
        <v/>
      </c>
      <c r="Y274" s="58" t="s">
        <v>73</v>
      </c>
      <c r="Z274" s="57" t="str">
        <f t="shared" si="17"/>
        <v/>
      </c>
      <c r="AA274" s="58" t="s">
        <v>73</v>
      </c>
      <c r="AB274" s="57" t="str">
        <f t="shared" si="18"/>
        <v/>
      </c>
      <c r="AC274" s="58" t="s">
        <v>73</v>
      </c>
      <c r="AD274" s="57" t="str">
        <f t="shared" si="19"/>
        <v/>
      </c>
      <c r="AE274" s="59"/>
      <c r="AF274" s="59"/>
      <c r="AG274" s="59"/>
      <c r="AH274" s="59"/>
      <c r="AI274" s="59" t="s">
        <v>73</v>
      </c>
      <c r="AJ274" s="59"/>
      <c r="AK274" s="59" t="s">
        <v>73</v>
      </c>
      <c r="AL274" s="59"/>
      <c r="AM274" s="59" t="s">
        <v>73</v>
      </c>
      <c r="AN274" s="59"/>
      <c r="AO274" s="59" t="s">
        <v>73</v>
      </c>
      <c r="AP274" s="59"/>
      <c r="AQ274" s="59" t="s">
        <v>73</v>
      </c>
      <c r="AR274" s="59"/>
      <c r="AS274" s="59" t="s">
        <v>72</v>
      </c>
      <c r="AT274" s="59"/>
      <c r="AU274" s="59"/>
      <c r="AV274" s="59"/>
      <c r="AW274" s="59"/>
      <c r="AX274" s="59"/>
      <c r="AY274" s="60" t="str">
        <f>IF('Cálculo MP'!K284="","",'Cálculo MP'!K284)</f>
        <v/>
      </c>
      <c r="AZ274" s="60" t="str">
        <f>IF('Cálculo MP'!L284="","",'Cálculo MP'!L284)</f>
        <v/>
      </c>
      <c r="BA274" s="60" t="str">
        <f>IF('Cálculo MP'!M284="","",'Cálculo MP'!M284)</f>
        <v/>
      </c>
      <c r="BB274" s="60" t="str">
        <f>IF('Cálculo MP'!N284="","",'Cálculo MP'!N284)</f>
        <v/>
      </c>
      <c r="BC274" s="60" t="str">
        <f>IF('Cálculo MP'!O284="","",'Cálculo MP'!O284)</f>
        <v/>
      </c>
      <c r="BD274" s="60" t="str">
        <f>IF('Cálculo MP'!P284="","",'Cálculo MP'!P284)</f>
        <v/>
      </c>
      <c r="BE274" s="60" t="str">
        <f>IF('Cálculo MP'!Q284="","",'Cálculo MP'!Q284)</f>
        <v/>
      </c>
      <c r="BF274" s="60" t="str">
        <f>IF('Cálculo MP'!R284="","",'Cálculo MP'!R284)</f>
        <v/>
      </c>
      <c r="BG274" s="60" t="str">
        <f>IF('Cálculo MP'!S284="","",'Cálculo MP'!S284)</f>
        <v/>
      </c>
      <c r="BH274" s="59"/>
      <c r="BI274" s="59"/>
      <c r="BJ274" s="59"/>
      <c r="BK274" s="59"/>
      <c r="BL274" s="59"/>
      <c r="BM274" s="59"/>
      <c r="BN274" s="59"/>
      <c r="BO274" s="59"/>
    </row>
    <row r="275" spans="1:67" ht="19.5" customHeight="1" x14ac:dyDescent="0.15">
      <c r="A275" s="123" t="s">
        <v>1856</v>
      </c>
      <c r="B275" s="122" t="s">
        <v>1854</v>
      </c>
      <c r="C275" s="49"/>
      <c r="D275" s="48" t="s">
        <v>73</v>
      </c>
      <c r="E275" s="49"/>
      <c r="F275" s="50"/>
      <c r="G275" s="62"/>
      <c r="H275" s="48" t="s">
        <v>72</v>
      </c>
      <c r="I275" s="52">
        <v>1</v>
      </c>
      <c r="J275" s="52"/>
      <c r="K275" s="52" t="s">
        <v>73</v>
      </c>
      <c r="L275" s="52" t="s">
        <v>74</v>
      </c>
      <c r="M275" s="53" t="s">
        <v>942</v>
      </c>
      <c r="N275" s="58" t="s">
        <v>73</v>
      </c>
      <c r="O275" s="48" t="s">
        <v>72</v>
      </c>
      <c r="P275" s="48" t="s">
        <v>73</v>
      </c>
      <c r="Q275" s="54" t="s">
        <v>73</v>
      </c>
      <c r="R275" s="55" t="s">
        <v>73</v>
      </c>
      <c r="S275" s="48" t="s">
        <v>73</v>
      </c>
      <c r="T275" s="130"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8" t="str" cm="1">
        <f t="array" ref="U275">IF(SUMPRODUCT(--((CAT_Procesos!$E$2:$E$1581=O275)*(CAT_Procesos!$F$2:$F$1581=_xlfn.TEXTJOIN(" + ",TRUE,IF((TRIM(P275:S275)="")+(LOWER(TRIM(P275:S275))="(seleccione)"),"",PROPER(TRIM(P275:S275)))))*(CAT_Procesos!$D$2:$D$1581=IFERROR(VLOOKUP(N275&amp;"*",CAT_Procesos!$D:$D,1,FALSE),""))))=0,"Combinación no existente",IF(SUMPRODUCT(((CAT_Procesos!$E$2:$E$1581=O275)*(CAT_Procesos!$F$2:$F$1581=_xlfn.TEXTJOIN(" + ",TRUE,IF((TRIM(P275:S275)="")+(LOWER(TRIM(P275:S275))="(seleccione)"),"",PROPER(TRIM(P275:S275)))))*(CAT_Procesos!$D$2:$D$1581=IFERROR(VLOOKUP(N275&amp;"*",CAT_Procesos!$D:$D,1,FALSE),"")))*(CAT_Procesos!$G$2:$G$1581=INDEX(CAT_Procesos!$G$2:$G$1581,MATCH(1,(CAT_Procesos!$E$2:$E$1581=O275)*(CAT_Procesos!$F$2:$F$1581=_xlfn.TEXTJOIN(" + ",TRUE,IF((TRIM(P275:S275)="")+(LOWER(TRIM(P275:S275))="(seleccione)"),"",PROPER(TRIM(P275:S275)))))*(CAT_Procesos!$D$2:$D$1581=IFERROR(VLOOKUP(N275&amp;"*",CAT_Procesos!$D:$D,1,FALSE),"")),0))))=SUMPRODUCT(--((CAT_Procesos!$E$2:$E$1581=O275)*(CAT_Procesos!$F$2:$F$1581=_xlfn.TEXTJOIN(" + ",TRUE,IF((TRIM(P275:S275)="")+(LOWER(TRIM(P275:S275))="(seleccione)"),"",PROPER(TRIM(P275:S275)))))*(CAT_Procesos!$D$2:$D$1581=IFERROR(VLOOKUP(N275&amp;"*",CAT_Procesos!$D:$D,1,FALSE),"")))),INDEX(CAT_Procesos!$G$2:$G$1581,MATCH(1,(CAT_Procesos!$E$2:$E$1581=O275)*(CAT_Procesos!$F$2:$F$1581=_xlfn.TEXTJOIN(" + ",TRUE,IF((TRIM(P275:S275)="")+(LOWER(TRIM(P275:S275))="(seleccione)"),"",PROPER(TRIM(P275:S275)))))*(CAT_Procesos!$D$2:$D$1581=IFERROR(VLOOKUP(N275&amp;"*",CAT_Procesos!$D:$D,1,FALSE),"")),0)),"(seleccione)"))</f>
        <v>Combinación no existente</v>
      </c>
      <c r="V275" s="55" t="s">
        <v>73</v>
      </c>
      <c r="W275" s="56" t="s">
        <v>73</v>
      </c>
      <c r="X275" s="57" t="str">
        <f t="shared" si="16"/>
        <v/>
      </c>
      <c r="Y275" s="58" t="s">
        <v>73</v>
      </c>
      <c r="Z275" s="57" t="str">
        <f t="shared" si="17"/>
        <v/>
      </c>
      <c r="AA275" s="58" t="s">
        <v>73</v>
      </c>
      <c r="AB275" s="57" t="str">
        <f t="shared" si="18"/>
        <v/>
      </c>
      <c r="AC275" s="58" t="s">
        <v>73</v>
      </c>
      <c r="AD275" s="57" t="str">
        <f t="shared" si="19"/>
        <v/>
      </c>
      <c r="AE275" s="59"/>
      <c r="AF275" s="59"/>
      <c r="AG275" s="59"/>
      <c r="AH275" s="59"/>
      <c r="AI275" s="59" t="s">
        <v>73</v>
      </c>
      <c r="AJ275" s="59"/>
      <c r="AK275" s="59" t="s">
        <v>73</v>
      </c>
      <c r="AL275" s="59"/>
      <c r="AM275" s="59" t="s">
        <v>73</v>
      </c>
      <c r="AN275" s="59"/>
      <c r="AO275" s="59" t="s">
        <v>73</v>
      </c>
      <c r="AP275" s="59"/>
      <c r="AQ275" s="59" t="s">
        <v>73</v>
      </c>
      <c r="AR275" s="59"/>
      <c r="AS275" s="59" t="s">
        <v>72</v>
      </c>
      <c r="AT275" s="59"/>
      <c r="AU275" s="59"/>
      <c r="AV275" s="59"/>
      <c r="AW275" s="59"/>
      <c r="AX275" s="59"/>
      <c r="AY275" s="60" t="str">
        <f>IF('Cálculo MP'!K285="","",'Cálculo MP'!K285)</f>
        <v/>
      </c>
      <c r="AZ275" s="60" t="str">
        <f>IF('Cálculo MP'!L285="","",'Cálculo MP'!L285)</f>
        <v/>
      </c>
      <c r="BA275" s="60" t="str">
        <f>IF('Cálculo MP'!M285="","",'Cálculo MP'!M285)</f>
        <v/>
      </c>
      <c r="BB275" s="60" t="str">
        <f>IF('Cálculo MP'!N285="","",'Cálculo MP'!N285)</f>
        <v/>
      </c>
      <c r="BC275" s="60" t="str">
        <f>IF('Cálculo MP'!O285="","",'Cálculo MP'!O285)</f>
        <v/>
      </c>
      <c r="BD275" s="60" t="str">
        <f>IF('Cálculo MP'!P285="","",'Cálculo MP'!P285)</f>
        <v/>
      </c>
      <c r="BE275" s="60" t="str">
        <f>IF('Cálculo MP'!Q285="","",'Cálculo MP'!Q285)</f>
        <v/>
      </c>
      <c r="BF275" s="60" t="str">
        <f>IF('Cálculo MP'!R285="","",'Cálculo MP'!R285)</f>
        <v/>
      </c>
      <c r="BG275" s="60" t="str">
        <f>IF('Cálculo MP'!S285="","",'Cálculo MP'!S285)</f>
        <v/>
      </c>
      <c r="BH275" s="59"/>
      <c r="BI275" s="59"/>
      <c r="BJ275" s="59"/>
      <c r="BK275" s="59"/>
      <c r="BL275" s="59"/>
      <c r="BM275" s="59"/>
      <c r="BN275" s="59"/>
      <c r="BO275" s="59"/>
    </row>
    <row r="276" spans="1:67" ht="19.5" customHeight="1" x14ac:dyDescent="0.15">
      <c r="A276" s="123" t="s">
        <v>1856</v>
      </c>
      <c r="B276" s="122" t="s">
        <v>1854</v>
      </c>
      <c r="C276" s="49"/>
      <c r="D276" s="48" t="s">
        <v>73</v>
      </c>
      <c r="E276" s="49"/>
      <c r="F276" s="50"/>
      <c r="G276" s="62"/>
      <c r="H276" s="48" t="s">
        <v>72</v>
      </c>
      <c r="I276" s="52">
        <v>1</v>
      </c>
      <c r="J276" s="52"/>
      <c r="K276" s="52" t="s">
        <v>73</v>
      </c>
      <c r="L276" s="52" t="s">
        <v>74</v>
      </c>
      <c r="M276" s="53" t="s">
        <v>942</v>
      </c>
      <c r="N276" s="58" t="s">
        <v>73</v>
      </c>
      <c r="O276" s="48" t="s">
        <v>72</v>
      </c>
      <c r="P276" s="48" t="s">
        <v>73</v>
      </c>
      <c r="Q276" s="54" t="s">
        <v>73</v>
      </c>
      <c r="R276" s="55" t="s">
        <v>73</v>
      </c>
      <c r="S276" s="48" t="s">
        <v>73</v>
      </c>
      <c r="T276" s="130"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8" t="str" cm="1">
        <f t="array" ref="U276">IF(SUMPRODUCT(--((CAT_Procesos!$E$2:$E$1581=O276)*(CAT_Procesos!$F$2:$F$1581=_xlfn.TEXTJOIN(" + ",TRUE,IF((TRIM(P276:S276)="")+(LOWER(TRIM(P276:S276))="(seleccione)"),"",PROPER(TRIM(P276:S276)))))*(CAT_Procesos!$D$2:$D$1581=IFERROR(VLOOKUP(N276&amp;"*",CAT_Procesos!$D:$D,1,FALSE),""))))=0,"Combinación no existente",IF(SUMPRODUCT(((CAT_Procesos!$E$2:$E$1581=O276)*(CAT_Procesos!$F$2:$F$1581=_xlfn.TEXTJOIN(" + ",TRUE,IF((TRIM(P276:S276)="")+(LOWER(TRIM(P276:S276))="(seleccione)"),"",PROPER(TRIM(P276:S276)))))*(CAT_Procesos!$D$2:$D$1581=IFERROR(VLOOKUP(N276&amp;"*",CAT_Procesos!$D:$D,1,FALSE),"")))*(CAT_Procesos!$G$2:$G$1581=INDEX(CAT_Procesos!$G$2:$G$1581,MATCH(1,(CAT_Procesos!$E$2:$E$1581=O276)*(CAT_Procesos!$F$2:$F$1581=_xlfn.TEXTJOIN(" + ",TRUE,IF((TRIM(P276:S276)="")+(LOWER(TRIM(P276:S276))="(seleccione)"),"",PROPER(TRIM(P276:S276)))))*(CAT_Procesos!$D$2:$D$1581=IFERROR(VLOOKUP(N276&amp;"*",CAT_Procesos!$D:$D,1,FALSE),"")),0))))=SUMPRODUCT(--((CAT_Procesos!$E$2:$E$1581=O276)*(CAT_Procesos!$F$2:$F$1581=_xlfn.TEXTJOIN(" + ",TRUE,IF((TRIM(P276:S276)="")+(LOWER(TRIM(P276:S276))="(seleccione)"),"",PROPER(TRIM(P276:S276)))))*(CAT_Procesos!$D$2:$D$1581=IFERROR(VLOOKUP(N276&amp;"*",CAT_Procesos!$D:$D,1,FALSE),"")))),INDEX(CAT_Procesos!$G$2:$G$1581,MATCH(1,(CAT_Procesos!$E$2:$E$1581=O276)*(CAT_Procesos!$F$2:$F$1581=_xlfn.TEXTJOIN(" + ",TRUE,IF((TRIM(P276:S276)="")+(LOWER(TRIM(P276:S276))="(seleccione)"),"",PROPER(TRIM(P276:S276)))))*(CAT_Procesos!$D$2:$D$1581=IFERROR(VLOOKUP(N276&amp;"*",CAT_Procesos!$D:$D,1,FALSE),"")),0)),"(seleccione)"))</f>
        <v>Combinación no existente</v>
      </c>
      <c r="V276" s="55" t="s">
        <v>73</v>
      </c>
      <c r="W276" s="56" t="s">
        <v>73</v>
      </c>
      <c r="X276" s="57" t="str">
        <f t="shared" si="16"/>
        <v/>
      </c>
      <c r="Y276" s="58" t="s">
        <v>73</v>
      </c>
      <c r="Z276" s="57" t="str">
        <f t="shared" si="17"/>
        <v/>
      </c>
      <c r="AA276" s="58" t="s">
        <v>73</v>
      </c>
      <c r="AB276" s="57" t="str">
        <f t="shared" si="18"/>
        <v/>
      </c>
      <c r="AC276" s="58" t="s">
        <v>73</v>
      </c>
      <c r="AD276" s="57" t="str">
        <f t="shared" si="19"/>
        <v/>
      </c>
      <c r="AE276" s="59"/>
      <c r="AF276" s="59"/>
      <c r="AG276" s="59"/>
      <c r="AH276" s="59"/>
      <c r="AI276" s="59" t="s">
        <v>73</v>
      </c>
      <c r="AJ276" s="59"/>
      <c r="AK276" s="59" t="s">
        <v>73</v>
      </c>
      <c r="AL276" s="59"/>
      <c r="AM276" s="59" t="s">
        <v>73</v>
      </c>
      <c r="AN276" s="59"/>
      <c r="AO276" s="59" t="s">
        <v>73</v>
      </c>
      <c r="AP276" s="59"/>
      <c r="AQ276" s="59" t="s">
        <v>73</v>
      </c>
      <c r="AR276" s="59"/>
      <c r="AS276" s="59" t="s">
        <v>72</v>
      </c>
      <c r="AT276" s="59"/>
      <c r="AU276" s="59"/>
      <c r="AV276" s="59"/>
      <c r="AW276" s="59"/>
      <c r="AX276" s="59"/>
      <c r="AY276" s="60" t="str">
        <f>IF('Cálculo MP'!K286="","",'Cálculo MP'!K286)</f>
        <v/>
      </c>
      <c r="AZ276" s="60" t="str">
        <f>IF('Cálculo MP'!L286="","",'Cálculo MP'!L286)</f>
        <v/>
      </c>
      <c r="BA276" s="60" t="str">
        <f>IF('Cálculo MP'!M286="","",'Cálculo MP'!M286)</f>
        <v/>
      </c>
      <c r="BB276" s="60" t="str">
        <f>IF('Cálculo MP'!N286="","",'Cálculo MP'!N286)</f>
        <v/>
      </c>
      <c r="BC276" s="60" t="str">
        <f>IF('Cálculo MP'!O286="","",'Cálculo MP'!O286)</f>
        <v/>
      </c>
      <c r="BD276" s="60" t="str">
        <f>IF('Cálculo MP'!P286="","",'Cálculo MP'!P286)</f>
        <v/>
      </c>
      <c r="BE276" s="60" t="str">
        <f>IF('Cálculo MP'!Q286="","",'Cálculo MP'!Q286)</f>
        <v/>
      </c>
      <c r="BF276" s="60" t="str">
        <f>IF('Cálculo MP'!R286="","",'Cálculo MP'!R286)</f>
        <v/>
      </c>
      <c r="BG276" s="60" t="str">
        <f>IF('Cálculo MP'!S286="","",'Cálculo MP'!S286)</f>
        <v/>
      </c>
      <c r="BH276" s="59"/>
      <c r="BI276" s="59"/>
      <c r="BJ276" s="59"/>
      <c r="BK276" s="59"/>
      <c r="BL276" s="59"/>
      <c r="BM276" s="59"/>
      <c r="BN276" s="59"/>
      <c r="BO276" s="59"/>
    </row>
    <row r="277" spans="1:67" ht="19.5" customHeight="1" x14ac:dyDescent="0.15">
      <c r="A277" s="123" t="s">
        <v>1856</v>
      </c>
      <c r="B277" s="122" t="s">
        <v>1854</v>
      </c>
      <c r="C277" s="49"/>
      <c r="D277" s="48" t="s">
        <v>73</v>
      </c>
      <c r="E277" s="49"/>
      <c r="F277" s="50"/>
      <c r="G277" s="62"/>
      <c r="H277" s="48" t="s">
        <v>72</v>
      </c>
      <c r="I277" s="52">
        <v>1</v>
      </c>
      <c r="J277" s="52"/>
      <c r="K277" s="52" t="s">
        <v>73</v>
      </c>
      <c r="L277" s="52" t="s">
        <v>74</v>
      </c>
      <c r="M277" s="53" t="s">
        <v>942</v>
      </c>
      <c r="N277" s="58" t="s">
        <v>73</v>
      </c>
      <c r="O277" s="48" t="s">
        <v>72</v>
      </c>
      <c r="P277" s="48" t="s">
        <v>73</v>
      </c>
      <c r="Q277" s="54" t="s">
        <v>73</v>
      </c>
      <c r="R277" s="55" t="s">
        <v>73</v>
      </c>
      <c r="S277" s="48" t="s">
        <v>73</v>
      </c>
      <c r="T277" s="130"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8" t="str" cm="1">
        <f t="array" ref="U277">IF(SUMPRODUCT(--((CAT_Procesos!$E$2:$E$1581=O277)*(CAT_Procesos!$F$2:$F$1581=_xlfn.TEXTJOIN(" + ",TRUE,IF((TRIM(P277:S277)="")+(LOWER(TRIM(P277:S277))="(seleccione)"),"",PROPER(TRIM(P277:S277)))))*(CAT_Procesos!$D$2:$D$1581=IFERROR(VLOOKUP(N277&amp;"*",CAT_Procesos!$D:$D,1,FALSE),""))))=0,"Combinación no existente",IF(SUMPRODUCT(((CAT_Procesos!$E$2:$E$1581=O277)*(CAT_Procesos!$F$2:$F$1581=_xlfn.TEXTJOIN(" + ",TRUE,IF((TRIM(P277:S277)="")+(LOWER(TRIM(P277:S277))="(seleccione)"),"",PROPER(TRIM(P277:S277)))))*(CAT_Procesos!$D$2:$D$1581=IFERROR(VLOOKUP(N277&amp;"*",CAT_Procesos!$D:$D,1,FALSE),"")))*(CAT_Procesos!$G$2:$G$1581=INDEX(CAT_Procesos!$G$2:$G$1581,MATCH(1,(CAT_Procesos!$E$2:$E$1581=O277)*(CAT_Procesos!$F$2:$F$1581=_xlfn.TEXTJOIN(" + ",TRUE,IF((TRIM(P277:S277)="")+(LOWER(TRIM(P277:S277))="(seleccione)"),"",PROPER(TRIM(P277:S277)))))*(CAT_Procesos!$D$2:$D$1581=IFERROR(VLOOKUP(N277&amp;"*",CAT_Procesos!$D:$D,1,FALSE),"")),0))))=SUMPRODUCT(--((CAT_Procesos!$E$2:$E$1581=O277)*(CAT_Procesos!$F$2:$F$1581=_xlfn.TEXTJOIN(" + ",TRUE,IF((TRIM(P277:S277)="")+(LOWER(TRIM(P277:S277))="(seleccione)"),"",PROPER(TRIM(P277:S277)))))*(CAT_Procesos!$D$2:$D$1581=IFERROR(VLOOKUP(N277&amp;"*",CAT_Procesos!$D:$D,1,FALSE),"")))),INDEX(CAT_Procesos!$G$2:$G$1581,MATCH(1,(CAT_Procesos!$E$2:$E$1581=O277)*(CAT_Procesos!$F$2:$F$1581=_xlfn.TEXTJOIN(" + ",TRUE,IF((TRIM(P277:S277)="")+(LOWER(TRIM(P277:S277))="(seleccione)"),"",PROPER(TRIM(P277:S277)))))*(CAT_Procesos!$D$2:$D$1581=IFERROR(VLOOKUP(N277&amp;"*",CAT_Procesos!$D:$D,1,FALSE),"")),0)),"(seleccione)"))</f>
        <v>Combinación no existente</v>
      </c>
      <c r="V277" s="55" t="s">
        <v>73</v>
      </c>
      <c r="W277" s="56" t="s">
        <v>73</v>
      </c>
      <c r="X277" s="57" t="str">
        <f t="shared" si="16"/>
        <v/>
      </c>
      <c r="Y277" s="58" t="s">
        <v>73</v>
      </c>
      <c r="Z277" s="57" t="str">
        <f t="shared" si="17"/>
        <v/>
      </c>
      <c r="AA277" s="58" t="s">
        <v>73</v>
      </c>
      <c r="AB277" s="57" t="str">
        <f t="shared" si="18"/>
        <v/>
      </c>
      <c r="AC277" s="58" t="s">
        <v>73</v>
      </c>
      <c r="AD277" s="57" t="str">
        <f t="shared" si="19"/>
        <v/>
      </c>
      <c r="AE277" s="59"/>
      <c r="AF277" s="59"/>
      <c r="AG277" s="59"/>
      <c r="AH277" s="59"/>
      <c r="AI277" s="59" t="s">
        <v>73</v>
      </c>
      <c r="AJ277" s="59"/>
      <c r="AK277" s="59" t="s">
        <v>73</v>
      </c>
      <c r="AL277" s="59"/>
      <c r="AM277" s="59" t="s">
        <v>73</v>
      </c>
      <c r="AN277" s="59"/>
      <c r="AO277" s="59" t="s">
        <v>73</v>
      </c>
      <c r="AP277" s="59"/>
      <c r="AQ277" s="59" t="s">
        <v>73</v>
      </c>
      <c r="AR277" s="59"/>
      <c r="AS277" s="59" t="s">
        <v>72</v>
      </c>
      <c r="AT277" s="59"/>
      <c r="AU277" s="59"/>
      <c r="AV277" s="59"/>
      <c r="AW277" s="59"/>
      <c r="AX277" s="59"/>
      <c r="AY277" s="60" t="str">
        <f>IF('Cálculo MP'!K287="","",'Cálculo MP'!K287)</f>
        <v/>
      </c>
      <c r="AZ277" s="60" t="str">
        <f>IF('Cálculo MP'!L287="","",'Cálculo MP'!L287)</f>
        <v/>
      </c>
      <c r="BA277" s="60" t="str">
        <f>IF('Cálculo MP'!M287="","",'Cálculo MP'!M287)</f>
        <v/>
      </c>
      <c r="BB277" s="60" t="str">
        <f>IF('Cálculo MP'!N287="","",'Cálculo MP'!N287)</f>
        <v/>
      </c>
      <c r="BC277" s="60" t="str">
        <f>IF('Cálculo MP'!O287="","",'Cálculo MP'!O287)</f>
        <v/>
      </c>
      <c r="BD277" s="60" t="str">
        <f>IF('Cálculo MP'!P287="","",'Cálculo MP'!P287)</f>
        <v/>
      </c>
      <c r="BE277" s="60" t="str">
        <f>IF('Cálculo MP'!Q287="","",'Cálculo MP'!Q287)</f>
        <v/>
      </c>
      <c r="BF277" s="60" t="str">
        <f>IF('Cálculo MP'!R287="","",'Cálculo MP'!R287)</f>
        <v/>
      </c>
      <c r="BG277" s="60" t="str">
        <f>IF('Cálculo MP'!S287="","",'Cálculo MP'!S287)</f>
        <v/>
      </c>
      <c r="BH277" s="59"/>
      <c r="BI277" s="59"/>
      <c r="BJ277" s="59"/>
      <c r="BK277" s="59"/>
      <c r="BL277" s="59"/>
      <c r="BM277" s="59"/>
      <c r="BN277" s="59"/>
      <c r="BO277" s="59"/>
    </row>
    <row r="278" spans="1:67" ht="19.5" customHeight="1" x14ac:dyDescent="0.15">
      <c r="A278" s="123" t="s">
        <v>1856</v>
      </c>
      <c r="B278" s="122" t="s">
        <v>1854</v>
      </c>
      <c r="C278" s="49"/>
      <c r="D278" s="48" t="s">
        <v>73</v>
      </c>
      <c r="E278" s="49"/>
      <c r="F278" s="50"/>
      <c r="G278" s="62"/>
      <c r="H278" s="48" t="s">
        <v>72</v>
      </c>
      <c r="I278" s="52">
        <v>1</v>
      </c>
      <c r="J278" s="52"/>
      <c r="K278" s="52" t="s">
        <v>73</v>
      </c>
      <c r="L278" s="52" t="s">
        <v>74</v>
      </c>
      <c r="M278" s="53" t="s">
        <v>942</v>
      </c>
      <c r="N278" s="58" t="s">
        <v>73</v>
      </c>
      <c r="O278" s="48" t="s">
        <v>72</v>
      </c>
      <c r="P278" s="48" t="s">
        <v>73</v>
      </c>
      <c r="Q278" s="54" t="s">
        <v>73</v>
      </c>
      <c r="R278" s="55" t="s">
        <v>73</v>
      </c>
      <c r="S278" s="48" t="s">
        <v>73</v>
      </c>
      <c r="T278" s="130"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8" t="str" cm="1">
        <f t="array" ref="U278">IF(SUMPRODUCT(--((CAT_Procesos!$E$2:$E$1581=O278)*(CAT_Procesos!$F$2:$F$1581=_xlfn.TEXTJOIN(" + ",TRUE,IF((TRIM(P278:S278)="")+(LOWER(TRIM(P278:S278))="(seleccione)"),"",PROPER(TRIM(P278:S278)))))*(CAT_Procesos!$D$2:$D$1581=IFERROR(VLOOKUP(N278&amp;"*",CAT_Procesos!$D:$D,1,FALSE),""))))=0,"Combinación no existente",IF(SUMPRODUCT(((CAT_Procesos!$E$2:$E$1581=O278)*(CAT_Procesos!$F$2:$F$1581=_xlfn.TEXTJOIN(" + ",TRUE,IF((TRIM(P278:S278)="")+(LOWER(TRIM(P278:S278))="(seleccione)"),"",PROPER(TRIM(P278:S278)))))*(CAT_Procesos!$D$2:$D$1581=IFERROR(VLOOKUP(N278&amp;"*",CAT_Procesos!$D:$D,1,FALSE),"")))*(CAT_Procesos!$G$2:$G$1581=INDEX(CAT_Procesos!$G$2:$G$1581,MATCH(1,(CAT_Procesos!$E$2:$E$1581=O278)*(CAT_Procesos!$F$2:$F$1581=_xlfn.TEXTJOIN(" + ",TRUE,IF((TRIM(P278:S278)="")+(LOWER(TRIM(P278:S278))="(seleccione)"),"",PROPER(TRIM(P278:S278)))))*(CAT_Procesos!$D$2:$D$1581=IFERROR(VLOOKUP(N278&amp;"*",CAT_Procesos!$D:$D,1,FALSE),"")),0))))=SUMPRODUCT(--((CAT_Procesos!$E$2:$E$1581=O278)*(CAT_Procesos!$F$2:$F$1581=_xlfn.TEXTJOIN(" + ",TRUE,IF((TRIM(P278:S278)="")+(LOWER(TRIM(P278:S278))="(seleccione)"),"",PROPER(TRIM(P278:S278)))))*(CAT_Procesos!$D$2:$D$1581=IFERROR(VLOOKUP(N278&amp;"*",CAT_Procesos!$D:$D,1,FALSE),"")))),INDEX(CAT_Procesos!$G$2:$G$1581,MATCH(1,(CAT_Procesos!$E$2:$E$1581=O278)*(CAT_Procesos!$F$2:$F$1581=_xlfn.TEXTJOIN(" + ",TRUE,IF((TRIM(P278:S278)="")+(LOWER(TRIM(P278:S278))="(seleccione)"),"",PROPER(TRIM(P278:S278)))))*(CAT_Procesos!$D$2:$D$1581=IFERROR(VLOOKUP(N278&amp;"*",CAT_Procesos!$D:$D,1,FALSE),"")),0)),"(seleccione)"))</f>
        <v>Combinación no existente</v>
      </c>
      <c r="V278" s="55" t="s">
        <v>73</v>
      </c>
      <c r="W278" s="56" t="s">
        <v>73</v>
      </c>
      <c r="X278" s="57" t="str">
        <f t="shared" si="16"/>
        <v/>
      </c>
      <c r="Y278" s="58" t="s">
        <v>73</v>
      </c>
      <c r="Z278" s="57" t="str">
        <f t="shared" si="17"/>
        <v/>
      </c>
      <c r="AA278" s="58" t="s">
        <v>73</v>
      </c>
      <c r="AB278" s="57" t="str">
        <f t="shared" si="18"/>
        <v/>
      </c>
      <c r="AC278" s="58" t="s">
        <v>73</v>
      </c>
      <c r="AD278" s="57" t="str">
        <f t="shared" si="19"/>
        <v/>
      </c>
      <c r="AE278" s="59"/>
      <c r="AF278" s="59"/>
      <c r="AG278" s="59"/>
      <c r="AH278" s="59"/>
      <c r="AI278" s="59" t="s">
        <v>73</v>
      </c>
      <c r="AJ278" s="59"/>
      <c r="AK278" s="59" t="s">
        <v>73</v>
      </c>
      <c r="AL278" s="59"/>
      <c r="AM278" s="59" t="s">
        <v>73</v>
      </c>
      <c r="AN278" s="59"/>
      <c r="AO278" s="59" t="s">
        <v>73</v>
      </c>
      <c r="AP278" s="59"/>
      <c r="AQ278" s="59" t="s">
        <v>73</v>
      </c>
      <c r="AR278" s="59"/>
      <c r="AS278" s="59" t="s">
        <v>72</v>
      </c>
      <c r="AT278" s="59"/>
      <c r="AU278" s="59"/>
      <c r="AV278" s="59"/>
      <c r="AW278" s="59"/>
      <c r="AX278" s="59"/>
      <c r="AY278" s="60" t="str">
        <f>IF('Cálculo MP'!K288="","",'Cálculo MP'!K288)</f>
        <v/>
      </c>
      <c r="AZ278" s="60" t="str">
        <f>IF('Cálculo MP'!L288="","",'Cálculo MP'!L288)</f>
        <v/>
      </c>
      <c r="BA278" s="60" t="str">
        <f>IF('Cálculo MP'!M288="","",'Cálculo MP'!M288)</f>
        <v/>
      </c>
      <c r="BB278" s="60" t="str">
        <f>IF('Cálculo MP'!N288="","",'Cálculo MP'!N288)</f>
        <v/>
      </c>
      <c r="BC278" s="60" t="str">
        <f>IF('Cálculo MP'!O288="","",'Cálculo MP'!O288)</f>
        <v/>
      </c>
      <c r="BD278" s="60" t="str">
        <f>IF('Cálculo MP'!P288="","",'Cálculo MP'!P288)</f>
        <v/>
      </c>
      <c r="BE278" s="60" t="str">
        <f>IF('Cálculo MP'!Q288="","",'Cálculo MP'!Q288)</f>
        <v/>
      </c>
      <c r="BF278" s="60" t="str">
        <f>IF('Cálculo MP'!R288="","",'Cálculo MP'!R288)</f>
        <v/>
      </c>
      <c r="BG278" s="60" t="str">
        <f>IF('Cálculo MP'!S288="","",'Cálculo MP'!S288)</f>
        <v/>
      </c>
      <c r="BH278" s="59"/>
      <c r="BI278" s="59"/>
      <c r="BJ278" s="59"/>
      <c r="BK278" s="59"/>
      <c r="BL278" s="59"/>
      <c r="BM278" s="59"/>
      <c r="BN278" s="59"/>
      <c r="BO278" s="59"/>
    </row>
    <row r="279" spans="1:67" ht="19.5" customHeight="1" x14ac:dyDescent="0.15">
      <c r="A279" s="123" t="s">
        <v>1856</v>
      </c>
      <c r="B279" s="122" t="s">
        <v>1854</v>
      </c>
      <c r="C279" s="49"/>
      <c r="D279" s="48" t="s">
        <v>73</v>
      </c>
      <c r="E279" s="49"/>
      <c r="F279" s="50"/>
      <c r="G279" s="62"/>
      <c r="H279" s="48" t="s">
        <v>72</v>
      </c>
      <c r="I279" s="52">
        <v>1</v>
      </c>
      <c r="J279" s="52"/>
      <c r="K279" s="52" t="s">
        <v>73</v>
      </c>
      <c r="L279" s="52" t="s">
        <v>74</v>
      </c>
      <c r="M279" s="53" t="s">
        <v>942</v>
      </c>
      <c r="N279" s="58" t="s">
        <v>73</v>
      </c>
      <c r="O279" s="48" t="s">
        <v>72</v>
      </c>
      <c r="P279" s="48" t="s">
        <v>73</v>
      </c>
      <c r="Q279" s="54" t="s">
        <v>73</v>
      </c>
      <c r="R279" s="55" t="s">
        <v>73</v>
      </c>
      <c r="S279" s="48" t="s">
        <v>73</v>
      </c>
      <c r="T279" s="130"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8" t="str" cm="1">
        <f t="array" ref="U279">IF(SUMPRODUCT(--((CAT_Procesos!$E$2:$E$1581=O279)*(CAT_Procesos!$F$2:$F$1581=_xlfn.TEXTJOIN(" + ",TRUE,IF((TRIM(P279:S279)="")+(LOWER(TRIM(P279:S279))="(seleccione)"),"",PROPER(TRIM(P279:S279)))))*(CAT_Procesos!$D$2:$D$1581=IFERROR(VLOOKUP(N279&amp;"*",CAT_Procesos!$D:$D,1,FALSE),""))))=0,"Combinación no existente",IF(SUMPRODUCT(((CAT_Procesos!$E$2:$E$1581=O279)*(CAT_Procesos!$F$2:$F$1581=_xlfn.TEXTJOIN(" + ",TRUE,IF((TRIM(P279:S279)="")+(LOWER(TRIM(P279:S279))="(seleccione)"),"",PROPER(TRIM(P279:S279)))))*(CAT_Procesos!$D$2:$D$1581=IFERROR(VLOOKUP(N279&amp;"*",CAT_Procesos!$D:$D,1,FALSE),"")))*(CAT_Procesos!$G$2:$G$1581=INDEX(CAT_Procesos!$G$2:$G$1581,MATCH(1,(CAT_Procesos!$E$2:$E$1581=O279)*(CAT_Procesos!$F$2:$F$1581=_xlfn.TEXTJOIN(" + ",TRUE,IF((TRIM(P279:S279)="")+(LOWER(TRIM(P279:S279))="(seleccione)"),"",PROPER(TRIM(P279:S279)))))*(CAT_Procesos!$D$2:$D$1581=IFERROR(VLOOKUP(N279&amp;"*",CAT_Procesos!$D:$D,1,FALSE),"")),0))))=SUMPRODUCT(--((CAT_Procesos!$E$2:$E$1581=O279)*(CAT_Procesos!$F$2:$F$1581=_xlfn.TEXTJOIN(" + ",TRUE,IF((TRIM(P279:S279)="")+(LOWER(TRIM(P279:S279))="(seleccione)"),"",PROPER(TRIM(P279:S279)))))*(CAT_Procesos!$D$2:$D$1581=IFERROR(VLOOKUP(N279&amp;"*",CAT_Procesos!$D:$D,1,FALSE),"")))),INDEX(CAT_Procesos!$G$2:$G$1581,MATCH(1,(CAT_Procesos!$E$2:$E$1581=O279)*(CAT_Procesos!$F$2:$F$1581=_xlfn.TEXTJOIN(" + ",TRUE,IF((TRIM(P279:S279)="")+(LOWER(TRIM(P279:S279))="(seleccione)"),"",PROPER(TRIM(P279:S279)))))*(CAT_Procesos!$D$2:$D$1581=IFERROR(VLOOKUP(N279&amp;"*",CAT_Procesos!$D:$D,1,FALSE),"")),0)),"(seleccione)"))</f>
        <v>Combinación no existente</v>
      </c>
      <c r="V279" s="55" t="s">
        <v>73</v>
      </c>
      <c r="W279" s="56" t="s">
        <v>73</v>
      </c>
      <c r="X279" s="57" t="str">
        <f t="shared" si="16"/>
        <v/>
      </c>
      <c r="Y279" s="58" t="s">
        <v>73</v>
      </c>
      <c r="Z279" s="57" t="str">
        <f t="shared" si="17"/>
        <v/>
      </c>
      <c r="AA279" s="58" t="s">
        <v>73</v>
      </c>
      <c r="AB279" s="57" t="str">
        <f t="shared" si="18"/>
        <v/>
      </c>
      <c r="AC279" s="58" t="s">
        <v>73</v>
      </c>
      <c r="AD279" s="57" t="str">
        <f t="shared" si="19"/>
        <v/>
      </c>
      <c r="AE279" s="59"/>
      <c r="AF279" s="59"/>
      <c r="AG279" s="59"/>
      <c r="AH279" s="59"/>
      <c r="AI279" s="59" t="s">
        <v>73</v>
      </c>
      <c r="AJ279" s="59"/>
      <c r="AK279" s="59" t="s">
        <v>73</v>
      </c>
      <c r="AL279" s="59"/>
      <c r="AM279" s="59" t="s">
        <v>73</v>
      </c>
      <c r="AN279" s="59"/>
      <c r="AO279" s="59" t="s">
        <v>73</v>
      </c>
      <c r="AP279" s="59"/>
      <c r="AQ279" s="59" t="s">
        <v>73</v>
      </c>
      <c r="AR279" s="59"/>
      <c r="AS279" s="59" t="s">
        <v>72</v>
      </c>
      <c r="AT279" s="59"/>
      <c r="AU279" s="59"/>
      <c r="AV279" s="59"/>
      <c r="AW279" s="59"/>
      <c r="AX279" s="59"/>
      <c r="AY279" s="60" t="str">
        <f>IF('Cálculo MP'!K289="","",'Cálculo MP'!K289)</f>
        <v/>
      </c>
      <c r="AZ279" s="60" t="str">
        <f>IF('Cálculo MP'!L289="","",'Cálculo MP'!L289)</f>
        <v/>
      </c>
      <c r="BA279" s="60" t="str">
        <f>IF('Cálculo MP'!M289="","",'Cálculo MP'!M289)</f>
        <v/>
      </c>
      <c r="BB279" s="60" t="str">
        <f>IF('Cálculo MP'!N289="","",'Cálculo MP'!N289)</f>
        <v/>
      </c>
      <c r="BC279" s="60" t="str">
        <f>IF('Cálculo MP'!O289="","",'Cálculo MP'!O289)</f>
        <v/>
      </c>
      <c r="BD279" s="60" t="str">
        <f>IF('Cálculo MP'!P289="","",'Cálculo MP'!P289)</f>
        <v/>
      </c>
      <c r="BE279" s="60" t="str">
        <f>IF('Cálculo MP'!Q289="","",'Cálculo MP'!Q289)</f>
        <v/>
      </c>
      <c r="BF279" s="60" t="str">
        <f>IF('Cálculo MP'!R289="","",'Cálculo MP'!R289)</f>
        <v/>
      </c>
      <c r="BG279" s="60" t="str">
        <f>IF('Cálculo MP'!S289="","",'Cálculo MP'!S289)</f>
        <v/>
      </c>
      <c r="BH279" s="59"/>
      <c r="BI279" s="59"/>
      <c r="BJ279" s="59"/>
      <c r="BK279" s="59"/>
      <c r="BL279" s="59"/>
      <c r="BM279" s="59"/>
      <c r="BN279" s="59"/>
      <c r="BO279" s="59"/>
    </row>
    <row r="280" spans="1:67" ht="19.5" customHeight="1" x14ac:dyDescent="0.15">
      <c r="A280" s="123" t="s">
        <v>1856</v>
      </c>
      <c r="B280" s="122" t="s">
        <v>1854</v>
      </c>
      <c r="C280" s="49"/>
      <c r="D280" s="48" t="s">
        <v>73</v>
      </c>
      <c r="E280" s="49"/>
      <c r="F280" s="50"/>
      <c r="G280" s="62"/>
      <c r="H280" s="48" t="s">
        <v>72</v>
      </c>
      <c r="I280" s="52">
        <v>1</v>
      </c>
      <c r="J280" s="52"/>
      <c r="K280" s="52" t="s">
        <v>73</v>
      </c>
      <c r="L280" s="52" t="s">
        <v>74</v>
      </c>
      <c r="M280" s="53" t="s">
        <v>942</v>
      </c>
      <c r="N280" s="58" t="s">
        <v>73</v>
      </c>
      <c r="O280" s="48" t="s">
        <v>72</v>
      </c>
      <c r="P280" s="48" t="s">
        <v>73</v>
      </c>
      <c r="Q280" s="54" t="s">
        <v>73</v>
      </c>
      <c r="R280" s="55" t="s">
        <v>73</v>
      </c>
      <c r="S280" s="48" t="s">
        <v>73</v>
      </c>
      <c r="T280" s="130"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8" t="str" cm="1">
        <f t="array" ref="U280">IF(SUMPRODUCT(--((CAT_Procesos!$E$2:$E$1581=O280)*(CAT_Procesos!$F$2:$F$1581=_xlfn.TEXTJOIN(" + ",TRUE,IF((TRIM(P280:S280)="")+(LOWER(TRIM(P280:S280))="(seleccione)"),"",PROPER(TRIM(P280:S280)))))*(CAT_Procesos!$D$2:$D$1581=IFERROR(VLOOKUP(N280&amp;"*",CAT_Procesos!$D:$D,1,FALSE),""))))=0,"Combinación no existente",IF(SUMPRODUCT(((CAT_Procesos!$E$2:$E$1581=O280)*(CAT_Procesos!$F$2:$F$1581=_xlfn.TEXTJOIN(" + ",TRUE,IF((TRIM(P280:S280)="")+(LOWER(TRIM(P280:S280))="(seleccione)"),"",PROPER(TRIM(P280:S280)))))*(CAT_Procesos!$D$2:$D$1581=IFERROR(VLOOKUP(N280&amp;"*",CAT_Procesos!$D:$D,1,FALSE),"")))*(CAT_Procesos!$G$2:$G$1581=INDEX(CAT_Procesos!$G$2:$G$1581,MATCH(1,(CAT_Procesos!$E$2:$E$1581=O280)*(CAT_Procesos!$F$2:$F$1581=_xlfn.TEXTJOIN(" + ",TRUE,IF((TRIM(P280:S280)="")+(LOWER(TRIM(P280:S280))="(seleccione)"),"",PROPER(TRIM(P280:S280)))))*(CAT_Procesos!$D$2:$D$1581=IFERROR(VLOOKUP(N280&amp;"*",CAT_Procesos!$D:$D,1,FALSE),"")),0))))=SUMPRODUCT(--((CAT_Procesos!$E$2:$E$1581=O280)*(CAT_Procesos!$F$2:$F$1581=_xlfn.TEXTJOIN(" + ",TRUE,IF((TRIM(P280:S280)="")+(LOWER(TRIM(P280:S280))="(seleccione)"),"",PROPER(TRIM(P280:S280)))))*(CAT_Procesos!$D$2:$D$1581=IFERROR(VLOOKUP(N280&amp;"*",CAT_Procesos!$D:$D,1,FALSE),"")))),INDEX(CAT_Procesos!$G$2:$G$1581,MATCH(1,(CAT_Procesos!$E$2:$E$1581=O280)*(CAT_Procesos!$F$2:$F$1581=_xlfn.TEXTJOIN(" + ",TRUE,IF((TRIM(P280:S280)="")+(LOWER(TRIM(P280:S280))="(seleccione)"),"",PROPER(TRIM(P280:S280)))))*(CAT_Procesos!$D$2:$D$1581=IFERROR(VLOOKUP(N280&amp;"*",CAT_Procesos!$D:$D,1,FALSE),"")),0)),"(seleccione)"))</f>
        <v>Combinación no existente</v>
      </c>
      <c r="V280" s="55" t="s">
        <v>73</v>
      </c>
      <c r="W280" s="56" t="s">
        <v>73</v>
      </c>
      <c r="X280" s="57" t="str">
        <f t="shared" si="16"/>
        <v/>
      </c>
      <c r="Y280" s="58" t="s">
        <v>73</v>
      </c>
      <c r="Z280" s="57" t="str">
        <f t="shared" si="17"/>
        <v/>
      </c>
      <c r="AA280" s="58" t="s">
        <v>73</v>
      </c>
      <c r="AB280" s="57" t="str">
        <f t="shared" si="18"/>
        <v/>
      </c>
      <c r="AC280" s="58" t="s">
        <v>73</v>
      </c>
      <c r="AD280" s="57" t="str">
        <f t="shared" si="19"/>
        <v/>
      </c>
      <c r="AE280" s="59"/>
      <c r="AF280" s="59"/>
      <c r="AG280" s="59"/>
      <c r="AH280" s="59"/>
      <c r="AI280" s="59" t="s">
        <v>73</v>
      </c>
      <c r="AJ280" s="59"/>
      <c r="AK280" s="59" t="s">
        <v>73</v>
      </c>
      <c r="AL280" s="59"/>
      <c r="AM280" s="59" t="s">
        <v>73</v>
      </c>
      <c r="AN280" s="59"/>
      <c r="AO280" s="59" t="s">
        <v>73</v>
      </c>
      <c r="AP280" s="59"/>
      <c r="AQ280" s="59" t="s">
        <v>73</v>
      </c>
      <c r="AR280" s="59"/>
      <c r="AS280" s="59" t="s">
        <v>72</v>
      </c>
      <c r="AT280" s="59"/>
      <c r="AU280" s="59"/>
      <c r="AV280" s="59"/>
      <c r="AW280" s="59"/>
      <c r="AX280" s="59"/>
      <c r="AY280" s="60" t="str">
        <f>IF('Cálculo MP'!K290="","",'Cálculo MP'!K290)</f>
        <v/>
      </c>
      <c r="AZ280" s="60" t="str">
        <f>IF('Cálculo MP'!L290="","",'Cálculo MP'!L290)</f>
        <v/>
      </c>
      <c r="BA280" s="60" t="str">
        <f>IF('Cálculo MP'!M290="","",'Cálculo MP'!M290)</f>
        <v/>
      </c>
      <c r="BB280" s="60" t="str">
        <f>IF('Cálculo MP'!N290="","",'Cálculo MP'!N290)</f>
        <v/>
      </c>
      <c r="BC280" s="60" t="str">
        <f>IF('Cálculo MP'!O290="","",'Cálculo MP'!O290)</f>
        <v/>
      </c>
      <c r="BD280" s="60" t="str">
        <f>IF('Cálculo MP'!P290="","",'Cálculo MP'!P290)</f>
        <v/>
      </c>
      <c r="BE280" s="60" t="str">
        <f>IF('Cálculo MP'!Q290="","",'Cálculo MP'!Q290)</f>
        <v/>
      </c>
      <c r="BF280" s="60" t="str">
        <f>IF('Cálculo MP'!R290="","",'Cálculo MP'!R290)</f>
        <v/>
      </c>
      <c r="BG280" s="60" t="str">
        <f>IF('Cálculo MP'!S290="","",'Cálculo MP'!S290)</f>
        <v/>
      </c>
      <c r="BH280" s="59"/>
      <c r="BI280" s="59"/>
      <c r="BJ280" s="59"/>
      <c r="BK280" s="59"/>
      <c r="BL280" s="59"/>
      <c r="BM280" s="59"/>
      <c r="BN280" s="59"/>
      <c r="BO280" s="59"/>
    </row>
    <row r="281" spans="1:67" ht="19.5" customHeight="1" x14ac:dyDescent="0.15">
      <c r="A281" s="123" t="s">
        <v>1856</v>
      </c>
      <c r="B281" s="122" t="s">
        <v>1854</v>
      </c>
      <c r="C281" s="49"/>
      <c r="D281" s="48" t="s">
        <v>73</v>
      </c>
      <c r="E281" s="49"/>
      <c r="F281" s="50"/>
      <c r="G281" s="62"/>
      <c r="H281" s="48" t="s">
        <v>72</v>
      </c>
      <c r="I281" s="52">
        <v>1</v>
      </c>
      <c r="J281" s="52"/>
      <c r="K281" s="52" t="s">
        <v>73</v>
      </c>
      <c r="L281" s="52" t="s">
        <v>74</v>
      </c>
      <c r="M281" s="53" t="s">
        <v>942</v>
      </c>
      <c r="N281" s="58" t="s">
        <v>73</v>
      </c>
      <c r="O281" s="48" t="s">
        <v>72</v>
      </c>
      <c r="P281" s="48" t="s">
        <v>73</v>
      </c>
      <c r="Q281" s="54" t="s">
        <v>73</v>
      </c>
      <c r="R281" s="55" t="s">
        <v>73</v>
      </c>
      <c r="S281" s="48" t="s">
        <v>73</v>
      </c>
      <c r="T281" s="130"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8" t="str" cm="1">
        <f t="array" ref="U281">IF(SUMPRODUCT(--((CAT_Procesos!$E$2:$E$1581=O281)*(CAT_Procesos!$F$2:$F$1581=_xlfn.TEXTJOIN(" + ",TRUE,IF((TRIM(P281:S281)="")+(LOWER(TRIM(P281:S281))="(seleccione)"),"",PROPER(TRIM(P281:S281)))))*(CAT_Procesos!$D$2:$D$1581=IFERROR(VLOOKUP(N281&amp;"*",CAT_Procesos!$D:$D,1,FALSE),""))))=0,"Combinación no existente",IF(SUMPRODUCT(((CAT_Procesos!$E$2:$E$1581=O281)*(CAT_Procesos!$F$2:$F$1581=_xlfn.TEXTJOIN(" + ",TRUE,IF((TRIM(P281:S281)="")+(LOWER(TRIM(P281:S281))="(seleccione)"),"",PROPER(TRIM(P281:S281)))))*(CAT_Procesos!$D$2:$D$1581=IFERROR(VLOOKUP(N281&amp;"*",CAT_Procesos!$D:$D,1,FALSE),"")))*(CAT_Procesos!$G$2:$G$1581=INDEX(CAT_Procesos!$G$2:$G$1581,MATCH(1,(CAT_Procesos!$E$2:$E$1581=O281)*(CAT_Procesos!$F$2:$F$1581=_xlfn.TEXTJOIN(" + ",TRUE,IF((TRIM(P281:S281)="")+(LOWER(TRIM(P281:S281))="(seleccione)"),"",PROPER(TRIM(P281:S281)))))*(CAT_Procesos!$D$2:$D$1581=IFERROR(VLOOKUP(N281&amp;"*",CAT_Procesos!$D:$D,1,FALSE),"")),0))))=SUMPRODUCT(--((CAT_Procesos!$E$2:$E$1581=O281)*(CAT_Procesos!$F$2:$F$1581=_xlfn.TEXTJOIN(" + ",TRUE,IF((TRIM(P281:S281)="")+(LOWER(TRIM(P281:S281))="(seleccione)"),"",PROPER(TRIM(P281:S281)))))*(CAT_Procesos!$D$2:$D$1581=IFERROR(VLOOKUP(N281&amp;"*",CAT_Procesos!$D:$D,1,FALSE),"")))),INDEX(CAT_Procesos!$G$2:$G$1581,MATCH(1,(CAT_Procesos!$E$2:$E$1581=O281)*(CAT_Procesos!$F$2:$F$1581=_xlfn.TEXTJOIN(" + ",TRUE,IF((TRIM(P281:S281)="")+(LOWER(TRIM(P281:S281))="(seleccione)"),"",PROPER(TRIM(P281:S281)))))*(CAT_Procesos!$D$2:$D$1581=IFERROR(VLOOKUP(N281&amp;"*",CAT_Procesos!$D:$D,1,FALSE),"")),0)),"(seleccione)"))</f>
        <v>Combinación no existente</v>
      </c>
      <c r="V281" s="55" t="s">
        <v>73</v>
      </c>
      <c r="W281" s="56" t="s">
        <v>73</v>
      </c>
      <c r="X281" s="57" t="str">
        <f t="shared" si="16"/>
        <v/>
      </c>
      <c r="Y281" s="58" t="s">
        <v>73</v>
      </c>
      <c r="Z281" s="57" t="str">
        <f t="shared" si="17"/>
        <v/>
      </c>
      <c r="AA281" s="58" t="s">
        <v>73</v>
      </c>
      <c r="AB281" s="57" t="str">
        <f t="shared" si="18"/>
        <v/>
      </c>
      <c r="AC281" s="58" t="s">
        <v>73</v>
      </c>
      <c r="AD281" s="57" t="str">
        <f t="shared" si="19"/>
        <v/>
      </c>
      <c r="AE281" s="59"/>
      <c r="AF281" s="59"/>
      <c r="AG281" s="59"/>
      <c r="AH281" s="59"/>
      <c r="AI281" s="59" t="s">
        <v>73</v>
      </c>
      <c r="AJ281" s="59"/>
      <c r="AK281" s="59" t="s">
        <v>73</v>
      </c>
      <c r="AL281" s="59"/>
      <c r="AM281" s="59" t="s">
        <v>73</v>
      </c>
      <c r="AN281" s="59"/>
      <c r="AO281" s="59" t="s">
        <v>73</v>
      </c>
      <c r="AP281" s="59"/>
      <c r="AQ281" s="59" t="s">
        <v>73</v>
      </c>
      <c r="AR281" s="59"/>
      <c r="AS281" s="59" t="s">
        <v>72</v>
      </c>
      <c r="AT281" s="59"/>
      <c r="AU281" s="59"/>
      <c r="AV281" s="59"/>
      <c r="AW281" s="59"/>
      <c r="AX281" s="59"/>
      <c r="AY281" s="60" t="str">
        <f>IF('Cálculo MP'!K291="","",'Cálculo MP'!K291)</f>
        <v/>
      </c>
      <c r="AZ281" s="60" t="str">
        <f>IF('Cálculo MP'!L291="","",'Cálculo MP'!L291)</f>
        <v/>
      </c>
      <c r="BA281" s="60" t="str">
        <f>IF('Cálculo MP'!M291="","",'Cálculo MP'!M291)</f>
        <v/>
      </c>
      <c r="BB281" s="60" t="str">
        <f>IF('Cálculo MP'!N291="","",'Cálculo MP'!N291)</f>
        <v/>
      </c>
      <c r="BC281" s="60" t="str">
        <f>IF('Cálculo MP'!O291="","",'Cálculo MP'!O291)</f>
        <v/>
      </c>
      <c r="BD281" s="60" t="str">
        <f>IF('Cálculo MP'!P291="","",'Cálculo MP'!P291)</f>
        <v/>
      </c>
      <c r="BE281" s="60" t="str">
        <f>IF('Cálculo MP'!Q291="","",'Cálculo MP'!Q291)</f>
        <v/>
      </c>
      <c r="BF281" s="60" t="str">
        <f>IF('Cálculo MP'!R291="","",'Cálculo MP'!R291)</f>
        <v/>
      </c>
      <c r="BG281" s="60" t="str">
        <f>IF('Cálculo MP'!S291="","",'Cálculo MP'!S291)</f>
        <v/>
      </c>
      <c r="BH281" s="59"/>
      <c r="BI281" s="59"/>
      <c r="BJ281" s="59"/>
      <c r="BK281" s="59"/>
      <c r="BL281" s="59"/>
      <c r="BM281" s="59"/>
      <c r="BN281" s="59"/>
      <c r="BO281" s="59"/>
    </row>
    <row r="282" spans="1:67" ht="19.5" customHeight="1" x14ac:dyDescent="0.15">
      <c r="A282" s="123" t="s">
        <v>1856</v>
      </c>
      <c r="B282" s="122" t="s">
        <v>1854</v>
      </c>
      <c r="C282" s="49"/>
      <c r="D282" s="48" t="s">
        <v>73</v>
      </c>
      <c r="E282" s="49"/>
      <c r="F282" s="50"/>
      <c r="G282" s="62"/>
      <c r="H282" s="48" t="s">
        <v>72</v>
      </c>
      <c r="I282" s="52">
        <v>1</v>
      </c>
      <c r="J282" s="52"/>
      <c r="K282" s="52" t="s">
        <v>73</v>
      </c>
      <c r="L282" s="52" t="s">
        <v>74</v>
      </c>
      <c r="M282" s="53" t="s">
        <v>942</v>
      </c>
      <c r="N282" s="58" t="s">
        <v>73</v>
      </c>
      <c r="O282" s="48" t="s">
        <v>72</v>
      </c>
      <c r="P282" s="48" t="s">
        <v>73</v>
      </c>
      <c r="Q282" s="54" t="s">
        <v>73</v>
      </c>
      <c r="R282" s="55" t="s">
        <v>73</v>
      </c>
      <c r="S282" s="48" t="s">
        <v>73</v>
      </c>
      <c r="T282" s="130"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8" t="str" cm="1">
        <f t="array" ref="U282">IF(SUMPRODUCT(--((CAT_Procesos!$E$2:$E$1581=O282)*(CAT_Procesos!$F$2:$F$1581=_xlfn.TEXTJOIN(" + ",TRUE,IF((TRIM(P282:S282)="")+(LOWER(TRIM(P282:S282))="(seleccione)"),"",PROPER(TRIM(P282:S282)))))*(CAT_Procesos!$D$2:$D$1581=IFERROR(VLOOKUP(N282&amp;"*",CAT_Procesos!$D:$D,1,FALSE),""))))=0,"Combinación no existente",IF(SUMPRODUCT(((CAT_Procesos!$E$2:$E$1581=O282)*(CAT_Procesos!$F$2:$F$1581=_xlfn.TEXTJOIN(" + ",TRUE,IF((TRIM(P282:S282)="")+(LOWER(TRIM(P282:S282))="(seleccione)"),"",PROPER(TRIM(P282:S282)))))*(CAT_Procesos!$D$2:$D$1581=IFERROR(VLOOKUP(N282&amp;"*",CAT_Procesos!$D:$D,1,FALSE),"")))*(CAT_Procesos!$G$2:$G$1581=INDEX(CAT_Procesos!$G$2:$G$1581,MATCH(1,(CAT_Procesos!$E$2:$E$1581=O282)*(CAT_Procesos!$F$2:$F$1581=_xlfn.TEXTJOIN(" + ",TRUE,IF((TRIM(P282:S282)="")+(LOWER(TRIM(P282:S282))="(seleccione)"),"",PROPER(TRIM(P282:S282)))))*(CAT_Procesos!$D$2:$D$1581=IFERROR(VLOOKUP(N282&amp;"*",CAT_Procesos!$D:$D,1,FALSE),"")),0))))=SUMPRODUCT(--((CAT_Procesos!$E$2:$E$1581=O282)*(CAT_Procesos!$F$2:$F$1581=_xlfn.TEXTJOIN(" + ",TRUE,IF((TRIM(P282:S282)="")+(LOWER(TRIM(P282:S282))="(seleccione)"),"",PROPER(TRIM(P282:S282)))))*(CAT_Procesos!$D$2:$D$1581=IFERROR(VLOOKUP(N282&amp;"*",CAT_Procesos!$D:$D,1,FALSE),"")))),INDEX(CAT_Procesos!$G$2:$G$1581,MATCH(1,(CAT_Procesos!$E$2:$E$1581=O282)*(CAT_Procesos!$F$2:$F$1581=_xlfn.TEXTJOIN(" + ",TRUE,IF((TRIM(P282:S282)="")+(LOWER(TRIM(P282:S282))="(seleccione)"),"",PROPER(TRIM(P282:S282)))))*(CAT_Procesos!$D$2:$D$1581=IFERROR(VLOOKUP(N282&amp;"*",CAT_Procesos!$D:$D,1,FALSE),"")),0)),"(seleccione)"))</f>
        <v>Combinación no existente</v>
      </c>
      <c r="V282" s="55" t="s">
        <v>73</v>
      </c>
      <c r="W282" s="56" t="s">
        <v>73</v>
      </c>
      <c r="X282" s="57" t="str">
        <f t="shared" si="16"/>
        <v/>
      </c>
      <c r="Y282" s="58" t="s">
        <v>73</v>
      </c>
      <c r="Z282" s="57" t="str">
        <f t="shared" si="17"/>
        <v/>
      </c>
      <c r="AA282" s="58" t="s">
        <v>73</v>
      </c>
      <c r="AB282" s="57" t="str">
        <f t="shared" si="18"/>
        <v/>
      </c>
      <c r="AC282" s="58" t="s">
        <v>73</v>
      </c>
      <c r="AD282" s="57" t="str">
        <f t="shared" si="19"/>
        <v/>
      </c>
      <c r="AE282" s="59"/>
      <c r="AF282" s="59"/>
      <c r="AG282" s="59"/>
      <c r="AH282" s="59"/>
      <c r="AI282" s="59" t="s">
        <v>73</v>
      </c>
      <c r="AJ282" s="59"/>
      <c r="AK282" s="59" t="s">
        <v>73</v>
      </c>
      <c r="AL282" s="59"/>
      <c r="AM282" s="59" t="s">
        <v>73</v>
      </c>
      <c r="AN282" s="59"/>
      <c r="AO282" s="59" t="s">
        <v>73</v>
      </c>
      <c r="AP282" s="59"/>
      <c r="AQ282" s="59" t="s">
        <v>73</v>
      </c>
      <c r="AR282" s="59"/>
      <c r="AS282" s="59" t="s">
        <v>72</v>
      </c>
      <c r="AT282" s="59"/>
      <c r="AU282" s="59"/>
      <c r="AV282" s="59"/>
      <c r="AW282" s="59"/>
      <c r="AX282" s="59"/>
      <c r="AY282" s="60" t="str">
        <f>IF('Cálculo MP'!K292="","",'Cálculo MP'!K292)</f>
        <v/>
      </c>
      <c r="AZ282" s="60" t="str">
        <f>IF('Cálculo MP'!L292="","",'Cálculo MP'!L292)</f>
        <v/>
      </c>
      <c r="BA282" s="60" t="str">
        <f>IF('Cálculo MP'!M292="","",'Cálculo MP'!M292)</f>
        <v/>
      </c>
      <c r="BB282" s="60" t="str">
        <f>IF('Cálculo MP'!N292="","",'Cálculo MP'!N292)</f>
        <v/>
      </c>
      <c r="BC282" s="60" t="str">
        <f>IF('Cálculo MP'!O292="","",'Cálculo MP'!O292)</f>
        <v/>
      </c>
      <c r="BD282" s="60" t="str">
        <f>IF('Cálculo MP'!P292="","",'Cálculo MP'!P292)</f>
        <v/>
      </c>
      <c r="BE282" s="60" t="str">
        <f>IF('Cálculo MP'!Q292="","",'Cálculo MP'!Q292)</f>
        <v/>
      </c>
      <c r="BF282" s="60" t="str">
        <f>IF('Cálculo MP'!R292="","",'Cálculo MP'!R292)</f>
        <v/>
      </c>
      <c r="BG282" s="60" t="str">
        <f>IF('Cálculo MP'!S292="","",'Cálculo MP'!S292)</f>
        <v/>
      </c>
      <c r="BH282" s="59"/>
      <c r="BI282" s="59"/>
      <c r="BJ282" s="59"/>
      <c r="BK282" s="59"/>
      <c r="BL282" s="59"/>
      <c r="BM282" s="59"/>
      <c r="BN282" s="59"/>
      <c r="BO282" s="59"/>
    </row>
    <row r="283" spans="1:67" ht="19.5" customHeight="1" x14ac:dyDescent="0.15">
      <c r="A283" s="123" t="s">
        <v>1856</v>
      </c>
      <c r="B283" s="122" t="s">
        <v>1854</v>
      </c>
      <c r="C283" s="49"/>
      <c r="D283" s="48" t="s">
        <v>73</v>
      </c>
      <c r="E283" s="49"/>
      <c r="F283" s="50"/>
      <c r="G283" s="62"/>
      <c r="H283" s="48" t="s">
        <v>72</v>
      </c>
      <c r="I283" s="52">
        <v>1</v>
      </c>
      <c r="J283" s="52"/>
      <c r="K283" s="52" t="s">
        <v>73</v>
      </c>
      <c r="L283" s="52" t="s">
        <v>74</v>
      </c>
      <c r="M283" s="53" t="s">
        <v>942</v>
      </c>
      <c r="N283" s="58" t="s">
        <v>73</v>
      </c>
      <c r="O283" s="48" t="s">
        <v>72</v>
      </c>
      <c r="P283" s="48" t="s">
        <v>73</v>
      </c>
      <c r="Q283" s="54" t="s">
        <v>73</v>
      </c>
      <c r="R283" s="55" t="s">
        <v>73</v>
      </c>
      <c r="S283" s="48" t="s">
        <v>73</v>
      </c>
      <c r="T283" s="130"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8" t="str" cm="1">
        <f t="array" ref="U283">IF(SUMPRODUCT(--((CAT_Procesos!$E$2:$E$1581=O283)*(CAT_Procesos!$F$2:$F$1581=_xlfn.TEXTJOIN(" + ",TRUE,IF((TRIM(P283:S283)="")+(LOWER(TRIM(P283:S283))="(seleccione)"),"",PROPER(TRIM(P283:S283)))))*(CAT_Procesos!$D$2:$D$1581=IFERROR(VLOOKUP(N283&amp;"*",CAT_Procesos!$D:$D,1,FALSE),""))))=0,"Combinación no existente",IF(SUMPRODUCT(((CAT_Procesos!$E$2:$E$1581=O283)*(CAT_Procesos!$F$2:$F$1581=_xlfn.TEXTJOIN(" + ",TRUE,IF((TRIM(P283:S283)="")+(LOWER(TRIM(P283:S283))="(seleccione)"),"",PROPER(TRIM(P283:S283)))))*(CAT_Procesos!$D$2:$D$1581=IFERROR(VLOOKUP(N283&amp;"*",CAT_Procesos!$D:$D,1,FALSE),"")))*(CAT_Procesos!$G$2:$G$1581=INDEX(CAT_Procesos!$G$2:$G$1581,MATCH(1,(CAT_Procesos!$E$2:$E$1581=O283)*(CAT_Procesos!$F$2:$F$1581=_xlfn.TEXTJOIN(" + ",TRUE,IF((TRIM(P283:S283)="")+(LOWER(TRIM(P283:S283))="(seleccione)"),"",PROPER(TRIM(P283:S283)))))*(CAT_Procesos!$D$2:$D$1581=IFERROR(VLOOKUP(N283&amp;"*",CAT_Procesos!$D:$D,1,FALSE),"")),0))))=SUMPRODUCT(--((CAT_Procesos!$E$2:$E$1581=O283)*(CAT_Procesos!$F$2:$F$1581=_xlfn.TEXTJOIN(" + ",TRUE,IF((TRIM(P283:S283)="")+(LOWER(TRIM(P283:S283))="(seleccione)"),"",PROPER(TRIM(P283:S283)))))*(CAT_Procesos!$D$2:$D$1581=IFERROR(VLOOKUP(N283&amp;"*",CAT_Procesos!$D:$D,1,FALSE),"")))),INDEX(CAT_Procesos!$G$2:$G$1581,MATCH(1,(CAT_Procesos!$E$2:$E$1581=O283)*(CAT_Procesos!$F$2:$F$1581=_xlfn.TEXTJOIN(" + ",TRUE,IF((TRIM(P283:S283)="")+(LOWER(TRIM(P283:S283))="(seleccione)"),"",PROPER(TRIM(P283:S283)))))*(CAT_Procesos!$D$2:$D$1581=IFERROR(VLOOKUP(N283&amp;"*",CAT_Procesos!$D:$D,1,FALSE),"")),0)),"(seleccione)"))</f>
        <v>Combinación no existente</v>
      </c>
      <c r="V283" s="55" t="s">
        <v>73</v>
      </c>
      <c r="W283" s="56" t="s">
        <v>73</v>
      </c>
      <c r="X283" s="57" t="str">
        <f t="shared" si="16"/>
        <v/>
      </c>
      <c r="Y283" s="58" t="s">
        <v>73</v>
      </c>
      <c r="Z283" s="57" t="str">
        <f t="shared" si="17"/>
        <v/>
      </c>
      <c r="AA283" s="58" t="s">
        <v>73</v>
      </c>
      <c r="AB283" s="57" t="str">
        <f t="shared" si="18"/>
        <v/>
      </c>
      <c r="AC283" s="58" t="s">
        <v>73</v>
      </c>
      <c r="AD283" s="57" t="str">
        <f t="shared" si="19"/>
        <v/>
      </c>
      <c r="AE283" s="59"/>
      <c r="AF283" s="59"/>
      <c r="AG283" s="59"/>
      <c r="AH283" s="59"/>
      <c r="AI283" s="59" t="s">
        <v>73</v>
      </c>
      <c r="AJ283" s="59"/>
      <c r="AK283" s="59" t="s">
        <v>73</v>
      </c>
      <c r="AL283" s="59"/>
      <c r="AM283" s="59" t="s">
        <v>73</v>
      </c>
      <c r="AN283" s="59"/>
      <c r="AO283" s="59" t="s">
        <v>73</v>
      </c>
      <c r="AP283" s="59"/>
      <c r="AQ283" s="59" t="s">
        <v>73</v>
      </c>
      <c r="AR283" s="59"/>
      <c r="AS283" s="59" t="s">
        <v>72</v>
      </c>
      <c r="AT283" s="59"/>
      <c r="AU283" s="59"/>
      <c r="AV283" s="59"/>
      <c r="AW283" s="59"/>
      <c r="AX283" s="59"/>
      <c r="AY283" s="60" t="str">
        <f>IF('Cálculo MP'!K293="","",'Cálculo MP'!K293)</f>
        <v/>
      </c>
      <c r="AZ283" s="60" t="str">
        <f>IF('Cálculo MP'!L293="","",'Cálculo MP'!L293)</f>
        <v/>
      </c>
      <c r="BA283" s="60" t="str">
        <f>IF('Cálculo MP'!M293="","",'Cálculo MP'!M293)</f>
        <v/>
      </c>
      <c r="BB283" s="60" t="str">
        <f>IF('Cálculo MP'!N293="","",'Cálculo MP'!N293)</f>
        <v/>
      </c>
      <c r="BC283" s="60" t="str">
        <f>IF('Cálculo MP'!O293="","",'Cálculo MP'!O293)</f>
        <v/>
      </c>
      <c r="BD283" s="60" t="str">
        <f>IF('Cálculo MP'!P293="","",'Cálculo MP'!P293)</f>
        <v/>
      </c>
      <c r="BE283" s="60" t="str">
        <f>IF('Cálculo MP'!Q293="","",'Cálculo MP'!Q293)</f>
        <v/>
      </c>
      <c r="BF283" s="60" t="str">
        <f>IF('Cálculo MP'!R293="","",'Cálculo MP'!R293)</f>
        <v/>
      </c>
      <c r="BG283" s="60" t="str">
        <f>IF('Cálculo MP'!S293="","",'Cálculo MP'!S293)</f>
        <v/>
      </c>
      <c r="BH283" s="59"/>
      <c r="BI283" s="59"/>
      <c r="BJ283" s="59"/>
      <c r="BK283" s="59"/>
      <c r="BL283" s="59"/>
      <c r="BM283" s="59"/>
      <c r="BN283" s="59"/>
      <c r="BO283" s="59"/>
    </row>
    <row r="284" spans="1:67" ht="19.5" customHeight="1" x14ac:dyDescent="0.15">
      <c r="A284" s="123" t="s">
        <v>1856</v>
      </c>
      <c r="B284" s="122" t="s">
        <v>1854</v>
      </c>
      <c r="C284" s="49"/>
      <c r="D284" s="48" t="s">
        <v>73</v>
      </c>
      <c r="E284" s="49"/>
      <c r="F284" s="50"/>
      <c r="G284" s="62"/>
      <c r="H284" s="48" t="s">
        <v>72</v>
      </c>
      <c r="I284" s="52">
        <v>1</v>
      </c>
      <c r="J284" s="52"/>
      <c r="K284" s="52" t="s">
        <v>73</v>
      </c>
      <c r="L284" s="52" t="s">
        <v>74</v>
      </c>
      <c r="M284" s="53" t="s">
        <v>942</v>
      </c>
      <c r="N284" s="58" t="s">
        <v>73</v>
      </c>
      <c r="O284" s="48" t="s">
        <v>72</v>
      </c>
      <c r="P284" s="48" t="s">
        <v>73</v>
      </c>
      <c r="Q284" s="54" t="s">
        <v>73</v>
      </c>
      <c r="R284" s="55" t="s">
        <v>73</v>
      </c>
      <c r="S284" s="48" t="s">
        <v>73</v>
      </c>
      <c r="T284" s="130"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8" t="str" cm="1">
        <f t="array" ref="U284">IF(SUMPRODUCT(--((CAT_Procesos!$E$2:$E$1581=O284)*(CAT_Procesos!$F$2:$F$1581=_xlfn.TEXTJOIN(" + ",TRUE,IF((TRIM(P284:S284)="")+(LOWER(TRIM(P284:S284))="(seleccione)"),"",PROPER(TRIM(P284:S284)))))*(CAT_Procesos!$D$2:$D$1581=IFERROR(VLOOKUP(N284&amp;"*",CAT_Procesos!$D:$D,1,FALSE),""))))=0,"Combinación no existente",IF(SUMPRODUCT(((CAT_Procesos!$E$2:$E$1581=O284)*(CAT_Procesos!$F$2:$F$1581=_xlfn.TEXTJOIN(" + ",TRUE,IF((TRIM(P284:S284)="")+(LOWER(TRIM(P284:S284))="(seleccione)"),"",PROPER(TRIM(P284:S284)))))*(CAT_Procesos!$D$2:$D$1581=IFERROR(VLOOKUP(N284&amp;"*",CAT_Procesos!$D:$D,1,FALSE),"")))*(CAT_Procesos!$G$2:$G$1581=INDEX(CAT_Procesos!$G$2:$G$1581,MATCH(1,(CAT_Procesos!$E$2:$E$1581=O284)*(CAT_Procesos!$F$2:$F$1581=_xlfn.TEXTJOIN(" + ",TRUE,IF((TRIM(P284:S284)="")+(LOWER(TRIM(P284:S284))="(seleccione)"),"",PROPER(TRIM(P284:S284)))))*(CAT_Procesos!$D$2:$D$1581=IFERROR(VLOOKUP(N284&amp;"*",CAT_Procesos!$D:$D,1,FALSE),"")),0))))=SUMPRODUCT(--((CAT_Procesos!$E$2:$E$1581=O284)*(CAT_Procesos!$F$2:$F$1581=_xlfn.TEXTJOIN(" + ",TRUE,IF((TRIM(P284:S284)="")+(LOWER(TRIM(P284:S284))="(seleccione)"),"",PROPER(TRIM(P284:S284)))))*(CAT_Procesos!$D$2:$D$1581=IFERROR(VLOOKUP(N284&amp;"*",CAT_Procesos!$D:$D,1,FALSE),"")))),INDEX(CAT_Procesos!$G$2:$G$1581,MATCH(1,(CAT_Procesos!$E$2:$E$1581=O284)*(CAT_Procesos!$F$2:$F$1581=_xlfn.TEXTJOIN(" + ",TRUE,IF((TRIM(P284:S284)="")+(LOWER(TRIM(P284:S284))="(seleccione)"),"",PROPER(TRIM(P284:S284)))))*(CAT_Procesos!$D$2:$D$1581=IFERROR(VLOOKUP(N284&amp;"*",CAT_Procesos!$D:$D,1,FALSE),"")),0)),"(seleccione)"))</f>
        <v>Combinación no existente</v>
      </c>
      <c r="V284" s="55" t="s">
        <v>73</v>
      </c>
      <c r="W284" s="56" t="s">
        <v>73</v>
      </c>
      <c r="X284" s="57" t="str">
        <f t="shared" si="16"/>
        <v/>
      </c>
      <c r="Y284" s="58" t="s">
        <v>73</v>
      </c>
      <c r="Z284" s="57" t="str">
        <f t="shared" si="17"/>
        <v/>
      </c>
      <c r="AA284" s="58" t="s">
        <v>73</v>
      </c>
      <c r="AB284" s="57" t="str">
        <f t="shared" si="18"/>
        <v/>
      </c>
      <c r="AC284" s="58" t="s">
        <v>73</v>
      </c>
      <c r="AD284" s="57" t="str">
        <f t="shared" si="19"/>
        <v/>
      </c>
      <c r="AE284" s="59"/>
      <c r="AF284" s="59"/>
      <c r="AG284" s="59"/>
      <c r="AH284" s="59"/>
      <c r="AI284" s="59" t="s">
        <v>73</v>
      </c>
      <c r="AJ284" s="59"/>
      <c r="AK284" s="59" t="s">
        <v>73</v>
      </c>
      <c r="AL284" s="59"/>
      <c r="AM284" s="59" t="s">
        <v>73</v>
      </c>
      <c r="AN284" s="59"/>
      <c r="AO284" s="59" t="s">
        <v>73</v>
      </c>
      <c r="AP284" s="59"/>
      <c r="AQ284" s="59" t="s">
        <v>73</v>
      </c>
      <c r="AR284" s="59"/>
      <c r="AS284" s="59" t="s">
        <v>72</v>
      </c>
      <c r="AT284" s="59"/>
      <c r="AU284" s="59"/>
      <c r="AV284" s="59"/>
      <c r="AW284" s="59"/>
      <c r="AX284" s="59"/>
      <c r="AY284" s="60" t="str">
        <f>IF('Cálculo MP'!K294="","",'Cálculo MP'!K294)</f>
        <v/>
      </c>
      <c r="AZ284" s="60" t="str">
        <f>IF('Cálculo MP'!L294="","",'Cálculo MP'!L294)</f>
        <v/>
      </c>
      <c r="BA284" s="60" t="str">
        <f>IF('Cálculo MP'!M294="","",'Cálculo MP'!M294)</f>
        <v/>
      </c>
      <c r="BB284" s="60" t="str">
        <f>IF('Cálculo MP'!N294="","",'Cálculo MP'!N294)</f>
        <v/>
      </c>
      <c r="BC284" s="60" t="str">
        <f>IF('Cálculo MP'!O294="","",'Cálculo MP'!O294)</f>
        <v/>
      </c>
      <c r="BD284" s="60" t="str">
        <f>IF('Cálculo MP'!P294="","",'Cálculo MP'!P294)</f>
        <v/>
      </c>
      <c r="BE284" s="60" t="str">
        <f>IF('Cálculo MP'!Q294="","",'Cálculo MP'!Q294)</f>
        <v/>
      </c>
      <c r="BF284" s="60" t="str">
        <f>IF('Cálculo MP'!R294="","",'Cálculo MP'!R294)</f>
        <v/>
      </c>
      <c r="BG284" s="60" t="str">
        <f>IF('Cálculo MP'!S294="","",'Cálculo MP'!S294)</f>
        <v/>
      </c>
      <c r="BH284" s="59"/>
      <c r="BI284" s="59"/>
      <c r="BJ284" s="59"/>
      <c r="BK284" s="59"/>
      <c r="BL284" s="59"/>
      <c r="BM284" s="59"/>
      <c r="BN284" s="59"/>
      <c r="BO284" s="59"/>
    </row>
    <row r="285" spans="1:67" ht="19.5" customHeight="1" x14ac:dyDescent="0.15">
      <c r="A285" s="123" t="s">
        <v>1856</v>
      </c>
      <c r="B285" s="122" t="s">
        <v>1854</v>
      </c>
      <c r="C285" s="49"/>
      <c r="D285" s="48" t="s">
        <v>73</v>
      </c>
      <c r="E285" s="49"/>
      <c r="F285" s="50"/>
      <c r="G285" s="62"/>
      <c r="H285" s="48" t="s">
        <v>72</v>
      </c>
      <c r="I285" s="52">
        <v>1</v>
      </c>
      <c r="J285" s="52"/>
      <c r="K285" s="52" t="s">
        <v>73</v>
      </c>
      <c r="L285" s="52" t="s">
        <v>74</v>
      </c>
      <c r="M285" s="53" t="s">
        <v>942</v>
      </c>
      <c r="N285" s="58" t="s">
        <v>73</v>
      </c>
      <c r="O285" s="48" t="s">
        <v>72</v>
      </c>
      <c r="P285" s="48" t="s">
        <v>73</v>
      </c>
      <c r="Q285" s="54" t="s">
        <v>73</v>
      </c>
      <c r="R285" s="55" t="s">
        <v>73</v>
      </c>
      <c r="S285" s="48" t="s">
        <v>73</v>
      </c>
      <c r="T285" s="130"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8" t="str" cm="1">
        <f t="array" ref="U285">IF(SUMPRODUCT(--((CAT_Procesos!$E$2:$E$1581=O285)*(CAT_Procesos!$F$2:$F$1581=_xlfn.TEXTJOIN(" + ",TRUE,IF((TRIM(P285:S285)="")+(LOWER(TRIM(P285:S285))="(seleccione)"),"",PROPER(TRIM(P285:S285)))))*(CAT_Procesos!$D$2:$D$1581=IFERROR(VLOOKUP(N285&amp;"*",CAT_Procesos!$D:$D,1,FALSE),""))))=0,"Combinación no existente",IF(SUMPRODUCT(((CAT_Procesos!$E$2:$E$1581=O285)*(CAT_Procesos!$F$2:$F$1581=_xlfn.TEXTJOIN(" + ",TRUE,IF((TRIM(P285:S285)="")+(LOWER(TRIM(P285:S285))="(seleccione)"),"",PROPER(TRIM(P285:S285)))))*(CAT_Procesos!$D$2:$D$1581=IFERROR(VLOOKUP(N285&amp;"*",CAT_Procesos!$D:$D,1,FALSE),"")))*(CAT_Procesos!$G$2:$G$1581=INDEX(CAT_Procesos!$G$2:$G$1581,MATCH(1,(CAT_Procesos!$E$2:$E$1581=O285)*(CAT_Procesos!$F$2:$F$1581=_xlfn.TEXTJOIN(" + ",TRUE,IF((TRIM(P285:S285)="")+(LOWER(TRIM(P285:S285))="(seleccione)"),"",PROPER(TRIM(P285:S285)))))*(CAT_Procesos!$D$2:$D$1581=IFERROR(VLOOKUP(N285&amp;"*",CAT_Procesos!$D:$D,1,FALSE),"")),0))))=SUMPRODUCT(--((CAT_Procesos!$E$2:$E$1581=O285)*(CAT_Procesos!$F$2:$F$1581=_xlfn.TEXTJOIN(" + ",TRUE,IF((TRIM(P285:S285)="")+(LOWER(TRIM(P285:S285))="(seleccione)"),"",PROPER(TRIM(P285:S285)))))*(CAT_Procesos!$D$2:$D$1581=IFERROR(VLOOKUP(N285&amp;"*",CAT_Procesos!$D:$D,1,FALSE),"")))),INDEX(CAT_Procesos!$G$2:$G$1581,MATCH(1,(CAT_Procesos!$E$2:$E$1581=O285)*(CAT_Procesos!$F$2:$F$1581=_xlfn.TEXTJOIN(" + ",TRUE,IF((TRIM(P285:S285)="")+(LOWER(TRIM(P285:S285))="(seleccione)"),"",PROPER(TRIM(P285:S285)))))*(CAT_Procesos!$D$2:$D$1581=IFERROR(VLOOKUP(N285&amp;"*",CAT_Procesos!$D:$D,1,FALSE),"")),0)),"(seleccione)"))</f>
        <v>Combinación no existente</v>
      </c>
      <c r="V285" s="55" t="s">
        <v>73</v>
      </c>
      <c r="W285" s="56" t="s">
        <v>73</v>
      </c>
      <c r="X285" s="57" t="str">
        <f t="shared" si="16"/>
        <v/>
      </c>
      <c r="Y285" s="58" t="s">
        <v>73</v>
      </c>
      <c r="Z285" s="57" t="str">
        <f t="shared" si="17"/>
        <v/>
      </c>
      <c r="AA285" s="58" t="s">
        <v>73</v>
      </c>
      <c r="AB285" s="57" t="str">
        <f t="shared" si="18"/>
        <v/>
      </c>
      <c r="AC285" s="58" t="s">
        <v>73</v>
      </c>
      <c r="AD285" s="57" t="str">
        <f t="shared" si="19"/>
        <v/>
      </c>
      <c r="AE285" s="59"/>
      <c r="AF285" s="59"/>
      <c r="AG285" s="59"/>
      <c r="AH285" s="59"/>
      <c r="AI285" s="59" t="s">
        <v>73</v>
      </c>
      <c r="AJ285" s="59"/>
      <c r="AK285" s="59" t="s">
        <v>73</v>
      </c>
      <c r="AL285" s="59"/>
      <c r="AM285" s="59" t="s">
        <v>73</v>
      </c>
      <c r="AN285" s="59"/>
      <c r="AO285" s="59" t="s">
        <v>73</v>
      </c>
      <c r="AP285" s="59"/>
      <c r="AQ285" s="59" t="s">
        <v>73</v>
      </c>
      <c r="AR285" s="59"/>
      <c r="AS285" s="59" t="s">
        <v>72</v>
      </c>
      <c r="AT285" s="59"/>
      <c r="AU285" s="59"/>
      <c r="AV285" s="59"/>
      <c r="AW285" s="59"/>
      <c r="AX285" s="59"/>
      <c r="AY285" s="60" t="str">
        <f>IF('Cálculo MP'!K295="","",'Cálculo MP'!K295)</f>
        <v/>
      </c>
      <c r="AZ285" s="60" t="str">
        <f>IF('Cálculo MP'!L295="","",'Cálculo MP'!L295)</f>
        <v/>
      </c>
      <c r="BA285" s="60" t="str">
        <f>IF('Cálculo MP'!M295="","",'Cálculo MP'!M295)</f>
        <v/>
      </c>
      <c r="BB285" s="60" t="str">
        <f>IF('Cálculo MP'!N295="","",'Cálculo MP'!N295)</f>
        <v/>
      </c>
      <c r="BC285" s="60" t="str">
        <f>IF('Cálculo MP'!O295="","",'Cálculo MP'!O295)</f>
        <v/>
      </c>
      <c r="BD285" s="60" t="str">
        <f>IF('Cálculo MP'!P295="","",'Cálculo MP'!P295)</f>
        <v/>
      </c>
      <c r="BE285" s="60" t="str">
        <f>IF('Cálculo MP'!Q295="","",'Cálculo MP'!Q295)</f>
        <v/>
      </c>
      <c r="BF285" s="60" t="str">
        <f>IF('Cálculo MP'!R295="","",'Cálculo MP'!R295)</f>
        <v/>
      </c>
      <c r="BG285" s="60" t="str">
        <f>IF('Cálculo MP'!S295="","",'Cálculo MP'!S295)</f>
        <v/>
      </c>
      <c r="BH285" s="59"/>
      <c r="BI285" s="59"/>
      <c r="BJ285" s="59"/>
      <c r="BK285" s="59"/>
      <c r="BL285" s="59"/>
      <c r="BM285" s="59"/>
      <c r="BN285" s="59"/>
      <c r="BO285" s="59"/>
    </row>
    <row r="286" spans="1:67" ht="19.5" customHeight="1" x14ac:dyDescent="0.15">
      <c r="A286" s="123" t="s">
        <v>1856</v>
      </c>
      <c r="B286" s="122" t="s">
        <v>1854</v>
      </c>
      <c r="C286" s="49"/>
      <c r="D286" s="48" t="s">
        <v>73</v>
      </c>
      <c r="E286" s="49"/>
      <c r="F286" s="50"/>
      <c r="G286" s="62"/>
      <c r="H286" s="48" t="s">
        <v>72</v>
      </c>
      <c r="I286" s="52">
        <v>1</v>
      </c>
      <c r="J286" s="52"/>
      <c r="K286" s="52" t="s">
        <v>73</v>
      </c>
      <c r="L286" s="52" t="s">
        <v>74</v>
      </c>
      <c r="M286" s="53" t="s">
        <v>942</v>
      </c>
      <c r="N286" s="58" t="s">
        <v>73</v>
      </c>
      <c r="O286" s="48" t="s">
        <v>72</v>
      </c>
      <c r="P286" s="48" t="s">
        <v>73</v>
      </c>
      <c r="Q286" s="54" t="s">
        <v>73</v>
      </c>
      <c r="R286" s="55" t="s">
        <v>73</v>
      </c>
      <c r="S286" s="48" t="s">
        <v>73</v>
      </c>
      <c r="T286" s="130"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8" t="str" cm="1">
        <f t="array" ref="U286">IF(SUMPRODUCT(--((CAT_Procesos!$E$2:$E$1581=O286)*(CAT_Procesos!$F$2:$F$1581=_xlfn.TEXTJOIN(" + ",TRUE,IF((TRIM(P286:S286)="")+(LOWER(TRIM(P286:S286))="(seleccione)"),"",PROPER(TRIM(P286:S286)))))*(CAT_Procesos!$D$2:$D$1581=IFERROR(VLOOKUP(N286&amp;"*",CAT_Procesos!$D:$D,1,FALSE),""))))=0,"Combinación no existente",IF(SUMPRODUCT(((CAT_Procesos!$E$2:$E$1581=O286)*(CAT_Procesos!$F$2:$F$1581=_xlfn.TEXTJOIN(" + ",TRUE,IF((TRIM(P286:S286)="")+(LOWER(TRIM(P286:S286))="(seleccione)"),"",PROPER(TRIM(P286:S286)))))*(CAT_Procesos!$D$2:$D$1581=IFERROR(VLOOKUP(N286&amp;"*",CAT_Procesos!$D:$D,1,FALSE),"")))*(CAT_Procesos!$G$2:$G$1581=INDEX(CAT_Procesos!$G$2:$G$1581,MATCH(1,(CAT_Procesos!$E$2:$E$1581=O286)*(CAT_Procesos!$F$2:$F$1581=_xlfn.TEXTJOIN(" + ",TRUE,IF((TRIM(P286:S286)="")+(LOWER(TRIM(P286:S286))="(seleccione)"),"",PROPER(TRIM(P286:S286)))))*(CAT_Procesos!$D$2:$D$1581=IFERROR(VLOOKUP(N286&amp;"*",CAT_Procesos!$D:$D,1,FALSE),"")),0))))=SUMPRODUCT(--((CAT_Procesos!$E$2:$E$1581=O286)*(CAT_Procesos!$F$2:$F$1581=_xlfn.TEXTJOIN(" + ",TRUE,IF((TRIM(P286:S286)="")+(LOWER(TRIM(P286:S286))="(seleccione)"),"",PROPER(TRIM(P286:S286)))))*(CAT_Procesos!$D$2:$D$1581=IFERROR(VLOOKUP(N286&amp;"*",CAT_Procesos!$D:$D,1,FALSE),"")))),INDEX(CAT_Procesos!$G$2:$G$1581,MATCH(1,(CAT_Procesos!$E$2:$E$1581=O286)*(CAT_Procesos!$F$2:$F$1581=_xlfn.TEXTJOIN(" + ",TRUE,IF((TRIM(P286:S286)="")+(LOWER(TRIM(P286:S286))="(seleccione)"),"",PROPER(TRIM(P286:S286)))))*(CAT_Procesos!$D$2:$D$1581=IFERROR(VLOOKUP(N286&amp;"*",CAT_Procesos!$D:$D,1,FALSE),"")),0)),"(seleccione)"))</f>
        <v>Combinación no existente</v>
      </c>
      <c r="V286" s="55" t="s">
        <v>73</v>
      </c>
      <c r="W286" s="56" t="s">
        <v>73</v>
      </c>
      <c r="X286" s="57" t="str">
        <f t="shared" si="16"/>
        <v/>
      </c>
      <c r="Y286" s="58" t="s">
        <v>73</v>
      </c>
      <c r="Z286" s="57" t="str">
        <f t="shared" si="17"/>
        <v/>
      </c>
      <c r="AA286" s="58" t="s">
        <v>73</v>
      </c>
      <c r="AB286" s="57" t="str">
        <f t="shared" si="18"/>
        <v/>
      </c>
      <c r="AC286" s="58" t="s">
        <v>73</v>
      </c>
      <c r="AD286" s="57" t="str">
        <f t="shared" si="19"/>
        <v/>
      </c>
      <c r="AE286" s="59"/>
      <c r="AF286" s="59"/>
      <c r="AG286" s="59"/>
      <c r="AH286" s="59"/>
      <c r="AI286" s="59" t="s">
        <v>73</v>
      </c>
      <c r="AJ286" s="59"/>
      <c r="AK286" s="59" t="s">
        <v>73</v>
      </c>
      <c r="AL286" s="59"/>
      <c r="AM286" s="59" t="s">
        <v>73</v>
      </c>
      <c r="AN286" s="59"/>
      <c r="AO286" s="59" t="s">
        <v>73</v>
      </c>
      <c r="AP286" s="59"/>
      <c r="AQ286" s="59" t="s">
        <v>73</v>
      </c>
      <c r="AR286" s="59"/>
      <c r="AS286" s="59" t="s">
        <v>72</v>
      </c>
      <c r="AT286" s="59"/>
      <c r="AU286" s="59"/>
      <c r="AV286" s="59"/>
      <c r="AW286" s="59"/>
      <c r="AX286" s="59"/>
      <c r="AY286" s="60" t="str">
        <f>IF('Cálculo MP'!K296="","",'Cálculo MP'!K296)</f>
        <v/>
      </c>
      <c r="AZ286" s="60" t="str">
        <f>IF('Cálculo MP'!L296="","",'Cálculo MP'!L296)</f>
        <v/>
      </c>
      <c r="BA286" s="60" t="str">
        <f>IF('Cálculo MP'!M296="","",'Cálculo MP'!M296)</f>
        <v/>
      </c>
      <c r="BB286" s="60" t="str">
        <f>IF('Cálculo MP'!N296="","",'Cálculo MP'!N296)</f>
        <v/>
      </c>
      <c r="BC286" s="60" t="str">
        <f>IF('Cálculo MP'!O296="","",'Cálculo MP'!O296)</f>
        <v/>
      </c>
      <c r="BD286" s="60" t="str">
        <f>IF('Cálculo MP'!P296="","",'Cálculo MP'!P296)</f>
        <v/>
      </c>
      <c r="BE286" s="60" t="str">
        <f>IF('Cálculo MP'!Q296="","",'Cálculo MP'!Q296)</f>
        <v/>
      </c>
      <c r="BF286" s="60" t="str">
        <f>IF('Cálculo MP'!R296="","",'Cálculo MP'!R296)</f>
        <v/>
      </c>
      <c r="BG286" s="60" t="str">
        <f>IF('Cálculo MP'!S296="","",'Cálculo MP'!S296)</f>
        <v/>
      </c>
      <c r="BH286" s="59"/>
      <c r="BI286" s="59"/>
      <c r="BJ286" s="59"/>
      <c r="BK286" s="59"/>
      <c r="BL286" s="59"/>
      <c r="BM286" s="59"/>
      <c r="BN286" s="59"/>
      <c r="BO286" s="59"/>
    </row>
    <row r="287" spans="1:67" ht="19.5" customHeight="1" x14ac:dyDescent="0.15">
      <c r="A287" s="123" t="s">
        <v>1856</v>
      </c>
      <c r="B287" s="122" t="s">
        <v>1854</v>
      </c>
      <c r="C287" s="49"/>
      <c r="D287" s="48" t="s">
        <v>73</v>
      </c>
      <c r="E287" s="49"/>
      <c r="F287" s="50"/>
      <c r="G287" s="62"/>
      <c r="H287" s="48" t="s">
        <v>72</v>
      </c>
      <c r="I287" s="52">
        <v>1</v>
      </c>
      <c r="J287" s="52"/>
      <c r="K287" s="52" t="s">
        <v>73</v>
      </c>
      <c r="L287" s="52" t="s">
        <v>74</v>
      </c>
      <c r="M287" s="53" t="s">
        <v>942</v>
      </c>
      <c r="N287" s="58" t="s">
        <v>73</v>
      </c>
      <c r="O287" s="48" t="s">
        <v>72</v>
      </c>
      <c r="P287" s="48" t="s">
        <v>73</v>
      </c>
      <c r="Q287" s="54" t="s">
        <v>73</v>
      </c>
      <c r="R287" s="55" t="s">
        <v>73</v>
      </c>
      <c r="S287" s="48" t="s">
        <v>73</v>
      </c>
      <c r="T287" s="130"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8" t="str" cm="1">
        <f t="array" ref="U287">IF(SUMPRODUCT(--((CAT_Procesos!$E$2:$E$1581=O287)*(CAT_Procesos!$F$2:$F$1581=_xlfn.TEXTJOIN(" + ",TRUE,IF((TRIM(P287:S287)="")+(LOWER(TRIM(P287:S287))="(seleccione)"),"",PROPER(TRIM(P287:S287)))))*(CAT_Procesos!$D$2:$D$1581=IFERROR(VLOOKUP(N287&amp;"*",CAT_Procesos!$D:$D,1,FALSE),""))))=0,"Combinación no existente",IF(SUMPRODUCT(((CAT_Procesos!$E$2:$E$1581=O287)*(CAT_Procesos!$F$2:$F$1581=_xlfn.TEXTJOIN(" + ",TRUE,IF((TRIM(P287:S287)="")+(LOWER(TRIM(P287:S287))="(seleccione)"),"",PROPER(TRIM(P287:S287)))))*(CAT_Procesos!$D$2:$D$1581=IFERROR(VLOOKUP(N287&amp;"*",CAT_Procesos!$D:$D,1,FALSE),"")))*(CAT_Procesos!$G$2:$G$1581=INDEX(CAT_Procesos!$G$2:$G$1581,MATCH(1,(CAT_Procesos!$E$2:$E$1581=O287)*(CAT_Procesos!$F$2:$F$1581=_xlfn.TEXTJOIN(" + ",TRUE,IF((TRIM(P287:S287)="")+(LOWER(TRIM(P287:S287))="(seleccione)"),"",PROPER(TRIM(P287:S287)))))*(CAT_Procesos!$D$2:$D$1581=IFERROR(VLOOKUP(N287&amp;"*",CAT_Procesos!$D:$D,1,FALSE),"")),0))))=SUMPRODUCT(--((CAT_Procesos!$E$2:$E$1581=O287)*(CAT_Procesos!$F$2:$F$1581=_xlfn.TEXTJOIN(" + ",TRUE,IF((TRIM(P287:S287)="")+(LOWER(TRIM(P287:S287))="(seleccione)"),"",PROPER(TRIM(P287:S287)))))*(CAT_Procesos!$D$2:$D$1581=IFERROR(VLOOKUP(N287&amp;"*",CAT_Procesos!$D:$D,1,FALSE),"")))),INDEX(CAT_Procesos!$G$2:$G$1581,MATCH(1,(CAT_Procesos!$E$2:$E$1581=O287)*(CAT_Procesos!$F$2:$F$1581=_xlfn.TEXTJOIN(" + ",TRUE,IF((TRIM(P287:S287)="")+(LOWER(TRIM(P287:S287))="(seleccione)"),"",PROPER(TRIM(P287:S287)))))*(CAT_Procesos!$D$2:$D$1581=IFERROR(VLOOKUP(N287&amp;"*",CAT_Procesos!$D:$D,1,FALSE),"")),0)),"(seleccione)"))</f>
        <v>Combinación no existente</v>
      </c>
      <c r="V287" s="55" t="s">
        <v>73</v>
      </c>
      <c r="W287" s="56" t="s">
        <v>73</v>
      </c>
      <c r="X287" s="57" t="str">
        <f t="shared" si="16"/>
        <v/>
      </c>
      <c r="Y287" s="58" t="s">
        <v>73</v>
      </c>
      <c r="Z287" s="57" t="str">
        <f t="shared" si="17"/>
        <v/>
      </c>
      <c r="AA287" s="58" t="s">
        <v>73</v>
      </c>
      <c r="AB287" s="57" t="str">
        <f t="shared" si="18"/>
        <v/>
      </c>
      <c r="AC287" s="58" t="s">
        <v>73</v>
      </c>
      <c r="AD287" s="57" t="str">
        <f t="shared" si="19"/>
        <v/>
      </c>
      <c r="AE287" s="59"/>
      <c r="AF287" s="59"/>
      <c r="AG287" s="59"/>
      <c r="AH287" s="59"/>
      <c r="AI287" s="59" t="s">
        <v>73</v>
      </c>
      <c r="AJ287" s="59"/>
      <c r="AK287" s="59" t="s">
        <v>73</v>
      </c>
      <c r="AL287" s="59"/>
      <c r="AM287" s="59" t="s">
        <v>73</v>
      </c>
      <c r="AN287" s="59"/>
      <c r="AO287" s="59" t="s">
        <v>73</v>
      </c>
      <c r="AP287" s="59"/>
      <c r="AQ287" s="59" t="s">
        <v>73</v>
      </c>
      <c r="AR287" s="59"/>
      <c r="AS287" s="59" t="s">
        <v>72</v>
      </c>
      <c r="AT287" s="59"/>
      <c r="AU287" s="59"/>
      <c r="AV287" s="59"/>
      <c r="AW287" s="59"/>
      <c r="AX287" s="59"/>
      <c r="AY287" s="60" t="str">
        <f>IF('Cálculo MP'!K297="","",'Cálculo MP'!K297)</f>
        <v/>
      </c>
      <c r="AZ287" s="60" t="str">
        <f>IF('Cálculo MP'!L297="","",'Cálculo MP'!L297)</f>
        <v/>
      </c>
      <c r="BA287" s="60" t="str">
        <f>IF('Cálculo MP'!M297="","",'Cálculo MP'!M297)</f>
        <v/>
      </c>
      <c r="BB287" s="60" t="str">
        <f>IF('Cálculo MP'!N297="","",'Cálculo MP'!N297)</f>
        <v/>
      </c>
      <c r="BC287" s="60" t="str">
        <f>IF('Cálculo MP'!O297="","",'Cálculo MP'!O297)</f>
        <v/>
      </c>
      <c r="BD287" s="60" t="str">
        <f>IF('Cálculo MP'!P297="","",'Cálculo MP'!P297)</f>
        <v/>
      </c>
      <c r="BE287" s="60" t="str">
        <f>IF('Cálculo MP'!Q297="","",'Cálculo MP'!Q297)</f>
        <v/>
      </c>
      <c r="BF287" s="60" t="str">
        <f>IF('Cálculo MP'!R297="","",'Cálculo MP'!R297)</f>
        <v/>
      </c>
      <c r="BG287" s="60" t="str">
        <f>IF('Cálculo MP'!S297="","",'Cálculo MP'!S297)</f>
        <v/>
      </c>
      <c r="BH287" s="59"/>
      <c r="BI287" s="59"/>
      <c r="BJ287" s="59"/>
      <c r="BK287" s="59"/>
      <c r="BL287" s="59"/>
      <c r="BM287" s="59"/>
      <c r="BN287" s="59"/>
      <c r="BO287" s="59"/>
    </row>
    <row r="288" spans="1:67" ht="19.5" customHeight="1" x14ac:dyDescent="0.15">
      <c r="A288" s="123" t="s">
        <v>1856</v>
      </c>
      <c r="B288" s="122" t="s">
        <v>1854</v>
      </c>
      <c r="C288" s="49"/>
      <c r="D288" s="48" t="s">
        <v>73</v>
      </c>
      <c r="E288" s="49"/>
      <c r="F288" s="50"/>
      <c r="G288" s="62"/>
      <c r="H288" s="48" t="s">
        <v>72</v>
      </c>
      <c r="I288" s="52">
        <v>1</v>
      </c>
      <c r="J288" s="52"/>
      <c r="K288" s="52" t="s">
        <v>73</v>
      </c>
      <c r="L288" s="52" t="s">
        <v>74</v>
      </c>
      <c r="M288" s="53" t="s">
        <v>942</v>
      </c>
      <c r="N288" s="58" t="s">
        <v>73</v>
      </c>
      <c r="O288" s="48" t="s">
        <v>72</v>
      </c>
      <c r="P288" s="48" t="s">
        <v>73</v>
      </c>
      <c r="Q288" s="54" t="s">
        <v>73</v>
      </c>
      <c r="R288" s="55" t="s">
        <v>73</v>
      </c>
      <c r="S288" s="48" t="s">
        <v>73</v>
      </c>
      <c r="T288" s="130"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8" t="str" cm="1">
        <f t="array" ref="U288">IF(SUMPRODUCT(--((CAT_Procesos!$E$2:$E$1581=O288)*(CAT_Procesos!$F$2:$F$1581=_xlfn.TEXTJOIN(" + ",TRUE,IF((TRIM(P288:S288)="")+(LOWER(TRIM(P288:S288))="(seleccione)"),"",PROPER(TRIM(P288:S288)))))*(CAT_Procesos!$D$2:$D$1581=IFERROR(VLOOKUP(N288&amp;"*",CAT_Procesos!$D:$D,1,FALSE),""))))=0,"Combinación no existente",IF(SUMPRODUCT(((CAT_Procesos!$E$2:$E$1581=O288)*(CAT_Procesos!$F$2:$F$1581=_xlfn.TEXTJOIN(" + ",TRUE,IF((TRIM(P288:S288)="")+(LOWER(TRIM(P288:S288))="(seleccione)"),"",PROPER(TRIM(P288:S288)))))*(CAT_Procesos!$D$2:$D$1581=IFERROR(VLOOKUP(N288&amp;"*",CAT_Procesos!$D:$D,1,FALSE),"")))*(CAT_Procesos!$G$2:$G$1581=INDEX(CAT_Procesos!$G$2:$G$1581,MATCH(1,(CAT_Procesos!$E$2:$E$1581=O288)*(CAT_Procesos!$F$2:$F$1581=_xlfn.TEXTJOIN(" + ",TRUE,IF((TRIM(P288:S288)="")+(LOWER(TRIM(P288:S288))="(seleccione)"),"",PROPER(TRIM(P288:S288)))))*(CAT_Procesos!$D$2:$D$1581=IFERROR(VLOOKUP(N288&amp;"*",CAT_Procesos!$D:$D,1,FALSE),"")),0))))=SUMPRODUCT(--((CAT_Procesos!$E$2:$E$1581=O288)*(CAT_Procesos!$F$2:$F$1581=_xlfn.TEXTJOIN(" + ",TRUE,IF((TRIM(P288:S288)="")+(LOWER(TRIM(P288:S288))="(seleccione)"),"",PROPER(TRIM(P288:S288)))))*(CAT_Procesos!$D$2:$D$1581=IFERROR(VLOOKUP(N288&amp;"*",CAT_Procesos!$D:$D,1,FALSE),"")))),INDEX(CAT_Procesos!$G$2:$G$1581,MATCH(1,(CAT_Procesos!$E$2:$E$1581=O288)*(CAT_Procesos!$F$2:$F$1581=_xlfn.TEXTJOIN(" + ",TRUE,IF((TRIM(P288:S288)="")+(LOWER(TRIM(P288:S288))="(seleccione)"),"",PROPER(TRIM(P288:S288)))))*(CAT_Procesos!$D$2:$D$1581=IFERROR(VLOOKUP(N288&amp;"*",CAT_Procesos!$D:$D,1,FALSE),"")),0)),"(seleccione)"))</f>
        <v>Combinación no existente</v>
      </c>
      <c r="V288" s="55" t="s">
        <v>73</v>
      </c>
      <c r="W288" s="56" t="s">
        <v>73</v>
      </c>
      <c r="X288" s="57" t="str">
        <f t="shared" si="16"/>
        <v/>
      </c>
      <c r="Y288" s="58" t="s">
        <v>73</v>
      </c>
      <c r="Z288" s="57" t="str">
        <f t="shared" si="17"/>
        <v/>
      </c>
      <c r="AA288" s="58" t="s">
        <v>73</v>
      </c>
      <c r="AB288" s="57" t="str">
        <f t="shared" si="18"/>
        <v/>
      </c>
      <c r="AC288" s="58" t="s">
        <v>73</v>
      </c>
      <c r="AD288" s="57" t="str">
        <f t="shared" si="19"/>
        <v/>
      </c>
      <c r="AE288" s="59"/>
      <c r="AF288" s="59"/>
      <c r="AG288" s="59"/>
      <c r="AH288" s="59"/>
      <c r="AI288" s="59" t="s">
        <v>73</v>
      </c>
      <c r="AJ288" s="59"/>
      <c r="AK288" s="59" t="s">
        <v>73</v>
      </c>
      <c r="AL288" s="59"/>
      <c r="AM288" s="59" t="s">
        <v>73</v>
      </c>
      <c r="AN288" s="59"/>
      <c r="AO288" s="59" t="s">
        <v>73</v>
      </c>
      <c r="AP288" s="59"/>
      <c r="AQ288" s="59" t="s">
        <v>73</v>
      </c>
      <c r="AR288" s="59"/>
      <c r="AS288" s="59" t="s">
        <v>72</v>
      </c>
      <c r="AT288" s="59"/>
      <c r="AU288" s="59"/>
      <c r="AV288" s="59"/>
      <c r="AW288" s="59"/>
      <c r="AX288" s="59"/>
      <c r="AY288" s="60" t="str">
        <f>IF('Cálculo MP'!K298="","",'Cálculo MP'!K298)</f>
        <v/>
      </c>
      <c r="AZ288" s="60" t="str">
        <f>IF('Cálculo MP'!L298="","",'Cálculo MP'!L298)</f>
        <v/>
      </c>
      <c r="BA288" s="60" t="str">
        <f>IF('Cálculo MP'!M298="","",'Cálculo MP'!M298)</f>
        <v/>
      </c>
      <c r="BB288" s="60" t="str">
        <f>IF('Cálculo MP'!N298="","",'Cálculo MP'!N298)</f>
        <v/>
      </c>
      <c r="BC288" s="60" t="str">
        <f>IF('Cálculo MP'!O298="","",'Cálculo MP'!O298)</f>
        <v/>
      </c>
      <c r="BD288" s="60" t="str">
        <f>IF('Cálculo MP'!P298="","",'Cálculo MP'!P298)</f>
        <v/>
      </c>
      <c r="BE288" s="60" t="str">
        <f>IF('Cálculo MP'!Q298="","",'Cálculo MP'!Q298)</f>
        <v/>
      </c>
      <c r="BF288" s="60" t="str">
        <f>IF('Cálculo MP'!R298="","",'Cálculo MP'!R298)</f>
        <v/>
      </c>
      <c r="BG288" s="60" t="str">
        <f>IF('Cálculo MP'!S298="","",'Cálculo MP'!S298)</f>
        <v/>
      </c>
      <c r="BH288" s="59"/>
      <c r="BI288" s="59"/>
      <c r="BJ288" s="59"/>
      <c r="BK288" s="59"/>
      <c r="BL288" s="59"/>
      <c r="BM288" s="59"/>
      <c r="BN288" s="59"/>
      <c r="BO288" s="59"/>
    </row>
    <row r="289" spans="1:67" ht="19.5" customHeight="1" x14ac:dyDescent="0.15">
      <c r="A289" s="123" t="s">
        <v>1856</v>
      </c>
      <c r="B289" s="122" t="s">
        <v>1854</v>
      </c>
      <c r="C289" s="49"/>
      <c r="D289" s="48" t="s">
        <v>73</v>
      </c>
      <c r="E289" s="49"/>
      <c r="F289" s="50"/>
      <c r="G289" s="62"/>
      <c r="H289" s="48" t="s">
        <v>72</v>
      </c>
      <c r="I289" s="52">
        <v>1</v>
      </c>
      <c r="J289" s="52"/>
      <c r="K289" s="52" t="s">
        <v>73</v>
      </c>
      <c r="L289" s="52" t="s">
        <v>74</v>
      </c>
      <c r="M289" s="53" t="s">
        <v>942</v>
      </c>
      <c r="N289" s="58" t="s">
        <v>73</v>
      </c>
      <c r="O289" s="48" t="s">
        <v>72</v>
      </c>
      <c r="P289" s="48" t="s">
        <v>73</v>
      </c>
      <c r="Q289" s="54" t="s">
        <v>73</v>
      </c>
      <c r="R289" s="55" t="s">
        <v>73</v>
      </c>
      <c r="S289" s="48" t="s">
        <v>73</v>
      </c>
      <c r="T289" s="130"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8" t="str" cm="1">
        <f t="array" ref="U289">IF(SUMPRODUCT(--((CAT_Procesos!$E$2:$E$1581=O289)*(CAT_Procesos!$F$2:$F$1581=_xlfn.TEXTJOIN(" + ",TRUE,IF((TRIM(P289:S289)="")+(LOWER(TRIM(P289:S289))="(seleccione)"),"",PROPER(TRIM(P289:S289)))))*(CAT_Procesos!$D$2:$D$1581=IFERROR(VLOOKUP(N289&amp;"*",CAT_Procesos!$D:$D,1,FALSE),""))))=0,"Combinación no existente",IF(SUMPRODUCT(((CAT_Procesos!$E$2:$E$1581=O289)*(CAT_Procesos!$F$2:$F$1581=_xlfn.TEXTJOIN(" + ",TRUE,IF((TRIM(P289:S289)="")+(LOWER(TRIM(P289:S289))="(seleccione)"),"",PROPER(TRIM(P289:S289)))))*(CAT_Procesos!$D$2:$D$1581=IFERROR(VLOOKUP(N289&amp;"*",CAT_Procesos!$D:$D,1,FALSE),"")))*(CAT_Procesos!$G$2:$G$1581=INDEX(CAT_Procesos!$G$2:$G$1581,MATCH(1,(CAT_Procesos!$E$2:$E$1581=O289)*(CAT_Procesos!$F$2:$F$1581=_xlfn.TEXTJOIN(" + ",TRUE,IF((TRIM(P289:S289)="")+(LOWER(TRIM(P289:S289))="(seleccione)"),"",PROPER(TRIM(P289:S289)))))*(CAT_Procesos!$D$2:$D$1581=IFERROR(VLOOKUP(N289&amp;"*",CAT_Procesos!$D:$D,1,FALSE),"")),0))))=SUMPRODUCT(--((CAT_Procesos!$E$2:$E$1581=O289)*(CAT_Procesos!$F$2:$F$1581=_xlfn.TEXTJOIN(" + ",TRUE,IF((TRIM(P289:S289)="")+(LOWER(TRIM(P289:S289))="(seleccione)"),"",PROPER(TRIM(P289:S289)))))*(CAT_Procesos!$D$2:$D$1581=IFERROR(VLOOKUP(N289&amp;"*",CAT_Procesos!$D:$D,1,FALSE),"")))),INDEX(CAT_Procesos!$G$2:$G$1581,MATCH(1,(CAT_Procesos!$E$2:$E$1581=O289)*(CAT_Procesos!$F$2:$F$1581=_xlfn.TEXTJOIN(" + ",TRUE,IF((TRIM(P289:S289)="")+(LOWER(TRIM(P289:S289))="(seleccione)"),"",PROPER(TRIM(P289:S289)))))*(CAT_Procesos!$D$2:$D$1581=IFERROR(VLOOKUP(N289&amp;"*",CAT_Procesos!$D:$D,1,FALSE),"")),0)),"(seleccione)"))</f>
        <v>Combinación no existente</v>
      </c>
      <c r="V289" s="55" t="s">
        <v>73</v>
      </c>
      <c r="W289" s="56" t="s">
        <v>73</v>
      </c>
      <c r="X289" s="57" t="str">
        <f t="shared" si="16"/>
        <v/>
      </c>
      <c r="Y289" s="58" t="s">
        <v>73</v>
      </c>
      <c r="Z289" s="57" t="str">
        <f t="shared" si="17"/>
        <v/>
      </c>
      <c r="AA289" s="58" t="s">
        <v>73</v>
      </c>
      <c r="AB289" s="57" t="str">
        <f t="shared" si="18"/>
        <v/>
      </c>
      <c r="AC289" s="58" t="s">
        <v>73</v>
      </c>
      <c r="AD289" s="57" t="str">
        <f t="shared" si="19"/>
        <v/>
      </c>
      <c r="AE289" s="59"/>
      <c r="AF289" s="59"/>
      <c r="AG289" s="59"/>
      <c r="AH289" s="59"/>
      <c r="AI289" s="59" t="s">
        <v>73</v>
      </c>
      <c r="AJ289" s="59"/>
      <c r="AK289" s="59" t="s">
        <v>73</v>
      </c>
      <c r="AL289" s="59"/>
      <c r="AM289" s="59" t="s">
        <v>73</v>
      </c>
      <c r="AN289" s="59"/>
      <c r="AO289" s="59" t="s">
        <v>73</v>
      </c>
      <c r="AP289" s="59"/>
      <c r="AQ289" s="59" t="s">
        <v>73</v>
      </c>
      <c r="AR289" s="59"/>
      <c r="AS289" s="59" t="s">
        <v>72</v>
      </c>
      <c r="AT289" s="59"/>
      <c r="AU289" s="59"/>
      <c r="AV289" s="59"/>
      <c r="AW289" s="59"/>
      <c r="AX289" s="59"/>
      <c r="AY289" s="60" t="str">
        <f>IF('Cálculo MP'!K299="","",'Cálculo MP'!K299)</f>
        <v/>
      </c>
      <c r="AZ289" s="60" t="str">
        <f>IF('Cálculo MP'!L299="","",'Cálculo MP'!L299)</f>
        <v/>
      </c>
      <c r="BA289" s="60" t="str">
        <f>IF('Cálculo MP'!M299="","",'Cálculo MP'!M299)</f>
        <v/>
      </c>
      <c r="BB289" s="60" t="str">
        <f>IF('Cálculo MP'!N299="","",'Cálculo MP'!N299)</f>
        <v/>
      </c>
      <c r="BC289" s="60" t="str">
        <f>IF('Cálculo MP'!O299="","",'Cálculo MP'!O299)</f>
        <v/>
      </c>
      <c r="BD289" s="60" t="str">
        <f>IF('Cálculo MP'!P299="","",'Cálculo MP'!P299)</f>
        <v/>
      </c>
      <c r="BE289" s="60" t="str">
        <f>IF('Cálculo MP'!Q299="","",'Cálculo MP'!Q299)</f>
        <v/>
      </c>
      <c r="BF289" s="60" t="str">
        <f>IF('Cálculo MP'!R299="","",'Cálculo MP'!R299)</f>
        <v/>
      </c>
      <c r="BG289" s="60" t="str">
        <f>IF('Cálculo MP'!S299="","",'Cálculo MP'!S299)</f>
        <v/>
      </c>
      <c r="BH289" s="59"/>
      <c r="BI289" s="59"/>
      <c r="BJ289" s="59"/>
      <c r="BK289" s="59"/>
      <c r="BL289" s="59"/>
      <c r="BM289" s="59"/>
      <c r="BN289" s="59"/>
      <c r="BO289" s="59"/>
    </row>
    <row r="290" spans="1:67" ht="19.5" customHeight="1" x14ac:dyDescent="0.15">
      <c r="A290" s="123" t="s">
        <v>1856</v>
      </c>
      <c r="B290" s="122" t="s">
        <v>1854</v>
      </c>
      <c r="C290" s="49"/>
      <c r="D290" s="48" t="s">
        <v>73</v>
      </c>
      <c r="E290" s="49"/>
      <c r="F290" s="50"/>
      <c r="G290" s="62"/>
      <c r="H290" s="48" t="s">
        <v>72</v>
      </c>
      <c r="I290" s="52">
        <v>1</v>
      </c>
      <c r="J290" s="52"/>
      <c r="K290" s="52" t="s">
        <v>73</v>
      </c>
      <c r="L290" s="52" t="s">
        <v>74</v>
      </c>
      <c r="M290" s="53" t="s">
        <v>942</v>
      </c>
      <c r="N290" s="58" t="s">
        <v>73</v>
      </c>
      <c r="O290" s="48" t="s">
        <v>72</v>
      </c>
      <c r="P290" s="48" t="s">
        <v>73</v>
      </c>
      <c r="Q290" s="54" t="s">
        <v>73</v>
      </c>
      <c r="R290" s="55" t="s">
        <v>73</v>
      </c>
      <c r="S290" s="48" t="s">
        <v>73</v>
      </c>
      <c r="T290" s="130"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8" t="str" cm="1">
        <f t="array" ref="U290">IF(SUMPRODUCT(--((CAT_Procesos!$E$2:$E$1581=O290)*(CAT_Procesos!$F$2:$F$1581=_xlfn.TEXTJOIN(" + ",TRUE,IF((TRIM(P290:S290)="")+(LOWER(TRIM(P290:S290))="(seleccione)"),"",PROPER(TRIM(P290:S290)))))*(CAT_Procesos!$D$2:$D$1581=IFERROR(VLOOKUP(N290&amp;"*",CAT_Procesos!$D:$D,1,FALSE),""))))=0,"Combinación no existente",IF(SUMPRODUCT(((CAT_Procesos!$E$2:$E$1581=O290)*(CAT_Procesos!$F$2:$F$1581=_xlfn.TEXTJOIN(" + ",TRUE,IF((TRIM(P290:S290)="")+(LOWER(TRIM(P290:S290))="(seleccione)"),"",PROPER(TRIM(P290:S290)))))*(CAT_Procesos!$D$2:$D$1581=IFERROR(VLOOKUP(N290&amp;"*",CAT_Procesos!$D:$D,1,FALSE),"")))*(CAT_Procesos!$G$2:$G$1581=INDEX(CAT_Procesos!$G$2:$G$1581,MATCH(1,(CAT_Procesos!$E$2:$E$1581=O290)*(CAT_Procesos!$F$2:$F$1581=_xlfn.TEXTJOIN(" + ",TRUE,IF((TRIM(P290:S290)="")+(LOWER(TRIM(P290:S290))="(seleccione)"),"",PROPER(TRIM(P290:S290)))))*(CAT_Procesos!$D$2:$D$1581=IFERROR(VLOOKUP(N290&amp;"*",CAT_Procesos!$D:$D,1,FALSE),"")),0))))=SUMPRODUCT(--((CAT_Procesos!$E$2:$E$1581=O290)*(CAT_Procesos!$F$2:$F$1581=_xlfn.TEXTJOIN(" + ",TRUE,IF((TRIM(P290:S290)="")+(LOWER(TRIM(P290:S290))="(seleccione)"),"",PROPER(TRIM(P290:S290)))))*(CAT_Procesos!$D$2:$D$1581=IFERROR(VLOOKUP(N290&amp;"*",CAT_Procesos!$D:$D,1,FALSE),"")))),INDEX(CAT_Procesos!$G$2:$G$1581,MATCH(1,(CAT_Procesos!$E$2:$E$1581=O290)*(CAT_Procesos!$F$2:$F$1581=_xlfn.TEXTJOIN(" + ",TRUE,IF((TRIM(P290:S290)="")+(LOWER(TRIM(P290:S290))="(seleccione)"),"",PROPER(TRIM(P290:S290)))))*(CAT_Procesos!$D$2:$D$1581=IFERROR(VLOOKUP(N290&amp;"*",CAT_Procesos!$D:$D,1,FALSE),"")),0)),"(seleccione)"))</f>
        <v>Combinación no existente</v>
      </c>
      <c r="V290" s="55" t="s">
        <v>73</v>
      </c>
      <c r="W290" s="56" t="s">
        <v>73</v>
      </c>
      <c r="X290" s="57" t="str">
        <f t="shared" si="16"/>
        <v/>
      </c>
      <c r="Y290" s="58" t="s">
        <v>73</v>
      </c>
      <c r="Z290" s="57" t="str">
        <f t="shared" si="17"/>
        <v/>
      </c>
      <c r="AA290" s="58" t="s">
        <v>73</v>
      </c>
      <c r="AB290" s="57" t="str">
        <f t="shared" si="18"/>
        <v/>
      </c>
      <c r="AC290" s="58" t="s">
        <v>73</v>
      </c>
      <c r="AD290" s="57" t="str">
        <f t="shared" si="19"/>
        <v/>
      </c>
      <c r="AE290" s="59"/>
      <c r="AF290" s="59"/>
      <c r="AG290" s="59"/>
      <c r="AH290" s="59"/>
      <c r="AI290" s="59" t="s">
        <v>73</v>
      </c>
      <c r="AJ290" s="59"/>
      <c r="AK290" s="59" t="s">
        <v>73</v>
      </c>
      <c r="AL290" s="59"/>
      <c r="AM290" s="59" t="s">
        <v>73</v>
      </c>
      <c r="AN290" s="59"/>
      <c r="AO290" s="59" t="s">
        <v>73</v>
      </c>
      <c r="AP290" s="59"/>
      <c r="AQ290" s="59" t="s">
        <v>73</v>
      </c>
      <c r="AR290" s="59"/>
      <c r="AS290" s="59" t="s">
        <v>72</v>
      </c>
      <c r="AT290" s="59"/>
      <c r="AU290" s="59"/>
      <c r="AV290" s="59"/>
      <c r="AW290" s="59"/>
      <c r="AX290" s="59"/>
      <c r="AY290" s="60" t="str">
        <f>IF('Cálculo MP'!K300="","",'Cálculo MP'!K300)</f>
        <v/>
      </c>
      <c r="AZ290" s="60" t="str">
        <f>IF('Cálculo MP'!L300="","",'Cálculo MP'!L300)</f>
        <v/>
      </c>
      <c r="BA290" s="60" t="str">
        <f>IF('Cálculo MP'!M300="","",'Cálculo MP'!M300)</f>
        <v/>
      </c>
      <c r="BB290" s="60" t="str">
        <f>IF('Cálculo MP'!N300="","",'Cálculo MP'!N300)</f>
        <v/>
      </c>
      <c r="BC290" s="60" t="str">
        <f>IF('Cálculo MP'!O300="","",'Cálculo MP'!O300)</f>
        <v/>
      </c>
      <c r="BD290" s="60" t="str">
        <f>IF('Cálculo MP'!P300="","",'Cálculo MP'!P300)</f>
        <v/>
      </c>
      <c r="BE290" s="60" t="str">
        <f>IF('Cálculo MP'!Q300="","",'Cálculo MP'!Q300)</f>
        <v/>
      </c>
      <c r="BF290" s="60" t="str">
        <f>IF('Cálculo MP'!R300="","",'Cálculo MP'!R300)</f>
        <v/>
      </c>
      <c r="BG290" s="60" t="str">
        <f>IF('Cálculo MP'!S300="","",'Cálculo MP'!S300)</f>
        <v/>
      </c>
      <c r="BH290" s="59"/>
      <c r="BI290" s="59"/>
      <c r="BJ290" s="59"/>
      <c r="BK290" s="59"/>
      <c r="BL290" s="59"/>
      <c r="BM290" s="59"/>
      <c r="BN290" s="59"/>
      <c r="BO290" s="59"/>
    </row>
    <row r="291" spans="1:67" ht="19.5" customHeight="1" x14ac:dyDescent="0.15">
      <c r="A291" s="123" t="s">
        <v>1856</v>
      </c>
      <c r="B291" s="122" t="s">
        <v>1854</v>
      </c>
      <c r="C291" s="49"/>
      <c r="D291" s="48" t="s">
        <v>73</v>
      </c>
      <c r="E291" s="49"/>
      <c r="F291" s="50"/>
      <c r="G291" s="62"/>
      <c r="H291" s="48" t="s">
        <v>72</v>
      </c>
      <c r="I291" s="52">
        <v>1</v>
      </c>
      <c r="J291" s="52"/>
      <c r="K291" s="52" t="s">
        <v>73</v>
      </c>
      <c r="L291" s="52" t="s">
        <v>74</v>
      </c>
      <c r="M291" s="53" t="s">
        <v>942</v>
      </c>
      <c r="N291" s="58" t="s">
        <v>73</v>
      </c>
      <c r="O291" s="48" t="s">
        <v>72</v>
      </c>
      <c r="P291" s="48" t="s">
        <v>73</v>
      </c>
      <c r="Q291" s="54" t="s">
        <v>73</v>
      </c>
      <c r="R291" s="55" t="s">
        <v>73</v>
      </c>
      <c r="S291" s="48" t="s">
        <v>73</v>
      </c>
      <c r="T291" s="130"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8" t="str" cm="1">
        <f t="array" ref="U291">IF(SUMPRODUCT(--((CAT_Procesos!$E$2:$E$1581=O291)*(CAT_Procesos!$F$2:$F$1581=_xlfn.TEXTJOIN(" + ",TRUE,IF((TRIM(P291:S291)="")+(LOWER(TRIM(P291:S291))="(seleccione)"),"",PROPER(TRIM(P291:S291)))))*(CAT_Procesos!$D$2:$D$1581=IFERROR(VLOOKUP(N291&amp;"*",CAT_Procesos!$D:$D,1,FALSE),""))))=0,"Combinación no existente",IF(SUMPRODUCT(((CAT_Procesos!$E$2:$E$1581=O291)*(CAT_Procesos!$F$2:$F$1581=_xlfn.TEXTJOIN(" + ",TRUE,IF((TRIM(P291:S291)="")+(LOWER(TRIM(P291:S291))="(seleccione)"),"",PROPER(TRIM(P291:S291)))))*(CAT_Procesos!$D$2:$D$1581=IFERROR(VLOOKUP(N291&amp;"*",CAT_Procesos!$D:$D,1,FALSE),"")))*(CAT_Procesos!$G$2:$G$1581=INDEX(CAT_Procesos!$G$2:$G$1581,MATCH(1,(CAT_Procesos!$E$2:$E$1581=O291)*(CAT_Procesos!$F$2:$F$1581=_xlfn.TEXTJOIN(" + ",TRUE,IF((TRIM(P291:S291)="")+(LOWER(TRIM(P291:S291))="(seleccione)"),"",PROPER(TRIM(P291:S291)))))*(CAT_Procesos!$D$2:$D$1581=IFERROR(VLOOKUP(N291&amp;"*",CAT_Procesos!$D:$D,1,FALSE),"")),0))))=SUMPRODUCT(--((CAT_Procesos!$E$2:$E$1581=O291)*(CAT_Procesos!$F$2:$F$1581=_xlfn.TEXTJOIN(" + ",TRUE,IF((TRIM(P291:S291)="")+(LOWER(TRIM(P291:S291))="(seleccione)"),"",PROPER(TRIM(P291:S291)))))*(CAT_Procesos!$D$2:$D$1581=IFERROR(VLOOKUP(N291&amp;"*",CAT_Procesos!$D:$D,1,FALSE),"")))),INDEX(CAT_Procesos!$G$2:$G$1581,MATCH(1,(CAT_Procesos!$E$2:$E$1581=O291)*(CAT_Procesos!$F$2:$F$1581=_xlfn.TEXTJOIN(" + ",TRUE,IF((TRIM(P291:S291)="")+(LOWER(TRIM(P291:S291))="(seleccione)"),"",PROPER(TRIM(P291:S291)))))*(CAT_Procesos!$D$2:$D$1581=IFERROR(VLOOKUP(N291&amp;"*",CAT_Procesos!$D:$D,1,FALSE),"")),0)),"(seleccione)"))</f>
        <v>Combinación no existente</v>
      </c>
      <c r="V291" s="55" t="s">
        <v>73</v>
      </c>
      <c r="W291" s="56" t="s">
        <v>73</v>
      </c>
      <c r="X291" s="57" t="str">
        <f t="shared" si="16"/>
        <v/>
      </c>
      <c r="Y291" s="58" t="s">
        <v>73</v>
      </c>
      <c r="Z291" s="57" t="str">
        <f t="shared" si="17"/>
        <v/>
      </c>
      <c r="AA291" s="58" t="s">
        <v>73</v>
      </c>
      <c r="AB291" s="57" t="str">
        <f t="shared" si="18"/>
        <v/>
      </c>
      <c r="AC291" s="58" t="s">
        <v>73</v>
      </c>
      <c r="AD291" s="57" t="str">
        <f t="shared" si="19"/>
        <v/>
      </c>
      <c r="AE291" s="59"/>
      <c r="AF291" s="59"/>
      <c r="AG291" s="59"/>
      <c r="AH291" s="59"/>
      <c r="AI291" s="59" t="s">
        <v>73</v>
      </c>
      <c r="AJ291" s="59"/>
      <c r="AK291" s="59" t="s">
        <v>73</v>
      </c>
      <c r="AL291" s="59"/>
      <c r="AM291" s="59" t="s">
        <v>73</v>
      </c>
      <c r="AN291" s="59"/>
      <c r="AO291" s="59" t="s">
        <v>73</v>
      </c>
      <c r="AP291" s="59"/>
      <c r="AQ291" s="59" t="s">
        <v>73</v>
      </c>
      <c r="AR291" s="59"/>
      <c r="AS291" s="59" t="s">
        <v>72</v>
      </c>
      <c r="AT291" s="59"/>
      <c r="AU291" s="59"/>
      <c r="AV291" s="59"/>
      <c r="AW291" s="59"/>
      <c r="AX291" s="59"/>
      <c r="AY291" s="60" t="str">
        <f>IF('Cálculo MP'!K301="","",'Cálculo MP'!K301)</f>
        <v/>
      </c>
      <c r="AZ291" s="60" t="str">
        <f>IF('Cálculo MP'!L301="","",'Cálculo MP'!L301)</f>
        <v/>
      </c>
      <c r="BA291" s="60" t="str">
        <f>IF('Cálculo MP'!M301="","",'Cálculo MP'!M301)</f>
        <v/>
      </c>
      <c r="BB291" s="60" t="str">
        <f>IF('Cálculo MP'!N301="","",'Cálculo MP'!N301)</f>
        <v/>
      </c>
      <c r="BC291" s="60" t="str">
        <f>IF('Cálculo MP'!O301="","",'Cálculo MP'!O301)</f>
        <v/>
      </c>
      <c r="BD291" s="60" t="str">
        <f>IF('Cálculo MP'!P301="","",'Cálculo MP'!P301)</f>
        <v/>
      </c>
      <c r="BE291" s="60" t="str">
        <f>IF('Cálculo MP'!Q301="","",'Cálculo MP'!Q301)</f>
        <v/>
      </c>
      <c r="BF291" s="60" t="str">
        <f>IF('Cálculo MP'!R301="","",'Cálculo MP'!R301)</f>
        <v/>
      </c>
      <c r="BG291" s="60" t="str">
        <f>IF('Cálculo MP'!S301="","",'Cálculo MP'!S301)</f>
        <v/>
      </c>
      <c r="BH291" s="59"/>
      <c r="BI291" s="59"/>
      <c r="BJ291" s="59"/>
      <c r="BK291" s="59"/>
      <c r="BL291" s="59"/>
      <c r="BM291" s="59"/>
      <c r="BN291" s="59"/>
      <c r="BO291" s="59"/>
    </row>
    <row r="292" spans="1:67" ht="19.5" customHeight="1" x14ac:dyDescent="0.15">
      <c r="A292" s="123" t="s">
        <v>1856</v>
      </c>
      <c r="B292" s="122" t="s">
        <v>1854</v>
      </c>
      <c r="C292" s="49"/>
      <c r="D292" s="48" t="s">
        <v>73</v>
      </c>
      <c r="E292" s="49"/>
      <c r="F292" s="50"/>
      <c r="G292" s="62"/>
      <c r="H292" s="48" t="s">
        <v>72</v>
      </c>
      <c r="I292" s="52">
        <v>1</v>
      </c>
      <c r="J292" s="52"/>
      <c r="K292" s="52" t="s">
        <v>73</v>
      </c>
      <c r="L292" s="52" t="s">
        <v>74</v>
      </c>
      <c r="M292" s="53" t="s">
        <v>942</v>
      </c>
      <c r="N292" s="58" t="s">
        <v>73</v>
      </c>
      <c r="O292" s="48" t="s">
        <v>72</v>
      </c>
      <c r="P292" s="48" t="s">
        <v>73</v>
      </c>
      <c r="Q292" s="54" t="s">
        <v>73</v>
      </c>
      <c r="R292" s="55" t="s">
        <v>73</v>
      </c>
      <c r="S292" s="48" t="s">
        <v>73</v>
      </c>
      <c r="T292" s="130"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8" t="str" cm="1">
        <f t="array" ref="U292">IF(SUMPRODUCT(--((CAT_Procesos!$E$2:$E$1581=O292)*(CAT_Procesos!$F$2:$F$1581=_xlfn.TEXTJOIN(" + ",TRUE,IF((TRIM(P292:S292)="")+(LOWER(TRIM(P292:S292))="(seleccione)"),"",PROPER(TRIM(P292:S292)))))*(CAT_Procesos!$D$2:$D$1581=IFERROR(VLOOKUP(N292&amp;"*",CAT_Procesos!$D:$D,1,FALSE),""))))=0,"Combinación no existente",IF(SUMPRODUCT(((CAT_Procesos!$E$2:$E$1581=O292)*(CAT_Procesos!$F$2:$F$1581=_xlfn.TEXTJOIN(" + ",TRUE,IF((TRIM(P292:S292)="")+(LOWER(TRIM(P292:S292))="(seleccione)"),"",PROPER(TRIM(P292:S292)))))*(CAT_Procesos!$D$2:$D$1581=IFERROR(VLOOKUP(N292&amp;"*",CAT_Procesos!$D:$D,1,FALSE),"")))*(CAT_Procesos!$G$2:$G$1581=INDEX(CAT_Procesos!$G$2:$G$1581,MATCH(1,(CAT_Procesos!$E$2:$E$1581=O292)*(CAT_Procesos!$F$2:$F$1581=_xlfn.TEXTJOIN(" + ",TRUE,IF((TRIM(P292:S292)="")+(LOWER(TRIM(P292:S292))="(seleccione)"),"",PROPER(TRIM(P292:S292)))))*(CAT_Procesos!$D$2:$D$1581=IFERROR(VLOOKUP(N292&amp;"*",CAT_Procesos!$D:$D,1,FALSE),"")),0))))=SUMPRODUCT(--((CAT_Procesos!$E$2:$E$1581=O292)*(CAT_Procesos!$F$2:$F$1581=_xlfn.TEXTJOIN(" + ",TRUE,IF((TRIM(P292:S292)="")+(LOWER(TRIM(P292:S292))="(seleccione)"),"",PROPER(TRIM(P292:S292)))))*(CAT_Procesos!$D$2:$D$1581=IFERROR(VLOOKUP(N292&amp;"*",CAT_Procesos!$D:$D,1,FALSE),"")))),INDEX(CAT_Procesos!$G$2:$G$1581,MATCH(1,(CAT_Procesos!$E$2:$E$1581=O292)*(CAT_Procesos!$F$2:$F$1581=_xlfn.TEXTJOIN(" + ",TRUE,IF((TRIM(P292:S292)="")+(LOWER(TRIM(P292:S292))="(seleccione)"),"",PROPER(TRIM(P292:S292)))))*(CAT_Procesos!$D$2:$D$1581=IFERROR(VLOOKUP(N292&amp;"*",CAT_Procesos!$D:$D,1,FALSE),"")),0)),"(seleccione)"))</f>
        <v>Combinación no existente</v>
      </c>
      <c r="V292" s="55" t="s">
        <v>73</v>
      </c>
      <c r="W292" s="56" t="s">
        <v>73</v>
      </c>
      <c r="X292" s="57" t="str">
        <f t="shared" si="16"/>
        <v/>
      </c>
      <c r="Y292" s="58" t="s">
        <v>73</v>
      </c>
      <c r="Z292" s="57" t="str">
        <f t="shared" si="17"/>
        <v/>
      </c>
      <c r="AA292" s="58" t="s">
        <v>73</v>
      </c>
      <c r="AB292" s="57" t="str">
        <f t="shared" si="18"/>
        <v/>
      </c>
      <c r="AC292" s="58" t="s">
        <v>73</v>
      </c>
      <c r="AD292" s="57" t="str">
        <f t="shared" si="19"/>
        <v/>
      </c>
      <c r="AE292" s="59"/>
      <c r="AF292" s="59"/>
      <c r="AG292" s="59"/>
      <c r="AH292" s="59"/>
      <c r="AI292" s="59" t="s">
        <v>73</v>
      </c>
      <c r="AJ292" s="59"/>
      <c r="AK292" s="59" t="s">
        <v>73</v>
      </c>
      <c r="AL292" s="59"/>
      <c r="AM292" s="59" t="s">
        <v>73</v>
      </c>
      <c r="AN292" s="59"/>
      <c r="AO292" s="59" t="s">
        <v>73</v>
      </c>
      <c r="AP292" s="59"/>
      <c r="AQ292" s="59" t="s">
        <v>73</v>
      </c>
      <c r="AR292" s="59"/>
      <c r="AS292" s="59" t="s">
        <v>72</v>
      </c>
      <c r="AT292" s="59"/>
      <c r="AU292" s="59"/>
      <c r="AV292" s="59"/>
      <c r="AW292" s="59"/>
      <c r="AX292" s="59"/>
      <c r="AY292" s="60" t="str">
        <f>IF('Cálculo MP'!K302="","",'Cálculo MP'!K302)</f>
        <v/>
      </c>
      <c r="AZ292" s="60" t="str">
        <f>IF('Cálculo MP'!L302="","",'Cálculo MP'!L302)</f>
        <v/>
      </c>
      <c r="BA292" s="60" t="str">
        <f>IF('Cálculo MP'!M302="","",'Cálculo MP'!M302)</f>
        <v/>
      </c>
      <c r="BB292" s="60" t="str">
        <f>IF('Cálculo MP'!N302="","",'Cálculo MP'!N302)</f>
        <v/>
      </c>
      <c r="BC292" s="60" t="str">
        <f>IF('Cálculo MP'!O302="","",'Cálculo MP'!O302)</f>
        <v/>
      </c>
      <c r="BD292" s="60" t="str">
        <f>IF('Cálculo MP'!P302="","",'Cálculo MP'!P302)</f>
        <v/>
      </c>
      <c r="BE292" s="60" t="str">
        <f>IF('Cálculo MP'!Q302="","",'Cálculo MP'!Q302)</f>
        <v/>
      </c>
      <c r="BF292" s="60" t="str">
        <f>IF('Cálculo MP'!R302="","",'Cálculo MP'!R302)</f>
        <v/>
      </c>
      <c r="BG292" s="60" t="str">
        <f>IF('Cálculo MP'!S302="","",'Cálculo MP'!S302)</f>
        <v/>
      </c>
      <c r="BH292" s="59"/>
      <c r="BI292" s="59"/>
      <c r="BJ292" s="59"/>
      <c r="BK292" s="59"/>
      <c r="BL292" s="59"/>
      <c r="BM292" s="59"/>
      <c r="BN292" s="59"/>
      <c r="BO292" s="59"/>
    </row>
    <row r="293" spans="1:67" ht="19.5" customHeight="1" x14ac:dyDescent="0.15">
      <c r="A293" s="123" t="s">
        <v>1856</v>
      </c>
      <c r="B293" s="122" t="s">
        <v>1854</v>
      </c>
      <c r="C293" s="49"/>
      <c r="D293" s="48" t="s">
        <v>73</v>
      </c>
      <c r="E293" s="49"/>
      <c r="F293" s="50"/>
      <c r="G293" s="62"/>
      <c r="H293" s="48" t="s">
        <v>72</v>
      </c>
      <c r="I293" s="52">
        <v>1</v>
      </c>
      <c r="J293" s="52"/>
      <c r="K293" s="52" t="s">
        <v>73</v>
      </c>
      <c r="L293" s="52" t="s">
        <v>74</v>
      </c>
      <c r="M293" s="53" t="s">
        <v>942</v>
      </c>
      <c r="N293" s="58" t="s">
        <v>73</v>
      </c>
      <c r="O293" s="48" t="s">
        <v>72</v>
      </c>
      <c r="P293" s="48" t="s">
        <v>73</v>
      </c>
      <c r="Q293" s="54" t="s">
        <v>73</v>
      </c>
      <c r="R293" s="55" t="s">
        <v>73</v>
      </c>
      <c r="S293" s="48" t="s">
        <v>73</v>
      </c>
      <c r="T293" s="130"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8" t="str" cm="1">
        <f t="array" ref="U293">IF(SUMPRODUCT(--((CAT_Procesos!$E$2:$E$1581=O293)*(CAT_Procesos!$F$2:$F$1581=_xlfn.TEXTJOIN(" + ",TRUE,IF((TRIM(P293:S293)="")+(LOWER(TRIM(P293:S293))="(seleccione)"),"",PROPER(TRIM(P293:S293)))))*(CAT_Procesos!$D$2:$D$1581=IFERROR(VLOOKUP(N293&amp;"*",CAT_Procesos!$D:$D,1,FALSE),""))))=0,"Combinación no existente",IF(SUMPRODUCT(((CAT_Procesos!$E$2:$E$1581=O293)*(CAT_Procesos!$F$2:$F$1581=_xlfn.TEXTJOIN(" + ",TRUE,IF((TRIM(P293:S293)="")+(LOWER(TRIM(P293:S293))="(seleccione)"),"",PROPER(TRIM(P293:S293)))))*(CAT_Procesos!$D$2:$D$1581=IFERROR(VLOOKUP(N293&amp;"*",CAT_Procesos!$D:$D,1,FALSE),"")))*(CAT_Procesos!$G$2:$G$1581=INDEX(CAT_Procesos!$G$2:$G$1581,MATCH(1,(CAT_Procesos!$E$2:$E$1581=O293)*(CAT_Procesos!$F$2:$F$1581=_xlfn.TEXTJOIN(" + ",TRUE,IF((TRIM(P293:S293)="")+(LOWER(TRIM(P293:S293))="(seleccione)"),"",PROPER(TRIM(P293:S293)))))*(CAT_Procesos!$D$2:$D$1581=IFERROR(VLOOKUP(N293&amp;"*",CAT_Procesos!$D:$D,1,FALSE),"")),0))))=SUMPRODUCT(--((CAT_Procesos!$E$2:$E$1581=O293)*(CAT_Procesos!$F$2:$F$1581=_xlfn.TEXTJOIN(" + ",TRUE,IF((TRIM(P293:S293)="")+(LOWER(TRIM(P293:S293))="(seleccione)"),"",PROPER(TRIM(P293:S293)))))*(CAT_Procesos!$D$2:$D$1581=IFERROR(VLOOKUP(N293&amp;"*",CAT_Procesos!$D:$D,1,FALSE),"")))),INDEX(CAT_Procesos!$G$2:$G$1581,MATCH(1,(CAT_Procesos!$E$2:$E$1581=O293)*(CAT_Procesos!$F$2:$F$1581=_xlfn.TEXTJOIN(" + ",TRUE,IF((TRIM(P293:S293)="")+(LOWER(TRIM(P293:S293))="(seleccione)"),"",PROPER(TRIM(P293:S293)))))*(CAT_Procesos!$D$2:$D$1581=IFERROR(VLOOKUP(N293&amp;"*",CAT_Procesos!$D:$D,1,FALSE),"")),0)),"(seleccione)"))</f>
        <v>Combinación no existente</v>
      </c>
      <c r="V293" s="55" t="s">
        <v>73</v>
      </c>
      <c r="W293" s="56" t="s">
        <v>73</v>
      </c>
      <c r="X293" s="57" t="str">
        <f t="shared" si="16"/>
        <v/>
      </c>
      <c r="Y293" s="58" t="s">
        <v>73</v>
      </c>
      <c r="Z293" s="57" t="str">
        <f t="shared" si="17"/>
        <v/>
      </c>
      <c r="AA293" s="58" t="s">
        <v>73</v>
      </c>
      <c r="AB293" s="57" t="str">
        <f t="shared" si="18"/>
        <v/>
      </c>
      <c r="AC293" s="58" t="s">
        <v>73</v>
      </c>
      <c r="AD293" s="57" t="str">
        <f t="shared" si="19"/>
        <v/>
      </c>
      <c r="AE293" s="59"/>
      <c r="AF293" s="59"/>
      <c r="AG293" s="59"/>
      <c r="AH293" s="59"/>
      <c r="AI293" s="59" t="s">
        <v>73</v>
      </c>
      <c r="AJ293" s="59"/>
      <c r="AK293" s="59" t="s">
        <v>73</v>
      </c>
      <c r="AL293" s="59"/>
      <c r="AM293" s="59" t="s">
        <v>73</v>
      </c>
      <c r="AN293" s="59"/>
      <c r="AO293" s="59" t="s">
        <v>73</v>
      </c>
      <c r="AP293" s="59"/>
      <c r="AQ293" s="59" t="s">
        <v>73</v>
      </c>
      <c r="AR293" s="59"/>
      <c r="AS293" s="59" t="s">
        <v>72</v>
      </c>
      <c r="AT293" s="59"/>
      <c r="AU293" s="59"/>
      <c r="AV293" s="59"/>
      <c r="AW293" s="59"/>
      <c r="AX293" s="59"/>
      <c r="AY293" s="60" t="str">
        <f>IF('Cálculo MP'!K303="","",'Cálculo MP'!K303)</f>
        <v/>
      </c>
      <c r="AZ293" s="60" t="str">
        <f>IF('Cálculo MP'!L303="","",'Cálculo MP'!L303)</f>
        <v/>
      </c>
      <c r="BA293" s="60" t="str">
        <f>IF('Cálculo MP'!M303="","",'Cálculo MP'!M303)</f>
        <v/>
      </c>
      <c r="BB293" s="60" t="str">
        <f>IF('Cálculo MP'!N303="","",'Cálculo MP'!N303)</f>
        <v/>
      </c>
      <c r="BC293" s="60" t="str">
        <f>IF('Cálculo MP'!O303="","",'Cálculo MP'!O303)</f>
        <v/>
      </c>
      <c r="BD293" s="60" t="str">
        <f>IF('Cálculo MP'!P303="","",'Cálculo MP'!P303)</f>
        <v/>
      </c>
      <c r="BE293" s="60" t="str">
        <f>IF('Cálculo MP'!Q303="","",'Cálculo MP'!Q303)</f>
        <v/>
      </c>
      <c r="BF293" s="60" t="str">
        <f>IF('Cálculo MP'!R303="","",'Cálculo MP'!R303)</f>
        <v/>
      </c>
      <c r="BG293" s="60" t="str">
        <f>IF('Cálculo MP'!S303="","",'Cálculo MP'!S303)</f>
        <v/>
      </c>
      <c r="BH293" s="59"/>
      <c r="BI293" s="59"/>
      <c r="BJ293" s="59"/>
      <c r="BK293" s="59"/>
      <c r="BL293" s="59"/>
      <c r="BM293" s="59"/>
      <c r="BN293" s="59"/>
      <c r="BO293" s="59"/>
    </row>
    <row r="294" spans="1:67" ht="19.5" customHeight="1" x14ac:dyDescent="0.15">
      <c r="A294" s="123" t="s">
        <v>1856</v>
      </c>
      <c r="B294" s="122" t="s">
        <v>1854</v>
      </c>
      <c r="C294" s="49"/>
      <c r="D294" s="48" t="s">
        <v>73</v>
      </c>
      <c r="E294" s="49"/>
      <c r="F294" s="50"/>
      <c r="G294" s="62"/>
      <c r="H294" s="48" t="s">
        <v>72</v>
      </c>
      <c r="I294" s="52">
        <v>1</v>
      </c>
      <c r="J294" s="52"/>
      <c r="K294" s="52" t="s">
        <v>73</v>
      </c>
      <c r="L294" s="52" t="s">
        <v>74</v>
      </c>
      <c r="M294" s="53" t="s">
        <v>942</v>
      </c>
      <c r="N294" s="58" t="s">
        <v>73</v>
      </c>
      <c r="O294" s="48" t="s">
        <v>72</v>
      </c>
      <c r="P294" s="48" t="s">
        <v>73</v>
      </c>
      <c r="Q294" s="54" t="s">
        <v>73</v>
      </c>
      <c r="R294" s="55" t="s">
        <v>73</v>
      </c>
      <c r="S294" s="48" t="s">
        <v>73</v>
      </c>
      <c r="T294" s="130"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8" t="str" cm="1">
        <f t="array" ref="U294">IF(SUMPRODUCT(--((CAT_Procesos!$E$2:$E$1581=O294)*(CAT_Procesos!$F$2:$F$1581=_xlfn.TEXTJOIN(" + ",TRUE,IF((TRIM(P294:S294)="")+(LOWER(TRIM(P294:S294))="(seleccione)"),"",PROPER(TRIM(P294:S294)))))*(CAT_Procesos!$D$2:$D$1581=IFERROR(VLOOKUP(N294&amp;"*",CAT_Procesos!$D:$D,1,FALSE),""))))=0,"Combinación no existente",IF(SUMPRODUCT(((CAT_Procesos!$E$2:$E$1581=O294)*(CAT_Procesos!$F$2:$F$1581=_xlfn.TEXTJOIN(" + ",TRUE,IF((TRIM(P294:S294)="")+(LOWER(TRIM(P294:S294))="(seleccione)"),"",PROPER(TRIM(P294:S294)))))*(CAT_Procesos!$D$2:$D$1581=IFERROR(VLOOKUP(N294&amp;"*",CAT_Procesos!$D:$D,1,FALSE),"")))*(CAT_Procesos!$G$2:$G$1581=INDEX(CAT_Procesos!$G$2:$G$1581,MATCH(1,(CAT_Procesos!$E$2:$E$1581=O294)*(CAT_Procesos!$F$2:$F$1581=_xlfn.TEXTJOIN(" + ",TRUE,IF((TRIM(P294:S294)="")+(LOWER(TRIM(P294:S294))="(seleccione)"),"",PROPER(TRIM(P294:S294)))))*(CAT_Procesos!$D$2:$D$1581=IFERROR(VLOOKUP(N294&amp;"*",CAT_Procesos!$D:$D,1,FALSE),"")),0))))=SUMPRODUCT(--((CAT_Procesos!$E$2:$E$1581=O294)*(CAT_Procesos!$F$2:$F$1581=_xlfn.TEXTJOIN(" + ",TRUE,IF((TRIM(P294:S294)="")+(LOWER(TRIM(P294:S294))="(seleccione)"),"",PROPER(TRIM(P294:S294)))))*(CAT_Procesos!$D$2:$D$1581=IFERROR(VLOOKUP(N294&amp;"*",CAT_Procesos!$D:$D,1,FALSE),"")))),INDEX(CAT_Procesos!$G$2:$G$1581,MATCH(1,(CAT_Procesos!$E$2:$E$1581=O294)*(CAT_Procesos!$F$2:$F$1581=_xlfn.TEXTJOIN(" + ",TRUE,IF((TRIM(P294:S294)="")+(LOWER(TRIM(P294:S294))="(seleccione)"),"",PROPER(TRIM(P294:S294)))))*(CAT_Procesos!$D$2:$D$1581=IFERROR(VLOOKUP(N294&amp;"*",CAT_Procesos!$D:$D,1,FALSE),"")),0)),"(seleccione)"))</f>
        <v>Combinación no existente</v>
      </c>
      <c r="V294" s="55" t="s">
        <v>73</v>
      </c>
      <c r="W294" s="56" t="s">
        <v>73</v>
      </c>
      <c r="X294" s="57" t="str">
        <f t="shared" si="16"/>
        <v/>
      </c>
      <c r="Y294" s="58" t="s">
        <v>73</v>
      </c>
      <c r="Z294" s="57" t="str">
        <f t="shared" si="17"/>
        <v/>
      </c>
      <c r="AA294" s="58" t="s">
        <v>73</v>
      </c>
      <c r="AB294" s="57" t="str">
        <f t="shared" si="18"/>
        <v/>
      </c>
      <c r="AC294" s="58" t="s">
        <v>73</v>
      </c>
      <c r="AD294" s="57" t="str">
        <f t="shared" si="19"/>
        <v/>
      </c>
      <c r="AE294" s="59"/>
      <c r="AF294" s="59"/>
      <c r="AG294" s="59"/>
      <c r="AH294" s="59"/>
      <c r="AI294" s="59" t="s">
        <v>73</v>
      </c>
      <c r="AJ294" s="59"/>
      <c r="AK294" s="59" t="s">
        <v>73</v>
      </c>
      <c r="AL294" s="59"/>
      <c r="AM294" s="59" t="s">
        <v>73</v>
      </c>
      <c r="AN294" s="59"/>
      <c r="AO294" s="59" t="s">
        <v>73</v>
      </c>
      <c r="AP294" s="59"/>
      <c r="AQ294" s="59" t="s">
        <v>73</v>
      </c>
      <c r="AR294" s="59"/>
      <c r="AS294" s="59" t="s">
        <v>72</v>
      </c>
      <c r="AT294" s="59"/>
      <c r="AU294" s="59"/>
      <c r="AV294" s="59"/>
      <c r="AW294" s="59"/>
      <c r="AX294" s="59"/>
      <c r="AY294" s="60" t="str">
        <f>IF('Cálculo MP'!K304="","",'Cálculo MP'!K304)</f>
        <v/>
      </c>
      <c r="AZ294" s="60" t="str">
        <f>IF('Cálculo MP'!L304="","",'Cálculo MP'!L304)</f>
        <v/>
      </c>
      <c r="BA294" s="60" t="str">
        <f>IF('Cálculo MP'!M304="","",'Cálculo MP'!M304)</f>
        <v/>
      </c>
      <c r="BB294" s="60" t="str">
        <f>IF('Cálculo MP'!N304="","",'Cálculo MP'!N304)</f>
        <v/>
      </c>
      <c r="BC294" s="60" t="str">
        <f>IF('Cálculo MP'!O304="","",'Cálculo MP'!O304)</f>
        <v/>
      </c>
      <c r="BD294" s="60" t="str">
        <f>IF('Cálculo MP'!P304="","",'Cálculo MP'!P304)</f>
        <v/>
      </c>
      <c r="BE294" s="60" t="str">
        <f>IF('Cálculo MP'!Q304="","",'Cálculo MP'!Q304)</f>
        <v/>
      </c>
      <c r="BF294" s="60" t="str">
        <f>IF('Cálculo MP'!R304="","",'Cálculo MP'!R304)</f>
        <v/>
      </c>
      <c r="BG294" s="60" t="str">
        <f>IF('Cálculo MP'!S304="","",'Cálculo MP'!S304)</f>
        <v/>
      </c>
      <c r="BH294" s="59"/>
      <c r="BI294" s="59"/>
      <c r="BJ294" s="59"/>
      <c r="BK294" s="59"/>
      <c r="BL294" s="59"/>
      <c r="BM294" s="59"/>
      <c r="BN294" s="59"/>
      <c r="BO294" s="59"/>
    </row>
    <row r="295" spans="1:67" ht="19.5" customHeight="1" x14ac:dyDescent="0.15">
      <c r="A295" s="123" t="s">
        <v>1856</v>
      </c>
      <c r="B295" s="122" t="s">
        <v>1854</v>
      </c>
      <c r="C295" s="49"/>
      <c r="D295" s="48" t="s">
        <v>73</v>
      </c>
      <c r="E295" s="49"/>
      <c r="F295" s="50"/>
      <c r="G295" s="62"/>
      <c r="H295" s="48" t="s">
        <v>72</v>
      </c>
      <c r="I295" s="52">
        <v>1</v>
      </c>
      <c r="J295" s="52"/>
      <c r="K295" s="52" t="s">
        <v>73</v>
      </c>
      <c r="L295" s="52" t="s">
        <v>74</v>
      </c>
      <c r="M295" s="53" t="s">
        <v>942</v>
      </c>
      <c r="N295" s="58" t="s">
        <v>73</v>
      </c>
      <c r="O295" s="48" t="s">
        <v>72</v>
      </c>
      <c r="P295" s="48" t="s">
        <v>73</v>
      </c>
      <c r="Q295" s="54" t="s">
        <v>73</v>
      </c>
      <c r="R295" s="55" t="s">
        <v>73</v>
      </c>
      <c r="S295" s="48" t="s">
        <v>73</v>
      </c>
      <c r="T295" s="130"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8" t="str" cm="1">
        <f t="array" ref="U295">IF(SUMPRODUCT(--((CAT_Procesos!$E$2:$E$1581=O295)*(CAT_Procesos!$F$2:$F$1581=_xlfn.TEXTJOIN(" + ",TRUE,IF((TRIM(P295:S295)="")+(LOWER(TRIM(P295:S295))="(seleccione)"),"",PROPER(TRIM(P295:S295)))))*(CAT_Procesos!$D$2:$D$1581=IFERROR(VLOOKUP(N295&amp;"*",CAT_Procesos!$D:$D,1,FALSE),""))))=0,"Combinación no existente",IF(SUMPRODUCT(((CAT_Procesos!$E$2:$E$1581=O295)*(CAT_Procesos!$F$2:$F$1581=_xlfn.TEXTJOIN(" + ",TRUE,IF((TRIM(P295:S295)="")+(LOWER(TRIM(P295:S295))="(seleccione)"),"",PROPER(TRIM(P295:S295)))))*(CAT_Procesos!$D$2:$D$1581=IFERROR(VLOOKUP(N295&amp;"*",CAT_Procesos!$D:$D,1,FALSE),"")))*(CAT_Procesos!$G$2:$G$1581=INDEX(CAT_Procesos!$G$2:$G$1581,MATCH(1,(CAT_Procesos!$E$2:$E$1581=O295)*(CAT_Procesos!$F$2:$F$1581=_xlfn.TEXTJOIN(" + ",TRUE,IF((TRIM(P295:S295)="")+(LOWER(TRIM(P295:S295))="(seleccione)"),"",PROPER(TRIM(P295:S295)))))*(CAT_Procesos!$D$2:$D$1581=IFERROR(VLOOKUP(N295&amp;"*",CAT_Procesos!$D:$D,1,FALSE),"")),0))))=SUMPRODUCT(--((CAT_Procesos!$E$2:$E$1581=O295)*(CAT_Procesos!$F$2:$F$1581=_xlfn.TEXTJOIN(" + ",TRUE,IF((TRIM(P295:S295)="")+(LOWER(TRIM(P295:S295))="(seleccione)"),"",PROPER(TRIM(P295:S295)))))*(CAT_Procesos!$D$2:$D$1581=IFERROR(VLOOKUP(N295&amp;"*",CAT_Procesos!$D:$D,1,FALSE),"")))),INDEX(CAT_Procesos!$G$2:$G$1581,MATCH(1,(CAT_Procesos!$E$2:$E$1581=O295)*(CAT_Procesos!$F$2:$F$1581=_xlfn.TEXTJOIN(" + ",TRUE,IF((TRIM(P295:S295)="")+(LOWER(TRIM(P295:S295))="(seleccione)"),"",PROPER(TRIM(P295:S295)))))*(CAT_Procesos!$D$2:$D$1581=IFERROR(VLOOKUP(N295&amp;"*",CAT_Procesos!$D:$D,1,FALSE),"")),0)),"(seleccione)"))</f>
        <v>Combinación no existente</v>
      </c>
      <c r="V295" s="55" t="s">
        <v>73</v>
      </c>
      <c r="W295" s="56" t="s">
        <v>73</v>
      </c>
      <c r="X295" s="57" t="str">
        <f t="shared" si="16"/>
        <v/>
      </c>
      <c r="Y295" s="58" t="s">
        <v>73</v>
      </c>
      <c r="Z295" s="57" t="str">
        <f t="shared" si="17"/>
        <v/>
      </c>
      <c r="AA295" s="58" t="s">
        <v>73</v>
      </c>
      <c r="AB295" s="57" t="str">
        <f t="shared" si="18"/>
        <v/>
      </c>
      <c r="AC295" s="58" t="s">
        <v>73</v>
      </c>
      <c r="AD295" s="57" t="str">
        <f t="shared" si="19"/>
        <v/>
      </c>
      <c r="AE295" s="59"/>
      <c r="AF295" s="59"/>
      <c r="AG295" s="59"/>
      <c r="AH295" s="59"/>
      <c r="AI295" s="59" t="s">
        <v>73</v>
      </c>
      <c r="AJ295" s="59"/>
      <c r="AK295" s="59" t="s">
        <v>73</v>
      </c>
      <c r="AL295" s="59"/>
      <c r="AM295" s="59" t="s">
        <v>73</v>
      </c>
      <c r="AN295" s="59"/>
      <c r="AO295" s="59" t="s">
        <v>73</v>
      </c>
      <c r="AP295" s="59"/>
      <c r="AQ295" s="59" t="s">
        <v>73</v>
      </c>
      <c r="AR295" s="59"/>
      <c r="AS295" s="59" t="s">
        <v>72</v>
      </c>
      <c r="AT295" s="59"/>
      <c r="AU295" s="59"/>
      <c r="AV295" s="59"/>
      <c r="AW295" s="59"/>
      <c r="AX295" s="59"/>
      <c r="AY295" s="60" t="str">
        <f>IF('Cálculo MP'!K305="","",'Cálculo MP'!K305)</f>
        <v/>
      </c>
      <c r="AZ295" s="60" t="str">
        <f>IF('Cálculo MP'!L305="","",'Cálculo MP'!L305)</f>
        <v/>
      </c>
      <c r="BA295" s="60" t="str">
        <f>IF('Cálculo MP'!M305="","",'Cálculo MP'!M305)</f>
        <v/>
      </c>
      <c r="BB295" s="60" t="str">
        <f>IF('Cálculo MP'!N305="","",'Cálculo MP'!N305)</f>
        <v/>
      </c>
      <c r="BC295" s="60" t="str">
        <f>IF('Cálculo MP'!O305="","",'Cálculo MP'!O305)</f>
        <v/>
      </c>
      <c r="BD295" s="60" t="str">
        <f>IF('Cálculo MP'!P305="","",'Cálculo MP'!P305)</f>
        <v/>
      </c>
      <c r="BE295" s="60" t="str">
        <f>IF('Cálculo MP'!Q305="","",'Cálculo MP'!Q305)</f>
        <v/>
      </c>
      <c r="BF295" s="60" t="str">
        <f>IF('Cálculo MP'!R305="","",'Cálculo MP'!R305)</f>
        <v/>
      </c>
      <c r="BG295" s="60" t="str">
        <f>IF('Cálculo MP'!S305="","",'Cálculo MP'!S305)</f>
        <v/>
      </c>
      <c r="BH295" s="59"/>
      <c r="BI295" s="59"/>
      <c r="BJ295" s="59"/>
      <c r="BK295" s="59"/>
      <c r="BL295" s="59"/>
      <c r="BM295" s="59"/>
      <c r="BN295" s="59"/>
      <c r="BO295" s="59"/>
    </row>
    <row r="296" spans="1:67" ht="19.5" customHeight="1" x14ac:dyDescent="0.15">
      <c r="A296" s="123" t="s">
        <v>1856</v>
      </c>
      <c r="B296" s="122" t="s">
        <v>1854</v>
      </c>
      <c r="C296" s="49"/>
      <c r="D296" s="48" t="s">
        <v>73</v>
      </c>
      <c r="E296" s="49"/>
      <c r="F296" s="50"/>
      <c r="G296" s="62"/>
      <c r="H296" s="48" t="s">
        <v>72</v>
      </c>
      <c r="I296" s="52">
        <v>1</v>
      </c>
      <c r="J296" s="52"/>
      <c r="K296" s="52" t="s">
        <v>73</v>
      </c>
      <c r="L296" s="52" t="s">
        <v>74</v>
      </c>
      <c r="M296" s="53" t="s">
        <v>942</v>
      </c>
      <c r="N296" s="58" t="s">
        <v>73</v>
      </c>
      <c r="O296" s="48" t="s">
        <v>72</v>
      </c>
      <c r="P296" s="48" t="s">
        <v>73</v>
      </c>
      <c r="Q296" s="54" t="s">
        <v>73</v>
      </c>
      <c r="R296" s="55" t="s">
        <v>73</v>
      </c>
      <c r="S296" s="48" t="s">
        <v>73</v>
      </c>
      <c r="T296" s="130"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8" t="str" cm="1">
        <f t="array" ref="U296">IF(SUMPRODUCT(--((CAT_Procesos!$E$2:$E$1581=O296)*(CAT_Procesos!$F$2:$F$1581=_xlfn.TEXTJOIN(" + ",TRUE,IF((TRIM(P296:S296)="")+(LOWER(TRIM(P296:S296))="(seleccione)"),"",PROPER(TRIM(P296:S296)))))*(CAT_Procesos!$D$2:$D$1581=IFERROR(VLOOKUP(N296&amp;"*",CAT_Procesos!$D:$D,1,FALSE),""))))=0,"Combinación no existente",IF(SUMPRODUCT(((CAT_Procesos!$E$2:$E$1581=O296)*(CAT_Procesos!$F$2:$F$1581=_xlfn.TEXTJOIN(" + ",TRUE,IF((TRIM(P296:S296)="")+(LOWER(TRIM(P296:S296))="(seleccione)"),"",PROPER(TRIM(P296:S296)))))*(CAT_Procesos!$D$2:$D$1581=IFERROR(VLOOKUP(N296&amp;"*",CAT_Procesos!$D:$D,1,FALSE),"")))*(CAT_Procesos!$G$2:$G$1581=INDEX(CAT_Procesos!$G$2:$G$1581,MATCH(1,(CAT_Procesos!$E$2:$E$1581=O296)*(CAT_Procesos!$F$2:$F$1581=_xlfn.TEXTJOIN(" + ",TRUE,IF((TRIM(P296:S296)="")+(LOWER(TRIM(P296:S296))="(seleccione)"),"",PROPER(TRIM(P296:S296)))))*(CAT_Procesos!$D$2:$D$1581=IFERROR(VLOOKUP(N296&amp;"*",CAT_Procesos!$D:$D,1,FALSE),"")),0))))=SUMPRODUCT(--((CAT_Procesos!$E$2:$E$1581=O296)*(CAT_Procesos!$F$2:$F$1581=_xlfn.TEXTJOIN(" + ",TRUE,IF((TRIM(P296:S296)="")+(LOWER(TRIM(P296:S296))="(seleccione)"),"",PROPER(TRIM(P296:S296)))))*(CAT_Procesos!$D$2:$D$1581=IFERROR(VLOOKUP(N296&amp;"*",CAT_Procesos!$D:$D,1,FALSE),"")))),INDEX(CAT_Procesos!$G$2:$G$1581,MATCH(1,(CAT_Procesos!$E$2:$E$1581=O296)*(CAT_Procesos!$F$2:$F$1581=_xlfn.TEXTJOIN(" + ",TRUE,IF((TRIM(P296:S296)="")+(LOWER(TRIM(P296:S296))="(seleccione)"),"",PROPER(TRIM(P296:S296)))))*(CAT_Procesos!$D$2:$D$1581=IFERROR(VLOOKUP(N296&amp;"*",CAT_Procesos!$D:$D,1,FALSE),"")),0)),"(seleccione)"))</f>
        <v>Combinación no existente</v>
      </c>
      <c r="V296" s="55" t="s">
        <v>73</v>
      </c>
      <c r="W296" s="56" t="s">
        <v>73</v>
      </c>
      <c r="X296" s="57" t="str">
        <f t="shared" si="16"/>
        <v/>
      </c>
      <c r="Y296" s="58" t="s">
        <v>73</v>
      </c>
      <c r="Z296" s="57" t="str">
        <f t="shared" si="17"/>
        <v/>
      </c>
      <c r="AA296" s="58" t="s">
        <v>73</v>
      </c>
      <c r="AB296" s="57" t="str">
        <f t="shared" si="18"/>
        <v/>
      </c>
      <c r="AC296" s="58" t="s">
        <v>73</v>
      </c>
      <c r="AD296" s="57" t="str">
        <f t="shared" si="19"/>
        <v/>
      </c>
      <c r="AE296" s="59"/>
      <c r="AF296" s="59"/>
      <c r="AG296" s="59"/>
      <c r="AH296" s="59"/>
      <c r="AI296" s="59" t="s">
        <v>73</v>
      </c>
      <c r="AJ296" s="59"/>
      <c r="AK296" s="59" t="s">
        <v>73</v>
      </c>
      <c r="AL296" s="59"/>
      <c r="AM296" s="59" t="s">
        <v>73</v>
      </c>
      <c r="AN296" s="59"/>
      <c r="AO296" s="59" t="s">
        <v>73</v>
      </c>
      <c r="AP296" s="59"/>
      <c r="AQ296" s="59" t="s">
        <v>73</v>
      </c>
      <c r="AR296" s="59"/>
      <c r="AS296" s="59" t="s">
        <v>72</v>
      </c>
      <c r="AT296" s="59"/>
      <c r="AU296" s="59"/>
      <c r="AV296" s="59"/>
      <c r="AW296" s="59"/>
      <c r="AX296" s="59"/>
      <c r="AY296" s="60" t="str">
        <f>IF('Cálculo MP'!K306="","",'Cálculo MP'!K306)</f>
        <v/>
      </c>
      <c r="AZ296" s="60" t="str">
        <f>IF('Cálculo MP'!L306="","",'Cálculo MP'!L306)</f>
        <v/>
      </c>
      <c r="BA296" s="60" t="str">
        <f>IF('Cálculo MP'!M306="","",'Cálculo MP'!M306)</f>
        <v/>
      </c>
      <c r="BB296" s="60" t="str">
        <f>IF('Cálculo MP'!N306="","",'Cálculo MP'!N306)</f>
        <v/>
      </c>
      <c r="BC296" s="60" t="str">
        <f>IF('Cálculo MP'!O306="","",'Cálculo MP'!O306)</f>
        <v/>
      </c>
      <c r="BD296" s="60" t="str">
        <f>IF('Cálculo MP'!P306="","",'Cálculo MP'!P306)</f>
        <v/>
      </c>
      <c r="BE296" s="60" t="str">
        <f>IF('Cálculo MP'!Q306="","",'Cálculo MP'!Q306)</f>
        <v/>
      </c>
      <c r="BF296" s="60" t="str">
        <f>IF('Cálculo MP'!R306="","",'Cálculo MP'!R306)</f>
        <v/>
      </c>
      <c r="BG296" s="60" t="str">
        <f>IF('Cálculo MP'!S306="","",'Cálculo MP'!S306)</f>
        <v/>
      </c>
      <c r="BH296" s="59"/>
      <c r="BI296" s="59"/>
      <c r="BJ296" s="59"/>
      <c r="BK296" s="59"/>
      <c r="BL296" s="59"/>
      <c r="BM296" s="59"/>
      <c r="BN296" s="59"/>
      <c r="BO296" s="59"/>
    </row>
    <row r="297" spans="1:67" ht="19.5" customHeight="1" x14ac:dyDescent="0.15">
      <c r="A297" s="123" t="s">
        <v>1856</v>
      </c>
      <c r="B297" s="122" t="s">
        <v>1854</v>
      </c>
      <c r="C297" s="49"/>
      <c r="D297" s="48" t="s">
        <v>73</v>
      </c>
      <c r="E297" s="49"/>
      <c r="F297" s="50"/>
      <c r="G297" s="62"/>
      <c r="H297" s="48" t="s">
        <v>72</v>
      </c>
      <c r="I297" s="52">
        <v>1</v>
      </c>
      <c r="J297" s="52"/>
      <c r="K297" s="52" t="s">
        <v>73</v>
      </c>
      <c r="L297" s="52" t="s">
        <v>74</v>
      </c>
      <c r="M297" s="53" t="s">
        <v>942</v>
      </c>
      <c r="N297" s="58" t="s">
        <v>73</v>
      </c>
      <c r="O297" s="48" t="s">
        <v>72</v>
      </c>
      <c r="P297" s="48" t="s">
        <v>73</v>
      </c>
      <c r="Q297" s="54" t="s">
        <v>73</v>
      </c>
      <c r="R297" s="55" t="s">
        <v>73</v>
      </c>
      <c r="S297" s="48" t="s">
        <v>73</v>
      </c>
      <c r="T297" s="130"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8" t="str" cm="1">
        <f t="array" ref="U297">IF(SUMPRODUCT(--((CAT_Procesos!$E$2:$E$1581=O297)*(CAT_Procesos!$F$2:$F$1581=_xlfn.TEXTJOIN(" + ",TRUE,IF((TRIM(P297:S297)="")+(LOWER(TRIM(P297:S297))="(seleccione)"),"",PROPER(TRIM(P297:S297)))))*(CAT_Procesos!$D$2:$D$1581=IFERROR(VLOOKUP(N297&amp;"*",CAT_Procesos!$D:$D,1,FALSE),""))))=0,"Combinación no existente",IF(SUMPRODUCT(((CAT_Procesos!$E$2:$E$1581=O297)*(CAT_Procesos!$F$2:$F$1581=_xlfn.TEXTJOIN(" + ",TRUE,IF((TRIM(P297:S297)="")+(LOWER(TRIM(P297:S297))="(seleccione)"),"",PROPER(TRIM(P297:S297)))))*(CAT_Procesos!$D$2:$D$1581=IFERROR(VLOOKUP(N297&amp;"*",CAT_Procesos!$D:$D,1,FALSE),"")))*(CAT_Procesos!$G$2:$G$1581=INDEX(CAT_Procesos!$G$2:$G$1581,MATCH(1,(CAT_Procesos!$E$2:$E$1581=O297)*(CAT_Procesos!$F$2:$F$1581=_xlfn.TEXTJOIN(" + ",TRUE,IF((TRIM(P297:S297)="")+(LOWER(TRIM(P297:S297))="(seleccione)"),"",PROPER(TRIM(P297:S297)))))*(CAT_Procesos!$D$2:$D$1581=IFERROR(VLOOKUP(N297&amp;"*",CAT_Procesos!$D:$D,1,FALSE),"")),0))))=SUMPRODUCT(--((CAT_Procesos!$E$2:$E$1581=O297)*(CAT_Procesos!$F$2:$F$1581=_xlfn.TEXTJOIN(" + ",TRUE,IF((TRIM(P297:S297)="")+(LOWER(TRIM(P297:S297))="(seleccione)"),"",PROPER(TRIM(P297:S297)))))*(CAT_Procesos!$D$2:$D$1581=IFERROR(VLOOKUP(N297&amp;"*",CAT_Procesos!$D:$D,1,FALSE),"")))),INDEX(CAT_Procesos!$G$2:$G$1581,MATCH(1,(CAT_Procesos!$E$2:$E$1581=O297)*(CAT_Procesos!$F$2:$F$1581=_xlfn.TEXTJOIN(" + ",TRUE,IF((TRIM(P297:S297)="")+(LOWER(TRIM(P297:S297))="(seleccione)"),"",PROPER(TRIM(P297:S297)))))*(CAT_Procesos!$D$2:$D$1581=IFERROR(VLOOKUP(N297&amp;"*",CAT_Procesos!$D:$D,1,FALSE),"")),0)),"(seleccione)"))</f>
        <v>Combinación no existente</v>
      </c>
      <c r="V297" s="55" t="s">
        <v>73</v>
      </c>
      <c r="W297" s="56" t="s">
        <v>73</v>
      </c>
      <c r="X297" s="57" t="str">
        <f t="shared" si="16"/>
        <v/>
      </c>
      <c r="Y297" s="58" t="s">
        <v>73</v>
      </c>
      <c r="Z297" s="57" t="str">
        <f t="shared" si="17"/>
        <v/>
      </c>
      <c r="AA297" s="58" t="s">
        <v>73</v>
      </c>
      <c r="AB297" s="57" t="str">
        <f t="shared" si="18"/>
        <v/>
      </c>
      <c r="AC297" s="58" t="s">
        <v>73</v>
      </c>
      <c r="AD297" s="57" t="str">
        <f t="shared" si="19"/>
        <v/>
      </c>
      <c r="AE297" s="59"/>
      <c r="AF297" s="59"/>
      <c r="AG297" s="59"/>
      <c r="AH297" s="59"/>
      <c r="AI297" s="59" t="s">
        <v>73</v>
      </c>
      <c r="AJ297" s="59"/>
      <c r="AK297" s="59" t="s">
        <v>73</v>
      </c>
      <c r="AL297" s="59"/>
      <c r="AM297" s="59" t="s">
        <v>73</v>
      </c>
      <c r="AN297" s="59"/>
      <c r="AO297" s="59" t="s">
        <v>73</v>
      </c>
      <c r="AP297" s="59"/>
      <c r="AQ297" s="59" t="s">
        <v>73</v>
      </c>
      <c r="AR297" s="59"/>
      <c r="AS297" s="59" t="s">
        <v>72</v>
      </c>
      <c r="AT297" s="59"/>
      <c r="AU297" s="59"/>
      <c r="AV297" s="59"/>
      <c r="AW297" s="59"/>
      <c r="AX297" s="59"/>
      <c r="AY297" s="60" t="str">
        <f>IF('Cálculo MP'!K307="","",'Cálculo MP'!K307)</f>
        <v/>
      </c>
      <c r="AZ297" s="60" t="str">
        <f>IF('Cálculo MP'!L307="","",'Cálculo MP'!L307)</f>
        <v/>
      </c>
      <c r="BA297" s="60" t="str">
        <f>IF('Cálculo MP'!M307="","",'Cálculo MP'!M307)</f>
        <v/>
      </c>
      <c r="BB297" s="60" t="str">
        <f>IF('Cálculo MP'!N307="","",'Cálculo MP'!N307)</f>
        <v/>
      </c>
      <c r="BC297" s="60" t="str">
        <f>IF('Cálculo MP'!O307="","",'Cálculo MP'!O307)</f>
        <v/>
      </c>
      <c r="BD297" s="60" t="str">
        <f>IF('Cálculo MP'!P307="","",'Cálculo MP'!P307)</f>
        <v/>
      </c>
      <c r="BE297" s="60" t="str">
        <f>IF('Cálculo MP'!Q307="","",'Cálculo MP'!Q307)</f>
        <v/>
      </c>
      <c r="BF297" s="60" t="str">
        <f>IF('Cálculo MP'!R307="","",'Cálculo MP'!R307)</f>
        <v/>
      </c>
      <c r="BG297" s="60" t="str">
        <f>IF('Cálculo MP'!S307="","",'Cálculo MP'!S307)</f>
        <v/>
      </c>
      <c r="BH297" s="59"/>
      <c r="BI297" s="59"/>
      <c r="BJ297" s="59"/>
      <c r="BK297" s="59"/>
      <c r="BL297" s="59"/>
      <c r="BM297" s="59"/>
      <c r="BN297" s="59"/>
      <c r="BO297" s="59"/>
    </row>
    <row r="298" spans="1:67" ht="19.5" customHeight="1" x14ac:dyDescent="0.15">
      <c r="A298" s="123" t="s">
        <v>1856</v>
      </c>
      <c r="B298" s="122" t="s">
        <v>1854</v>
      </c>
      <c r="C298" s="49"/>
      <c r="D298" s="48" t="s">
        <v>73</v>
      </c>
      <c r="E298" s="49"/>
      <c r="F298" s="50"/>
      <c r="G298" s="62"/>
      <c r="H298" s="48" t="s">
        <v>72</v>
      </c>
      <c r="I298" s="52">
        <v>1</v>
      </c>
      <c r="J298" s="52"/>
      <c r="K298" s="52" t="s">
        <v>73</v>
      </c>
      <c r="L298" s="52" t="s">
        <v>74</v>
      </c>
      <c r="M298" s="53" t="s">
        <v>942</v>
      </c>
      <c r="N298" s="58" t="s">
        <v>73</v>
      </c>
      <c r="O298" s="48" t="s">
        <v>72</v>
      </c>
      <c r="P298" s="48" t="s">
        <v>73</v>
      </c>
      <c r="Q298" s="54" t="s">
        <v>73</v>
      </c>
      <c r="R298" s="55" t="s">
        <v>73</v>
      </c>
      <c r="S298" s="48" t="s">
        <v>73</v>
      </c>
      <c r="T298" s="130"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8" t="str" cm="1">
        <f t="array" ref="U298">IF(SUMPRODUCT(--((CAT_Procesos!$E$2:$E$1581=O298)*(CAT_Procesos!$F$2:$F$1581=_xlfn.TEXTJOIN(" + ",TRUE,IF((TRIM(P298:S298)="")+(LOWER(TRIM(P298:S298))="(seleccione)"),"",PROPER(TRIM(P298:S298)))))*(CAT_Procesos!$D$2:$D$1581=IFERROR(VLOOKUP(N298&amp;"*",CAT_Procesos!$D:$D,1,FALSE),""))))=0,"Combinación no existente",IF(SUMPRODUCT(((CAT_Procesos!$E$2:$E$1581=O298)*(CAT_Procesos!$F$2:$F$1581=_xlfn.TEXTJOIN(" + ",TRUE,IF((TRIM(P298:S298)="")+(LOWER(TRIM(P298:S298))="(seleccione)"),"",PROPER(TRIM(P298:S298)))))*(CAT_Procesos!$D$2:$D$1581=IFERROR(VLOOKUP(N298&amp;"*",CAT_Procesos!$D:$D,1,FALSE),"")))*(CAT_Procesos!$G$2:$G$1581=INDEX(CAT_Procesos!$G$2:$G$1581,MATCH(1,(CAT_Procesos!$E$2:$E$1581=O298)*(CAT_Procesos!$F$2:$F$1581=_xlfn.TEXTJOIN(" + ",TRUE,IF((TRIM(P298:S298)="")+(LOWER(TRIM(P298:S298))="(seleccione)"),"",PROPER(TRIM(P298:S298)))))*(CAT_Procesos!$D$2:$D$1581=IFERROR(VLOOKUP(N298&amp;"*",CAT_Procesos!$D:$D,1,FALSE),"")),0))))=SUMPRODUCT(--((CAT_Procesos!$E$2:$E$1581=O298)*(CAT_Procesos!$F$2:$F$1581=_xlfn.TEXTJOIN(" + ",TRUE,IF((TRIM(P298:S298)="")+(LOWER(TRIM(P298:S298))="(seleccione)"),"",PROPER(TRIM(P298:S298)))))*(CAT_Procesos!$D$2:$D$1581=IFERROR(VLOOKUP(N298&amp;"*",CAT_Procesos!$D:$D,1,FALSE),"")))),INDEX(CAT_Procesos!$G$2:$G$1581,MATCH(1,(CAT_Procesos!$E$2:$E$1581=O298)*(CAT_Procesos!$F$2:$F$1581=_xlfn.TEXTJOIN(" + ",TRUE,IF((TRIM(P298:S298)="")+(LOWER(TRIM(P298:S298))="(seleccione)"),"",PROPER(TRIM(P298:S298)))))*(CAT_Procesos!$D$2:$D$1581=IFERROR(VLOOKUP(N298&amp;"*",CAT_Procesos!$D:$D,1,FALSE),"")),0)),"(seleccione)"))</f>
        <v>Combinación no existente</v>
      </c>
      <c r="V298" s="55" t="s">
        <v>73</v>
      </c>
      <c r="W298" s="56" t="s">
        <v>73</v>
      </c>
      <c r="X298" s="57" t="str">
        <f t="shared" si="16"/>
        <v/>
      </c>
      <c r="Y298" s="58" t="s">
        <v>73</v>
      </c>
      <c r="Z298" s="57" t="str">
        <f t="shared" si="17"/>
        <v/>
      </c>
      <c r="AA298" s="58" t="s">
        <v>73</v>
      </c>
      <c r="AB298" s="57" t="str">
        <f t="shared" si="18"/>
        <v/>
      </c>
      <c r="AC298" s="58" t="s">
        <v>73</v>
      </c>
      <c r="AD298" s="57" t="str">
        <f t="shared" si="19"/>
        <v/>
      </c>
      <c r="AE298" s="59"/>
      <c r="AF298" s="59"/>
      <c r="AG298" s="59"/>
      <c r="AH298" s="59"/>
      <c r="AI298" s="59" t="s">
        <v>73</v>
      </c>
      <c r="AJ298" s="59"/>
      <c r="AK298" s="59" t="s">
        <v>73</v>
      </c>
      <c r="AL298" s="59"/>
      <c r="AM298" s="59" t="s">
        <v>73</v>
      </c>
      <c r="AN298" s="59"/>
      <c r="AO298" s="59" t="s">
        <v>73</v>
      </c>
      <c r="AP298" s="59"/>
      <c r="AQ298" s="59" t="s">
        <v>73</v>
      </c>
      <c r="AR298" s="59"/>
      <c r="AS298" s="59" t="s">
        <v>72</v>
      </c>
      <c r="AT298" s="59"/>
      <c r="AU298" s="59"/>
      <c r="AV298" s="59"/>
      <c r="AW298" s="59"/>
      <c r="AX298" s="59"/>
      <c r="AY298" s="60" t="str">
        <f>IF('Cálculo MP'!K308="","",'Cálculo MP'!K308)</f>
        <v/>
      </c>
      <c r="AZ298" s="60" t="str">
        <f>IF('Cálculo MP'!L308="","",'Cálculo MP'!L308)</f>
        <v/>
      </c>
      <c r="BA298" s="60" t="str">
        <f>IF('Cálculo MP'!M308="","",'Cálculo MP'!M308)</f>
        <v/>
      </c>
      <c r="BB298" s="60" t="str">
        <f>IF('Cálculo MP'!N308="","",'Cálculo MP'!N308)</f>
        <v/>
      </c>
      <c r="BC298" s="60" t="str">
        <f>IF('Cálculo MP'!O308="","",'Cálculo MP'!O308)</f>
        <v/>
      </c>
      <c r="BD298" s="60" t="str">
        <f>IF('Cálculo MP'!P308="","",'Cálculo MP'!P308)</f>
        <v/>
      </c>
      <c r="BE298" s="60" t="str">
        <f>IF('Cálculo MP'!Q308="","",'Cálculo MP'!Q308)</f>
        <v/>
      </c>
      <c r="BF298" s="60" t="str">
        <f>IF('Cálculo MP'!R308="","",'Cálculo MP'!R308)</f>
        <v/>
      </c>
      <c r="BG298" s="60" t="str">
        <f>IF('Cálculo MP'!S308="","",'Cálculo MP'!S308)</f>
        <v/>
      </c>
      <c r="BH298" s="59"/>
      <c r="BI298" s="59"/>
      <c r="BJ298" s="59"/>
      <c r="BK298" s="59"/>
      <c r="BL298" s="59"/>
      <c r="BM298" s="59"/>
      <c r="BN298" s="59"/>
      <c r="BO298" s="59"/>
    </row>
    <row r="299" spans="1:67" ht="19.5" customHeight="1" x14ac:dyDescent="0.15">
      <c r="A299" s="123" t="s">
        <v>1856</v>
      </c>
      <c r="B299" s="122" t="s">
        <v>1854</v>
      </c>
      <c r="C299" s="49"/>
      <c r="D299" s="48" t="s">
        <v>73</v>
      </c>
      <c r="E299" s="49"/>
      <c r="F299" s="50"/>
      <c r="G299" s="62"/>
      <c r="H299" s="48" t="s">
        <v>72</v>
      </c>
      <c r="I299" s="52">
        <v>1</v>
      </c>
      <c r="J299" s="52"/>
      <c r="K299" s="52" t="s">
        <v>73</v>
      </c>
      <c r="L299" s="52" t="s">
        <v>74</v>
      </c>
      <c r="M299" s="53" t="s">
        <v>942</v>
      </c>
      <c r="N299" s="58" t="s">
        <v>73</v>
      </c>
      <c r="O299" s="48" t="s">
        <v>72</v>
      </c>
      <c r="P299" s="48" t="s">
        <v>73</v>
      </c>
      <c r="Q299" s="54" t="s">
        <v>73</v>
      </c>
      <c r="R299" s="55" t="s">
        <v>73</v>
      </c>
      <c r="S299" s="48" t="s">
        <v>73</v>
      </c>
      <c r="T299" s="130"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8" t="str" cm="1">
        <f t="array" ref="U299">IF(SUMPRODUCT(--((CAT_Procesos!$E$2:$E$1581=O299)*(CAT_Procesos!$F$2:$F$1581=_xlfn.TEXTJOIN(" + ",TRUE,IF((TRIM(P299:S299)="")+(LOWER(TRIM(P299:S299))="(seleccione)"),"",PROPER(TRIM(P299:S299)))))*(CAT_Procesos!$D$2:$D$1581=IFERROR(VLOOKUP(N299&amp;"*",CAT_Procesos!$D:$D,1,FALSE),""))))=0,"Combinación no existente",IF(SUMPRODUCT(((CAT_Procesos!$E$2:$E$1581=O299)*(CAT_Procesos!$F$2:$F$1581=_xlfn.TEXTJOIN(" + ",TRUE,IF((TRIM(P299:S299)="")+(LOWER(TRIM(P299:S299))="(seleccione)"),"",PROPER(TRIM(P299:S299)))))*(CAT_Procesos!$D$2:$D$1581=IFERROR(VLOOKUP(N299&amp;"*",CAT_Procesos!$D:$D,1,FALSE),"")))*(CAT_Procesos!$G$2:$G$1581=INDEX(CAT_Procesos!$G$2:$G$1581,MATCH(1,(CAT_Procesos!$E$2:$E$1581=O299)*(CAT_Procesos!$F$2:$F$1581=_xlfn.TEXTJOIN(" + ",TRUE,IF((TRIM(P299:S299)="")+(LOWER(TRIM(P299:S299))="(seleccione)"),"",PROPER(TRIM(P299:S299)))))*(CAT_Procesos!$D$2:$D$1581=IFERROR(VLOOKUP(N299&amp;"*",CAT_Procesos!$D:$D,1,FALSE),"")),0))))=SUMPRODUCT(--((CAT_Procesos!$E$2:$E$1581=O299)*(CAT_Procesos!$F$2:$F$1581=_xlfn.TEXTJOIN(" + ",TRUE,IF((TRIM(P299:S299)="")+(LOWER(TRIM(P299:S299))="(seleccione)"),"",PROPER(TRIM(P299:S299)))))*(CAT_Procesos!$D$2:$D$1581=IFERROR(VLOOKUP(N299&amp;"*",CAT_Procesos!$D:$D,1,FALSE),"")))),INDEX(CAT_Procesos!$G$2:$G$1581,MATCH(1,(CAT_Procesos!$E$2:$E$1581=O299)*(CAT_Procesos!$F$2:$F$1581=_xlfn.TEXTJOIN(" + ",TRUE,IF((TRIM(P299:S299)="")+(LOWER(TRIM(P299:S299))="(seleccione)"),"",PROPER(TRIM(P299:S299)))))*(CAT_Procesos!$D$2:$D$1581=IFERROR(VLOOKUP(N299&amp;"*",CAT_Procesos!$D:$D,1,FALSE),"")),0)),"(seleccione)"))</f>
        <v>Combinación no existente</v>
      </c>
      <c r="V299" s="55" t="s">
        <v>73</v>
      </c>
      <c r="W299" s="56" t="s">
        <v>73</v>
      </c>
      <c r="X299" s="57" t="str">
        <f t="shared" si="16"/>
        <v/>
      </c>
      <c r="Y299" s="58" t="s">
        <v>73</v>
      </c>
      <c r="Z299" s="57" t="str">
        <f t="shared" si="17"/>
        <v/>
      </c>
      <c r="AA299" s="58" t="s">
        <v>73</v>
      </c>
      <c r="AB299" s="57" t="str">
        <f t="shared" si="18"/>
        <v/>
      </c>
      <c r="AC299" s="58" t="s">
        <v>73</v>
      </c>
      <c r="AD299" s="57" t="str">
        <f t="shared" si="19"/>
        <v/>
      </c>
      <c r="AE299" s="59"/>
      <c r="AF299" s="59"/>
      <c r="AG299" s="59"/>
      <c r="AH299" s="59"/>
      <c r="AI299" s="59" t="s">
        <v>73</v>
      </c>
      <c r="AJ299" s="59"/>
      <c r="AK299" s="59" t="s">
        <v>73</v>
      </c>
      <c r="AL299" s="59"/>
      <c r="AM299" s="59" t="s">
        <v>73</v>
      </c>
      <c r="AN299" s="59"/>
      <c r="AO299" s="59" t="s">
        <v>73</v>
      </c>
      <c r="AP299" s="59"/>
      <c r="AQ299" s="59" t="s">
        <v>73</v>
      </c>
      <c r="AR299" s="59"/>
      <c r="AS299" s="59" t="s">
        <v>72</v>
      </c>
      <c r="AT299" s="59"/>
      <c r="AU299" s="59"/>
      <c r="AV299" s="59"/>
      <c r="AW299" s="59"/>
      <c r="AX299" s="59"/>
      <c r="AY299" s="60" t="str">
        <f>IF('Cálculo MP'!K309="","",'Cálculo MP'!K309)</f>
        <v/>
      </c>
      <c r="AZ299" s="60" t="str">
        <f>IF('Cálculo MP'!L309="","",'Cálculo MP'!L309)</f>
        <v/>
      </c>
      <c r="BA299" s="60" t="str">
        <f>IF('Cálculo MP'!M309="","",'Cálculo MP'!M309)</f>
        <v/>
      </c>
      <c r="BB299" s="60" t="str">
        <f>IF('Cálculo MP'!N309="","",'Cálculo MP'!N309)</f>
        <v/>
      </c>
      <c r="BC299" s="60" t="str">
        <f>IF('Cálculo MP'!O309="","",'Cálculo MP'!O309)</f>
        <v/>
      </c>
      <c r="BD299" s="60" t="str">
        <f>IF('Cálculo MP'!P309="","",'Cálculo MP'!P309)</f>
        <v/>
      </c>
      <c r="BE299" s="60" t="str">
        <f>IF('Cálculo MP'!Q309="","",'Cálculo MP'!Q309)</f>
        <v/>
      </c>
      <c r="BF299" s="60" t="str">
        <f>IF('Cálculo MP'!R309="","",'Cálculo MP'!R309)</f>
        <v/>
      </c>
      <c r="BG299" s="60" t="str">
        <f>IF('Cálculo MP'!S309="","",'Cálculo MP'!S309)</f>
        <v/>
      </c>
      <c r="BH299" s="59"/>
      <c r="BI299" s="59"/>
      <c r="BJ299" s="59"/>
      <c r="BK299" s="59"/>
      <c r="BL299" s="59"/>
      <c r="BM299" s="59"/>
      <c r="BN299" s="59"/>
      <c r="BO299" s="59"/>
    </row>
    <row r="300" spans="1:67" ht="19.5" customHeight="1" x14ac:dyDescent="0.15">
      <c r="A300" s="123" t="s">
        <v>1856</v>
      </c>
      <c r="B300" s="122" t="s">
        <v>1854</v>
      </c>
      <c r="C300" s="49"/>
      <c r="D300" s="48" t="s">
        <v>73</v>
      </c>
      <c r="E300" s="49"/>
      <c r="F300" s="50"/>
      <c r="G300" s="62"/>
      <c r="H300" s="48" t="s">
        <v>72</v>
      </c>
      <c r="I300" s="52">
        <v>1</v>
      </c>
      <c r="J300" s="52"/>
      <c r="K300" s="52" t="s">
        <v>73</v>
      </c>
      <c r="L300" s="52" t="s">
        <v>74</v>
      </c>
      <c r="M300" s="53" t="s">
        <v>942</v>
      </c>
      <c r="N300" s="58" t="s">
        <v>73</v>
      </c>
      <c r="O300" s="48" t="s">
        <v>72</v>
      </c>
      <c r="P300" s="48" t="s">
        <v>73</v>
      </c>
      <c r="Q300" s="54" t="s">
        <v>73</v>
      </c>
      <c r="R300" s="55" t="s">
        <v>73</v>
      </c>
      <c r="S300" s="48" t="s">
        <v>73</v>
      </c>
      <c r="T300" s="130"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8" t="str" cm="1">
        <f t="array" ref="U300">IF(SUMPRODUCT(--((CAT_Procesos!$E$2:$E$1581=O300)*(CAT_Procesos!$F$2:$F$1581=_xlfn.TEXTJOIN(" + ",TRUE,IF((TRIM(P300:S300)="")+(LOWER(TRIM(P300:S300))="(seleccione)"),"",PROPER(TRIM(P300:S300)))))*(CAT_Procesos!$D$2:$D$1581=IFERROR(VLOOKUP(N300&amp;"*",CAT_Procesos!$D:$D,1,FALSE),""))))=0,"Combinación no existente",IF(SUMPRODUCT(((CAT_Procesos!$E$2:$E$1581=O300)*(CAT_Procesos!$F$2:$F$1581=_xlfn.TEXTJOIN(" + ",TRUE,IF((TRIM(P300:S300)="")+(LOWER(TRIM(P300:S300))="(seleccione)"),"",PROPER(TRIM(P300:S300)))))*(CAT_Procesos!$D$2:$D$1581=IFERROR(VLOOKUP(N300&amp;"*",CAT_Procesos!$D:$D,1,FALSE),"")))*(CAT_Procesos!$G$2:$G$1581=INDEX(CAT_Procesos!$G$2:$G$1581,MATCH(1,(CAT_Procesos!$E$2:$E$1581=O300)*(CAT_Procesos!$F$2:$F$1581=_xlfn.TEXTJOIN(" + ",TRUE,IF((TRIM(P300:S300)="")+(LOWER(TRIM(P300:S300))="(seleccione)"),"",PROPER(TRIM(P300:S300)))))*(CAT_Procesos!$D$2:$D$1581=IFERROR(VLOOKUP(N300&amp;"*",CAT_Procesos!$D:$D,1,FALSE),"")),0))))=SUMPRODUCT(--((CAT_Procesos!$E$2:$E$1581=O300)*(CAT_Procesos!$F$2:$F$1581=_xlfn.TEXTJOIN(" + ",TRUE,IF((TRIM(P300:S300)="")+(LOWER(TRIM(P300:S300))="(seleccione)"),"",PROPER(TRIM(P300:S300)))))*(CAT_Procesos!$D$2:$D$1581=IFERROR(VLOOKUP(N300&amp;"*",CAT_Procesos!$D:$D,1,FALSE),"")))),INDEX(CAT_Procesos!$G$2:$G$1581,MATCH(1,(CAT_Procesos!$E$2:$E$1581=O300)*(CAT_Procesos!$F$2:$F$1581=_xlfn.TEXTJOIN(" + ",TRUE,IF((TRIM(P300:S300)="")+(LOWER(TRIM(P300:S300))="(seleccione)"),"",PROPER(TRIM(P300:S300)))))*(CAT_Procesos!$D$2:$D$1581=IFERROR(VLOOKUP(N300&amp;"*",CAT_Procesos!$D:$D,1,FALSE),"")),0)),"(seleccione)"))</f>
        <v>Combinación no existente</v>
      </c>
      <c r="V300" s="55" t="s">
        <v>73</v>
      </c>
      <c r="W300" s="56" t="s">
        <v>73</v>
      </c>
      <c r="X300" s="57" t="str">
        <f t="shared" si="16"/>
        <v/>
      </c>
      <c r="Y300" s="58" t="s">
        <v>73</v>
      </c>
      <c r="Z300" s="57" t="str">
        <f t="shared" si="17"/>
        <v/>
      </c>
      <c r="AA300" s="58" t="s">
        <v>73</v>
      </c>
      <c r="AB300" s="57" t="str">
        <f t="shared" si="18"/>
        <v/>
      </c>
      <c r="AC300" s="58" t="s">
        <v>73</v>
      </c>
      <c r="AD300" s="57" t="str">
        <f t="shared" si="19"/>
        <v/>
      </c>
      <c r="AE300" s="59"/>
      <c r="AF300" s="59"/>
      <c r="AG300" s="59"/>
      <c r="AH300" s="59"/>
      <c r="AI300" s="59" t="s">
        <v>73</v>
      </c>
      <c r="AJ300" s="59"/>
      <c r="AK300" s="59" t="s">
        <v>73</v>
      </c>
      <c r="AL300" s="59"/>
      <c r="AM300" s="59" t="s">
        <v>73</v>
      </c>
      <c r="AN300" s="59"/>
      <c r="AO300" s="59" t="s">
        <v>73</v>
      </c>
      <c r="AP300" s="59"/>
      <c r="AQ300" s="59" t="s">
        <v>73</v>
      </c>
      <c r="AR300" s="59"/>
      <c r="AS300" s="59" t="s">
        <v>72</v>
      </c>
      <c r="AT300" s="59"/>
      <c r="AU300" s="59"/>
      <c r="AV300" s="59"/>
      <c r="AW300" s="59"/>
      <c r="AX300" s="59"/>
      <c r="AY300" s="60" t="str">
        <f>IF('Cálculo MP'!K310="","",'Cálculo MP'!K310)</f>
        <v/>
      </c>
      <c r="AZ300" s="60" t="str">
        <f>IF('Cálculo MP'!L310="","",'Cálculo MP'!L310)</f>
        <v/>
      </c>
      <c r="BA300" s="60" t="str">
        <f>IF('Cálculo MP'!M310="","",'Cálculo MP'!M310)</f>
        <v/>
      </c>
      <c r="BB300" s="60" t="str">
        <f>IF('Cálculo MP'!N310="","",'Cálculo MP'!N310)</f>
        <v/>
      </c>
      <c r="BC300" s="60" t="str">
        <f>IF('Cálculo MP'!O310="","",'Cálculo MP'!O310)</f>
        <v/>
      </c>
      <c r="BD300" s="60" t="str">
        <f>IF('Cálculo MP'!P310="","",'Cálculo MP'!P310)</f>
        <v/>
      </c>
      <c r="BE300" s="60" t="str">
        <f>IF('Cálculo MP'!Q310="","",'Cálculo MP'!Q310)</f>
        <v/>
      </c>
      <c r="BF300" s="60" t="str">
        <f>IF('Cálculo MP'!R310="","",'Cálculo MP'!R310)</f>
        <v/>
      </c>
      <c r="BG300" s="60" t="str">
        <f>IF('Cálculo MP'!S310="","",'Cálculo MP'!S310)</f>
        <v/>
      </c>
      <c r="BH300" s="59"/>
      <c r="BI300" s="59"/>
      <c r="BJ300" s="59"/>
      <c r="BK300" s="59"/>
      <c r="BL300" s="59"/>
      <c r="BM300" s="59"/>
      <c r="BN300" s="59"/>
      <c r="BO300" s="59"/>
    </row>
    <row r="301" spans="1:67" ht="19.5" customHeight="1" x14ac:dyDescent="0.15">
      <c r="A301" s="123" t="s">
        <v>1856</v>
      </c>
      <c r="B301" s="122" t="s">
        <v>1854</v>
      </c>
      <c r="C301" s="49"/>
      <c r="D301" s="48" t="s">
        <v>73</v>
      </c>
      <c r="E301" s="49"/>
      <c r="F301" s="50"/>
      <c r="G301" s="62"/>
      <c r="H301" s="48" t="s">
        <v>72</v>
      </c>
      <c r="I301" s="52">
        <v>1</v>
      </c>
      <c r="J301" s="52"/>
      <c r="K301" s="52" t="s">
        <v>73</v>
      </c>
      <c r="L301" s="52" t="s">
        <v>74</v>
      </c>
      <c r="M301" s="53" t="s">
        <v>942</v>
      </c>
      <c r="N301" s="58" t="s">
        <v>73</v>
      </c>
      <c r="O301" s="48" t="s">
        <v>72</v>
      </c>
      <c r="P301" s="48" t="s">
        <v>73</v>
      </c>
      <c r="Q301" s="54" t="s">
        <v>73</v>
      </c>
      <c r="R301" s="55" t="s">
        <v>73</v>
      </c>
      <c r="S301" s="48" t="s">
        <v>73</v>
      </c>
      <c r="T301" s="130"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8" t="str" cm="1">
        <f t="array" ref="U301">IF(SUMPRODUCT(--((CAT_Procesos!$E$2:$E$1581=O301)*(CAT_Procesos!$F$2:$F$1581=_xlfn.TEXTJOIN(" + ",TRUE,IF((TRIM(P301:S301)="")+(LOWER(TRIM(P301:S301))="(seleccione)"),"",PROPER(TRIM(P301:S301)))))*(CAT_Procesos!$D$2:$D$1581=IFERROR(VLOOKUP(N301&amp;"*",CAT_Procesos!$D:$D,1,FALSE),""))))=0,"Combinación no existente",IF(SUMPRODUCT(((CAT_Procesos!$E$2:$E$1581=O301)*(CAT_Procesos!$F$2:$F$1581=_xlfn.TEXTJOIN(" + ",TRUE,IF((TRIM(P301:S301)="")+(LOWER(TRIM(P301:S301))="(seleccione)"),"",PROPER(TRIM(P301:S301)))))*(CAT_Procesos!$D$2:$D$1581=IFERROR(VLOOKUP(N301&amp;"*",CAT_Procesos!$D:$D,1,FALSE),"")))*(CAT_Procesos!$G$2:$G$1581=INDEX(CAT_Procesos!$G$2:$G$1581,MATCH(1,(CAT_Procesos!$E$2:$E$1581=O301)*(CAT_Procesos!$F$2:$F$1581=_xlfn.TEXTJOIN(" + ",TRUE,IF((TRIM(P301:S301)="")+(LOWER(TRIM(P301:S301))="(seleccione)"),"",PROPER(TRIM(P301:S301)))))*(CAT_Procesos!$D$2:$D$1581=IFERROR(VLOOKUP(N301&amp;"*",CAT_Procesos!$D:$D,1,FALSE),"")),0))))=SUMPRODUCT(--((CAT_Procesos!$E$2:$E$1581=O301)*(CAT_Procesos!$F$2:$F$1581=_xlfn.TEXTJOIN(" + ",TRUE,IF((TRIM(P301:S301)="")+(LOWER(TRIM(P301:S301))="(seleccione)"),"",PROPER(TRIM(P301:S301)))))*(CAT_Procesos!$D$2:$D$1581=IFERROR(VLOOKUP(N301&amp;"*",CAT_Procesos!$D:$D,1,FALSE),"")))),INDEX(CAT_Procesos!$G$2:$G$1581,MATCH(1,(CAT_Procesos!$E$2:$E$1581=O301)*(CAT_Procesos!$F$2:$F$1581=_xlfn.TEXTJOIN(" + ",TRUE,IF((TRIM(P301:S301)="")+(LOWER(TRIM(P301:S301))="(seleccione)"),"",PROPER(TRIM(P301:S301)))))*(CAT_Procesos!$D$2:$D$1581=IFERROR(VLOOKUP(N301&amp;"*",CAT_Procesos!$D:$D,1,FALSE),"")),0)),"(seleccione)"))</f>
        <v>Combinación no existente</v>
      </c>
      <c r="V301" s="55" t="s">
        <v>73</v>
      </c>
      <c r="W301" s="56" t="s">
        <v>73</v>
      </c>
      <c r="X301" s="57" t="str">
        <f t="shared" si="16"/>
        <v/>
      </c>
      <c r="Y301" s="58" t="s">
        <v>73</v>
      </c>
      <c r="Z301" s="57" t="str">
        <f t="shared" si="17"/>
        <v/>
      </c>
      <c r="AA301" s="58" t="s">
        <v>73</v>
      </c>
      <c r="AB301" s="57" t="str">
        <f t="shared" si="18"/>
        <v/>
      </c>
      <c r="AC301" s="58" t="s">
        <v>73</v>
      </c>
      <c r="AD301" s="57" t="str">
        <f t="shared" si="19"/>
        <v/>
      </c>
      <c r="AE301" s="59"/>
      <c r="AF301" s="59"/>
      <c r="AG301" s="59"/>
      <c r="AH301" s="59"/>
      <c r="AI301" s="59" t="s">
        <v>73</v>
      </c>
      <c r="AJ301" s="59"/>
      <c r="AK301" s="59" t="s">
        <v>73</v>
      </c>
      <c r="AL301" s="59"/>
      <c r="AM301" s="59" t="s">
        <v>73</v>
      </c>
      <c r="AN301" s="59"/>
      <c r="AO301" s="59" t="s">
        <v>73</v>
      </c>
      <c r="AP301" s="59"/>
      <c r="AQ301" s="59" t="s">
        <v>73</v>
      </c>
      <c r="AR301" s="59"/>
      <c r="AS301" s="59" t="s">
        <v>72</v>
      </c>
      <c r="AT301" s="59"/>
      <c r="AU301" s="59"/>
      <c r="AV301" s="59"/>
      <c r="AW301" s="59"/>
      <c r="AX301" s="59"/>
      <c r="AY301" s="60" t="str">
        <f>IF('Cálculo MP'!K311="","",'Cálculo MP'!K311)</f>
        <v/>
      </c>
      <c r="AZ301" s="60" t="str">
        <f>IF('Cálculo MP'!L311="","",'Cálculo MP'!L311)</f>
        <v/>
      </c>
      <c r="BA301" s="60" t="str">
        <f>IF('Cálculo MP'!M311="","",'Cálculo MP'!M311)</f>
        <v/>
      </c>
      <c r="BB301" s="60" t="str">
        <f>IF('Cálculo MP'!N311="","",'Cálculo MP'!N311)</f>
        <v/>
      </c>
      <c r="BC301" s="60" t="str">
        <f>IF('Cálculo MP'!O311="","",'Cálculo MP'!O311)</f>
        <v/>
      </c>
      <c r="BD301" s="60" t="str">
        <f>IF('Cálculo MP'!P311="","",'Cálculo MP'!P311)</f>
        <v/>
      </c>
      <c r="BE301" s="60" t="str">
        <f>IF('Cálculo MP'!Q311="","",'Cálculo MP'!Q311)</f>
        <v/>
      </c>
      <c r="BF301" s="60" t="str">
        <f>IF('Cálculo MP'!R311="","",'Cálculo MP'!R311)</f>
        <v/>
      </c>
      <c r="BG301" s="60" t="str">
        <f>IF('Cálculo MP'!S311="","",'Cálculo MP'!S311)</f>
        <v/>
      </c>
      <c r="BH301" s="59"/>
      <c r="BI301" s="59"/>
      <c r="BJ301" s="59"/>
      <c r="BK301" s="59"/>
      <c r="BL301" s="59"/>
      <c r="BM301" s="59"/>
      <c r="BN301" s="59"/>
      <c r="BO301" s="59"/>
    </row>
    <row r="302" spans="1:67" ht="19.5" customHeight="1" x14ac:dyDescent="0.15">
      <c r="A302" s="123" t="s">
        <v>1856</v>
      </c>
      <c r="B302" s="122" t="s">
        <v>1854</v>
      </c>
      <c r="C302" s="49"/>
      <c r="D302" s="48" t="s">
        <v>73</v>
      </c>
      <c r="E302" s="49"/>
      <c r="F302" s="50"/>
      <c r="G302" s="62"/>
      <c r="H302" s="48" t="s">
        <v>72</v>
      </c>
      <c r="I302" s="52">
        <v>1</v>
      </c>
      <c r="J302" s="52"/>
      <c r="K302" s="52" t="s">
        <v>73</v>
      </c>
      <c r="L302" s="52" t="s">
        <v>74</v>
      </c>
      <c r="M302" s="53" t="s">
        <v>942</v>
      </c>
      <c r="N302" s="58" t="s">
        <v>73</v>
      </c>
      <c r="O302" s="48" t="s">
        <v>72</v>
      </c>
      <c r="P302" s="48" t="s">
        <v>73</v>
      </c>
      <c r="Q302" s="54" t="s">
        <v>73</v>
      </c>
      <c r="R302" s="55" t="s">
        <v>73</v>
      </c>
      <c r="S302" s="48" t="s">
        <v>73</v>
      </c>
      <c r="T302" s="130"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8" t="str" cm="1">
        <f t="array" ref="U302">IF(SUMPRODUCT(--((CAT_Procesos!$E$2:$E$1581=O302)*(CAT_Procesos!$F$2:$F$1581=_xlfn.TEXTJOIN(" + ",TRUE,IF((TRIM(P302:S302)="")+(LOWER(TRIM(P302:S302))="(seleccione)"),"",PROPER(TRIM(P302:S302)))))*(CAT_Procesos!$D$2:$D$1581=IFERROR(VLOOKUP(N302&amp;"*",CAT_Procesos!$D:$D,1,FALSE),""))))=0,"Combinación no existente",IF(SUMPRODUCT(((CAT_Procesos!$E$2:$E$1581=O302)*(CAT_Procesos!$F$2:$F$1581=_xlfn.TEXTJOIN(" + ",TRUE,IF((TRIM(P302:S302)="")+(LOWER(TRIM(P302:S302))="(seleccione)"),"",PROPER(TRIM(P302:S302)))))*(CAT_Procesos!$D$2:$D$1581=IFERROR(VLOOKUP(N302&amp;"*",CAT_Procesos!$D:$D,1,FALSE),"")))*(CAT_Procesos!$G$2:$G$1581=INDEX(CAT_Procesos!$G$2:$G$1581,MATCH(1,(CAT_Procesos!$E$2:$E$1581=O302)*(CAT_Procesos!$F$2:$F$1581=_xlfn.TEXTJOIN(" + ",TRUE,IF((TRIM(P302:S302)="")+(LOWER(TRIM(P302:S302))="(seleccione)"),"",PROPER(TRIM(P302:S302)))))*(CAT_Procesos!$D$2:$D$1581=IFERROR(VLOOKUP(N302&amp;"*",CAT_Procesos!$D:$D,1,FALSE),"")),0))))=SUMPRODUCT(--((CAT_Procesos!$E$2:$E$1581=O302)*(CAT_Procesos!$F$2:$F$1581=_xlfn.TEXTJOIN(" + ",TRUE,IF((TRIM(P302:S302)="")+(LOWER(TRIM(P302:S302))="(seleccione)"),"",PROPER(TRIM(P302:S302)))))*(CAT_Procesos!$D$2:$D$1581=IFERROR(VLOOKUP(N302&amp;"*",CAT_Procesos!$D:$D,1,FALSE),"")))),INDEX(CAT_Procesos!$G$2:$G$1581,MATCH(1,(CAT_Procesos!$E$2:$E$1581=O302)*(CAT_Procesos!$F$2:$F$1581=_xlfn.TEXTJOIN(" + ",TRUE,IF((TRIM(P302:S302)="")+(LOWER(TRIM(P302:S302))="(seleccione)"),"",PROPER(TRIM(P302:S302)))))*(CAT_Procesos!$D$2:$D$1581=IFERROR(VLOOKUP(N302&amp;"*",CAT_Procesos!$D:$D,1,FALSE),"")),0)),"(seleccione)"))</f>
        <v>Combinación no existente</v>
      </c>
      <c r="V302" s="55" t="s">
        <v>73</v>
      </c>
      <c r="W302" s="56" t="s">
        <v>73</v>
      </c>
      <c r="X302" s="57" t="str">
        <f t="shared" si="16"/>
        <v/>
      </c>
      <c r="Y302" s="58" t="s">
        <v>73</v>
      </c>
      <c r="Z302" s="57" t="str">
        <f t="shared" si="17"/>
        <v/>
      </c>
      <c r="AA302" s="58" t="s">
        <v>73</v>
      </c>
      <c r="AB302" s="57" t="str">
        <f t="shared" si="18"/>
        <v/>
      </c>
      <c r="AC302" s="58" t="s">
        <v>73</v>
      </c>
      <c r="AD302" s="57" t="str">
        <f t="shared" si="19"/>
        <v/>
      </c>
      <c r="AE302" s="59"/>
      <c r="AF302" s="59"/>
      <c r="AG302" s="59"/>
      <c r="AH302" s="59"/>
      <c r="AI302" s="59" t="s">
        <v>73</v>
      </c>
      <c r="AJ302" s="59"/>
      <c r="AK302" s="59" t="s">
        <v>73</v>
      </c>
      <c r="AL302" s="59"/>
      <c r="AM302" s="59" t="s">
        <v>73</v>
      </c>
      <c r="AN302" s="59"/>
      <c r="AO302" s="59" t="s">
        <v>73</v>
      </c>
      <c r="AP302" s="59"/>
      <c r="AQ302" s="59" t="s">
        <v>73</v>
      </c>
      <c r="AR302" s="59"/>
      <c r="AS302" s="59" t="s">
        <v>72</v>
      </c>
      <c r="AT302" s="59"/>
      <c r="AU302" s="59"/>
      <c r="AV302" s="59"/>
      <c r="AW302" s="59"/>
      <c r="AX302" s="59"/>
      <c r="AY302" s="60" t="str">
        <f>IF('Cálculo MP'!K312="","",'Cálculo MP'!K312)</f>
        <v/>
      </c>
      <c r="AZ302" s="60" t="str">
        <f>IF('Cálculo MP'!L312="","",'Cálculo MP'!L312)</f>
        <v/>
      </c>
      <c r="BA302" s="60" t="str">
        <f>IF('Cálculo MP'!M312="","",'Cálculo MP'!M312)</f>
        <v/>
      </c>
      <c r="BB302" s="60" t="str">
        <f>IF('Cálculo MP'!N312="","",'Cálculo MP'!N312)</f>
        <v/>
      </c>
      <c r="BC302" s="60" t="str">
        <f>IF('Cálculo MP'!O312="","",'Cálculo MP'!O312)</f>
        <v/>
      </c>
      <c r="BD302" s="60" t="str">
        <f>IF('Cálculo MP'!P312="","",'Cálculo MP'!P312)</f>
        <v/>
      </c>
      <c r="BE302" s="60" t="str">
        <f>IF('Cálculo MP'!Q312="","",'Cálculo MP'!Q312)</f>
        <v/>
      </c>
      <c r="BF302" s="60" t="str">
        <f>IF('Cálculo MP'!R312="","",'Cálculo MP'!R312)</f>
        <v/>
      </c>
      <c r="BG302" s="60" t="str">
        <f>IF('Cálculo MP'!S312="","",'Cálculo MP'!S312)</f>
        <v/>
      </c>
      <c r="BH302" s="59"/>
      <c r="BI302" s="59"/>
      <c r="BJ302" s="59"/>
      <c r="BK302" s="59"/>
      <c r="BL302" s="59"/>
      <c r="BM302" s="59"/>
      <c r="BN302" s="59"/>
      <c r="BO302" s="59"/>
    </row>
    <row r="303" spans="1:67" ht="19.5" customHeight="1" x14ac:dyDescent="0.15">
      <c r="A303" s="123" t="s">
        <v>1856</v>
      </c>
      <c r="B303" s="122" t="s">
        <v>1854</v>
      </c>
      <c r="C303" s="49"/>
      <c r="D303" s="48" t="s">
        <v>73</v>
      </c>
      <c r="E303" s="49"/>
      <c r="F303" s="50"/>
      <c r="G303" s="62"/>
      <c r="H303" s="48" t="s">
        <v>72</v>
      </c>
      <c r="I303" s="52">
        <v>1</v>
      </c>
      <c r="J303" s="52"/>
      <c r="K303" s="52" t="s">
        <v>73</v>
      </c>
      <c r="L303" s="52" t="s">
        <v>74</v>
      </c>
      <c r="M303" s="53" t="s">
        <v>942</v>
      </c>
      <c r="N303" s="58" t="s">
        <v>73</v>
      </c>
      <c r="O303" s="48" t="s">
        <v>72</v>
      </c>
      <c r="P303" s="48" t="s">
        <v>73</v>
      </c>
      <c r="Q303" s="54" t="s">
        <v>73</v>
      </c>
      <c r="R303" s="55" t="s">
        <v>73</v>
      </c>
      <c r="S303" s="48" t="s">
        <v>73</v>
      </c>
      <c r="T303" s="130"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8" t="str" cm="1">
        <f t="array" ref="U303">IF(SUMPRODUCT(--((CAT_Procesos!$E$2:$E$1581=O303)*(CAT_Procesos!$F$2:$F$1581=_xlfn.TEXTJOIN(" + ",TRUE,IF((TRIM(P303:S303)="")+(LOWER(TRIM(P303:S303))="(seleccione)"),"",PROPER(TRIM(P303:S303)))))*(CAT_Procesos!$D$2:$D$1581=IFERROR(VLOOKUP(N303&amp;"*",CAT_Procesos!$D:$D,1,FALSE),""))))=0,"Combinación no existente",IF(SUMPRODUCT(((CAT_Procesos!$E$2:$E$1581=O303)*(CAT_Procesos!$F$2:$F$1581=_xlfn.TEXTJOIN(" + ",TRUE,IF((TRIM(P303:S303)="")+(LOWER(TRIM(P303:S303))="(seleccione)"),"",PROPER(TRIM(P303:S303)))))*(CAT_Procesos!$D$2:$D$1581=IFERROR(VLOOKUP(N303&amp;"*",CAT_Procesos!$D:$D,1,FALSE),"")))*(CAT_Procesos!$G$2:$G$1581=INDEX(CAT_Procesos!$G$2:$G$1581,MATCH(1,(CAT_Procesos!$E$2:$E$1581=O303)*(CAT_Procesos!$F$2:$F$1581=_xlfn.TEXTJOIN(" + ",TRUE,IF((TRIM(P303:S303)="")+(LOWER(TRIM(P303:S303))="(seleccione)"),"",PROPER(TRIM(P303:S303)))))*(CAT_Procesos!$D$2:$D$1581=IFERROR(VLOOKUP(N303&amp;"*",CAT_Procesos!$D:$D,1,FALSE),"")),0))))=SUMPRODUCT(--((CAT_Procesos!$E$2:$E$1581=O303)*(CAT_Procesos!$F$2:$F$1581=_xlfn.TEXTJOIN(" + ",TRUE,IF((TRIM(P303:S303)="")+(LOWER(TRIM(P303:S303))="(seleccione)"),"",PROPER(TRIM(P303:S303)))))*(CAT_Procesos!$D$2:$D$1581=IFERROR(VLOOKUP(N303&amp;"*",CAT_Procesos!$D:$D,1,FALSE),"")))),INDEX(CAT_Procesos!$G$2:$G$1581,MATCH(1,(CAT_Procesos!$E$2:$E$1581=O303)*(CAT_Procesos!$F$2:$F$1581=_xlfn.TEXTJOIN(" + ",TRUE,IF((TRIM(P303:S303)="")+(LOWER(TRIM(P303:S303))="(seleccione)"),"",PROPER(TRIM(P303:S303)))))*(CAT_Procesos!$D$2:$D$1581=IFERROR(VLOOKUP(N303&amp;"*",CAT_Procesos!$D:$D,1,FALSE),"")),0)),"(seleccione)"))</f>
        <v>Combinación no existente</v>
      </c>
      <c r="V303" s="55" t="s">
        <v>73</v>
      </c>
      <c r="W303" s="56" t="s">
        <v>73</v>
      </c>
      <c r="X303" s="57" t="str">
        <f t="shared" si="16"/>
        <v/>
      </c>
      <c r="Y303" s="58" t="s">
        <v>73</v>
      </c>
      <c r="Z303" s="57" t="str">
        <f t="shared" si="17"/>
        <v/>
      </c>
      <c r="AA303" s="58" t="s">
        <v>73</v>
      </c>
      <c r="AB303" s="57" t="str">
        <f t="shared" si="18"/>
        <v/>
      </c>
      <c r="AC303" s="58" t="s">
        <v>73</v>
      </c>
      <c r="AD303" s="57" t="str">
        <f t="shared" si="19"/>
        <v/>
      </c>
      <c r="AE303" s="59"/>
      <c r="AF303" s="59"/>
      <c r="AG303" s="59"/>
      <c r="AH303" s="59"/>
      <c r="AI303" s="59" t="s">
        <v>73</v>
      </c>
      <c r="AJ303" s="59"/>
      <c r="AK303" s="59" t="s">
        <v>73</v>
      </c>
      <c r="AL303" s="59"/>
      <c r="AM303" s="59" t="s">
        <v>73</v>
      </c>
      <c r="AN303" s="59"/>
      <c r="AO303" s="59" t="s">
        <v>73</v>
      </c>
      <c r="AP303" s="59"/>
      <c r="AQ303" s="59" t="s">
        <v>73</v>
      </c>
      <c r="AR303" s="59"/>
      <c r="AS303" s="59" t="s">
        <v>72</v>
      </c>
      <c r="AT303" s="59"/>
      <c r="AU303" s="59"/>
      <c r="AV303" s="59"/>
      <c r="AW303" s="59"/>
      <c r="AX303" s="59"/>
      <c r="AY303" s="60" t="str">
        <f>IF('Cálculo MP'!K313="","",'Cálculo MP'!K313)</f>
        <v/>
      </c>
      <c r="AZ303" s="60" t="str">
        <f>IF('Cálculo MP'!L313="","",'Cálculo MP'!L313)</f>
        <v/>
      </c>
      <c r="BA303" s="60" t="str">
        <f>IF('Cálculo MP'!M313="","",'Cálculo MP'!M313)</f>
        <v/>
      </c>
      <c r="BB303" s="60" t="str">
        <f>IF('Cálculo MP'!N313="","",'Cálculo MP'!N313)</f>
        <v/>
      </c>
      <c r="BC303" s="60" t="str">
        <f>IF('Cálculo MP'!O313="","",'Cálculo MP'!O313)</f>
        <v/>
      </c>
      <c r="BD303" s="60" t="str">
        <f>IF('Cálculo MP'!P313="","",'Cálculo MP'!P313)</f>
        <v/>
      </c>
      <c r="BE303" s="60" t="str">
        <f>IF('Cálculo MP'!Q313="","",'Cálculo MP'!Q313)</f>
        <v/>
      </c>
      <c r="BF303" s="60" t="str">
        <f>IF('Cálculo MP'!R313="","",'Cálculo MP'!R313)</f>
        <v/>
      </c>
      <c r="BG303" s="60" t="str">
        <f>IF('Cálculo MP'!S313="","",'Cálculo MP'!S313)</f>
        <v/>
      </c>
      <c r="BH303" s="59"/>
      <c r="BI303" s="59"/>
      <c r="BJ303" s="59"/>
      <c r="BK303" s="59"/>
      <c r="BL303" s="59"/>
      <c r="BM303" s="59"/>
      <c r="BN303" s="59"/>
      <c r="BO303" s="59"/>
    </row>
    <row r="304" spans="1:67" ht="19.5" customHeight="1" x14ac:dyDescent="0.15">
      <c r="A304" s="123" t="s">
        <v>1856</v>
      </c>
      <c r="B304" s="122" t="s">
        <v>1854</v>
      </c>
      <c r="C304" s="49"/>
      <c r="D304" s="48" t="s">
        <v>73</v>
      </c>
      <c r="E304" s="49"/>
      <c r="F304" s="50"/>
      <c r="G304" s="62"/>
      <c r="H304" s="48" t="s">
        <v>72</v>
      </c>
      <c r="I304" s="52">
        <v>1</v>
      </c>
      <c r="J304" s="52"/>
      <c r="K304" s="52" t="s">
        <v>73</v>
      </c>
      <c r="L304" s="52" t="s">
        <v>74</v>
      </c>
      <c r="M304" s="53" t="s">
        <v>942</v>
      </c>
      <c r="N304" s="58" t="s">
        <v>73</v>
      </c>
      <c r="O304" s="48" t="s">
        <v>72</v>
      </c>
      <c r="P304" s="48" t="s">
        <v>73</v>
      </c>
      <c r="Q304" s="54" t="s">
        <v>73</v>
      </c>
      <c r="R304" s="55" t="s">
        <v>73</v>
      </c>
      <c r="S304" s="48" t="s">
        <v>73</v>
      </c>
      <c r="T304" s="130"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8" t="str" cm="1">
        <f t="array" ref="U304">IF(SUMPRODUCT(--((CAT_Procesos!$E$2:$E$1581=O304)*(CAT_Procesos!$F$2:$F$1581=_xlfn.TEXTJOIN(" + ",TRUE,IF((TRIM(P304:S304)="")+(LOWER(TRIM(P304:S304))="(seleccione)"),"",PROPER(TRIM(P304:S304)))))*(CAT_Procesos!$D$2:$D$1581=IFERROR(VLOOKUP(N304&amp;"*",CAT_Procesos!$D:$D,1,FALSE),""))))=0,"Combinación no existente",IF(SUMPRODUCT(((CAT_Procesos!$E$2:$E$1581=O304)*(CAT_Procesos!$F$2:$F$1581=_xlfn.TEXTJOIN(" + ",TRUE,IF((TRIM(P304:S304)="")+(LOWER(TRIM(P304:S304))="(seleccione)"),"",PROPER(TRIM(P304:S304)))))*(CAT_Procesos!$D$2:$D$1581=IFERROR(VLOOKUP(N304&amp;"*",CAT_Procesos!$D:$D,1,FALSE),"")))*(CAT_Procesos!$G$2:$G$1581=INDEX(CAT_Procesos!$G$2:$G$1581,MATCH(1,(CAT_Procesos!$E$2:$E$1581=O304)*(CAT_Procesos!$F$2:$F$1581=_xlfn.TEXTJOIN(" + ",TRUE,IF((TRIM(P304:S304)="")+(LOWER(TRIM(P304:S304))="(seleccione)"),"",PROPER(TRIM(P304:S304)))))*(CAT_Procesos!$D$2:$D$1581=IFERROR(VLOOKUP(N304&amp;"*",CAT_Procesos!$D:$D,1,FALSE),"")),0))))=SUMPRODUCT(--((CAT_Procesos!$E$2:$E$1581=O304)*(CAT_Procesos!$F$2:$F$1581=_xlfn.TEXTJOIN(" + ",TRUE,IF((TRIM(P304:S304)="")+(LOWER(TRIM(P304:S304))="(seleccione)"),"",PROPER(TRIM(P304:S304)))))*(CAT_Procesos!$D$2:$D$1581=IFERROR(VLOOKUP(N304&amp;"*",CAT_Procesos!$D:$D,1,FALSE),"")))),INDEX(CAT_Procesos!$G$2:$G$1581,MATCH(1,(CAT_Procesos!$E$2:$E$1581=O304)*(CAT_Procesos!$F$2:$F$1581=_xlfn.TEXTJOIN(" + ",TRUE,IF((TRIM(P304:S304)="")+(LOWER(TRIM(P304:S304))="(seleccione)"),"",PROPER(TRIM(P304:S304)))))*(CAT_Procesos!$D$2:$D$1581=IFERROR(VLOOKUP(N304&amp;"*",CAT_Procesos!$D:$D,1,FALSE),"")),0)),"(seleccione)"))</f>
        <v>Combinación no existente</v>
      </c>
      <c r="V304" s="55" t="s">
        <v>73</v>
      </c>
      <c r="W304" s="56" t="s">
        <v>73</v>
      </c>
      <c r="X304" s="57" t="str">
        <f t="shared" si="16"/>
        <v/>
      </c>
      <c r="Y304" s="58" t="s">
        <v>73</v>
      </c>
      <c r="Z304" s="57" t="str">
        <f t="shared" si="17"/>
        <v/>
      </c>
      <c r="AA304" s="58" t="s">
        <v>73</v>
      </c>
      <c r="AB304" s="57" t="str">
        <f t="shared" si="18"/>
        <v/>
      </c>
      <c r="AC304" s="58" t="s">
        <v>73</v>
      </c>
      <c r="AD304" s="57" t="str">
        <f t="shared" si="19"/>
        <v/>
      </c>
      <c r="AE304" s="59"/>
      <c r="AF304" s="59"/>
      <c r="AG304" s="59"/>
      <c r="AH304" s="59"/>
      <c r="AI304" s="59" t="s">
        <v>73</v>
      </c>
      <c r="AJ304" s="59"/>
      <c r="AK304" s="59" t="s">
        <v>73</v>
      </c>
      <c r="AL304" s="59"/>
      <c r="AM304" s="59" t="s">
        <v>73</v>
      </c>
      <c r="AN304" s="59"/>
      <c r="AO304" s="59" t="s">
        <v>73</v>
      </c>
      <c r="AP304" s="59"/>
      <c r="AQ304" s="59" t="s">
        <v>73</v>
      </c>
      <c r="AR304" s="59"/>
      <c r="AS304" s="59" t="s">
        <v>72</v>
      </c>
      <c r="AT304" s="59"/>
      <c r="AU304" s="59"/>
      <c r="AV304" s="59"/>
      <c r="AW304" s="59"/>
      <c r="AX304" s="59"/>
      <c r="AY304" s="60" t="str">
        <f>IF('Cálculo MP'!K314="","",'Cálculo MP'!K314)</f>
        <v/>
      </c>
      <c r="AZ304" s="60" t="str">
        <f>IF('Cálculo MP'!L314="","",'Cálculo MP'!L314)</f>
        <v/>
      </c>
      <c r="BA304" s="60" t="str">
        <f>IF('Cálculo MP'!M314="","",'Cálculo MP'!M314)</f>
        <v/>
      </c>
      <c r="BB304" s="60" t="str">
        <f>IF('Cálculo MP'!N314="","",'Cálculo MP'!N314)</f>
        <v/>
      </c>
      <c r="BC304" s="60" t="str">
        <f>IF('Cálculo MP'!O314="","",'Cálculo MP'!O314)</f>
        <v/>
      </c>
      <c r="BD304" s="60" t="str">
        <f>IF('Cálculo MP'!P314="","",'Cálculo MP'!P314)</f>
        <v/>
      </c>
      <c r="BE304" s="60" t="str">
        <f>IF('Cálculo MP'!Q314="","",'Cálculo MP'!Q314)</f>
        <v/>
      </c>
      <c r="BF304" s="60" t="str">
        <f>IF('Cálculo MP'!R314="","",'Cálculo MP'!R314)</f>
        <v/>
      </c>
      <c r="BG304" s="60" t="str">
        <f>IF('Cálculo MP'!S314="","",'Cálculo MP'!S314)</f>
        <v/>
      </c>
      <c r="BH304" s="59"/>
      <c r="BI304" s="59"/>
      <c r="BJ304" s="59"/>
      <c r="BK304" s="59"/>
      <c r="BL304" s="59"/>
      <c r="BM304" s="59"/>
      <c r="BN304" s="59"/>
      <c r="BO304" s="59"/>
    </row>
    <row r="305" spans="1:67" ht="19.5" customHeight="1" x14ac:dyDescent="0.15">
      <c r="A305" s="123" t="s">
        <v>1856</v>
      </c>
      <c r="B305" s="122" t="s">
        <v>1854</v>
      </c>
      <c r="C305" s="49"/>
      <c r="D305" s="48" t="s">
        <v>73</v>
      </c>
      <c r="E305" s="49"/>
      <c r="F305" s="50"/>
      <c r="G305" s="62"/>
      <c r="H305" s="48" t="s">
        <v>72</v>
      </c>
      <c r="I305" s="52">
        <v>1</v>
      </c>
      <c r="J305" s="52"/>
      <c r="K305" s="52" t="s">
        <v>73</v>
      </c>
      <c r="L305" s="52" t="s">
        <v>74</v>
      </c>
      <c r="M305" s="53" t="s">
        <v>942</v>
      </c>
      <c r="N305" s="58" t="s">
        <v>73</v>
      </c>
      <c r="O305" s="48" t="s">
        <v>72</v>
      </c>
      <c r="P305" s="48" t="s">
        <v>73</v>
      </c>
      <c r="Q305" s="54" t="s">
        <v>73</v>
      </c>
      <c r="R305" s="55" t="s">
        <v>73</v>
      </c>
      <c r="S305" s="48" t="s">
        <v>73</v>
      </c>
      <c r="T305" s="130"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8" t="str" cm="1">
        <f t="array" ref="U305">IF(SUMPRODUCT(--((CAT_Procesos!$E$2:$E$1581=O305)*(CAT_Procesos!$F$2:$F$1581=_xlfn.TEXTJOIN(" + ",TRUE,IF((TRIM(P305:S305)="")+(LOWER(TRIM(P305:S305))="(seleccione)"),"",PROPER(TRIM(P305:S305)))))*(CAT_Procesos!$D$2:$D$1581=IFERROR(VLOOKUP(N305&amp;"*",CAT_Procesos!$D:$D,1,FALSE),""))))=0,"Combinación no existente",IF(SUMPRODUCT(((CAT_Procesos!$E$2:$E$1581=O305)*(CAT_Procesos!$F$2:$F$1581=_xlfn.TEXTJOIN(" + ",TRUE,IF((TRIM(P305:S305)="")+(LOWER(TRIM(P305:S305))="(seleccione)"),"",PROPER(TRIM(P305:S305)))))*(CAT_Procesos!$D$2:$D$1581=IFERROR(VLOOKUP(N305&amp;"*",CAT_Procesos!$D:$D,1,FALSE),"")))*(CAT_Procesos!$G$2:$G$1581=INDEX(CAT_Procesos!$G$2:$G$1581,MATCH(1,(CAT_Procesos!$E$2:$E$1581=O305)*(CAT_Procesos!$F$2:$F$1581=_xlfn.TEXTJOIN(" + ",TRUE,IF((TRIM(P305:S305)="")+(LOWER(TRIM(P305:S305))="(seleccione)"),"",PROPER(TRIM(P305:S305)))))*(CAT_Procesos!$D$2:$D$1581=IFERROR(VLOOKUP(N305&amp;"*",CAT_Procesos!$D:$D,1,FALSE),"")),0))))=SUMPRODUCT(--((CAT_Procesos!$E$2:$E$1581=O305)*(CAT_Procesos!$F$2:$F$1581=_xlfn.TEXTJOIN(" + ",TRUE,IF((TRIM(P305:S305)="")+(LOWER(TRIM(P305:S305))="(seleccione)"),"",PROPER(TRIM(P305:S305)))))*(CAT_Procesos!$D$2:$D$1581=IFERROR(VLOOKUP(N305&amp;"*",CAT_Procesos!$D:$D,1,FALSE),"")))),INDEX(CAT_Procesos!$G$2:$G$1581,MATCH(1,(CAT_Procesos!$E$2:$E$1581=O305)*(CAT_Procesos!$F$2:$F$1581=_xlfn.TEXTJOIN(" + ",TRUE,IF((TRIM(P305:S305)="")+(LOWER(TRIM(P305:S305))="(seleccione)"),"",PROPER(TRIM(P305:S305)))))*(CAT_Procesos!$D$2:$D$1581=IFERROR(VLOOKUP(N305&amp;"*",CAT_Procesos!$D:$D,1,FALSE),"")),0)),"(seleccione)"))</f>
        <v>Combinación no existente</v>
      </c>
      <c r="V305" s="55" t="s">
        <v>73</v>
      </c>
      <c r="W305" s="56" t="s">
        <v>73</v>
      </c>
      <c r="X305" s="57" t="str">
        <f t="shared" si="16"/>
        <v/>
      </c>
      <c r="Y305" s="58" t="s">
        <v>73</v>
      </c>
      <c r="Z305" s="57" t="str">
        <f t="shared" si="17"/>
        <v/>
      </c>
      <c r="AA305" s="58" t="s">
        <v>73</v>
      </c>
      <c r="AB305" s="57" t="str">
        <f t="shared" si="18"/>
        <v/>
      </c>
      <c r="AC305" s="58" t="s">
        <v>73</v>
      </c>
      <c r="AD305" s="57" t="str">
        <f t="shared" si="19"/>
        <v/>
      </c>
      <c r="AE305" s="59"/>
      <c r="AF305" s="59"/>
      <c r="AG305" s="59"/>
      <c r="AH305" s="59"/>
      <c r="AI305" s="59" t="s">
        <v>73</v>
      </c>
      <c r="AJ305" s="59"/>
      <c r="AK305" s="59" t="s">
        <v>73</v>
      </c>
      <c r="AL305" s="59"/>
      <c r="AM305" s="59" t="s">
        <v>73</v>
      </c>
      <c r="AN305" s="59"/>
      <c r="AO305" s="59" t="s">
        <v>73</v>
      </c>
      <c r="AP305" s="59"/>
      <c r="AQ305" s="59" t="s">
        <v>73</v>
      </c>
      <c r="AR305" s="59"/>
      <c r="AS305" s="59" t="s">
        <v>72</v>
      </c>
      <c r="AT305" s="59"/>
      <c r="AU305" s="59"/>
      <c r="AV305" s="59"/>
      <c r="AW305" s="59"/>
      <c r="AX305" s="59"/>
      <c r="AY305" s="60" t="str">
        <f>IF('Cálculo MP'!K315="","",'Cálculo MP'!K315)</f>
        <v/>
      </c>
      <c r="AZ305" s="60" t="str">
        <f>IF('Cálculo MP'!L315="","",'Cálculo MP'!L315)</f>
        <v/>
      </c>
      <c r="BA305" s="60" t="str">
        <f>IF('Cálculo MP'!M315="","",'Cálculo MP'!M315)</f>
        <v/>
      </c>
      <c r="BB305" s="60" t="str">
        <f>IF('Cálculo MP'!N315="","",'Cálculo MP'!N315)</f>
        <v/>
      </c>
      <c r="BC305" s="60" t="str">
        <f>IF('Cálculo MP'!O315="","",'Cálculo MP'!O315)</f>
        <v/>
      </c>
      <c r="BD305" s="60" t="str">
        <f>IF('Cálculo MP'!P315="","",'Cálculo MP'!P315)</f>
        <v/>
      </c>
      <c r="BE305" s="60" t="str">
        <f>IF('Cálculo MP'!Q315="","",'Cálculo MP'!Q315)</f>
        <v/>
      </c>
      <c r="BF305" s="60" t="str">
        <f>IF('Cálculo MP'!R315="","",'Cálculo MP'!R315)</f>
        <v/>
      </c>
      <c r="BG305" s="60" t="str">
        <f>IF('Cálculo MP'!S315="","",'Cálculo MP'!S315)</f>
        <v/>
      </c>
      <c r="BH305" s="59"/>
      <c r="BI305" s="59"/>
      <c r="BJ305" s="59"/>
      <c r="BK305" s="59"/>
      <c r="BL305" s="59"/>
      <c r="BM305" s="59"/>
      <c r="BN305" s="59"/>
      <c r="BO305" s="59"/>
    </row>
    <row r="306" spans="1:67" ht="19.5" customHeight="1" x14ac:dyDescent="0.15">
      <c r="A306" s="123" t="s">
        <v>1856</v>
      </c>
      <c r="B306" s="122" t="s">
        <v>1854</v>
      </c>
      <c r="C306" s="49"/>
      <c r="D306" s="48" t="s">
        <v>73</v>
      </c>
      <c r="E306" s="49"/>
      <c r="F306" s="50"/>
      <c r="G306" s="62"/>
      <c r="H306" s="48" t="s">
        <v>72</v>
      </c>
      <c r="I306" s="52">
        <v>1</v>
      </c>
      <c r="J306" s="52"/>
      <c r="K306" s="52" t="s">
        <v>73</v>
      </c>
      <c r="L306" s="52" t="s">
        <v>74</v>
      </c>
      <c r="M306" s="53" t="s">
        <v>942</v>
      </c>
      <c r="N306" s="58" t="s">
        <v>73</v>
      </c>
      <c r="O306" s="48" t="s">
        <v>72</v>
      </c>
      <c r="P306" s="48" t="s">
        <v>73</v>
      </c>
      <c r="Q306" s="54" t="s">
        <v>73</v>
      </c>
      <c r="R306" s="55" t="s">
        <v>73</v>
      </c>
      <c r="S306" s="48" t="s">
        <v>73</v>
      </c>
      <c r="T306" s="130"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8" t="str" cm="1">
        <f t="array" ref="U306">IF(SUMPRODUCT(--((CAT_Procesos!$E$2:$E$1581=O306)*(CAT_Procesos!$F$2:$F$1581=_xlfn.TEXTJOIN(" + ",TRUE,IF((TRIM(P306:S306)="")+(LOWER(TRIM(P306:S306))="(seleccione)"),"",PROPER(TRIM(P306:S306)))))*(CAT_Procesos!$D$2:$D$1581=IFERROR(VLOOKUP(N306&amp;"*",CAT_Procesos!$D:$D,1,FALSE),""))))=0,"Combinación no existente",IF(SUMPRODUCT(((CAT_Procesos!$E$2:$E$1581=O306)*(CAT_Procesos!$F$2:$F$1581=_xlfn.TEXTJOIN(" + ",TRUE,IF((TRIM(P306:S306)="")+(LOWER(TRIM(P306:S306))="(seleccione)"),"",PROPER(TRIM(P306:S306)))))*(CAT_Procesos!$D$2:$D$1581=IFERROR(VLOOKUP(N306&amp;"*",CAT_Procesos!$D:$D,1,FALSE),"")))*(CAT_Procesos!$G$2:$G$1581=INDEX(CAT_Procesos!$G$2:$G$1581,MATCH(1,(CAT_Procesos!$E$2:$E$1581=O306)*(CAT_Procesos!$F$2:$F$1581=_xlfn.TEXTJOIN(" + ",TRUE,IF((TRIM(P306:S306)="")+(LOWER(TRIM(P306:S306))="(seleccione)"),"",PROPER(TRIM(P306:S306)))))*(CAT_Procesos!$D$2:$D$1581=IFERROR(VLOOKUP(N306&amp;"*",CAT_Procesos!$D:$D,1,FALSE),"")),0))))=SUMPRODUCT(--((CAT_Procesos!$E$2:$E$1581=O306)*(CAT_Procesos!$F$2:$F$1581=_xlfn.TEXTJOIN(" + ",TRUE,IF((TRIM(P306:S306)="")+(LOWER(TRIM(P306:S306))="(seleccione)"),"",PROPER(TRIM(P306:S306)))))*(CAT_Procesos!$D$2:$D$1581=IFERROR(VLOOKUP(N306&amp;"*",CAT_Procesos!$D:$D,1,FALSE),"")))),INDEX(CAT_Procesos!$G$2:$G$1581,MATCH(1,(CAT_Procesos!$E$2:$E$1581=O306)*(CAT_Procesos!$F$2:$F$1581=_xlfn.TEXTJOIN(" + ",TRUE,IF((TRIM(P306:S306)="")+(LOWER(TRIM(P306:S306))="(seleccione)"),"",PROPER(TRIM(P306:S306)))))*(CAT_Procesos!$D$2:$D$1581=IFERROR(VLOOKUP(N306&amp;"*",CAT_Procesos!$D:$D,1,FALSE),"")),0)),"(seleccione)"))</f>
        <v>Combinación no existente</v>
      </c>
      <c r="V306" s="55" t="s">
        <v>73</v>
      </c>
      <c r="W306" s="56" t="s">
        <v>73</v>
      </c>
      <c r="X306" s="57" t="str">
        <f t="shared" si="16"/>
        <v/>
      </c>
      <c r="Y306" s="58" t="s">
        <v>73</v>
      </c>
      <c r="Z306" s="57" t="str">
        <f t="shared" si="17"/>
        <v/>
      </c>
      <c r="AA306" s="58" t="s">
        <v>73</v>
      </c>
      <c r="AB306" s="57" t="str">
        <f t="shared" si="18"/>
        <v/>
      </c>
      <c r="AC306" s="58" t="s">
        <v>73</v>
      </c>
      <c r="AD306" s="57" t="str">
        <f t="shared" si="19"/>
        <v/>
      </c>
      <c r="AE306" s="59"/>
      <c r="AF306" s="59"/>
      <c r="AG306" s="59"/>
      <c r="AH306" s="59"/>
      <c r="AI306" s="59" t="s">
        <v>73</v>
      </c>
      <c r="AJ306" s="59"/>
      <c r="AK306" s="59" t="s">
        <v>73</v>
      </c>
      <c r="AL306" s="59"/>
      <c r="AM306" s="59" t="s">
        <v>73</v>
      </c>
      <c r="AN306" s="59"/>
      <c r="AO306" s="59" t="s">
        <v>73</v>
      </c>
      <c r="AP306" s="59"/>
      <c r="AQ306" s="59" t="s">
        <v>73</v>
      </c>
      <c r="AR306" s="59"/>
      <c r="AS306" s="59" t="s">
        <v>72</v>
      </c>
      <c r="AT306" s="59"/>
      <c r="AU306" s="59"/>
      <c r="AV306" s="59"/>
      <c r="AW306" s="59"/>
      <c r="AX306" s="59"/>
      <c r="AY306" s="60" t="str">
        <f>IF('Cálculo MP'!K316="","",'Cálculo MP'!K316)</f>
        <v/>
      </c>
      <c r="AZ306" s="60" t="str">
        <f>IF('Cálculo MP'!L316="","",'Cálculo MP'!L316)</f>
        <v/>
      </c>
      <c r="BA306" s="60" t="str">
        <f>IF('Cálculo MP'!M316="","",'Cálculo MP'!M316)</f>
        <v/>
      </c>
      <c r="BB306" s="60" t="str">
        <f>IF('Cálculo MP'!N316="","",'Cálculo MP'!N316)</f>
        <v/>
      </c>
      <c r="BC306" s="60" t="str">
        <f>IF('Cálculo MP'!O316="","",'Cálculo MP'!O316)</f>
        <v/>
      </c>
      <c r="BD306" s="60" t="str">
        <f>IF('Cálculo MP'!P316="","",'Cálculo MP'!P316)</f>
        <v/>
      </c>
      <c r="BE306" s="60" t="str">
        <f>IF('Cálculo MP'!Q316="","",'Cálculo MP'!Q316)</f>
        <v/>
      </c>
      <c r="BF306" s="60" t="str">
        <f>IF('Cálculo MP'!R316="","",'Cálculo MP'!R316)</f>
        <v/>
      </c>
      <c r="BG306" s="60" t="str">
        <f>IF('Cálculo MP'!S316="","",'Cálculo MP'!S316)</f>
        <v/>
      </c>
      <c r="BH306" s="59"/>
      <c r="BI306" s="59"/>
      <c r="BJ306" s="59"/>
      <c r="BK306" s="59"/>
      <c r="BL306" s="59"/>
      <c r="BM306" s="59"/>
      <c r="BN306" s="59"/>
      <c r="BO306" s="59"/>
    </row>
    <row r="307" spans="1:67" ht="19.5" customHeight="1" x14ac:dyDescent="0.15">
      <c r="A307" s="123" t="s">
        <v>1856</v>
      </c>
      <c r="B307" s="122" t="s">
        <v>1854</v>
      </c>
      <c r="C307" s="49"/>
      <c r="D307" s="48" t="s">
        <v>73</v>
      </c>
      <c r="E307" s="49"/>
      <c r="F307" s="50"/>
      <c r="G307" s="62"/>
      <c r="H307" s="48" t="s">
        <v>72</v>
      </c>
      <c r="I307" s="52">
        <v>1</v>
      </c>
      <c r="J307" s="52"/>
      <c r="K307" s="52" t="s">
        <v>73</v>
      </c>
      <c r="L307" s="52" t="s">
        <v>74</v>
      </c>
      <c r="M307" s="53" t="s">
        <v>942</v>
      </c>
      <c r="N307" s="58" t="s">
        <v>73</v>
      </c>
      <c r="O307" s="48" t="s">
        <v>72</v>
      </c>
      <c r="P307" s="48" t="s">
        <v>73</v>
      </c>
      <c r="Q307" s="54" t="s">
        <v>73</v>
      </c>
      <c r="R307" s="55" t="s">
        <v>73</v>
      </c>
      <c r="S307" s="48" t="s">
        <v>73</v>
      </c>
      <c r="T307" s="130"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8" t="str" cm="1">
        <f t="array" ref="U307">IF(SUMPRODUCT(--((CAT_Procesos!$E$2:$E$1581=O307)*(CAT_Procesos!$F$2:$F$1581=_xlfn.TEXTJOIN(" + ",TRUE,IF((TRIM(P307:S307)="")+(LOWER(TRIM(P307:S307))="(seleccione)"),"",PROPER(TRIM(P307:S307)))))*(CAT_Procesos!$D$2:$D$1581=IFERROR(VLOOKUP(N307&amp;"*",CAT_Procesos!$D:$D,1,FALSE),""))))=0,"Combinación no existente",IF(SUMPRODUCT(((CAT_Procesos!$E$2:$E$1581=O307)*(CAT_Procesos!$F$2:$F$1581=_xlfn.TEXTJOIN(" + ",TRUE,IF((TRIM(P307:S307)="")+(LOWER(TRIM(P307:S307))="(seleccione)"),"",PROPER(TRIM(P307:S307)))))*(CAT_Procesos!$D$2:$D$1581=IFERROR(VLOOKUP(N307&amp;"*",CAT_Procesos!$D:$D,1,FALSE),"")))*(CAT_Procesos!$G$2:$G$1581=INDEX(CAT_Procesos!$G$2:$G$1581,MATCH(1,(CAT_Procesos!$E$2:$E$1581=O307)*(CAT_Procesos!$F$2:$F$1581=_xlfn.TEXTJOIN(" + ",TRUE,IF((TRIM(P307:S307)="")+(LOWER(TRIM(P307:S307))="(seleccione)"),"",PROPER(TRIM(P307:S307)))))*(CAT_Procesos!$D$2:$D$1581=IFERROR(VLOOKUP(N307&amp;"*",CAT_Procesos!$D:$D,1,FALSE),"")),0))))=SUMPRODUCT(--((CAT_Procesos!$E$2:$E$1581=O307)*(CAT_Procesos!$F$2:$F$1581=_xlfn.TEXTJOIN(" + ",TRUE,IF((TRIM(P307:S307)="")+(LOWER(TRIM(P307:S307))="(seleccione)"),"",PROPER(TRIM(P307:S307)))))*(CAT_Procesos!$D$2:$D$1581=IFERROR(VLOOKUP(N307&amp;"*",CAT_Procesos!$D:$D,1,FALSE),"")))),INDEX(CAT_Procesos!$G$2:$G$1581,MATCH(1,(CAT_Procesos!$E$2:$E$1581=O307)*(CAT_Procesos!$F$2:$F$1581=_xlfn.TEXTJOIN(" + ",TRUE,IF((TRIM(P307:S307)="")+(LOWER(TRIM(P307:S307))="(seleccione)"),"",PROPER(TRIM(P307:S307)))))*(CAT_Procesos!$D$2:$D$1581=IFERROR(VLOOKUP(N307&amp;"*",CAT_Procesos!$D:$D,1,FALSE),"")),0)),"(seleccione)"))</f>
        <v>Combinación no existente</v>
      </c>
      <c r="V307" s="55" t="s">
        <v>73</v>
      </c>
      <c r="W307" s="56" t="s">
        <v>73</v>
      </c>
      <c r="X307" s="57" t="str">
        <f t="shared" si="16"/>
        <v/>
      </c>
      <c r="Y307" s="58" t="s">
        <v>73</v>
      </c>
      <c r="Z307" s="57" t="str">
        <f t="shared" si="17"/>
        <v/>
      </c>
      <c r="AA307" s="58" t="s">
        <v>73</v>
      </c>
      <c r="AB307" s="57" t="str">
        <f t="shared" si="18"/>
        <v/>
      </c>
      <c r="AC307" s="58" t="s">
        <v>73</v>
      </c>
      <c r="AD307" s="57" t="str">
        <f t="shared" si="19"/>
        <v/>
      </c>
      <c r="AE307" s="59"/>
      <c r="AF307" s="59"/>
      <c r="AG307" s="59"/>
      <c r="AH307" s="59"/>
      <c r="AI307" s="59" t="s">
        <v>73</v>
      </c>
      <c r="AJ307" s="59"/>
      <c r="AK307" s="59" t="s">
        <v>73</v>
      </c>
      <c r="AL307" s="59"/>
      <c r="AM307" s="59" t="s">
        <v>73</v>
      </c>
      <c r="AN307" s="59"/>
      <c r="AO307" s="59" t="s">
        <v>73</v>
      </c>
      <c r="AP307" s="59"/>
      <c r="AQ307" s="59" t="s">
        <v>73</v>
      </c>
      <c r="AR307" s="59"/>
      <c r="AS307" s="59" t="s">
        <v>72</v>
      </c>
      <c r="AT307" s="59"/>
      <c r="AU307" s="59"/>
      <c r="AV307" s="59"/>
      <c r="AW307" s="59"/>
      <c r="AX307" s="59"/>
      <c r="AY307" s="60" t="str">
        <f>IF('Cálculo MP'!K317="","",'Cálculo MP'!K317)</f>
        <v/>
      </c>
      <c r="AZ307" s="60" t="str">
        <f>IF('Cálculo MP'!L317="","",'Cálculo MP'!L317)</f>
        <v/>
      </c>
      <c r="BA307" s="60" t="str">
        <f>IF('Cálculo MP'!M317="","",'Cálculo MP'!M317)</f>
        <v/>
      </c>
      <c r="BB307" s="60" t="str">
        <f>IF('Cálculo MP'!N317="","",'Cálculo MP'!N317)</f>
        <v/>
      </c>
      <c r="BC307" s="60" t="str">
        <f>IF('Cálculo MP'!O317="","",'Cálculo MP'!O317)</f>
        <v/>
      </c>
      <c r="BD307" s="60" t="str">
        <f>IF('Cálculo MP'!P317="","",'Cálculo MP'!P317)</f>
        <v/>
      </c>
      <c r="BE307" s="60" t="str">
        <f>IF('Cálculo MP'!Q317="","",'Cálculo MP'!Q317)</f>
        <v/>
      </c>
      <c r="BF307" s="60" t="str">
        <f>IF('Cálculo MP'!R317="","",'Cálculo MP'!R317)</f>
        <v/>
      </c>
      <c r="BG307" s="60" t="str">
        <f>IF('Cálculo MP'!S317="","",'Cálculo MP'!S317)</f>
        <v/>
      </c>
      <c r="BH307" s="59"/>
      <c r="BI307" s="59"/>
      <c r="BJ307" s="59"/>
      <c r="BK307" s="59"/>
      <c r="BL307" s="59"/>
      <c r="BM307" s="59"/>
      <c r="BN307" s="59"/>
      <c r="BO307" s="59"/>
    </row>
    <row r="308" spans="1:67" ht="19.5" customHeight="1" x14ac:dyDescent="0.15">
      <c r="A308" s="123" t="s">
        <v>1856</v>
      </c>
      <c r="B308" s="122" t="s">
        <v>1854</v>
      </c>
      <c r="C308" s="49"/>
      <c r="D308" s="48" t="s">
        <v>73</v>
      </c>
      <c r="E308" s="49"/>
      <c r="F308" s="50"/>
      <c r="G308" s="62"/>
      <c r="H308" s="48" t="s">
        <v>72</v>
      </c>
      <c r="I308" s="52">
        <v>1</v>
      </c>
      <c r="J308" s="52"/>
      <c r="K308" s="52" t="s">
        <v>73</v>
      </c>
      <c r="L308" s="52" t="s">
        <v>74</v>
      </c>
      <c r="M308" s="53" t="s">
        <v>942</v>
      </c>
      <c r="N308" s="58" t="s">
        <v>73</v>
      </c>
      <c r="O308" s="48" t="s">
        <v>72</v>
      </c>
      <c r="P308" s="48" t="s">
        <v>73</v>
      </c>
      <c r="Q308" s="54" t="s">
        <v>73</v>
      </c>
      <c r="R308" s="55" t="s">
        <v>73</v>
      </c>
      <c r="S308" s="48" t="s">
        <v>73</v>
      </c>
      <c r="T308" s="130"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8" t="str" cm="1">
        <f t="array" ref="U308">IF(SUMPRODUCT(--((CAT_Procesos!$E$2:$E$1581=O308)*(CAT_Procesos!$F$2:$F$1581=_xlfn.TEXTJOIN(" + ",TRUE,IF((TRIM(P308:S308)="")+(LOWER(TRIM(P308:S308))="(seleccione)"),"",PROPER(TRIM(P308:S308)))))*(CAT_Procesos!$D$2:$D$1581=IFERROR(VLOOKUP(N308&amp;"*",CAT_Procesos!$D:$D,1,FALSE),""))))=0,"Combinación no existente",IF(SUMPRODUCT(((CAT_Procesos!$E$2:$E$1581=O308)*(CAT_Procesos!$F$2:$F$1581=_xlfn.TEXTJOIN(" + ",TRUE,IF((TRIM(P308:S308)="")+(LOWER(TRIM(P308:S308))="(seleccione)"),"",PROPER(TRIM(P308:S308)))))*(CAT_Procesos!$D$2:$D$1581=IFERROR(VLOOKUP(N308&amp;"*",CAT_Procesos!$D:$D,1,FALSE),"")))*(CAT_Procesos!$G$2:$G$1581=INDEX(CAT_Procesos!$G$2:$G$1581,MATCH(1,(CAT_Procesos!$E$2:$E$1581=O308)*(CAT_Procesos!$F$2:$F$1581=_xlfn.TEXTJOIN(" + ",TRUE,IF((TRIM(P308:S308)="")+(LOWER(TRIM(P308:S308))="(seleccione)"),"",PROPER(TRIM(P308:S308)))))*(CAT_Procesos!$D$2:$D$1581=IFERROR(VLOOKUP(N308&amp;"*",CAT_Procesos!$D:$D,1,FALSE),"")),0))))=SUMPRODUCT(--((CAT_Procesos!$E$2:$E$1581=O308)*(CAT_Procesos!$F$2:$F$1581=_xlfn.TEXTJOIN(" + ",TRUE,IF((TRIM(P308:S308)="")+(LOWER(TRIM(P308:S308))="(seleccione)"),"",PROPER(TRIM(P308:S308)))))*(CAT_Procesos!$D$2:$D$1581=IFERROR(VLOOKUP(N308&amp;"*",CAT_Procesos!$D:$D,1,FALSE),"")))),INDEX(CAT_Procesos!$G$2:$G$1581,MATCH(1,(CAT_Procesos!$E$2:$E$1581=O308)*(CAT_Procesos!$F$2:$F$1581=_xlfn.TEXTJOIN(" + ",TRUE,IF((TRIM(P308:S308)="")+(LOWER(TRIM(P308:S308))="(seleccione)"),"",PROPER(TRIM(P308:S308)))))*(CAT_Procesos!$D$2:$D$1581=IFERROR(VLOOKUP(N308&amp;"*",CAT_Procesos!$D:$D,1,FALSE),"")),0)),"(seleccione)"))</f>
        <v>Combinación no existente</v>
      </c>
      <c r="V308" s="55" t="s">
        <v>73</v>
      </c>
      <c r="W308" s="56" t="s">
        <v>73</v>
      </c>
      <c r="X308" s="57" t="str">
        <f t="shared" si="16"/>
        <v/>
      </c>
      <c r="Y308" s="58" t="s">
        <v>73</v>
      </c>
      <c r="Z308" s="57" t="str">
        <f t="shared" si="17"/>
        <v/>
      </c>
      <c r="AA308" s="58" t="s">
        <v>73</v>
      </c>
      <c r="AB308" s="57" t="str">
        <f t="shared" si="18"/>
        <v/>
      </c>
      <c r="AC308" s="58" t="s">
        <v>73</v>
      </c>
      <c r="AD308" s="57" t="str">
        <f t="shared" si="19"/>
        <v/>
      </c>
      <c r="AE308" s="59"/>
      <c r="AF308" s="59"/>
      <c r="AG308" s="59"/>
      <c r="AH308" s="59"/>
      <c r="AI308" s="59" t="s">
        <v>73</v>
      </c>
      <c r="AJ308" s="59"/>
      <c r="AK308" s="59" t="s">
        <v>73</v>
      </c>
      <c r="AL308" s="59"/>
      <c r="AM308" s="59" t="s">
        <v>73</v>
      </c>
      <c r="AN308" s="59"/>
      <c r="AO308" s="59" t="s">
        <v>73</v>
      </c>
      <c r="AP308" s="59"/>
      <c r="AQ308" s="59" t="s">
        <v>73</v>
      </c>
      <c r="AR308" s="59"/>
      <c r="AS308" s="59" t="s">
        <v>72</v>
      </c>
      <c r="AT308" s="59"/>
      <c r="AU308" s="59"/>
      <c r="AV308" s="59"/>
      <c r="AW308" s="59"/>
      <c r="AX308" s="59"/>
      <c r="AY308" s="60" t="str">
        <f>IF('Cálculo MP'!K318="","",'Cálculo MP'!K318)</f>
        <v/>
      </c>
      <c r="AZ308" s="60" t="str">
        <f>IF('Cálculo MP'!L318="","",'Cálculo MP'!L318)</f>
        <v/>
      </c>
      <c r="BA308" s="60" t="str">
        <f>IF('Cálculo MP'!M318="","",'Cálculo MP'!M318)</f>
        <v/>
      </c>
      <c r="BB308" s="60" t="str">
        <f>IF('Cálculo MP'!N318="","",'Cálculo MP'!N318)</f>
        <v/>
      </c>
      <c r="BC308" s="60" t="str">
        <f>IF('Cálculo MP'!O318="","",'Cálculo MP'!O318)</f>
        <v/>
      </c>
      <c r="BD308" s="60" t="str">
        <f>IF('Cálculo MP'!P318="","",'Cálculo MP'!P318)</f>
        <v/>
      </c>
      <c r="BE308" s="60" t="str">
        <f>IF('Cálculo MP'!Q318="","",'Cálculo MP'!Q318)</f>
        <v/>
      </c>
      <c r="BF308" s="60" t="str">
        <f>IF('Cálculo MP'!R318="","",'Cálculo MP'!R318)</f>
        <v/>
      </c>
      <c r="BG308" s="60" t="str">
        <f>IF('Cálculo MP'!S318="","",'Cálculo MP'!S318)</f>
        <v/>
      </c>
      <c r="BH308" s="59"/>
      <c r="BI308" s="59"/>
      <c r="BJ308" s="59"/>
      <c r="BK308" s="59"/>
      <c r="BL308" s="59"/>
      <c r="BM308" s="59"/>
      <c r="BN308" s="59"/>
      <c r="BO308" s="59"/>
    </row>
    <row r="309" spans="1:67" ht="19.5" customHeight="1" x14ac:dyDescent="0.15">
      <c r="A309" s="123" t="s">
        <v>1856</v>
      </c>
      <c r="B309" s="122" t="s">
        <v>1854</v>
      </c>
      <c r="C309" s="49"/>
      <c r="D309" s="48" t="s">
        <v>73</v>
      </c>
      <c r="E309" s="49"/>
      <c r="F309" s="50"/>
      <c r="G309" s="62"/>
      <c r="H309" s="48" t="s">
        <v>72</v>
      </c>
      <c r="I309" s="52">
        <v>1</v>
      </c>
      <c r="J309" s="52"/>
      <c r="K309" s="52" t="s">
        <v>73</v>
      </c>
      <c r="L309" s="52" t="s">
        <v>74</v>
      </c>
      <c r="M309" s="53" t="s">
        <v>942</v>
      </c>
      <c r="N309" s="58" t="s">
        <v>73</v>
      </c>
      <c r="O309" s="48" t="s">
        <v>72</v>
      </c>
      <c r="P309" s="48" t="s">
        <v>73</v>
      </c>
      <c r="Q309" s="54" t="s">
        <v>73</v>
      </c>
      <c r="R309" s="55" t="s">
        <v>73</v>
      </c>
      <c r="S309" s="48" t="s">
        <v>73</v>
      </c>
      <c r="T309" s="130"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8" t="str" cm="1">
        <f t="array" ref="U309">IF(SUMPRODUCT(--((CAT_Procesos!$E$2:$E$1581=O309)*(CAT_Procesos!$F$2:$F$1581=_xlfn.TEXTJOIN(" + ",TRUE,IF((TRIM(P309:S309)="")+(LOWER(TRIM(P309:S309))="(seleccione)"),"",PROPER(TRIM(P309:S309)))))*(CAT_Procesos!$D$2:$D$1581=IFERROR(VLOOKUP(N309&amp;"*",CAT_Procesos!$D:$D,1,FALSE),""))))=0,"Combinación no existente",IF(SUMPRODUCT(((CAT_Procesos!$E$2:$E$1581=O309)*(CAT_Procesos!$F$2:$F$1581=_xlfn.TEXTJOIN(" + ",TRUE,IF((TRIM(P309:S309)="")+(LOWER(TRIM(P309:S309))="(seleccione)"),"",PROPER(TRIM(P309:S309)))))*(CAT_Procesos!$D$2:$D$1581=IFERROR(VLOOKUP(N309&amp;"*",CAT_Procesos!$D:$D,1,FALSE),"")))*(CAT_Procesos!$G$2:$G$1581=INDEX(CAT_Procesos!$G$2:$G$1581,MATCH(1,(CAT_Procesos!$E$2:$E$1581=O309)*(CAT_Procesos!$F$2:$F$1581=_xlfn.TEXTJOIN(" + ",TRUE,IF((TRIM(P309:S309)="")+(LOWER(TRIM(P309:S309))="(seleccione)"),"",PROPER(TRIM(P309:S309)))))*(CAT_Procesos!$D$2:$D$1581=IFERROR(VLOOKUP(N309&amp;"*",CAT_Procesos!$D:$D,1,FALSE),"")),0))))=SUMPRODUCT(--((CAT_Procesos!$E$2:$E$1581=O309)*(CAT_Procesos!$F$2:$F$1581=_xlfn.TEXTJOIN(" + ",TRUE,IF((TRIM(P309:S309)="")+(LOWER(TRIM(P309:S309))="(seleccione)"),"",PROPER(TRIM(P309:S309)))))*(CAT_Procesos!$D$2:$D$1581=IFERROR(VLOOKUP(N309&amp;"*",CAT_Procesos!$D:$D,1,FALSE),"")))),INDEX(CAT_Procesos!$G$2:$G$1581,MATCH(1,(CAT_Procesos!$E$2:$E$1581=O309)*(CAT_Procesos!$F$2:$F$1581=_xlfn.TEXTJOIN(" + ",TRUE,IF((TRIM(P309:S309)="")+(LOWER(TRIM(P309:S309))="(seleccione)"),"",PROPER(TRIM(P309:S309)))))*(CAT_Procesos!$D$2:$D$1581=IFERROR(VLOOKUP(N309&amp;"*",CAT_Procesos!$D:$D,1,FALSE),"")),0)),"(seleccione)"))</f>
        <v>Combinación no existente</v>
      </c>
      <c r="V309" s="55" t="s">
        <v>73</v>
      </c>
      <c r="W309" s="56" t="s">
        <v>73</v>
      </c>
      <c r="X309" s="57" t="str">
        <f t="shared" si="16"/>
        <v/>
      </c>
      <c r="Y309" s="58" t="s">
        <v>73</v>
      </c>
      <c r="Z309" s="57" t="str">
        <f t="shared" si="17"/>
        <v/>
      </c>
      <c r="AA309" s="58" t="s">
        <v>73</v>
      </c>
      <c r="AB309" s="57" t="str">
        <f t="shared" si="18"/>
        <v/>
      </c>
      <c r="AC309" s="58" t="s">
        <v>73</v>
      </c>
      <c r="AD309" s="57" t="str">
        <f t="shared" si="19"/>
        <v/>
      </c>
      <c r="AE309" s="59"/>
      <c r="AF309" s="59"/>
      <c r="AG309" s="59"/>
      <c r="AH309" s="59"/>
      <c r="AI309" s="59" t="s">
        <v>73</v>
      </c>
      <c r="AJ309" s="59"/>
      <c r="AK309" s="59" t="s">
        <v>73</v>
      </c>
      <c r="AL309" s="59"/>
      <c r="AM309" s="59" t="s">
        <v>73</v>
      </c>
      <c r="AN309" s="59"/>
      <c r="AO309" s="59" t="s">
        <v>73</v>
      </c>
      <c r="AP309" s="59"/>
      <c r="AQ309" s="59" t="s">
        <v>73</v>
      </c>
      <c r="AR309" s="59"/>
      <c r="AS309" s="59" t="s">
        <v>72</v>
      </c>
      <c r="AT309" s="59"/>
      <c r="AU309" s="59"/>
      <c r="AV309" s="59"/>
      <c r="AW309" s="59"/>
      <c r="AX309" s="59"/>
      <c r="AY309" s="60" t="str">
        <f>IF('Cálculo MP'!K319="","",'Cálculo MP'!K319)</f>
        <v/>
      </c>
      <c r="AZ309" s="60" t="str">
        <f>IF('Cálculo MP'!L319="","",'Cálculo MP'!L319)</f>
        <v/>
      </c>
      <c r="BA309" s="60" t="str">
        <f>IF('Cálculo MP'!M319="","",'Cálculo MP'!M319)</f>
        <v/>
      </c>
      <c r="BB309" s="60" t="str">
        <f>IF('Cálculo MP'!N319="","",'Cálculo MP'!N319)</f>
        <v/>
      </c>
      <c r="BC309" s="60" t="str">
        <f>IF('Cálculo MP'!O319="","",'Cálculo MP'!O319)</f>
        <v/>
      </c>
      <c r="BD309" s="60" t="str">
        <f>IF('Cálculo MP'!P319="","",'Cálculo MP'!P319)</f>
        <v/>
      </c>
      <c r="BE309" s="60" t="str">
        <f>IF('Cálculo MP'!Q319="","",'Cálculo MP'!Q319)</f>
        <v/>
      </c>
      <c r="BF309" s="60" t="str">
        <f>IF('Cálculo MP'!R319="","",'Cálculo MP'!R319)</f>
        <v/>
      </c>
      <c r="BG309" s="60" t="str">
        <f>IF('Cálculo MP'!S319="","",'Cálculo MP'!S319)</f>
        <v/>
      </c>
      <c r="BH309" s="59"/>
      <c r="BI309" s="59"/>
      <c r="BJ309" s="59"/>
      <c r="BK309" s="59"/>
      <c r="BL309" s="59"/>
      <c r="BM309" s="59"/>
      <c r="BN309" s="59"/>
      <c r="BO309" s="59"/>
    </row>
    <row r="310" spans="1:67" ht="19.5" customHeight="1" x14ac:dyDescent="0.15">
      <c r="A310" s="123" t="s">
        <v>1856</v>
      </c>
      <c r="B310" s="122" t="s">
        <v>1854</v>
      </c>
      <c r="C310" s="49"/>
      <c r="D310" s="48" t="s">
        <v>73</v>
      </c>
      <c r="E310" s="49"/>
      <c r="F310" s="50"/>
      <c r="G310" s="62"/>
      <c r="H310" s="48" t="s">
        <v>72</v>
      </c>
      <c r="I310" s="52">
        <v>1</v>
      </c>
      <c r="J310" s="52"/>
      <c r="K310" s="52" t="s">
        <v>73</v>
      </c>
      <c r="L310" s="52" t="s">
        <v>74</v>
      </c>
      <c r="M310" s="53" t="s">
        <v>942</v>
      </c>
      <c r="N310" s="58" t="s">
        <v>73</v>
      </c>
      <c r="O310" s="48" t="s">
        <v>72</v>
      </c>
      <c r="P310" s="48" t="s">
        <v>73</v>
      </c>
      <c r="Q310" s="54" t="s">
        <v>73</v>
      </c>
      <c r="R310" s="55" t="s">
        <v>73</v>
      </c>
      <c r="S310" s="48" t="s">
        <v>73</v>
      </c>
      <c r="T310" s="130"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8" t="str" cm="1">
        <f t="array" ref="U310">IF(SUMPRODUCT(--((CAT_Procesos!$E$2:$E$1581=O310)*(CAT_Procesos!$F$2:$F$1581=_xlfn.TEXTJOIN(" + ",TRUE,IF((TRIM(P310:S310)="")+(LOWER(TRIM(P310:S310))="(seleccione)"),"",PROPER(TRIM(P310:S310)))))*(CAT_Procesos!$D$2:$D$1581=IFERROR(VLOOKUP(N310&amp;"*",CAT_Procesos!$D:$D,1,FALSE),""))))=0,"Combinación no existente",IF(SUMPRODUCT(((CAT_Procesos!$E$2:$E$1581=O310)*(CAT_Procesos!$F$2:$F$1581=_xlfn.TEXTJOIN(" + ",TRUE,IF((TRIM(P310:S310)="")+(LOWER(TRIM(P310:S310))="(seleccione)"),"",PROPER(TRIM(P310:S310)))))*(CAT_Procesos!$D$2:$D$1581=IFERROR(VLOOKUP(N310&amp;"*",CAT_Procesos!$D:$D,1,FALSE),"")))*(CAT_Procesos!$G$2:$G$1581=INDEX(CAT_Procesos!$G$2:$G$1581,MATCH(1,(CAT_Procesos!$E$2:$E$1581=O310)*(CAT_Procesos!$F$2:$F$1581=_xlfn.TEXTJOIN(" + ",TRUE,IF((TRIM(P310:S310)="")+(LOWER(TRIM(P310:S310))="(seleccione)"),"",PROPER(TRIM(P310:S310)))))*(CAT_Procesos!$D$2:$D$1581=IFERROR(VLOOKUP(N310&amp;"*",CAT_Procesos!$D:$D,1,FALSE),"")),0))))=SUMPRODUCT(--((CAT_Procesos!$E$2:$E$1581=O310)*(CAT_Procesos!$F$2:$F$1581=_xlfn.TEXTJOIN(" + ",TRUE,IF((TRIM(P310:S310)="")+(LOWER(TRIM(P310:S310))="(seleccione)"),"",PROPER(TRIM(P310:S310)))))*(CAT_Procesos!$D$2:$D$1581=IFERROR(VLOOKUP(N310&amp;"*",CAT_Procesos!$D:$D,1,FALSE),"")))),INDEX(CAT_Procesos!$G$2:$G$1581,MATCH(1,(CAT_Procesos!$E$2:$E$1581=O310)*(CAT_Procesos!$F$2:$F$1581=_xlfn.TEXTJOIN(" + ",TRUE,IF((TRIM(P310:S310)="")+(LOWER(TRIM(P310:S310))="(seleccione)"),"",PROPER(TRIM(P310:S310)))))*(CAT_Procesos!$D$2:$D$1581=IFERROR(VLOOKUP(N310&amp;"*",CAT_Procesos!$D:$D,1,FALSE),"")),0)),"(seleccione)"))</f>
        <v>Combinación no existente</v>
      </c>
      <c r="V310" s="55" t="s">
        <v>73</v>
      </c>
      <c r="W310" s="56" t="s">
        <v>73</v>
      </c>
      <c r="X310" s="57" t="str">
        <f t="shared" si="16"/>
        <v/>
      </c>
      <c r="Y310" s="58" t="s">
        <v>73</v>
      </c>
      <c r="Z310" s="57" t="str">
        <f t="shared" si="17"/>
        <v/>
      </c>
      <c r="AA310" s="58" t="s">
        <v>73</v>
      </c>
      <c r="AB310" s="57" t="str">
        <f t="shared" si="18"/>
        <v/>
      </c>
      <c r="AC310" s="58" t="s">
        <v>73</v>
      </c>
      <c r="AD310" s="57" t="str">
        <f t="shared" si="19"/>
        <v/>
      </c>
      <c r="AE310" s="59"/>
      <c r="AF310" s="59"/>
      <c r="AG310" s="59"/>
      <c r="AH310" s="59"/>
      <c r="AI310" s="59" t="s">
        <v>73</v>
      </c>
      <c r="AJ310" s="59"/>
      <c r="AK310" s="59" t="s">
        <v>73</v>
      </c>
      <c r="AL310" s="59"/>
      <c r="AM310" s="59" t="s">
        <v>73</v>
      </c>
      <c r="AN310" s="59"/>
      <c r="AO310" s="59" t="s">
        <v>73</v>
      </c>
      <c r="AP310" s="59"/>
      <c r="AQ310" s="59" t="s">
        <v>73</v>
      </c>
      <c r="AR310" s="59"/>
      <c r="AS310" s="59" t="s">
        <v>72</v>
      </c>
      <c r="AT310" s="59"/>
      <c r="AU310" s="59"/>
      <c r="AV310" s="59"/>
      <c r="AW310" s="59"/>
      <c r="AX310" s="59"/>
      <c r="AY310" s="60" t="str">
        <f>IF('Cálculo MP'!K320="","",'Cálculo MP'!K320)</f>
        <v/>
      </c>
      <c r="AZ310" s="60" t="str">
        <f>IF('Cálculo MP'!L320="","",'Cálculo MP'!L320)</f>
        <v/>
      </c>
      <c r="BA310" s="60" t="str">
        <f>IF('Cálculo MP'!M320="","",'Cálculo MP'!M320)</f>
        <v/>
      </c>
      <c r="BB310" s="60" t="str">
        <f>IF('Cálculo MP'!N320="","",'Cálculo MP'!N320)</f>
        <v/>
      </c>
      <c r="BC310" s="60" t="str">
        <f>IF('Cálculo MP'!O320="","",'Cálculo MP'!O320)</f>
        <v/>
      </c>
      <c r="BD310" s="60" t="str">
        <f>IF('Cálculo MP'!P320="","",'Cálculo MP'!P320)</f>
        <v/>
      </c>
      <c r="BE310" s="60" t="str">
        <f>IF('Cálculo MP'!Q320="","",'Cálculo MP'!Q320)</f>
        <v/>
      </c>
      <c r="BF310" s="60" t="str">
        <f>IF('Cálculo MP'!R320="","",'Cálculo MP'!R320)</f>
        <v/>
      </c>
      <c r="BG310" s="60" t="str">
        <f>IF('Cálculo MP'!S320="","",'Cálculo MP'!S320)</f>
        <v/>
      </c>
      <c r="BH310" s="59"/>
      <c r="BI310" s="59"/>
      <c r="BJ310" s="59"/>
      <c r="BK310" s="59"/>
      <c r="BL310" s="59"/>
      <c r="BM310" s="59"/>
      <c r="BN310" s="59"/>
      <c r="BO310" s="59"/>
    </row>
    <row r="311" spans="1:67" ht="19.5" customHeight="1" x14ac:dyDescent="0.15">
      <c r="A311" s="123" t="s">
        <v>1856</v>
      </c>
      <c r="B311" s="122" t="s">
        <v>1854</v>
      </c>
      <c r="C311" s="49"/>
      <c r="D311" s="48" t="s">
        <v>73</v>
      </c>
      <c r="E311" s="49"/>
      <c r="F311" s="50"/>
      <c r="G311" s="62"/>
      <c r="H311" s="48" t="s">
        <v>72</v>
      </c>
      <c r="I311" s="52">
        <v>1</v>
      </c>
      <c r="J311" s="52"/>
      <c r="K311" s="52" t="s">
        <v>73</v>
      </c>
      <c r="L311" s="52" t="s">
        <v>74</v>
      </c>
      <c r="M311" s="53" t="s">
        <v>942</v>
      </c>
      <c r="N311" s="58" t="s">
        <v>73</v>
      </c>
      <c r="O311" s="48" t="s">
        <v>72</v>
      </c>
      <c r="P311" s="48" t="s">
        <v>73</v>
      </c>
      <c r="Q311" s="54" t="s">
        <v>73</v>
      </c>
      <c r="R311" s="55" t="s">
        <v>73</v>
      </c>
      <c r="S311" s="48" t="s">
        <v>73</v>
      </c>
      <c r="T311" s="130"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8" t="str" cm="1">
        <f t="array" ref="U311">IF(SUMPRODUCT(--((CAT_Procesos!$E$2:$E$1581=O311)*(CAT_Procesos!$F$2:$F$1581=_xlfn.TEXTJOIN(" + ",TRUE,IF((TRIM(P311:S311)="")+(LOWER(TRIM(P311:S311))="(seleccione)"),"",PROPER(TRIM(P311:S311)))))*(CAT_Procesos!$D$2:$D$1581=IFERROR(VLOOKUP(N311&amp;"*",CAT_Procesos!$D:$D,1,FALSE),""))))=0,"Combinación no existente",IF(SUMPRODUCT(((CAT_Procesos!$E$2:$E$1581=O311)*(CAT_Procesos!$F$2:$F$1581=_xlfn.TEXTJOIN(" + ",TRUE,IF((TRIM(P311:S311)="")+(LOWER(TRIM(P311:S311))="(seleccione)"),"",PROPER(TRIM(P311:S311)))))*(CAT_Procesos!$D$2:$D$1581=IFERROR(VLOOKUP(N311&amp;"*",CAT_Procesos!$D:$D,1,FALSE),"")))*(CAT_Procesos!$G$2:$G$1581=INDEX(CAT_Procesos!$G$2:$G$1581,MATCH(1,(CAT_Procesos!$E$2:$E$1581=O311)*(CAT_Procesos!$F$2:$F$1581=_xlfn.TEXTJOIN(" + ",TRUE,IF((TRIM(P311:S311)="")+(LOWER(TRIM(P311:S311))="(seleccione)"),"",PROPER(TRIM(P311:S311)))))*(CAT_Procesos!$D$2:$D$1581=IFERROR(VLOOKUP(N311&amp;"*",CAT_Procesos!$D:$D,1,FALSE),"")),0))))=SUMPRODUCT(--((CAT_Procesos!$E$2:$E$1581=O311)*(CAT_Procesos!$F$2:$F$1581=_xlfn.TEXTJOIN(" + ",TRUE,IF((TRIM(P311:S311)="")+(LOWER(TRIM(P311:S311))="(seleccione)"),"",PROPER(TRIM(P311:S311)))))*(CAT_Procesos!$D$2:$D$1581=IFERROR(VLOOKUP(N311&amp;"*",CAT_Procesos!$D:$D,1,FALSE),"")))),INDEX(CAT_Procesos!$G$2:$G$1581,MATCH(1,(CAT_Procesos!$E$2:$E$1581=O311)*(CAT_Procesos!$F$2:$F$1581=_xlfn.TEXTJOIN(" + ",TRUE,IF((TRIM(P311:S311)="")+(LOWER(TRIM(P311:S311))="(seleccione)"),"",PROPER(TRIM(P311:S311)))))*(CAT_Procesos!$D$2:$D$1581=IFERROR(VLOOKUP(N311&amp;"*",CAT_Procesos!$D:$D,1,FALSE),"")),0)),"(seleccione)"))</f>
        <v>Combinación no existente</v>
      </c>
      <c r="V311" s="55" t="s">
        <v>73</v>
      </c>
      <c r="W311" s="56" t="s">
        <v>73</v>
      </c>
      <c r="X311" s="57" t="str">
        <f t="shared" si="16"/>
        <v/>
      </c>
      <c r="Y311" s="58" t="s">
        <v>73</v>
      </c>
      <c r="Z311" s="57" t="str">
        <f t="shared" si="17"/>
        <v/>
      </c>
      <c r="AA311" s="58" t="s">
        <v>73</v>
      </c>
      <c r="AB311" s="57" t="str">
        <f t="shared" si="18"/>
        <v/>
      </c>
      <c r="AC311" s="58" t="s">
        <v>73</v>
      </c>
      <c r="AD311" s="57" t="str">
        <f t="shared" si="19"/>
        <v/>
      </c>
      <c r="AE311" s="59"/>
      <c r="AF311" s="59"/>
      <c r="AG311" s="59"/>
      <c r="AH311" s="59"/>
      <c r="AI311" s="59" t="s">
        <v>73</v>
      </c>
      <c r="AJ311" s="59"/>
      <c r="AK311" s="59" t="s">
        <v>73</v>
      </c>
      <c r="AL311" s="59"/>
      <c r="AM311" s="59" t="s">
        <v>73</v>
      </c>
      <c r="AN311" s="59"/>
      <c r="AO311" s="59" t="s">
        <v>73</v>
      </c>
      <c r="AP311" s="59"/>
      <c r="AQ311" s="59" t="s">
        <v>73</v>
      </c>
      <c r="AR311" s="59"/>
      <c r="AS311" s="59" t="s">
        <v>72</v>
      </c>
      <c r="AT311" s="59"/>
      <c r="AU311" s="59"/>
      <c r="AV311" s="59"/>
      <c r="AW311" s="59"/>
      <c r="AX311" s="59"/>
      <c r="AY311" s="60" t="str">
        <f>IF('Cálculo MP'!K321="","",'Cálculo MP'!K321)</f>
        <v/>
      </c>
      <c r="AZ311" s="60" t="str">
        <f>IF('Cálculo MP'!L321="","",'Cálculo MP'!L321)</f>
        <v/>
      </c>
      <c r="BA311" s="60" t="str">
        <f>IF('Cálculo MP'!M321="","",'Cálculo MP'!M321)</f>
        <v/>
      </c>
      <c r="BB311" s="60" t="str">
        <f>IF('Cálculo MP'!N321="","",'Cálculo MP'!N321)</f>
        <v/>
      </c>
      <c r="BC311" s="60" t="str">
        <f>IF('Cálculo MP'!O321="","",'Cálculo MP'!O321)</f>
        <v/>
      </c>
      <c r="BD311" s="60" t="str">
        <f>IF('Cálculo MP'!P321="","",'Cálculo MP'!P321)</f>
        <v/>
      </c>
      <c r="BE311" s="60" t="str">
        <f>IF('Cálculo MP'!Q321="","",'Cálculo MP'!Q321)</f>
        <v/>
      </c>
      <c r="BF311" s="60" t="str">
        <f>IF('Cálculo MP'!R321="","",'Cálculo MP'!R321)</f>
        <v/>
      </c>
      <c r="BG311" s="60" t="str">
        <f>IF('Cálculo MP'!S321="","",'Cálculo MP'!S321)</f>
        <v/>
      </c>
      <c r="BH311" s="59"/>
      <c r="BI311" s="59"/>
      <c r="BJ311" s="59"/>
      <c r="BK311" s="59"/>
      <c r="BL311" s="59"/>
      <c r="BM311" s="59"/>
      <c r="BN311" s="59"/>
      <c r="BO311" s="59"/>
    </row>
    <row r="312" spans="1:67" ht="19.5" customHeight="1" x14ac:dyDescent="0.15">
      <c r="A312" s="123" t="s">
        <v>1856</v>
      </c>
      <c r="B312" s="122" t="s">
        <v>1854</v>
      </c>
      <c r="C312" s="49"/>
      <c r="D312" s="48" t="s">
        <v>73</v>
      </c>
      <c r="E312" s="49"/>
      <c r="F312" s="50"/>
      <c r="G312" s="62"/>
      <c r="H312" s="48" t="s">
        <v>72</v>
      </c>
      <c r="I312" s="52">
        <v>1</v>
      </c>
      <c r="J312" s="52"/>
      <c r="K312" s="52" t="s">
        <v>73</v>
      </c>
      <c r="L312" s="52" t="s">
        <v>74</v>
      </c>
      <c r="M312" s="53" t="s">
        <v>942</v>
      </c>
      <c r="N312" s="58" t="s">
        <v>73</v>
      </c>
      <c r="O312" s="48" t="s">
        <v>72</v>
      </c>
      <c r="P312" s="48" t="s">
        <v>73</v>
      </c>
      <c r="Q312" s="54" t="s">
        <v>73</v>
      </c>
      <c r="R312" s="55" t="s">
        <v>73</v>
      </c>
      <c r="S312" s="48" t="s">
        <v>73</v>
      </c>
      <c r="T312" s="130"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8" t="str" cm="1">
        <f t="array" ref="U312">IF(SUMPRODUCT(--((CAT_Procesos!$E$2:$E$1581=O312)*(CAT_Procesos!$F$2:$F$1581=_xlfn.TEXTJOIN(" + ",TRUE,IF((TRIM(P312:S312)="")+(LOWER(TRIM(P312:S312))="(seleccione)"),"",PROPER(TRIM(P312:S312)))))*(CAT_Procesos!$D$2:$D$1581=IFERROR(VLOOKUP(N312&amp;"*",CAT_Procesos!$D:$D,1,FALSE),""))))=0,"Combinación no existente",IF(SUMPRODUCT(((CAT_Procesos!$E$2:$E$1581=O312)*(CAT_Procesos!$F$2:$F$1581=_xlfn.TEXTJOIN(" + ",TRUE,IF((TRIM(P312:S312)="")+(LOWER(TRIM(P312:S312))="(seleccione)"),"",PROPER(TRIM(P312:S312)))))*(CAT_Procesos!$D$2:$D$1581=IFERROR(VLOOKUP(N312&amp;"*",CAT_Procesos!$D:$D,1,FALSE),"")))*(CAT_Procesos!$G$2:$G$1581=INDEX(CAT_Procesos!$G$2:$G$1581,MATCH(1,(CAT_Procesos!$E$2:$E$1581=O312)*(CAT_Procesos!$F$2:$F$1581=_xlfn.TEXTJOIN(" + ",TRUE,IF((TRIM(P312:S312)="")+(LOWER(TRIM(P312:S312))="(seleccione)"),"",PROPER(TRIM(P312:S312)))))*(CAT_Procesos!$D$2:$D$1581=IFERROR(VLOOKUP(N312&amp;"*",CAT_Procesos!$D:$D,1,FALSE),"")),0))))=SUMPRODUCT(--((CAT_Procesos!$E$2:$E$1581=O312)*(CAT_Procesos!$F$2:$F$1581=_xlfn.TEXTJOIN(" + ",TRUE,IF((TRIM(P312:S312)="")+(LOWER(TRIM(P312:S312))="(seleccione)"),"",PROPER(TRIM(P312:S312)))))*(CAT_Procesos!$D$2:$D$1581=IFERROR(VLOOKUP(N312&amp;"*",CAT_Procesos!$D:$D,1,FALSE),"")))),INDEX(CAT_Procesos!$G$2:$G$1581,MATCH(1,(CAT_Procesos!$E$2:$E$1581=O312)*(CAT_Procesos!$F$2:$F$1581=_xlfn.TEXTJOIN(" + ",TRUE,IF((TRIM(P312:S312)="")+(LOWER(TRIM(P312:S312))="(seleccione)"),"",PROPER(TRIM(P312:S312)))))*(CAT_Procesos!$D$2:$D$1581=IFERROR(VLOOKUP(N312&amp;"*",CAT_Procesos!$D:$D,1,FALSE),"")),0)),"(seleccione)"))</f>
        <v>Combinación no existente</v>
      </c>
      <c r="V312" s="55" t="s">
        <v>73</v>
      </c>
      <c r="W312" s="56" t="s">
        <v>73</v>
      </c>
      <c r="X312" s="57" t="str">
        <f t="shared" si="16"/>
        <v/>
      </c>
      <c r="Y312" s="58" t="s">
        <v>73</v>
      </c>
      <c r="Z312" s="57" t="str">
        <f t="shared" si="17"/>
        <v/>
      </c>
      <c r="AA312" s="58" t="s">
        <v>73</v>
      </c>
      <c r="AB312" s="57" t="str">
        <f t="shared" si="18"/>
        <v/>
      </c>
      <c r="AC312" s="58" t="s">
        <v>73</v>
      </c>
      <c r="AD312" s="57" t="str">
        <f t="shared" si="19"/>
        <v/>
      </c>
      <c r="AE312" s="59"/>
      <c r="AF312" s="59"/>
      <c r="AG312" s="59"/>
      <c r="AH312" s="59"/>
      <c r="AI312" s="59" t="s">
        <v>73</v>
      </c>
      <c r="AJ312" s="59"/>
      <c r="AK312" s="59" t="s">
        <v>73</v>
      </c>
      <c r="AL312" s="59"/>
      <c r="AM312" s="59" t="s">
        <v>73</v>
      </c>
      <c r="AN312" s="59"/>
      <c r="AO312" s="59" t="s">
        <v>73</v>
      </c>
      <c r="AP312" s="59"/>
      <c r="AQ312" s="59" t="s">
        <v>73</v>
      </c>
      <c r="AR312" s="59"/>
      <c r="AS312" s="59" t="s">
        <v>72</v>
      </c>
      <c r="AT312" s="59"/>
      <c r="AU312" s="59"/>
      <c r="AV312" s="59"/>
      <c r="AW312" s="59"/>
      <c r="AX312" s="59"/>
      <c r="AY312" s="60" t="str">
        <f>IF('Cálculo MP'!K322="","",'Cálculo MP'!K322)</f>
        <v/>
      </c>
      <c r="AZ312" s="60" t="str">
        <f>IF('Cálculo MP'!L322="","",'Cálculo MP'!L322)</f>
        <v/>
      </c>
      <c r="BA312" s="60" t="str">
        <f>IF('Cálculo MP'!M322="","",'Cálculo MP'!M322)</f>
        <v/>
      </c>
      <c r="BB312" s="60" t="str">
        <f>IF('Cálculo MP'!N322="","",'Cálculo MP'!N322)</f>
        <v/>
      </c>
      <c r="BC312" s="60" t="str">
        <f>IF('Cálculo MP'!O322="","",'Cálculo MP'!O322)</f>
        <v/>
      </c>
      <c r="BD312" s="60" t="str">
        <f>IF('Cálculo MP'!P322="","",'Cálculo MP'!P322)</f>
        <v/>
      </c>
      <c r="BE312" s="60" t="str">
        <f>IF('Cálculo MP'!Q322="","",'Cálculo MP'!Q322)</f>
        <v/>
      </c>
      <c r="BF312" s="60" t="str">
        <f>IF('Cálculo MP'!R322="","",'Cálculo MP'!R322)</f>
        <v/>
      </c>
      <c r="BG312" s="60" t="str">
        <f>IF('Cálculo MP'!S322="","",'Cálculo MP'!S322)</f>
        <v/>
      </c>
      <c r="BH312" s="59"/>
      <c r="BI312" s="59"/>
      <c r="BJ312" s="59"/>
      <c r="BK312" s="59"/>
      <c r="BL312" s="59"/>
      <c r="BM312" s="59"/>
      <c r="BN312" s="59"/>
      <c r="BO312" s="59"/>
    </row>
    <row r="313" spans="1:67" ht="19.5" customHeight="1" x14ac:dyDescent="0.15">
      <c r="A313" s="123" t="s">
        <v>1856</v>
      </c>
      <c r="B313" s="122" t="s">
        <v>1854</v>
      </c>
      <c r="C313" s="49"/>
      <c r="D313" s="48" t="s">
        <v>73</v>
      </c>
      <c r="E313" s="49"/>
      <c r="F313" s="50"/>
      <c r="G313" s="62"/>
      <c r="H313" s="48" t="s">
        <v>72</v>
      </c>
      <c r="I313" s="52">
        <v>1</v>
      </c>
      <c r="J313" s="52"/>
      <c r="K313" s="52" t="s">
        <v>73</v>
      </c>
      <c r="L313" s="52" t="s">
        <v>74</v>
      </c>
      <c r="M313" s="53" t="s">
        <v>942</v>
      </c>
      <c r="N313" s="58" t="s">
        <v>73</v>
      </c>
      <c r="O313" s="48" t="s">
        <v>72</v>
      </c>
      <c r="P313" s="48" t="s">
        <v>73</v>
      </c>
      <c r="Q313" s="54" t="s">
        <v>73</v>
      </c>
      <c r="R313" s="55" t="s">
        <v>73</v>
      </c>
      <c r="S313" s="48" t="s">
        <v>73</v>
      </c>
      <c r="T313" s="130"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8" t="str" cm="1">
        <f t="array" ref="U313">IF(SUMPRODUCT(--((CAT_Procesos!$E$2:$E$1581=O313)*(CAT_Procesos!$F$2:$F$1581=_xlfn.TEXTJOIN(" + ",TRUE,IF((TRIM(P313:S313)="")+(LOWER(TRIM(P313:S313))="(seleccione)"),"",PROPER(TRIM(P313:S313)))))*(CAT_Procesos!$D$2:$D$1581=IFERROR(VLOOKUP(N313&amp;"*",CAT_Procesos!$D:$D,1,FALSE),""))))=0,"Combinación no existente",IF(SUMPRODUCT(((CAT_Procesos!$E$2:$E$1581=O313)*(CAT_Procesos!$F$2:$F$1581=_xlfn.TEXTJOIN(" + ",TRUE,IF((TRIM(P313:S313)="")+(LOWER(TRIM(P313:S313))="(seleccione)"),"",PROPER(TRIM(P313:S313)))))*(CAT_Procesos!$D$2:$D$1581=IFERROR(VLOOKUP(N313&amp;"*",CAT_Procesos!$D:$D,1,FALSE),"")))*(CAT_Procesos!$G$2:$G$1581=INDEX(CAT_Procesos!$G$2:$G$1581,MATCH(1,(CAT_Procesos!$E$2:$E$1581=O313)*(CAT_Procesos!$F$2:$F$1581=_xlfn.TEXTJOIN(" + ",TRUE,IF((TRIM(P313:S313)="")+(LOWER(TRIM(P313:S313))="(seleccione)"),"",PROPER(TRIM(P313:S313)))))*(CAT_Procesos!$D$2:$D$1581=IFERROR(VLOOKUP(N313&amp;"*",CAT_Procesos!$D:$D,1,FALSE),"")),0))))=SUMPRODUCT(--((CAT_Procesos!$E$2:$E$1581=O313)*(CAT_Procesos!$F$2:$F$1581=_xlfn.TEXTJOIN(" + ",TRUE,IF((TRIM(P313:S313)="")+(LOWER(TRIM(P313:S313))="(seleccione)"),"",PROPER(TRIM(P313:S313)))))*(CAT_Procesos!$D$2:$D$1581=IFERROR(VLOOKUP(N313&amp;"*",CAT_Procesos!$D:$D,1,FALSE),"")))),INDEX(CAT_Procesos!$G$2:$G$1581,MATCH(1,(CAT_Procesos!$E$2:$E$1581=O313)*(CAT_Procesos!$F$2:$F$1581=_xlfn.TEXTJOIN(" + ",TRUE,IF((TRIM(P313:S313)="")+(LOWER(TRIM(P313:S313))="(seleccione)"),"",PROPER(TRIM(P313:S313)))))*(CAT_Procesos!$D$2:$D$1581=IFERROR(VLOOKUP(N313&amp;"*",CAT_Procesos!$D:$D,1,FALSE),"")),0)),"(seleccione)"))</f>
        <v>Combinación no existente</v>
      </c>
      <c r="V313" s="55" t="s">
        <v>73</v>
      </c>
      <c r="W313" s="56" t="s">
        <v>73</v>
      </c>
      <c r="X313" s="57" t="str">
        <f t="shared" si="16"/>
        <v/>
      </c>
      <c r="Y313" s="58" t="s">
        <v>73</v>
      </c>
      <c r="Z313" s="57" t="str">
        <f t="shared" si="17"/>
        <v/>
      </c>
      <c r="AA313" s="58" t="s">
        <v>73</v>
      </c>
      <c r="AB313" s="57" t="str">
        <f t="shared" si="18"/>
        <v/>
      </c>
      <c r="AC313" s="58" t="s">
        <v>73</v>
      </c>
      <c r="AD313" s="57" t="str">
        <f t="shared" si="19"/>
        <v/>
      </c>
      <c r="AE313" s="59"/>
      <c r="AF313" s="59"/>
      <c r="AG313" s="59"/>
      <c r="AH313" s="59"/>
      <c r="AI313" s="59" t="s">
        <v>73</v>
      </c>
      <c r="AJ313" s="59"/>
      <c r="AK313" s="59" t="s">
        <v>73</v>
      </c>
      <c r="AL313" s="59"/>
      <c r="AM313" s="59" t="s">
        <v>73</v>
      </c>
      <c r="AN313" s="59"/>
      <c r="AO313" s="59" t="s">
        <v>73</v>
      </c>
      <c r="AP313" s="59"/>
      <c r="AQ313" s="59" t="s">
        <v>73</v>
      </c>
      <c r="AR313" s="59"/>
      <c r="AS313" s="59" t="s">
        <v>72</v>
      </c>
      <c r="AT313" s="59"/>
      <c r="AU313" s="59"/>
      <c r="AV313" s="59"/>
      <c r="AW313" s="59"/>
      <c r="AX313" s="59"/>
      <c r="AY313" s="60" t="str">
        <f>IF('Cálculo MP'!K323="","",'Cálculo MP'!K323)</f>
        <v/>
      </c>
      <c r="AZ313" s="60" t="str">
        <f>IF('Cálculo MP'!L323="","",'Cálculo MP'!L323)</f>
        <v/>
      </c>
      <c r="BA313" s="60" t="str">
        <f>IF('Cálculo MP'!M323="","",'Cálculo MP'!M323)</f>
        <v/>
      </c>
      <c r="BB313" s="60" t="str">
        <f>IF('Cálculo MP'!N323="","",'Cálculo MP'!N323)</f>
        <v/>
      </c>
      <c r="BC313" s="60" t="str">
        <f>IF('Cálculo MP'!O323="","",'Cálculo MP'!O323)</f>
        <v/>
      </c>
      <c r="BD313" s="60" t="str">
        <f>IF('Cálculo MP'!P323="","",'Cálculo MP'!P323)</f>
        <v/>
      </c>
      <c r="BE313" s="60" t="str">
        <f>IF('Cálculo MP'!Q323="","",'Cálculo MP'!Q323)</f>
        <v/>
      </c>
      <c r="BF313" s="60" t="str">
        <f>IF('Cálculo MP'!R323="","",'Cálculo MP'!R323)</f>
        <v/>
      </c>
      <c r="BG313" s="60" t="str">
        <f>IF('Cálculo MP'!S323="","",'Cálculo MP'!S323)</f>
        <v/>
      </c>
      <c r="BH313" s="59"/>
      <c r="BI313" s="59"/>
      <c r="BJ313" s="59"/>
      <c r="BK313" s="59"/>
      <c r="BL313" s="59"/>
      <c r="BM313" s="59"/>
      <c r="BN313" s="59"/>
      <c r="BO313" s="59"/>
    </row>
    <row r="314" spans="1:67" ht="19.5" customHeight="1" x14ac:dyDescent="0.15">
      <c r="A314" s="123" t="s">
        <v>1856</v>
      </c>
      <c r="B314" s="122" t="s">
        <v>1854</v>
      </c>
      <c r="C314" s="49"/>
      <c r="D314" s="48" t="s">
        <v>73</v>
      </c>
      <c r="E314" s="49"/>
      <c r="F314" s="50"/>
      <c r="G314" s="62"/>
      <c r="H314" s="48" t="s">
        <v>72</v>
      </c>
      <c r="I314" s="52">
        <v>1</v>
      </c>
      <c r="J314" s="52"/>
      <c r="K314" s="52" t="s">
        <v>73</v>
      </c>
      <c r="L314" s="52" t="s">
        <v>74</v>
      </c>
      <c r="M314" s="53" t="s">
        <v>942</v>
      </c>
      <c r="N314" s="58" t="s">
        <v>73</v>
      </c>
      <c r="O314" s="48" t="s">
        <v>72</v>
      </c>
      <c r="P314" s="48" t="s">
        <v>73</v>
      </c>
      <c r="Q314" s="54" t="s">
        <v>73</v>
      </c>
      <c r="R314" s="55" t="s">
        <v>73</v>
      </c>
      <c r="S314" s="48" t="s">
        <v>73</v>
      </c>
      <c r="T314" s="130"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8" t="str" cm="1">
        <f t="array" ref="U314">IF(SUMPRODUCT(--((CAT_Procesos!$E$2:$E$1581=O314)*(CAT_Procesos!$F$2:$F$1581=_xlfn.TEXTJOIN(" + ",TRUE,IF((TRIM(P314:S314)="")+(LOWER(TRIM(P314:S314))="(seleccione)"),"",PROPER(TRIM(P314:S314)))))*(CAT_Procesos!$D$2:$D$1581=IFERROR(VLOOKUP(N314&amp;"*",CAT_Procesos!$D:$D,1,FALSE),""))))=0,"Combinación no existente",IF(SUMPRODUCT(((CAT_Procesos!$E$2:$E$1581=O314)*(CAT_Procesos!$F$2:$F$1581=_xlfn.TEXTJOIN(" + ",TRUE,IF((TRIM(P314:S314)="")+(LOWER(TRIM(P314:S314))="(seleccione)"),"",PROPER(TRIM(P314:S314)))))*(CAT_Procesos!$D$2:$D$1581=IFERROR(VLOOKUP(N314&amp;"*",CAT_Procesos!$D:$D,1,FALSE),"")))*(CAT_Procesos!$G$2:$G$1581=INDEX(CAT_Procesos!$G$2:$G$1581,MATCH(1,(CAT_Procesos!$E$2:$E$1581=O314)*(CAT_Procesos!$F$2:$F$1581=_xlfn.TEXTJOIN(" + ",TRUE,IF((TRIM(P314:S314)="")+(LOWER(TRIM(P314:S314))="(seleccione)"),"",PROPER(TRIM(P314:S314)))))*(CAT_Procesos!$D$2:$D$1581=IFERROR(VLOOKUP(N314&amp;"*",CAT_Procesos!$D:$D,1,FALSE),"")),0))))=SUMPRODUCT(--((CAT_Procesos!$E$2:$E$1581=O314)*(CAT_Procesos!$F$2:$F$1581=_xlfn.TEXTJOIN(" + ",TRUE,IF((TRIM(P314:S314)="")+(LOWER(TRIM(P314:S314))="(seleccione)"),"",PROPER(TRIM(P314:S314)))))*(CAT_Procesos!$D$2:$D$1581=IFERROR(VLOOKUP(N314&amp;"*",CAT_Procesos!$D:$D,1,FALSE),"")))),INDEX(CAT_Procesos!$G$2:$G$1581,MATCH(1,(CAT_Procesos!$E$2:$E$1581=O314)*(CAT_Procesos!$F$2:$F$1581=_xlfn.TEXTJOIN(" + ",TRUE,IF((TRIM(P314:S314)="")+(LOWER(TRIM(P314:S314))="(seleccione)"),"",PROPER(TRIM(P314:S314)))))*(CAT_Procesos!$D$2:$D$1581=IFERROR(VLOOKUP(N314&amp;"*",CAT_Procesos!$D:$D,1,FALSE),"")),0)),"(seleccione)"))</f>
        <v>Combinación no existente</v>
      </c>
      <c r="V314" s="55" t="s">
        <v>73</v>
      </c>
      <c r="W314" s="56" t="s">
        <v>73</v>
      </c>
      <c r="X314" s="57" t="str">
        <f t="shared" si="16"/>
        <v/>
      </c>
      <c r="Y314" s="58" t="s">
        <v>73</v>
      </c>
      <c r="Z314" s="57" t="str">
        <f t="shared" si="17"/>
        <v/>
      </c>
      <c r="AA314" s="58" t="s">
        <v>73</v>
      </c>
      <c r="AB314" s="57" t="str">
        <f t="shared" si="18"/>
        <v/>
      </c>
      <c r="AC314" s="58" t="s">
        <v>73</v>
      </c>
      <c r="AD314" s="57" t="str">
        <f t="shared" si="19"/>
        <v/>
      </c>
      <c r="AE314" s="59"/>
      <c r="AF314" s="59"/>
      <c r="AG314" s="59"/>
      <c r="AH314" s="59"/>
      <c r="AI314" s="59" t="s">
        <v>73</v>
      </c>
      <c r="AJ314" s="59"/>
      <c r="AK314" s="59" t="s">
        <v>73</v>
      </c>
      <c r="AL314" s="59"/>
      <c r="AM314" s="59" t="s">
        <v>73</v>
      </c>
      <c r="AN314" s="59"/>
      <c r="AO314" s="59" t="s">
        <v>73</v>
      </c>
      <c r="AP314" s="59"/>
      <c r="AQ314" s="59" t="s">
        <v>73</v>
      </c>
      <c r="AR314" s="59"/>
      <c r="AS314" s="59" t="s">
        <v>72</v>
      </c>
      <c r="AT314" s="59"/>
      <c r="AU314" s="59"/>
      <c r="AV314" s="59"/>
      <c r="AW314" s="59"/>
      <c r="AX314" s="59"/>
      <c r="AY314" s="60" t="str">
        <f>IF('Cálculo MP'!K324="","",'Cálculo MP'!K324)</f>
        <v/>
      </c>
      <c r="AZ314" s="60" t="str">
        <f>IF('Cálculo MP'!L324="","",'Cálculo MP'!L324)</f>
        <v/>
      </c>
      <c r="BA314" s="60" t="str">
        <f>IF('Cálculo MP'!M324="","",'Cálculo MP'!M324)</f>
        <v/>
      </c>
      <c r="BB314" s="60" t="str">
        <f>IF('Cálculo MP'!N324="","",'Cálculo MP'!N324)</f>
        <v/>
      </c>
      <c r="BC314" s="60" t="str">
        <f>IF('Cálculo MP'!O324="","",'Cálculo MP'!O324)</f>
        <v/>
      </c>
      <c r="BD314" s="60" t="str">
        <f>IF('Cálculo MP'!P324="","",'Cálculo MP'!P324)</f>
        <v/>
      </c>
      <c r="BE314" s="60" t="str">
        <f>IF('Cálculo MP'!Q324="","",'Cálculo MP'!Q324)</f>
        <v/>
      </c>
      <c r="BF314" s="60" t="str">
        <f>IF('Cálculo MP'!R324="","",'Cálculo MP'!R324)</f>
        <v/>
      </c>
      <c r="BG314" s="60" t="str">
        <f>IF('Cálculo MP'!S324="","",'Cálculo MP'!S324)</f>
        <v/>
      </c>
      <c r="BH314" s="59"/>
      <c r="BI314" s="59"/>
      <c r="BJ314" s="59"/>
      <c r="BK314" s="59"/>
      <c r="BL314" s="59"/>
      <c r="BM314" s="59"/>
      <c r="BN314" s="59"/>
      <c r="BO314" s="59"/>
    </row>
    <row r="315" spans="1:67" ht="19.5" customHeight="1" x14ac:dyDescent="0.15">
      <c r="A315" s="123" t="s">
        <v>1856</v>
      </c>
      <c r="B315" s="122" t="s">
        <v>1854</v>
      </c>
      <c r="C315" s="49"/>
      <c r="D315" s="48" t="s">
        <v>73</v>
      </c>
      <c r="E315" s="49"/>
      <c r="F315" s="50"/>
      <c r="G315" s="62"/>
      <c r="H315" s="48" t="s">
        <v>72</v>
      </c>
      <c r="I315" s="52">
        <v>1</v>
      </c>
      <c r="J315" s="52"/>
      <c r="K315" s="52" t="s">
        <v>73</v>
      </c>
      <c r="L315" s="52" t="s">
        <v>74</v>
      </c>
      <c r="M315" s="53" t="s">
        <v>942</v>
      </c>
      <c r="N315" s="58" t="s">
        <v>73</v>
      </c>
      <c r="O315" s="48" t="s">
        <v>72</v>
      </c>
      <c r="P315" s="48" t="s">
        <v>73</v>
      </c>
      <c r="Q315" s="54" t="s">
        <v>73</v>
      </c>
      <c r="R315" s="55" t="s">
        <v>73</v>
      </c>
      <c r="S315" s="48" t="s">
        <v>73</v>
      </c>
      <c r="T315" s="130"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8" t="str" cm="1">
        <f t="array" ref="U315">IF(SUMPRODUCT(--((CAT_Procesos!$E$2:$E$1581=O315)*(CAT_Procesos!$F$2:$F$1581=_xlfn.TEXTJOIN(" + ",TRUE,IF((TRIM(P315:S315)="")+(LOWER(TRIM(P315:S315))="(seleccione)"),"",PROPER(TRIM(P315:S315)))))*(CAT_Procesos!$D$2:$D$1581=IFERROR(VLOOKUP(N315&amp;"*",CAT_Procesos!$D:$D,1,FALSE),""))))=0,"Combinación no existente",IF(SUMPRODUCT(((CAT_Procesos!$E$2:$E$1581=O315)*(CAT_Procesos!$F$2:$F$1581=_xlfn.TEXTJOIN(" + ",TRUE,IF((TRIM(P315:S315)="")+(LOWER(TRIM(P315:S315))="(seleccione)"),"",PROPER(TRIM(P315:S315)))))*(CAT_Procesos!$D$2:$D$1581=IFERROR(VLOOKUP(N315&amp;"*",CAT_Procesos!$D:$D,1,FALSE),"")))*(CAT_Procesos!$G$2:$G$1581=INDEX(CAT_Procesos!$G$2:$G$1581,MATCH(1,(CAT_Procesos!$E$2:$E$1581=O315)*(CAT_Procesos!$F$2:$F$1581=_xlfn.TEXTJOIN(" + ",TRUE,IF((TRIM(P315:S315)="")+(LOWER(TRIM(P315:S315))="(seleccione)"),"",PROPER(TRIM(P315:S315)))))*(CAT_Procesos!$D$2:$D$1581=IFERROR(VLOOKUP(N315&amp;"*",CAT_Procesos!$D:$D,1,FALSE),"")),0))))=SUMPRODUCT(--((CAT_Procesos!$E$2:$E$1581=O315)*(CAT_Procesos!$F$2:$F$1581=_xlfn.TEXTJOIN(" + ",TRUE,IF((TRIM(P315:S315)="")+(LOWER(TRIM(P315:S315))="(seleccione)"),"",PROPER(TRIM(P315:S315)))))*(CAT_Procesos!$D$2:$D$1581=IFERROR(VLOOKUP(N315&amp;"*",CAT_Procesos!$D:$D,1,FALSE),"")))),INDEX(CAT_Procesos!$G$2:$G$1581,MATCH(1,(CAT_Procesos!$E$2:$E$1581=O315)*(CAT_Procesos!$F$2:$F$1581=_xlfn.TEXTJOIN(" + ",TRUE,IF((TRIM(P315:S315)="")+(LOWER(TRIM(P315:S315))="(seleccione)"),"",PROPER(TRIM(P315:S315)))))*(CAT_Procesos!$D$2:$D$1581=IFERROR(VLOOKUP(N315&amp;"*",CAT_Procesos!$D:$D,1,FALSE),"")),0)),"(seleccione)"))</f>
        <v>Combinación no existente</v>
      </c>
      <c r="V315" s="55" t="s">
        <v>73</v>
      </c>
      <c r="W315" s="56" t="s">
        <v>73</v>
      </c>
      <c r="X315" s="57" t="str">
        <f t="shared" si="16"/>
        <v/>
      </c>
      <c r="Y315" s="58" t="s">
        <v>73</v>
      </c>
      <c r="Z315" s="57" t="str">
        <f t="shared" si="17"/>
        <v/>
      </c>
      <c r="AA315" s="58" t="s">
        <v>73</v>
      </c>
      <c r="AB315" s="57" t="str">
        <f t="shared" si="18"/>
        <v/>
      </c>
      <c r="AC315" s="58" t="s">
        <v>73</v>
      </c>
      <c r="AD315" s="57" t="str">
        <f t="shared" si="19"/>
        <v/>
      </c>
      <c r="AE315" s="59"/>
      <c r="AF315" s="59"/>
      <c r="AG315" s="59"/>
      <c r="AH315" s="59"/>
      <c r="AI315" s="59" t="s">
        <v>73</v>
      </c>
      <c r="AJ315" s="59"/>
      <c r="AK315" s="59" t="s">
        <v>73</v>
      </c>
      <c r="AL315" s="59"/>
      <c r="AM315" s="59" t="s">
        <v>73</v>
      </c>
      <c r="AN315" s="59"/>
      <c r="AO315" s="59" t="s">
        <v>73</v>
      </c>
      <c r="AP315" s="59"/>
      <c r="AQ315" s="59" t="s">
        <v>73</v>
      </c>
      <c r="AR315" s="59"/>
      <c r="AS315" s="59" t="s">
        <v>72</v>
      </c>
      <c r="AT315" s="59"/>
      <c r="AU315" s="59"/>
      <c r="AV315" s="59"/>
      <c r="AW315" s="59"/>
      <c r="AX315" s="59"/>
      <c r="AY315" s="60" t="str">
        <f>IF('Cálculo MP'!K325="","",'Cálculo MP'!K325)</f>
        <v/>
      </c>
      <c r="AZ315" s="60" t="str">
        <f>IF('Cálculo MP'!L325="","",'Cálculo MP'!L325)</f>
        <v/>
      </c>
      <c r="BA315" s="60" t="str">
        <f>IF('Cálculo MP'!M325="","",'Cálculo MP'!M325)</f>
        <v/>
      </c>
      <c r="BB315" s="60" t="str">
        <f>IF('Cálculo MP'!N325="","",'Cálculo MP'!N325)</f>
        <v/>
      </c>
      <c r="BC315" s="60" t="str">
        <f>IF('Cálculo MP'!O325="","",'Cálculo MP'!O325)</f>
        <v/>
      </c>
      <c r="BD315" s="60" t="str">
        <f>IF('Cálculo MP'!P325="","",'Cálculo MP'!P325)</f>
        <v/>
      </c>
      <c r="BE315" s="60" t="str">
        <f>IF('Cálculo MP'!Q325="","",'Cálculo MP'!Q325)</f>
        <v/>
      </c>
      <c r="BF315" s="60" t="str">
        <f>IF('Cálculo MP'!R325="","",'Cálculo MP'!R325)</f>
        <v/>
      </c>
      <c r="BG315" s="60" t="str">
        <f>IF('Cálculo MP'!S325="","",'Cálculo MP'!S325)</f>
        <v/>
      </c>
      <c r="BH315" s="59"/>
      <c r="BI315" s="59"/>
      <c r="BJ315" s="59"/>
      <c r="BK315" s="59"/>
      <c r="BL315" s="59"/>
      <c r="BM315" s="59"/>
      <c r="BN315" s="59"/>
      <c r="BO315" s="59"/>
    </row>
    <row r="316" spans="1:67" ht="19.5" customHeight="1" x14ac:dyDescent="0.15">
      <c r="A316" s="123" t="s">
        <v>1856</v>
      </c>
      <c r="B316" s="122" t="s">
        <v>1854</v>
      </c>
      <c r="C316" s="49"/>
      <c r="D316" s="48" t="s">
        <v>73</v>
      </c>
      <c r="E316" s="49"/>
      <c r="F316" s="50"/>
      <c r="G316" s="62"/>
      <c r="H316" s="48" t="s">
        <v>72</v>
      </c>
      <c r="I316" s="52">
        <v>1</v>
      </c>
      <c r="J316" s="52"/>
      <c r="K316" s="52" t="s">
        <v>73</v>
      </c>
      <c r="L316" s="52" t="s">
        <v>74</v>
      </c>
      <c r="M316" s="53" t="s">
        <v>942</v>
      </c>
      <c r="N316" s="58" t="s">
        <v>73</v>
      </c>
      <c r="O316" s="48" t="s">
        <v>72</v>
      </c>
      <c r="P316" s="48" t="s">
        <v>73</v>
      </c>
      <c r="Q316" s="54" t="s">
        <v>73</v>
      </c>
      <c r="R316" s="55" t="s">
        <v>73</v>
      </c>
      <c r="S316" s="48" t="s">
        <v>73</v>
      </c>
      <c r="T316" s="130"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8" t="str" cm="1">
        <f t="array" ref="U316">IF(SUMPRODUCT(--((CAT_Procesos!$E$2:$E$1581=O316)*(CAT_Procesos!$F$2:$F$1581=_xlfn.TEXTJOIN(" + ",TRUE,IF((TRIM(P316:S316)="")+(LOWER(TRIM(P316:S316))="(seleccione)"),"",PROPER(TRIM(P316:S316)))))*(CAT_Procesos!$D$2:$D$1581=IFERROR(VLOOKUP(N316&amp;"*",CAT_Procesos!$D:$D,1,FALSE),""))))=0,"Combinación no existente",IF(SUMPRODUCT(((CAT_Procesos!$E$2:$E$1581=O316)*(CAT_Procesos!$F$2:$F$1581=_xlfn.TEXTJOIN(" + ",TRUE,IF((TRIM(P316:S316)="")+(LOWER(TRIM(P316:S316))="(seleccione)"),"",PROPER(TRIM(P316:S316)))))*(CAT_Procesos!$D$2:$D$1581=IFERROR(VLOOKUP(N316&amp;"*",CAT_Procesos!$D:$D,1,FALSE),"")))*(CAT_Procesos!$G$2:$G$1581=INDEX(CAT_Procesos!$G$2:$G$1581,MATCH(1,(CAT_Procesos!$E$2:$E$1581=O316)*(CAT_Procesos!$F$2:$F$1581=_xlfn.TEXTJOIN(" + ",TRUE,IF((TRIM(P316:S316)="")+(LOWER(TRIM(P316:S316))="(seleccione)"),"",PROPER(TRIM(P316:S316)))))*(CAT_Procesos!$D$2:$D$1581=IFERROR(VLOOKUP(N316&amp;"*",CAT_Procesos!$D:$D,1,FALSE),"")),0))))=SUMPRODUCT(--((CAT_Procesos!$E$2:$E$1581=O316)*(CAT_Procesos!$F$2:$F$1581=_xlfn.TEXTJOIN(" + ",TRUE,IF((TRIM(P316:S316)="")+(LOWER(TRIM(P316:S316))="(seleccione)"),"",PROPER(TRIM(P316:S316)))))*(CAT_Procesos!$D$2:$D$1581=IFERROR(VLOOKUP(N316&amp;"*",CAT_Procesos!$D:$D,1,FALSE),"")))),INDEX(CAT_Procesos!$G$2:$G$1581,MATCH(1,(CAT_Procesos!$E$2:$E$1581=O316)*(CAT_Procesos!$F$2:$F$1581=_xlfn.TEXTJOIN(" + ",TRUE,IF((TRIM(P316:S316)="")+(LOWER(TRIM(P316:S316))="(seleccione)"),"",PROPER(TRIM(P316:S316)))))*(CAT_Procesos!$D$2:$D$1581=IFERROR(VLOOKUP(N316&amp;"*",CAT_Procesos!$D:$D,1,FALSE),"")),0)),"(seleccione)"))</f>
        <v>Combinación no existente</v>
      </c>
      <c r="V316" s="55" t="s">
        <v>73</v>
      </c>
      <c r="W316" s="56" t="s">
        <v>73</v>
      </c>
      <c r="X316" s="57" t="str">
        <f t="shared" si="16"/>
        <v/>
      </c>
      <c r="Y316" s="58" t="s">
        <v>73</v>
      </c>
      <c r="Z316" s="57" t="str">
        <f t="shared" si="17"/>
        <v/>
      </c>
      <c r="AA316" s="58" t="s">
        <v>73</v>
      </c>
      <c r="AB316" s="57" t="str">
        <f t="shared" si="18"/>
        <v/>
      </c>
      <c r="AC316" s="58" t="s">
        <v>73</v>
      </c>
      <c r="AD316" s="57" t="str">
        <f t="shared" si="19"/>
        <v/>
      </c>
      <c r="AE316" s="59"/>
      <c r="AF316" s="59"/>
      <c r="AG316" s="59"/>
      <c r="AH316" s="59"/>
      <c r="AI316" s="59" t="s">
        <v>73</v>
      </c>
      <c r="AJ316" s="59"/>
      <c r="AK316" s="59" t="s">
        <v>73</v>
      </c>
      <c r="AL316" s="59"/>
      <c r="AM316" s="59" t="s">
        <v>73</v>
      </c>
      <c r="AN316" s="59"/>
      <c r="AO316" s="59" t="s">
        <v>73</v>
      </c>
      <c r="AP316" s="59"/>
      <c r="AQ316" s="59" t="s">
        <v>73</v>
      </c>
      <c r="AR316" s="59"/>
      <c r="AS316" s="59" t="s">
        <v>72</v>
      </c>
      <c r="AT316" s="59"/>
      <c r="AU316" s="59"/>
      <c r="AV316" s="59"/>
      <c r="AW316" s="59"/>
      <c r="AX316" s="59"/>
      <c r="AY316" s="60" t="str">
        <f>IF('Cálculo MP'!K326="","",'Cálculo MP'!K326)</f>
        <v/>
      </c>
      <c r="AZ316" s="60" t="str">
        <f>IF('Cálculo MP'!L326="","",'Cálculo MP'!L326)</f>
        <v/>
      </c>
      <c r="BA316" s="60" t="str">
        <f>IF('Cálculo MP'!M326="","",'Cálculo MP'!M326)</f>
        <v/>
      </c>
      <c r="BB316" s="60" t="str">
        <f>IF('Cálculo MP'!N326="","",'Cálculo MP'!N326)</f>
        <v/>
      </c>
      <c r="BC316" s="60" t="str">
        <f>IF('Cálculo MP'!O326="","",'Cálculo MP'!O326)</f>
        <v/>
      </c>
      <c r="BD316" s="60" t="str">
        <f>IF('Cálculo MP'!P326="","",'Cálculo MP'!P326)</f>
        <v/>
      </c>
      <c r="BE316" s="60" t="str">
        <f>IF('Cálculo MP'!Q326="","",'Cálculo MP'!Q326)</f>
        <v/>
      </c>
      <c r="BF316" s="60" t="str">
        <f>IF('Cálculo MP'!R326="","",'Cálculo MP'!R326)</f>
        <v/>
      </c>
      <c r="BG316" s="60" t="str">
        <f>IF('Cálculo MP'!S326="","",'Cálculo MP'!S326)</f>
        <v/>
      </c>
      <c r="BH316" s="59"/>
      <c r="BI316" s="59"/>
      <c r="BJ316" s="59"/>
      <c r="BK316" s="59"/>
      <c r="BL316" s="59"/>
      <c r="BM316" s="59"/>
      <c r="BN316" s="59"/>
      <c r="BO316" s="59"/>
    </row>
    <row r="317" spans="1:67" ht="19.5" customHeight="1" x14ac:dyDescent="0.15">
      <c r="A317" s="123" t="s">
        <v>1856</v>
      </c>
      <c r="B317" s="122" t="s">
        <v>1854</v>
      </c>
      <c r="C317" s="49"/>
      <c r="D317" s="48" t="s">
        <v>73</v>
      </c>
      <c r="E317" s="49"/>
      <c r="F317" s="50"/>
      <c r="G317" s="62"/>
      <c r="H317" s="48" t="s">
        <v>72</v>
      </c>
      <c r="I317" s="52">
        <v>1</v>
      </c>
      <c r="J317" s="52"/>
      <c r="K317" s="52" t="s">
        <v>73</v>
      </c>
      <c r="L317" s="52" t="s">
        <v>74</v>
      </c>
      <c r="M317" s="53" t="s">
        <v>942</v>
      </c>
      <c r="N317" s="58" t="s">
        <v>73</v>
      </c>
      <c r="O317" s="48" t="s">
        <v>72</v>
      </c>
      <c r="P317" s="48" t="s">
        <v>73</v>
      </c>
      <c r="Q317" s="54" t="s">
        <v>73</v>
      </c>
      <c r="R317" s="55" t="s">
        <v>73</v>
      </c>
      <c r="S317" s="48" t="s">
        <v>73</v>
      </c>
      <c r="T317" s="130"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8" t="str" cm="1">
        <f t="array" ref="U317">IF(SUMPRODUCT(--((CAT_Procesos!$E$2:$E$1581=O317)*(CAT_Procesos!$F$2:$F$1581=_xlfn.TEXTJOIN(" + ",TRUE,IF((TRIM(P317:S317)="")+(LOWER(TRIM(P317:S317))="(seleccione)"),"",PROPER(TRIM(P317:S317)))))*(CAT_Procesos!$D$2:$D$1581=IFERROR(VLOOKUP(N317&amp;"*",CAT_Procesos!$D:$D,1,FALSE),""))))=0,"Combinación no existente",IF(SUMPRODUCT(((CAT_Procesos!$E$2:$E$1581=O317)*(CAT_Procesos!$F$2:$F$1581=_xlfn.TEXTJOIN(" + ",TRUE,IF((TRIM(P317:S317)="")+(LOWER(TRIM(P317:S317))="(seleccione)"),"",PROPER(TRIM(P317:S317)))))*(CAT_Procesos!$D$2:$D$1581=IFERROR(VLOOKUP(N317&amp;"*",CAT_Procesos!$D:$D,1,FALSE),"")))*(CAT_Procesos!$G$2:$G$1581=INDEX(CAT_Procesos!$G$2:$G$1581,MATCH(1,(CAT_Procesos!$E$2:$E$1581=O317)*(CAT_Procesos!$F$2:$F$1581=_xlfn.TEXTJOIN(" + ",TRUE,IF((TRIM(P317:S317)="")+(LOWER(TRIM(P317:S317))="(seleccione)"),"",PROPER(TRIM(P317:S317)))))*(CAT_Procesos!$D$2:$D$1581=IFERROR(VLOOKUP(N317&amp;"*",CAT_Procesos!$D:$D,1,FALSE),"")),0))))=SUMPRODUCT(--((CAT_Procesos!$E$2:$E$1581=O317)*(CAT_Procesos!$F$2:$F$1581=_xlfn.TEXTJOIN(" + ",TRUE,IF((TRIM(P317:S317)="")+(LOWER(TRIM(P317:S317))="(seleccione)"),"",PROPER(TRIM(P317:S317)))))*(CAT_Procesos!$D$2:$D$1581=IFERROR(VLOOKUP(N317&amp;"*",CAT_Procesos!$D:$D,1,FALSE),"")))),INDEX(CAT_Procesos!$G$2:$G$1581,MATCH(1,(CAT_Procesos!$E$2:$E$1581=O317)*(CAT_Procesos!$F$2:$F$1581=_xlfn.TEXTJOIN(" + ",TRUE,IF((TRIM(P317:S317)="")+(LOWER(TRIM(P317:S317))="(seleccione)"),"",PROPER(TRIM(P317:S317)))))*(CAT_Procesos!$D$2:$D$1581=IFERROR(VLOOKUP(N317&amp;"*",CAT_Procesos!$D:$D,1,FALSE),"")),0)),"(seleccione)"))</f>
        <v>Combinación no existente</v>
      </c>
      <c r="V317" s="55" t="s">
        <v>73</v>
      </c>
      <c r="W317" s="56" t="s">
        <v>73</v>
      </c>
      <c r="X317" s="57" t="str">
        <f t="shared" si="16"/>
        <v/>
      </c>
      <c r="Y317" s="58" t="s">
        <v>73</v>
      </c>
      <c r="Z317" s="57" t="str">
        <f t="shared" si="17"/>
        <v/>
      </c>
      <c r="AA317" s="58" t="s">
        <v>73</v>
      </c>
      <c r="AB317" s="57" t="str">
        <f t="shared" si="18"/>
        <v/>
      </c>
      <c r="AC317" s="58" t="s">
        <v>73</v>
      </c>
      <c r="AD317" s="57" t="str">
        <f t="shared" si="19"/>
        <v/>
      </c>
      <c r="AE317" s="59"/>
      <c r="AF317" s="59"/>
      <c r="AG317" s="59"/>
      <c r="AH317" s="59"/>
      <c r="AI317" s="59" t="s">
        <v>73</v>
      </c>
      <c r="AJ317" s="59"/>
      <c r="AK317" s="59" t="s">
        <v>73</v>
      </c>
      <c r="AL317" s="59"/>
      <c r="AM317" s="59" t="s">
        <v>73</v>
      </c>
      <c r="AN317" s="59"/>
      <c r="AO317" s="59" t="s">
        <v>73</v>
      </c>
      <c r="AP317" s="59"/>
      <c r="AQ317" s="59" t="s">
        <v>73</v>
      </c>
      <c r="AR317" s="59"/>
      <c r="AS317" s="59" t="s">
        <v>72</v>
      </c>
      <c r="AT317" s="59"/>
      <c r="AU317" s="59"/>
      <c r="AV317" s="59"/>
      <c r="AW317" s="59"/>
      <c r="AX317" s="59"/>
      <c r="AY317" s="60" t="str">
        <f>IF('Cálculo MP'!K327="","",'Cálculo MP'!K327)</f>
        <v/>
      </c>
      <c r="AZ317" s="60" t="str">
        <f>IF('Cálculo MP'!L327="","",'Cálculo MP'!L327)</f>
        <v/>
      </c>
      <c r="BA317" s="60" t="str">
        <f>IF('Cálculo MP'!M327="","",'Cálculo MP'!M327)</f>
        <v/>
      </c>
      <c r="BB317" s="60" t="str">
        <f>IF('Cálculo MP'!N327="","",'Cálculo MP'!N327)</f>
        <v/>
      </c>
      <c r="BC317" s="60" t="str">
        <f>IF('Cálculo MP'!O327="","",'Cálculo MP'!O327)</f>
        <v/>
      </c>
      <c r="BD317" s="60" t="str">
        <f>IF('Cálculo MP'!P327="","",'Cálculo MP'!P327)</f>
        <v/>
      </c>
      <c r="BE317" s="60" t="str">
        <f>IF('Cálculo MP'!Q327="","",'Cálculo MP'!Q327)</f>
        <v/>
      </c>
      <c r="BF317" s="60" t="str">
        <f>IF('Cálculo MP'!R327="","",'Cálculo MP'!R327)</f>
        <v/>
      </c>
      <c r="BG317" s="60" t="str">
        <f>IF('Cálculo MP'!S327="","",'Cálculo MP'!S327)</f>
        <v/>
      </c>
      <c r="BH317" s="59"/>
      <c r="BI317" s="59"/>
      <c r="BJ317" s="59"/>
      <c r="BK317" s="59"/>
      <c r="BL317" s="59"/>
      <c r="BM317" s="59"/>
      <c r="BN317" s="59"/>
      <c r="BO317" s="59"/>
    </row>
    <row r="318" spans="1:67" ht="19.5" customHeight="1" x14ac:dyDescent="0.15">
      <c r="A318" s="123" t="s">
        <v>1856</v>
      </c>
      <c r="B318" s="122" t="s">
        <v>1854</v>
      </c>
      <c r="C318" s="49"/>
      <c r="D318" s="48" t="s">
        <v>73</v>
      </c>
      <c r="E318" s="49"/>
      <c r="F318" s="50"/>
      <c r="G318" s="62"/>
      <c r="H318" s="48" t="s">
        <v>72</v>
      </c>
      <c r="I318" s="52">
        <v>1</v>
      </c>
      <c r="J318" s="52"/>
      <c r="K318" s="52" t="s">
        <v>73</v>
      </c>
      <c r="L318" s="52" t="s">
        <v>74</v>
      </c>
      <c r="M318" s="53" t="s">
        <v>942</v>
      </c>
      <c r="N318" s="58" t="s">
        <v>73</v>
      </c>
      <c r="O318" s="48" t="s">
        <v>72</v>
      </c>
      <c r="P318" s="48" t="s">
        <v>73</v>
      </c>
      <c r="Q318" s="54" t="s">
        <v>73</v>
      </c>
      <c r="R318" s="55" t="s">
        <v>73</v>
      </c>
      <c r="S318" s="48" t="s">
        <v>73</v>
      </c>
      <c r="T318" s="130"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8" t="str" cm="1">
        <f t="array" ref="U318">IF(SUMPRODUCT(--((CAT_Procesos!$E$2:$E$1581=O318)*(CAT_Procesos!$F$2:$F$1581=_xlfn.TEXTJOIN(" + ",TRUE,IF((TRIM(P318:S318)="")+(LOWER(TRIM(P318:S318))="(seleccione)"),"",PROPER(TRIM(P318:S318)))))*(CAT_Procesos!$D$2:$D$1581=IFERROR(VLOOKUP(N318&amp;"*",CAT_Procesos!$D:$D,1,FALSE),""))))=0,"Combinación no existente",IF(SUMPRODUCT(((CAT_Procesos!$E$2:$E$1581=O318)*(CAT_Procesos!$F$2:$F$1581=_xlfn.TEXTJOIN(" + ",TRUE,IF((TRIM(P318:S318)="")+(LOWER(TRIM(P318:S318))="(seleccione)"),"",PROPER(TRIM(P318:S318)))))*(CAT_Procesos!$D$2:$D$1581=IFERROR(VLOOKUP(N318&amp;"*",CAT_Procesos!$D:$D,1,FALSE),"")))*(CAT_Procesos!$G$2:$G$1581=INDEX(CAT_Procesos!$G$2:$G$1581,MATCH(1,(CAT_Procesos!$E$2:$E$1581=O318)*(CAT_Procesos!$F$2:$F$1581=_xlfn.TEXTJOIN(" + ",TRUE,IF((TRIM(P318:S318)="")+(LOWER(TRIM(P318:S318))="(seleccione)"),"",PROPER(TRIM(P318:S318)))))*(CAT_Procesos!$D$2:$D$1581=IFERROR(VLOOKUP(N318&amp;"*",CAT_Procesos!$D:$D,1,FALSE),"")),0))))=SUMPRODUCT(--((CAT_Procesos!$E$2:$E$1581=O318)*(CAT_Procesos!$F$2:$F$1581=_xlfn.TEXTJOIN(" + ",TRUE,IF((TRIM(P318:S318)="")+(LOWER(TRIM(P318:S318))="(seleccione)"),"",PROPER(TRIM(P318:S318)))))*(CAT_Procesos!$D$2:$D$1581=IFERROR(VLOOKUP(N318&amp;"*",CAT_Procesos!$D:$D,1,FALSE),"")))),INDEX(CAT_Procesos!$G$2:$G$1581,MATCH(1,(CAT_Procesos!$E$2:$E$1581=O318)*(CAT_Procesos!$F$2:$F$1581=_xlfn.TEXTJOIN(" + ",TRUE,IF((TRIM(P318:S318)="")+(LOWER(TRIM(P318:S318))="(seleccione)"),"",PROPER(TRIM(P318:S318)))))*(CAT_Procesos!$D$2:$D$1581=IFERROR(VLOOKUP(N318&amp;"*",CAT_Procesos!$D:$D,1,FALSE),"")),0)),"(seleccione)"))</f>
        <v>Combinación no existente</v>
      </c>
      <c r="V318" s="55" t="s">
        <v>73</v>
      </c>
      <c r="W318" s="56" t="s">
        <v>73</v>
      </c>
      <c r="X318" s="57" t="str">
        <f t="shared" si="16"/>
        <v/>
      </c>
      <c r="Y318" s="58" t="s">
        <v>73</v>
      </c>
      <c r="Z318" s="57" t="str">
        <f t="shared" si="17"/>
        <v/>
      </c>
      <c r="AA318" s="58" t="s">
        <v>73</v>
      </c>
      <c r="AB318" s="57" t="str">
        <f t="shared" si="18"/>
        <v/>
      </c>
      <c r="AC318" s="58" t="s">
        <v>73</v>
      </c>
      <c r="AD318" s="57" t="str">
        <f t="shared" si="19"/>
        <v/>
      </c>
      <c r="AE318" s="59"/>
      <c r="AF318" s="59"/>
      <c r="AG318" s="59"/>
      <c r="AH318" s="59"/>
      <c r="AI318" s="59" t="s">
        <v>73</v>
      </c>
      <c r="AJ318" s="59"/>
      <c r="AK318" s="59" t="s">
        <v>73</v>
      </c>
      <c r="AL318" s="59"/>
      <c r="AM318" s="59" t="s">
        <v>73</v>
      </c>
      <c r="AN318" s="59"/>
      <c r="AO318" s="59" t="s">
        <v>73</v>
      </c>
      <c r="AP318" s="59"/>
      <c r="AQ318" s="59" t="s">
        <v>73</v>
      </c>
      <c r="AR318" s="59"/>
      <c r="AS318" s="59" t="s">
        <v>72</v>
      </c>
      <c r="AT318" s="59"/>
      <c r="AU318" s="59"/>
      <c r="AV318" s="59"/>
      <c r="AW318" s="59"/>
      <c r="AX318" s="59"/>
      <c r="AY318" s="60" t="str">
        <f>IF('Cálculo MP'!K328="","",'Cálculo MP'!K328)</f>
        <v/>
      </c>
      <c r="AZ318" s="60" t="str">
        <f>IF('Cálculo MP'!L328="","",'Cálculo MP'!L328)</f>
        <v/>
      </c>
      <c r="BA318" s="60" t="str">
        <f>IF('Cálculo MP'!M328="","",'Cálculo MP'!M328)</f>
        <v/>
      </c>
      <c r="BB318" s="60" t="str">
        <f>IF('Cálculo MP'!N328="","",'Cálculo MP'!N328)</f>
        <v/>
      </c>
      <c r="BC318" s="60" t="str">
        <f>IF('Cálculo MP'!O328="","",'Cálculo MP'!O328)</f>
        <v/>
      </c>
      <c r="BD318" s="60" t="str">
        <f>IF('Cálculo MP'!P328="","",'Cálculo MP'!P328)</f>
        <v/>
      </c>
      <c r="BE318" s="60" t="str">
        <f>IF('Cálculo MP'!Q328="","",'Cálculo MP'!Q328)</f>
        <v/>
      </c>
      <c r="BF318" s="60" t="str">
        <f>IF('Cálculo MP'!R328="","",'Cálculo MP'!R328)</f>
        <v/>
      </c>
      <c r="BG318" s="60" t="str">
        <f>IF('Cálculo MP'!S328="","",'Cálculo MP'!S328)</f>
        <v/>
      </c>
      <c r="BH318" s="59"/>
      <c r="BI318" s="59"/>
      <c r="BJ318" s="59"/>
      <c r="BK318" s="59"/>
      <c r="BL318" s="59"/>
      <c r="BM318" s="59"/>
      <c r="BN318" s="59"/>
      <c r="BO318" s="59"/>
    </row>
    <row r="319" spans="1:67" ht="19.5" customHeight="1" x14ac:dyDescent="0.15">
      <c r="A319" s="123" t="s">
        <v>1856</v>
      </c>
      <c r="B319" s="122" t="s">
        <v>1854</v>
      </c>
      <c r="C319" s="49"/>
      <c r="D319" s="48" t="s">
        <v>73</v>
      </c>
      <c r="E319" s="49"/>
      <c r="F319" s="50"/>
      <c r="G319" s="62"/>
      <c r="H319" s="48" t="s">
        <v>72</v>
      </c>
      <c r="I319" s="52">
        <v>1</v>
      </c>
      <c r="J319" s="52"/>
      <c r="K319" s="52" t="s">
        <v>73</v>
      </c>
      <c r="L319" s="52" t="s">
        <v>74</v>
      </c>
      <c r="M319" s="53" t="s">
        <v>942</v>
      </c>
      <c r="N319" s="58" t="s">
        <v>73</v>
      </c>
      <c r="O319" s="48" t="s">
        <v>72</v>
      </c>
      <c r="P319" s="48" t="s">
        <v>73</v>
      </c>
      <c r="Q319" s="54" t="s">
        <v>73</v>
      </c>
      <c r="R319" s="55" t="s">
        <v>73</v>
      </c>
      <c r="S319" s="48" t="s">
        <v>73</v>
      </c>
      <c r="T319" s="130"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8" t="str" cm="1">
        <f t="array" ref="U319">IF(SUMPRODUCT(--((CAT_Procesos!$E$2:$E$1581=O319)*(CAT_Procesos!$F$2:$F$1581=_xlfn.TEXTJOIN(" + ",TRUE,IF((TRIM(P319:S319)="")+(LOWER(TRIM(P319:S319))="(seleccione)"),"",PROPER(TRIM(P319:S319)))))*(CAT_Procesos!$D$2:$D$1581=IFERROR(VLOOKUP(N319&amp;"*",CAT_Procesos!$D:$D,1,FALSE),""))))=0,"Combinación no existente",IF(SUMPRODUCT(((CAT_Procesos!$E$2:$E$1581=O319)*(CAT_Procesos!$F$2:$F$1581=_xlfn.TEXTJOIN(" + ",TRUE,IF((TRIM(P319:S319)="")+(LOWER(TRIM(P319:S319))="(seleccione)"),"",PROPER(TRIM(P319:S319)))))*(CAT_Procesos!$D$2:$D$1581=IFERROR(VLOOKUP(N319&amp;"*",CAT_Procesos!$D:$D,1,FALSE),"")))*(CAT_Procesos!$G$2:$G$1581=INDEX(CAT_Procesos!$G$2:$G$1581,MATCH(1,(CAT_Procesos!$E$2:$E$1581=O319)*(CAT_Procesos!$F$2:$F$1581=_xlfn.TEXTJOIN(" + ",TRUE,IF((TRIM(P319:S319)="")+(LOWER(TRIM(P319:S319))="(seleccione)"),"",PROPER(TRIM(P319:S319)))))*(CAT_Procesos!$D$2:$D$1581=IFERROR(VLOOKUP(N319&amp;"*",CAT_Procesos!$D:$D,1,FALSE),"")),0))))=SUMPRODUCT(--((CAT_Procesos!$E$2:$E$1581=O319)*(CAT_Procesos!$F$2:$F$1581=_xlfn.TEXTJOIN(" + ",TRUE,IF((TRIM(P319:S319)="")+(LOWER(TRIM(P319:S319))="(seleccione)"),"",PROPER(TRIM(P319:S319)))))*(CAT_Procesos!$D$2:$D$1581=IFERROR(VLOOKUP(N319&amp;"*",CAT_Procesos!$D:$D,1,FALSE),"")))),INDEX(CAT_Procesos!$G$2:$G$1581,MATCH(1,(CAT_Procesos!$E$2:$E$1581=O319)*(CAT_Procesos!$F$2:$F$1581=_xlfn.TEXTJOIN(" + ",TRUE,IF((TRIM(P319:S319)="")+(LOWER(TRIM(P319:S319))="(seleccione)"),"",PROPER(TRIM(P319:S319)))))*(CAT_Procesos!$D$2:$D$1581=IFERROR(VLOOKUP(N319&amp;"*",CAT_Procesos!$D:$D,1,FALSE),"")),0)),"(seleccione)"))</f>
        <v>Combinación no existente</v>
      </c>
      <c r="V319" s="55" t="s">
        <v>73</v>
      </c>
      <c r="W319" s="56" t="s">
        <v>73</v>
      </c>
      <c r="X319" s="57" t="str">
        <f t="shared" si="16"/>
        <v/>
      </c>
      <c r="Y319" s="58" t="s">
        <v>73</v>
      </c>
      <c r="Z319" s="57" t="str">
        <f t="shared" si="17"/>
        <v/>
      </c>
      <c r="AA319" s="58" t="s">
        <v>73</v>
      </c>
      <c r="AB319" s="57" t="str">
        <f t="shared" si="18"/>
        <v/>
      </c>
      <c r="AC319" s="58" t="s">
        <v>73</v>
      </c>
      <c r="AD319" s="57" t="str">
        <f t="shared" si="19"/>
        <v/>
      </c>
      <c r="AE319" s="59"/>
      <c r="AF319" s="59"/>
      <c r="AG319" s="59"/>
      <c r="AH319" s="59"/>
      <c r="AI319" s="59" t="s">
        <v>73</v>
      </c>
      <c r="AJ319" s="59"/>
      <c r="AK319" s="59" t="s">
        <v>73</v>
      </c>
      <c r="AL319" s="59"/>
      <c r="AM319" s="59" t="s">
        <v>73</v>
      </c>
      <c r="AN319" s="59"/>
      <c r="AO319" s="59" t="s">
        <v>73</v>
      </c>
      <c r="AP319" s="59"/>
      <c r="AQ319" s="59" t="s">
        <v>73</v>
      </c>
      <c r="AR319" s="59"/>
      <c r="AS319" s="59" t="s">
        <v>72</v>
      </c>
      <c r="AT319" s="59"/>
      <c r="AU319" s="59"/>
      <c r="AV319" s="59"/>
      <c r="AW319" s="59"/>
      <c r="AX319" s="59"/>
      <c r="AY319" s="60" t="str">
        <f>IF('Cálculo MP'!K329="","",'Cálculo MP'!K329)</f>
        <v/>
      </c>
      <c r="AZ319" s="60" t="str">
        <f>IF('Cálculo MP'!L329="","",'Cálculo MP'!L329)</f>
        <v/>
      </c>
      <c r="BA319" s="60" t="str">
        <f>IF('Cálculo MP'!M329="","",'Cálculo MP'!M329)</f>
        <v/>
      </c>
      <c r="BB319" s="60" t="str">
        <f>IF('Cálculo MP'!N329="","",'Cálculo MP'!N329)</f>
        <v/>
      </c>
      <c r="BC319" s="60" t="str">
        <f>IF('Cálculo MP'!O329="","",'Cálculo MP'!O329)</f>
        <v/>
      </c>
      <c r="BD319" s="60" t="str">
        <f>IF('Cálculo MP'!P329="","",'Cálculo MP'!P329)</f>
        <v/>
      </c>
      <c r="BE319" s="60" t="str">
        <f>IF('Cálculo MP'!Q329="","",'Cálculo MP'!Q329)</f>
        <v/>
      </c>
      <c r="BF319" s="60" t="str">
        <f>IF('Cálculo MP'!R329="","",'Cálculo MP'!R329)</f>
        <v/>
      </c>
      <c r="BG319" s="60" t="str">
        <f>IF('Cálculo MP'!S329="","",'Cálculo MP'!S329)</f>
        <v/>
      </c>
      <c r="BH319" s="59"/>
      <c r="BI319" s="59"/>
      <c r="BJ319" s="59"/>
      <c r="BK319" s="59"/>
      <c r="BL319" s="59"/>
      <c r="BM319" s="59"/>
      <c r="BN319" s="59"/>
      <c r="BO319" s="59"/>
    </row>
    <row r="320" spans="1:67" ht="19.5" customHeight="1" x14ac:dyDescent="0.15">
      <c r="A320" s="123" t="s">
        <v>1856</v>
      </c>
      <c r="B320" s="122" t="s">
        <v>1854</v>
      </c>
      <c r="C320" s="49"/>
      <c r="D320" s="48" t="s">
        <v>73</v>
      </c>
      <c r="E320" s="49"/>
      <c r="F320" s="50"/>
      <c r="G320" s="62"/>
      <c r="H320" s="48" t="s">
        <v>72</v>
      </c>
      <c r="I320" s="52">
        <v>1</v>
      </c>
      <c r="J320" s="52"/>
      <c r="K320" s="52" t="s">
        <v>73</v>
      </c>
      <c r="L320" s="52" t="s">
        <v>74</v>
      </c>
      <c r="M320" s="53" t="s">
        <v>942</v>
      </c>
      <c r="N320" s="58" t="s">
        <v>73</v>
      </c>
      <c r="O320" s="48" t="s">
        <v>72</v>
      </c>
      <c r="P320" s="48" t="s">
        <v>73</v>
      </c>
      <c r="Q320" s="54" t="s">
        <v>73</v>
      </c>
      <c r="R320" s="55" t="s">
        <v>73</v>
      </c>
      <c r="S320" s="48" t="s">
        <v>73</v>
      </c>
      <c r="T320" s="130"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8" t="str" cm="1">
        <f t="array" ref="U320">IF(SUMPRODUCT(--((CAT_Procesos!$E$2:$E$1581=O320)*(CAT_Procesos!$F$2:$F$1581=_xlfn.TEXTJOIN(" + ",TRUE,IF((TRIM(P320:S320)="")+(LOWER(TRIM(P320:S320))="(seleccione)"),"",PROPER(TRIM(P320:S320)))))*(CAT_Procesos!$D$2:$D$1581=IFERROR(VLOOKUP(N320&amp;"*",CAT_Procesos!$D:$D,1,FALSE),""))))=0,"Combinación no existente",IF(SUMPRODUCT(((CAT_Procesos!$E$2:$E$1581=O320)*(CAT_Procesos!$F$2:$F$1581=_xlfn.TEXTJOIN(" + ",TRUE,IF((TRIM(P320:S320)="")+(LOWER(TRIM(P320:S320))="(seleccione)"),"",PROPER(TRIM(P320:S320)))))*(CAT_Procesos!$D$2:$D$1581=IFERROR(VLOOKUP(N320&amp;"*",CAT_Procesos!$D:$D,1,FALSE),"")))*(CAT_Procesos!$G$2:$G$1581=INDEX(CAT_Procesos!$G$2:$G$1581,MATCH(1,(CAT_Procesos!$E$2:$E$1581=O320)*(CAT_Procesos!$F$2:$F$1581=_xlfn.TEXTJOIN(" + ",TRUE,IF((TRIM(P320:S320)="")+(LOWER(TRIM(P320:S320))="(seleccione)"),"",PROPER(TRIM(P320:S320)))))*(CAT_Procesos!$D$2:$D$1581=IFERROR(VLOOKUP(N320&amp;"*",CAT_Procesos!$D:$D,1,FALSE),"")),0))))=SUMPRODUCT(--((CAT_Procesos!$E$2:$E$1581=O320)*(CAT_Procesos!$F$2:$F$1581=_xlfn.TEXTJOIN(" + ",TRUE,IF((TRIM(P320:S320)="")+(LOWER(TRIM(P320:S320))="(seleccione)"),"",PROPER(TRIM(P320:S320)))))*(CAT_Procesos!$D$2:$D$1581=IFERROR(VLOOKUP(N320&amp;"*",CAT_Procesos!$D:$D,1,FALSE),"")))),INDEX(CAT_Procesos!$G$2:$G$1581,MATCH(1,(CAT_Procesos!$E$2:$E$1581=O320)*(CAT_Procesos!$F$2:$F$1581=_xlfn.TEXTJOIN(" + ",TRUE,IF((TRIM(P320:S320)="")+(LOWER(TRIM(P320:S320))="(seleccione)"),"",PROPER(TRIM(P320:S320)))))*(CAT_Procesos!$D$2:$D$1581=IFERROR(VLOOKUP(N320&amp;"*",CAT_Procesos!$D:$D,1,FALSE),"")),0)),"(seleccione)"))</f>
        <v>Combinación no existente</v>
      </c>
      <c r="V320" s="55" t="s">
        <v>73</v>
      </c>
      <c r="W320" s="56" t="s">
        <v>73</v>
      </c>
      <c r="X320" s="57" t="str">
        <f t="shared" si="16"/>
        <v/>
      </c>
      <c r="Y320" s="58" t="s">
        <v>73</v>
      </c>
      <c r="Z320" s="57" t="str">
        <f t="shared" si="17"/>
        <v/>
      </c>
      <c r="AA320" s="58" t="s">
        <v>73</v>
      </c>
      <c r="AB320" s="57" t="str">
        <f t="shared" si="18"/>
        <v/>
      </c>
      <c r="AC320" s="58" t="s">
        <v>73</v>
      </c>
      <c r="AD320" s="57" t="str">
        <f t="shared" si="19"/>
        <v/>
      </c>
      <c r="AE320" s="59"/>
      <c r="AF320" s="59"/>
      <c r="AG320" s="59"/>
      <c r="AH320" s="59"/>
      <c r="AI320" s="59" t="s">
        <v>73</v>
      </c>
      <c r="AJ320" s="59"/>
      <c r="AK320" s="59" t="s">
        <v>73</v>
      </c>
      <c r="AL320" s="59"/>
      <c r="AM320" s="59" t="s">
        <v>73</v>
      </c>
      <c r="AN320" s="59"/>
      <c r="AO320" s="59" t="s">
        <v>73</v>
      </c>
      <c r="AP320" s="59"/>
      <c r="AQ320" s="59" t="s">
        <v>73</v>
      </c>
      <c r="AR320" s="59"/>
      <c r="AS320" s="59" t="s">
        <v>72</v>
      </c>
      <c r="AT320" s="59"/>
      <c r="AU320" s="59"/>
      <c r="AV320" s="59"/>
      <c r="AW320" s="59"/>
      <c r="AX320" s="59"/>
      <c r="AY320" s="60" t="str">
        <f>IF('Cálculo MP'!K330="","",'Cálculo MP'!K330)</f>
        <v/>
      </c>
      <c r="AZ320" s="60" t="str">
        <f>IF('Cálculo MP'!L330="","",'Cálculo MP'!L330)</f>
        <v/>
      </c>
      <c r="BA320" s="60" t="str">
        <f>IF('Cálculo MP'!M330="","",'Cálculo MP'!M330)</f>
        <v/>
      </c>
      <c r="BB320" s="60" t="str">
        <f>IF('Cálculo MP'!N330="","",'Cálculo MP'!N330)</f>
        <v/>
      </c>
      <c r="BC320" s="60" t="str">
        <f>IF('Cálculo MP'!O330="","",'Cálculo MP'!O330)</f>
        <v/>
      </c>
      <c r="BD320" s="60" t="str">
        <f>IF('Cálculo MP'!P330="","",'Cálculo MP'!P330)</f>
        <v/>
      </c>
      <c r="BE320" s="60" t="str">
        <f>IF('Cálculo MP'!Q330="","",'Cálculo MP'!Q330)</f>
        <v/>
      </c>
      <c r="BF320" s="60" t="str">
        <f>IF('Cálculo MP'!R330="","",'Cálculo MP'!R330)</f>
        <v/>
      </c>
      <c r="BG320" s="60" t="str">
        <f>IF('Cálculo MP'!S330="","",'Cálculo MP'!S330)</f>
        <v/>
      </c>
      <c r="BH320" s="59"/>
      <c r="BI320" s="59"/>
      <c r="BJ320" s="59"/>
      <c r="BK320" s="59"/>
      <c r="BL320" s="59"/>
      <c r="BM320" s="59"/>
      <c r="BN320" s="59"/>
      <c r="BO320" s="59"/>
    </row>
    <row r="321" spans="1:67" ht="19.5" customHeight="1" x14ac:dyDescent="0.15">
      <c r="A321" s="123" t="s">
        <v>1856</v>
      </c>
      <c r="B321" s="122" t="s">
        <v>1854</v>
      </c>
      <c r="C321" s="49"/>
      <c r="D321" s="48" t="s">
        <v>73</v>
      </c>
      <c r="E321" s="49"/>
      <c r="F321" s="50"/>
      <c r="G321" s="62"/>
      <c r="H321" s="48" t="s">
        <v>72</v>
      </c>
      <c r="I321" s="52">
        <v>1</v>
      </c>
      <c r="J321" s="52"/>
      <c r="K321" s="52" t="s">
        <v>73</v>
      </c>
      <c r="L321" s="52" t="s">
        <v>74</v>
      </c>
      <c r="M321" s="53" t="s">
        <v>942</v>
      </c>
      <c r="N321" s="58" t="s">
        <v>73</v>
      </c>
      <c r="O321" s="48" t="s">
        <v>72</v>
      </c>
      <c r="P321" s="48" t="s">
        <v>73</v>
      </c>
      <c r="Q321" s="54" t="s">
        <v>73</v>
      </c>
      <c r="R321" s="55" t="s">
        <v>73</v>
      </c>
      <c r="S321" s="48" t="s">
        <v>73</v>
      </c>
      <c r="T321" s="130"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8" t="str" cm="1">
        <f t="array" ref="U321">IF(SUMPRODUCT(--((CAT_Procesos!$E$2:$E$1581=O321)*(CAT_Procesos!$F$2:$F$1581=_xlfn.TEXTJOIN(" + ",TRUE,IF((TRIM(P321:S321)="")+(LOWER(TRIM(P321:S321))="(seleccione)"),"",PROPER(TRIM(P321:S321)))))*(CAT_Procesos!$D$2:$D$1581=IFERROR(VLOOKUP(N321&amp;"*",CAT_Procesos!$D:$D,1,FALSE),""))))=0,"Combinación no existente",IF(SUMPRODUCT(((CAT_Procesos!$E$2:$E$1581=O321)*(CAT_Procesos!$F$2:$F$1581=_xlfn.TEXTJOIN(" + ",TRUE,IF((TRIM(P321:S321)="")+(LOWER(TRIM(P321:S321))="(seleccione)"),"",PROPER(TRIM(P321:S321)))))*(CAT_Procesos!$D$2:$D$1581=IFERROR(VLOOKUP(N321&amp;"*",CAT_Procesos!$D:$D,1,FALSE),"")))*(CAT_Procesos!$G$2:$G$1581=INDEX(CAT_Procesos!$G$2:$G$1581,MATCH(1,(CAT_Procesos!$E$2:$E$1581=O321)*(CAT_Procesos!$F$2:$F$1581=_xlfn.TEXTJOIN(" + ",TRUE,IF((TRIM(P321:S321)="")+(LOWER(TRIM(P321:S321))="(seleccione)"),"",PROPER(TRIM(P321:S321)))))*(CAT_Procesos!$D$2:$D$1581=IFERROR(VLOOKUP(N321&amp;"*",CAT_Procesos!$D:$D,1,FALSE),"")),0))))=SUMPRODUCT(--((CAT_Procesos!$E$2:$E$1581=O321)*(CAT_Procesos!$F$2:$F$1581=_xlfn.TEXTJOIN(" + ",TRUE,IF((TRIM(P321:S321)="")+(LOWER(TRIM(P321:S321))="(seleccione)"),"",PROPER(TRIM(P321:S321)))))*(CAT_Procesos!$D$2:$D$1581=IFERROR(VLOOKUP(N321&amp;"*",CAT_Procesos!$D:$D,1,FALSE),"")))),INDEX(CAT_Procesos!$G$2:$G$1581,MATCH(1,(CAT_Procesos!$E$2:$E$1581=O321)*(CAT_Procesos!$F$2:$F$1581=_xlfn.TEXTJOIN(" + ",TRUE,IF((TRIM(P321:S321)="")+(LOWER(TRIM(P321:S321))="(seleccione)"),"",PROPER(TRIM(P321:S321)))))*(CAT_Procesos!$D$2:$D$1581=IFERROR(VLOOKUP(N321&amp;"*",CAT_Procesos!$D:$D,1,FALSE),"")),0)),"(seleccione)"))</f>
        <v>Combinación no existente</v>
      </c>
      <c r="V321" s="55" t="s">
        <v>73</v>
      </c>
      <c r="W321" s="56" t="s">
        <v>73</v>
      </c>
      <c r="X321" s="57" t="str">
        <f t="shared" si="16"/>
        <v/>
      </c>
      <c r="Y321" s="58" t="s">
        <v>73</v>
      </c>
      <c r="Z321" s="57" t="str">
        <f t="shared" si="17"/>
        <v/>
      </c>
      <c r="AA321" s="58" t="s">
        <v>73</v>
      </c>
      <c r="AB321" s="57" t="str">
        <f t="shared" si="18"/>
        <v/>
      </c>
      <c r="AC321" s="58" t="s">
        <v>73</v>
      </c>
      <c r="AD321" s="57" t="str">
        <f t="shared" si="19"/>
        <v/>
      </c>
      <c r="AE321" s="59"/>
      <c r="AF321" s="59"/>
      <c r="AG321" s="59"/>
      <c r="AH321" s="59"/>
      <c r="AI321" s="59" t="s">
        <v>73</v>
      </c>
      <c r="AJ321" s="59"/>
      <c r="AK321" s="59" t="s">
        <v>73</v>
      </c>
      <c r="AL321" s="59"/>
      <c r="AM321" s="59" t="s">
        <v>73</v>
      </c>
      <c r="AN321" s="59"/>
      <c r="AO321" s="59" t="s">
        <v>73</v>
      </c>
      <c r="AP321" s="59"/>
      <c r="AQ321" s="59" t="s">
        <v>73</v>
      </c>
      <c r="AR321" s="59"/>
      <c r="AS321" s="59" t="s">
        <v>72</v>
      </c>
      <c r="AT321" s="59"/>
      <c r="AU321" s="59"/>
      <c r="AV321" s="59"/>
      <c r="AW321" s="59"/>
      <c r="AX321" s="59"/>
      <c r="AY321" s="60" t="str">
        <f>IF('Cálculo MP'!K331="","",'Cálculo MP'!K331)</f>
        <v/>
      </c>
      <c r="AZ321" s="60" t="str">
        <f>IF('Cálculo MP'!L331="","",'Cálculo MP'!L331)</f>
        <v/>
      </c>
      <c r="BA321" s="60" t="str">
        <f>IF('Cálculo MP'!M331="","",'Cálculo MP'!M331)</f>
        <v/>
      </c>
      <c r="BB321" s="60" t="str">
        <f>IF('Cálculo MP'!N331="","",'Cálculo MP'!N331)</f>
        <v/>
      </c>
      <c r="BC321" s="60" t="str">
        <f>IF('Cálculo MP'!O331="","",'Cálculo MP'!O331)</f>
        <v/>
      </c>
      <c r="BD321" s="60" t="str">
        <f>IF('Cálculo MP'!P331="","",'Cálculo MP'!P331)</f>
        <v/>
      </c>
      <c r="BE321" s="60" t="str">
        <f>IF('Cálculo MP'!Q331="","",'Cálculo MP'!Q331)</f>
        <v/>
      </c>
      <c r="BF321" s="60" t="str">
        <f>IF('Cálculo MP'!R331="","",'Cálculo MP'!R331)</f>
        <v/>
      </c>
      <c r="BG321" s="60" t="str">
        <f>IF('Cálculo MP'!S331="","",'Cálculo MP'!S331)</f>
        <v/>
      </c>
      <c r="BH321" s="59"/>
      <c r="BI321" s="59"/>
      <c r="BJ321" s="59"/>
      <c r="BK321" s="59"/>
      <c r="BL321" s="59"/>
      <c r="BM321" s="59"/>
      <c r="BN321" s="59"/>
      <c r="BO321" s="59"/>
    </row>
    <row r="322" spans="1:67" ht="19.5" customHeight="1" x14ac:dyDescent="0.15">
      <c r="A322" s="123" t="s">
        <v>1856</v>
      </c>
      <c r="B322" s="122" t="s">
        <v>1854</v>
      </c>
      <c r="C322" s="49"/>
      <c r="D322" s="48" t="s">
        <v>73</v>
      </c>
      <c r="E322" s="49"/>
      <c r="F322" s="50"/>
      <c r="G322" s="62"/>
      <c r="H322" s="48" t="s">
        <v>72</v>
      </c>
      <c r="I322" s="52">
        <v>1</v>
      </c>
      <c r="J322" s="52"/>
      <c r="K322" s="52" t="s">
        <v>73</v>
      </c>
      <c r="L322" s="52" t="s">
        <v>74</v>
      </c>
      <c r="M322" s="53" t="s">
        <v>942</v>
      </c>
      <c r="N322" s="58" t="s">
        <v>73</v>
      </c>
      <c r="O322" s="48" t="s">
        <v>72</v>
      </c>
      <c r="P322" s="48" t="s">
        <v>73</v>
      </c>
      <c r="Q322" s="54" t="s">
        <v>73</v>
      </c>
      <c r="R322" s="55" t="s">
        <v>73</v>
      </c>
      <c r="S322" s="48" t="s">
        <v>73</v>
      </c>
      <c r="T322" s="130"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8" t="str" cm="1">
        <f t="array" ref="U322">IF(SUMPRODUCT(--((CAT_Procesos!$E$2:$E$1581=O322)*(CAT_Procesos!$F$2:$F$1581=_xlfn.TEXTJOIN(" + ",TRUE,IF((TRIM(P322:S322)="")+(LOWER(TRIM(P322:S322))="(seleccione)"),"",PROPER(TRIM(P322:S322)))))*(CAT_Procesos!$D$2:$D$1581=IFERROR(VLOOKUP(N322&amp;"*",CAT_Procesos!$D:$D,1,FALSE),""))))=0,"Combinación no existente",IF(SUMPRODUCT(((CAT_Procesos!$E$2:$E$1581=O322)*(CAT_Procesos!$F$2:$F$1581=_xlfn.TEXTJOIN(" + ",TRUE,IF((TRIM(P322:S322)="")+(LOWER(TRIM(P322:S322))="(seleccione)"),"",PROPER(TRIM(P322:S322)))))*(CAT_Procesos!$D$2:$D$1581=IFERROR(VLOOKUP(N322&amp;"*",CAT_Procesos!$D:$D,1,FALSE),"")))*(CAT_Procesos!$G$2:$G$1581=INDEX(CAT_Procesos!$G$2:$G$1581,MATCH(1,(CAT_Procesos!$E$2:$E$1581=O322)*(CAT_Procesos!$F$2:$F$1581=_xlfn.TEXTJOIN(" + ",TRUE,IF((TRIM(P322:S322)="")+(LOWER(TRIM(P322:S322))="(seleccione)"),"",PROPER(TRIM(P322:S322)))))*(CAT_Procesos!$D$2:$D$1581=IFERROR(VLOOKUP(N322&amp;"*",CAT_Procesos!$D:$D,1,FALSE),"")),0))))=SUMPRODUCT(--((CAT_Procesos!$E$2:$E$1581=O322)*(CAT_Procesos!$F$2:$F$1581=_xlfn.TEXTJOIN(" + ",TRUE,IF((TRIM(P322:S322)="")+(LOWER(TRIM(P322:S322))="(seleccione)"),"",PROPER(TRIM(P322:S322)))))*(CAT_Procesos!$D$2:$D$1581=IFERROR(VLOOKUP(N322&amp;"*",CAT_Procesos!$D:$D,1,FALSE),"")))),INDEX(CAT_Procesos!$G$2:$G$1581,MATCH(1,(CAT_Procesos!$E$2:$E$1581=O322)*(CAT_Procesos!$F$2:$F$1581=_xlfn.TEXTJOIN(" + ",TRUE,IF((TRIM(P322:S322)="")+(LOWER(TRIM(P322:S322))="(seleccione)"),"",PROPER(TRIM(P322:S322)))))*(CAT_Procesos!$D$2:$D$1581=IFERROR(VLOOKUP(N322&amp;"*",CAT_Procesos!$D:$D,1,FALSE),"")),0)),"(seleccione)"))</f>
        <v>Combinación no existente</v>
      </c>
      <c r="V322" s="55" t="s">
        <v>73</v>
      </c>
      <c r="W322" s="56" t="s">
        <v>73</v>
      </c>
      <c r="X322" s="57" t="str">
        <f t="shared" si="16"/>
        <v/>
      </c>
      <c r="Y322" s="58" t="s">
        <v>73</v>
      </c>
      <c r="Z322" s="57" t="str">
        <f t="shared" si="17"/>
        <v/>
      </c>
      <c r="AA322" s="58" t="s">
        <v>73</v>
      </c>
      <c r="AB322" s="57" t="str">
        <f t="shared" si="18"/>
        <v/>
      </c>
      <c r="AC322" s="58" t="s">
        <v>73</v>
      </c>
      <c r="AD322" s="57" t="str">
        <f t="shared" si="19"/>
        <v/>
      </c>
      <c r="AE322" s="59"/>
      <c r="AF322" s="59"/>
      <c r="AG322" s="59"/>
      <c r="AH322" s="59"/>
      <c r="AI322" s="59" t="s">
        <v>73</v>
      </c>
      <c r="AJ322" s="59"/>
      <c r="AK322" s="59" t="s">
        <v>73</v>
      </c>
      <c r="AL322" s="59"/>
      <c r="AM322" s="59" t="s">
        <v>73</v>
      </c>
      <c r="AN322" s="59"/>
      <c r="AO322" s="59" t="s">
        <v>73</v>
      </c>
      <c r="AP322" s="59"/>
      <c r="AQ322" s="59" t="s">
        <v>73</v>
      </c>
      <c r="AR322" s="59"/>
      <c r="AS322" s="59" t="s">
        <v>72</v>
      </c>
      <c r="AT322" s="59"/>
      <c r="AU322" s="59"/>
      <c r="AV322" s="59"/>
      <c r="AW322" s="59"/>
      <c r="AX322" s="59"/>
      <c r="AY322" s="60" t="str">
        <f>IF('Cálculo MP'!K332="","",'Cálculo MP'!K332)</f>
        <v/>
      </c>
      <c r="AZ322" s="60" t="str">
        <f>IF('Cálculo MP'!L332="","",'Cálculo MP'!L332)</f>
        <v/>
      </c>
      <c r="BA322" s="60" t="str">
        <f>IF('Cálculo MP'!M332="","",'Cálculo MP'!M332)</f>
        <v/>
      </c>
      <c r="BB322" s="60" t="str">
        <f>IF('Cálculo MP'!N332="","",'Cálculo MP'!N332)</f>
        <v/>
      </c>
      <c r="BC322" s="60" t="str">
        <f>IF('Cálculo MP'!O332="","",'Cálculo MP'!O332)</f>
        <v/>
      </c>
      <c r="BD322" s="60" t="str">
        <f>IF('Cálculo MP'!P332="","",'Cálculo MP'!P332)</f>
        <v/>
      </c>
      <c r="BE322" s="60" t="str">
        <f>IF('Cálculo MP'!Q332="","",'Cálculo MP'!Q332)</f>
        <v/>
      </c>
      <c r="BF322" s="60" t="str">
        <f>IF('Cálculo MP'!R332="","",'Cálculo MP'!R332)</f>
        <v/>
      </c>
      <c r="BG322" s="60" t="str">
        <f>IF('Cálculo MP'!S332="","",'Cálculo MP'!S332)</f>
        <v/>
      </c>
      <c r="BH322" s="59"/>
      <c r="BI322" s="59"/>
      <c r="BJ322" s="59"/>
      <c r="BK322" s="59"/>
      <c r="BL322" s="59"/>
      <c r="BM322" s="59"/>
      <c r="BN322" s="59"/>
      <c r="BO322" s="59"/>
    </row>
    <row r="323" spans="1:67" ht="19.5" customHeight="1" x14ac:dyDescent="0.15">
      <c r="A323" s="123" t="s">
        <v>1856</v>
      </c>
      <c r="B323" s="122" t="s">
        <v>1854</v>
      </c>
      <c r="C323" s="49"/>
      <c r="D323" s="48" t="s">
        <v>73</v>
      </c>
      <c r="E323" s="49"/>
      <c r="F323" s="50"/>
      <c r="G323" s="62"/>
      <c r="H323" s="48" t="s">
        <v>72</v>
      </c>
      <c r="I323" s="52">
        <v>1</v>
      </c>
      <c r="J323" s="52"/>
      <c r="K323" s="52" t="s">
        <v>73</v>
      </c>
      <c r="L323" s="52" t="s">
        <v>74</v>
      </c>
      <c r="M323" s="53" t="s">
        <v>942</v>
      </c>
      <c r="N323" s="58" t="s">
        <v>73</v>
      </c>
      <c r="O323" s="48" t="s">
        <v>72</v>
      </c>
      <c r="P323" s="48" t="s">
        <v>73</v>
      </c>
      <c r="Q323" s="54" t="s">
        <v>73</v>
      </c>
      <c r="R323" s="55" t="s">
        <v>73</v>
      </c>
      <c r="S323" s="48" t="s">
        <v>73</v>
      </c>
      <c r="T323" s="130"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8" t="str" cm="1">
        <f t="array" ref="U323">IF(SUMPRODUCT(--((CAT_Procesos!$E$2:$E$1581=O323)*(CAT_Procesos!$F$2:$F$1581=_xlfn.TEXTJOIN(" + ",TRUE,IF((TRIM(P323:S323)="")+(LOWER(TRIM(P323:S323))="(seleccione)"),"",PROPER(TRIM(P323:S323)))))*(CAT_Procesos!$D$2:$D$1581=IFERROR(VLOOKUP(N323&amp;"*",CAT_Procesos!$D:$D,1,FALSE),""))))=0,"Combinación no existente",IF(SUMPRODUCT(((CAT_Procesos!$E$2:$E$1581=O323)*(CAT_Procesos!$F$2:$F$1581=_xlfn.TEXTJOIN(" + ",TRUE,IF((TRIM(P323:S323)="")+(LOWER(TRIM(P323:S323))="(seleccione)"),"",PROPER(TRIM(P323:S323)))))*(CAT_Procesos!$D$2:$D$1581=IFERROR(VLOOKUP(N323&amp;"*",CAT_Procesos!$D:$D,1,FALSE),"")))*(CAT_Procesos!$G$2:$G$1581=INDEX(CAT_Procesos!$G$2:$G$1581,MATCH(1,(CAT_Procesos!$E$2:$E$1581=O323)*(CAT_Procesos!$F$2:$F$1581=_xlfn.TEXTJOIN(" + ",TRUE,IF((TRIM(P323:S323)="")+(LOWER(TRIM(P323:S323))="(seleccione)"),"",PROPER(TRIM(P323:S323)))))*(CAT_Procesos!$D$2:$D$1581=IFERROR(VLOOKUP(N323&amp;"*",CAT_Procesos!$D:$D,1,FALSE),"")),0))))=SUMPRODUCT(--((CAT_Procesos!$E$2:$E$1581=O323)*(CAT_Procesos!$F$2:$F$1581=_xlfn.TEXTJOIN(" + ",TRUE,IF((TRIM(P323:S323)="")+(LOWER(TRIM(P323:S323))="(seleccione)"),"",PROPER(TRIM(P323:S323)))))*(CAT_Procesos!$D$2:$D$1581=IFERROR(VLOOKUP(N323&amp;"*",CAT_Procesos!$D:$D,1,FALSE),"")))),INDEX(CAT_Procesos!$G$2:$G$1581,MATCH(1,(CAT_Procesos!$E$2:$E$1581=O323)*(CAT_Procesos!$F$2:$F$1581=_xlfn.TEXTJOIN(" + ",TRUE,IF((TRIM(P323:S323)="")+(LOWER(TRIM(P323:S323))="(seleccione)"),"",PROPER(TRIM(P323:S323)))))*(CAT_Procesos!$D$2:$D$1581=IFERROR(VLOOKUP(N323&amp;"*",CAT_Procesos!$D:$D,1,FALSE),"")),0)),"(seleccione)"))</f>
        <v>Combinación no existente</v>
      </c>
      <c r="V323" s="55" t="s">
        <v>73</v>
      </c>
      <c r="W323" s="56" t="s">
        <v>73</v>
      </c>
      <c r="X323" s="57" t="str">
        <f t="shared" si="16"/>
        <v/>
      </c>
      <c r="Y323" s="58" t="s">
        <v>73</v>
      </c>
      <c r="Z323" s="57" t="str">
        <f t="shared" si="17"/>
        <v/>
      </c>
      <c r="AA323" s="58" t="s">
        <v>73</v>
      </c>
      <c r="AB323" s="57" t="str">
        <f t="shared" si="18"/>
        <v/>
      </c>
      <c r="AC323" s="58" t="s">
        <v>73</v>
      </c>
      <c r="AD323" s="57" t="str">
        <f t="shared" si="19"/>
        <v/>
      </c>
      <c r="AE323" s="59"/>
      <c r="AF323" s="59"/>
      <c r="AG323" s="59"/>
      <c r="AH323" s="59"/>
      <c r="AI323" s="59" t="s">
        <v>73</v>
      </c>
      <c r="AJ323" s="59"/>
      <c r="AK323" s="59" t="s">
        <v>73</v>
      </c>
      <c r="AL323" s="59"/>
      <c r="AM323" s="59" t="s">
        <v>73</v>
      </c>
      <c r="AN323" s="59"/>
      <c r="AO323" s="59" t="s">
        <v>73</v>
      </c>
      <c r="AP323" s="59"/>
      <c r="AQ323" s="59" t="s">
        <v>73</v>
      </c>
      <c r="AR323" s="59"/>
      <c r="AS323" s="59" t="s">
        <v>72</v>
      </c>
      <c r="AT323" s="59"/>
      <c r="AU323" s="59"/>
      <c r="AV323" s="59"/>
      <c r="AW323" s="59"/>
      <c r="AX323" s="59"/>
      <c r="AY323" s="60" t="str">
        <f>IF('Cálculo MP'!K333="","",'Cálculo MP'!K333)</f>
        <v/>
      </c>
      <c r="AZ323" s="60" t="str">
        <f>IF('Cálculo MP'!L333="","",'Cálculo MP'!L333)</f>
        <v/>
      </c>
      <c r="BA323" s="60" t="str">
        <f>IF('Cálculo MP'!M333="","",'Cálculo MP'!M333)</f>
        <v/>
      </c>
      <c r="BB323" s="60" t="str">
        <f>IF('Cálculo MP'!N333="","",'Cálculo MP'!N333)</f>
        <v/>
      </c>
      <c r="BC323" s="60" t="str">
        <f>IF('Cálculo MP'!O333="","",'Cálculo MP'!O333)</f>
        <v/>
      </c>
      <c r="BD323" s="60" t="str">
        <f>IF('Cálculo MP'!P333="","",'Cálculo MP'!P333)</f>
        <v/>
      </c>
      <c r="BE323" s="60" t="str">
        <f>IF('Cálculo MP'!Q333="","",'Cálculo MP'!Q333)</f>
        <v/>
      </c>
      <c r="BF323" s="60" t="str">
        <f>IF('Cálculo MP'!R333="","",'Cálculo MP'!R333)</f>
        <v/>
      </c>
      <c r="BG323" s="60" t="str">
        <f>IF('Cálculo MP'!S333="","",'Cálculo MP'!S333)</f>
        <v/>
      </c>
      <c r="BH323" s="59"/>
      <c r="BI323" s="59"/>
      <c r="BJ323" s="59"/>
      <c r="BK323" s="59"/>
      <c r="BL323" s="59"/>
      <c r="BM323" s="59"/>
      <c r="BN323" s="59"/>
      <c r="BO323" s="59"/>
    </row>
    <row r="324" spans="1:67" ht="19.5" customHeight="1" x14ac:dyDescent="0.15">
      <c r="A324" s="123" t="s">
        <v>1856</v>
      </c>
      <c r="B324" s="122" t="s">
        <v>1854</v>
      </c>
      <c r="C324" s="49"/>
      <c r="D324" s="48" t="s">
        <v>73</v>
      </c>
      <c r="E324" s="49"/>
      <c r="F324" s="50"/>
      <c r="G324" s="62"/>
      <c r="H324" s="48" t="s">
        <v>72</v>
      </c>
      <c r="I324" s="52">
        <v>1</v>
      </c>
      <c r="J324" s="52"/>
      <c r="K324" s="52" t="s">
        <v>73</v>
      </c>
      <c r="L324" s="52" t="s">
        <v>74</v>
      </c>
      <c r="M324" s="53" t="s">
        <v>942</v>
      </c>
      <c r="N324" s="58" t="s">
        <v>73</v>
      </c>
      <c r="O324" s="48" t="s">
        <v>72</v>
      </c>
      <c r="P324" s="48" t="s">
        <v>73</v>
      </c>
      <c r="Q324" s="54" t="s">
        <v>73</v>
      </c>
      <c r="R324" s="55" t="s">
        <v>73</v>
      </c>
      <c r="S324" s="48" t="s">
        <v>73</v>
      </c>
      <c r="T324" s="130"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8" t="str" cm="1">
        <f t="array" ref="U324">IF(SUMPRODUCT(--((CAT_Procesos!$E$2:$E$1581=O324)*(CAT_Procesos!$F$2:$F$1581=_xlfn.TEXTJOIN(" + ",TRUE,IF((TRIM(P324:S324)="")+(LOWER(TRIM(P324:S324))="(seleccione)"),"",PROPER(TRIM(P324:S324)))))*(CAT_Procesos!$D$2:$D$1581=IFERROR(VLOOKUP(N324&amp;"*",CAT_Procesos!$D:$D,1,FALSE),""))))=0,"Combinación no existente",IF(SUMPRODUCT(((CAT_Procesos!$E$2:$E$1581=O324)*(CAT_Procesos!$F$2:$F$1581=_xlfn.TEXTJOIN(" + ",TRUE,IF((TRIM(P324:S324)="")+(LOWER(TRIM(P324:S324))="(seleccione)"),"",PROPER(TRIM(P324:S324)))))*(CAT_Procesos!$D$2:$D$1581=IFERROR(VLOOKUP(N324&amp;"*",CAT_Procesos!$D:$D,1,FALSE),"")))*(CAT_Procesos!$G$2:$G$1581=INDEX(CAT_Procesos!$G$2:$G$1581,MATCH(1,(CAT_Procesos!$E$2:$E$1581=O324)*(CAT_Procesos!$F$2:$F$1581=_xlfn.TEXTJOIN(" + ",TRUE,IF((TRIM(P324:S324)="")+(LOWER(TRIM(P324:S324))="(seleccione)"),"",PROPER(TRIM(P324:S324)))))*(CAT_Procesos!$D$2:$D$1581=IFERROR(VLOOKUP(N324&amp;"*",CAT_Procesos!$D:$D,1,FALSE),"")),0))))=SUMPRODUCT(--((CAT_Procesos!$E$2:$E$1581=O324)*(CAT_Procesos!$F$2:$F$1581=_xlfn.TEXTJOIN(" + ",TRUE,IF((TRIM(P324:S324)="")+(LOWER(TRIM(P324:S324))="(seleccione)"),"",PROPER(TRIM(P324:S324)))))*(CAT_Procesos!$D$2:$D$1581=IFERROR(VLOOKUP(N324&amp;"*",CAT_Procesos!$D:$D,1,FALSE),"")))),INDEX(CAT_Procesos!$G$2:$G$1581,MATCH(1,(CAT_Procesos!$E$2:$E$1581=O324)*(CAT_Procesos!$F$2:$F$1581=_xlfn.TEXTJOIN(" + ",TRUE,IF((TRIM(P324:S324)="")+(LOWER(TRIM(P324:S324))="(seleccione)"),"",PROPER(TRIM(P324:S324)))))*(CAT_Procesos!$D$2:$D$1581=IFERROR(VLOOKUP(N324&amp;"*",CAT_Procesos!$D:$D,1,FALSE),"")),0)),"(seleccione)"))</f>
        <v>Combinación no existente</v>
      </c>
      <c r="V324" s="55" t="s">
        <v>73</v>
      </c>
      <c r="W324" s="56" t="s">
        <v>73</v>
      </c>
      <c r="X324" s="57" t="str">
        <f t="shared" si="16"/>
        <v/>
      </c>
      <c r="Y324" s="58" t="s">
        <v>73</v>
      </c>
      <c r="Z324" s="57" t="str">
        <f t="shared" si="17"/>
        <v/>
      </c>
      <c r="AA324" s="58" t="s">
        <v>73</v>
      </c>
      <c r="AB324" s="57" t="str">
        <f t="shared" si="18"/>
        <v/>
      </c>
      <c r="AC324" s="58" t="s">
        <v>73</v>
      </c>
      <c r="AD324" s="57" t="str">
        <f t="shared" si="19"/>
        <v/>
      </c>
      <c r="AE324" s="59"/>
      <c r="AF324" s="59"/>
      <c r="AG324" s="59"/>
      <c r="AH324" s="59"/>
      <c r="AI324" s="59" t="s">
        <v>73</v>
      </c>
      <c r="AJ324" s="59"/>
      <c r="AK324" s="59" t="s">
        <v>73</v>
      </c>
      <c r="AL324" s="59"/>
      <c r="AM324" s="59" t="s">
        <v>73</v>
      </c>
      <c r="AN324" s="59"/>
      <c r="AO324" s="59" t="s">
        <v>73</v>
      </c>
      <c r="AP324" s="59"/>
      <c r="AQ324" s="59" t="s">
        <v>73</v>
      </c>
      <c r="AR324" s="59"/>
      <c r="AS324" s="59" t="s">
        <v>72</v>
      </c>
      <c r="AT324" s="59"/>
      <c r="AU324" s="59"/>
      <c r="AV324" s="59"/>
      <c r="AW324" s="59"/>
      <c r="AX324" s="59"/>
      <c r="AY324" s="60" t="str">
        <f>IF('Cálculo MP'!K334="","",'Cálculo MP'!K334)</f>
        <v/>
      </c>
      <c r="AZ324" s="60" t="str">
        <f>IF('Cálculo MP'!L334="","",'Cálculo MP'!L334)</f>
        <v/>
      </c>
      <c r="BA324" s="60" t="str">
        <f>IF('Cálculo MP'!M334="","",'Cálculo MP'!M334)</f>
        <v/>
      </c>
      <c r="BB324" s="60" t="str">
        <f>IF('Cálculo MP'!N334="","",'Cálculo MP'!N334)</f>
        <v/>
      </c>
      <c r="BC324" s="60" t="str">
        <f>IF('Cálculo MP'!O334="","",'Cálculo MP'!O334)</f>
        <v/>
      </c>
      <c r="BD324" s="60" t="str">
        <f>IF('Cálculo MP'!P334="","",'Cálculo MP'!P334)</f>
        <v/>
      </c>
      <c r="BE324" s="60" t="str">
        <f>IF('Cálculo MP'!Q334="","",'Cálculo MP'!Q334)</f>
        <v/>
      </c>
      <c r="BF324" s="60" t="str">
        <f>IF('Cálculo MP'!R334="","",'Cálculo MP'!R334)</f>
        <v/>
      </c>
      <c r="BG324" s="60" t="str">
        <f>IF('Cálculo MP'!S334="","",'Cálculo MP'!S334)</f>
        <v/>
      </c>
      <c r="BH324" s="59"/>
      <c r="BI324" s="59"/>
      <c r="BJ324" s="59"/>
      <c r="BK324" s="59"/>
      <c r="BL324" s="59"/>
      <c r="BM324" s="59"/>
      <c r="BN324" s="59"/>
      <c r="BO324" s="59"/>
    </row>
    <row r="325" spans="1:67" ht="19.5" customHeight="1" x14ac:dyDescent="0.15">
      <c r="A325" s="123" t="s">
        <v>1856</v>
      </c>
      <c r="B325" s="122" t="s">
        <v>1854</v>
      </c>
      <c r="C325" s="49"/>
      <c r="D325" s="48" t="s">
        <v>73</v>
      </c>
      <c r="E325" s="49"/>
      <c r="F325" s="50"/>
      <c r="G325" s="62"/>
      <c r="H325" s="48" t="s">
        <v>72</v>
      </c>
      <c r="I325" s="52">
        <v>1</v>
      </c>
      <c r="J325" s="52"/>
      <c r="K325" s="52" t="s">
        <v>73</v>
      </c>
      <c r="L325" s="52" t="s">
        <v>74</v>
      </c>
      <c r="M325" s="53" t="s">
        <v>942</v>
      </c>
      <c r="N325" s="58" t="s">
        <v>73</v>
      </c>
      <c r="O325" s="48" t="s">
        <v>72</v>
      </c>
      <c r="P325" s="48" t="s">
        <v>73</v>
      </c>
      <c r="Q325" s="54" t="s">
        <v>73</v>
      </c>
      <c r="R325" s="55" t="s">
        <v>73</v>
      </c>
      <c r="S325" s="48" t="s">
        <v>73</v>
      </c>
      <c r="T325" s="130"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8" t="str" cm="1">
        <f t="array" ref="U325">IF(SUMPRODUCT(--((CAT_Procesos!$E$2:$E$1581=O325)*(CAT_Procesos!$F$2:$F$1581=_xlfn.TEXTJOIN(" + ",TRUE,IF((TRIM(P325:S325)="")+(LOWER(TRIM(P325:S325))="(seleccione)"),"",PROPER(TRIM(P325:S325)))))*(CAT_Procesos!$D$2:$D$1581=IFERROR(VLOOKUP(N325&amp;"*",CAT_Procesos!$D:$D,1,FALSE),""))))=0,"Combinación no existente",IF(SUMPRODUCT(((CAT_Procesos!$E$2:$E$1581=O325)*(CAT_Procesos!$F$2:$F$1581=_xlfn.TEXTJOIN(" + ",TRUE,IF((TRIM(P325:S325)="")+(LOWER(TRIM(P325:S325))="(seleccione)"),"",PROPER(TRIM(P325:S325)))))*(CAT_Procesos!$D$2:$D$1581=IFERROR(VLOOKUP(N325&amp;"*",CAT_Procesos!$D:$D,1,FALSE),"")))*(CAT_Procesos!$G$2:$G$1581=INDEX(CAT_Procesos!$G$2:$G$1581,MATCH(1,(CAT_Procesos!$E$2:$E$1581=O325)*(CAT_Procesos!$F$2:$F$1581=_xlfn.TEXTJOIN(" + ",TRUE,IF((TRIM(P325:S325)="")+(LOWER(TRIM(P325:S325))="(seleccione)"),"",PROPER(TRIM(P325:S325)))))*(CAT_Procesos!$D$2:$D$1581=IFERROR(VLOOKUP(N325&amp;"*",CAT_Procesos!$D:$D,1,FALSE),"")),0))))=SUMPRODUCT(--((CAT_Procesos!$E$2:$E$1581=O325)*(CAT_Procesos!$F$2:$F$1581=_xlfn.TEXTJOIN(" + ",TRUE,IF((TRIM(P325:S325)="")+(LOWER(TRIM(P325:S325))="(seleccione)"),"",PROPER(TRIM(P325:S325)))))*(CAT_Procesos!$D$2:$D$1581=IFERROR(VLOOKUP(N325&amp;"*",CAT_Procesos!$D:$D,1,FALSE),"")))),INDEX(CAT_Procesos!$G$2:$G$1581,MATCH(1,(CAT_Procesos!$E$2:$E$1581=O325)*(CAT_Procesos!$F$2:$F$1581=_xlfn.TEXTJOIN(" + ",TRUE,IF((TRIM(P325:S325)="")+(LOWER(TRIM(P325:S325))="(seleccione)"),"",PROPER(TRIM(P325:S325)))))*(CAT_Procesos!$D$2:$D$1581=IFERROR(VLOOKUP(N325&amp;"*",CAT_Procesos!$D:$D,1,FALSE),"")),0)),"(seleccione)"))</f>
        <v>Combinación no existente</v>
      </c>
      <c r="V325" s="55" t="s">
        <v>73</v>
      </c>
      <c r="W325" s="56" t="s">
        <v>73</v>
      </c>
      <c r="X325" s="57" t="str">
        <f t="shared" si="16"/>
        <v/>
      </c>
      <c r="Y325" s="58" t="s">
        <v>73</v>
      </c>
      <c r="Z325" s="57" t="str">
        <f t="shared" si="17"/>
        <v/>
      </c>
      <c r="AA325" s="58" t="s">
        <v>73</v>
      </c>
      <c r="AB325" s="57" t="str">
        <f t="shared" si="18"/>
        <v/>
      </c>
      <c r="AC325" s="58" t="s">
        <v>73</v>
      </c>
      <c r="AD325" s="57" t="str">
        <f t="shared" si="19"/>
        <v/>
      </c>
      <c r="AE325" s="59"/>
      <c r="AF325" s="59"/>
      <c r="AG325" s="59"/>
      <c r="AH325" s="59"/>
      <c r="AI325" s="59" t="s">
        <v>73</v>
      </c>
      <c r="AJ325" s="59"/>
      <c r="AK325" s="59" t="s">
        <v>73</v>
      </c>
      <c r="AL325" s="59"/>
      <c r="AM325" s="59" t="s">
        <v>73</v>
      </c>
      <c r="AN325" s="59"/>
      <c r="AO325" s="59" t="s">
        <v>73</v>
      </c>
      <c r="AP325" s="59"/>
      <c r="AQ325" s="59" t="s">
        <v>73</v>
      </c>
      <c r="AR325" s="59"/>
      <c r="AS325" s="59" t="s">
        <v>72</v>
      </c>
      <c r="AT325" s="59"/>
      <c r="AU325" s="59"/>
      <c r="AV325" s="59"/>
      <c r="AW325" s="59"/>
      <c r="AX325" s="59"/>
      <c r="AY325" s="60" t="str">
        <f>IF('Cálculo MP'!K335="","",'Cálculo MP'!K335)</f>
        <v/>
      </c>
      <c r="AZ325" s="60" t="str">
        <f>IF('Cálculo MP'!L335="","",'Cálculo MP'!L335)</f>
        <v/>
      </c>
      <c r="BA325" s="60" t="str">
        <f>IF('Cálculo MP'!M335="","",'Cálculo MP'!M335)</f>
        <v/>
      </c>
      <c r="BB325" s="60" t="str">
        <f>IF('Cálculo MP'!N335="","",'Cálculo MP'!N335)</f>
        <v/>
      </c>
      <c r="BC325" s="60" t="str">
        <f>IF('Cálculo MP'!O335="","",'Cálculo MP'!O335)</f>
        <v/>
      </c>
      <c r="BD325" s="60" t="str">
        <f>IF('Cálculo MP'!P335="","",'Cálculo MP'!P335)</f>
        <v/>
      </c>
      <c r="BE325" s="60" t="str">
        <f>IF('Cálculo MP'!Q335="","",'Cálculo MP'!Q335)</f>
        <v/>
      </c>
      <c r="BF325" s="60" t="str">
        <f>IF('Cálculo MP'!R335="","",'Cálculo MP'!R335)</f>
        <v/>
      </c>
      <c r="BG325" s="60" t="str">
        <f>IF('Cálculo MP'!S335="","",'Cálculo MP'!S335)</f>
        <v/>
      </c>
      <c r="BH325" s="59"/>
      <c r="BI325" s="59"/>
      <c r="BJ325" s="59"/>
      <c r="BK325" s="59"/>
      <c r="BL325" s="59"/>
      <c r="BM325" s="59"/>
      <c r="BN325" s="59"/>
      <c r="BO325" s="59"/>
    </row>
    <row r="326" spans="1:67" ht="19.5" customHeight="1" x14ac:dyDescent="0.15">
      <c r="A326" s="123" t="s">
        <v>1856</v>
      </c>
      <c r="B326" s="122" t="s">
        <v>1854</v>
      </c>
      <c r="C326" s="49"/>
      <c r="D326" s="48" t="s">
        <v>73</v>
      </c>
      <c r="E326" s="49"/>
      <c r="F326" s="50"/>
      <c r="G326" s="62"/>
      <c r="H326" s="48" t="s">
        <v>72</v>
      </c>
      <c r="I326" s="52">
        <v>1</v>
      </c>
      <c r="J326" s="52"/>
      <c r="K326" s="52" t="s">
        <v>73</v>
      </c>
      <c r="L326" s="52" t="s">
        <v>74</v>
      </c>
      <c r="M326" s="53" t="s">
        <v>942</v>
      </c>
      <c r="N326" s="58" t="s">
        <v>73</v>
      </c>
      <c r="O326" s="48" t="s">
        <v>72</v>
      </c>
      <c r="P326" s="48" t="s">
        <v>73</v>
      </c>
      <c r="Q326" s="54" t="s">
        <v>73</v>
      </c>
      <c r="R326" s="55" t="s">
        <v>73</v>
      </c>
      <c r="S326" s="48" t="s">
        <v>73</v>
      </c>
      <c r="T326" s="130"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8" t="str" cm="1">
        <f t="array" ref="U326">IF(SUMPRODUCT(--((CAT_Procesos!$E$2:$E$1581=O326)*(CAT_Procesos!$F$2:$F$1581=_xlfn.TEXTJOIN(" + ",TRUE,IF((TRIM(P326:S326)="")+(LOWER(TRIM(P326:S326))="(seleccione)"),"",PROPER(TRIM(P326:S326)))))*(CAT_Procesos!$D$2:$D$1581=IFERROR(VLOOKUP(N326&amp;"*",CAT_Procesos!$D:$D,1,FALSE),""))))=0,"Combinación no existente",IF(SUMPRODUCT(((CAT_Procesos!$E$2:$E$1581=O326)*(CAT_Procesos!$F$2:$F$1581=_xlfn.TEXTJOIN(" + ",TRUE,IF((TRIM(P326:S326)="")+(LOWER(TRIM(P326:S326))="(seleccione)"),"",PROPER(TRIM(P326:S326)))))*(CAT_Procesos!$D$2:$D$1581=IFERROR(VLOOKUP(N326&amp;"*",CAT_Procesos!$D:$D,1,FALSE),"")))*(CAT_Procesos!$G$2:$G$1581=INDEX(CAT_Procesos!$G$2:$G$1581,MATCH(1,(CAT_Procesos!$E$2:$E$1581=O326)*(CAT_Procesos!$F$2:$F$1581=_xlfn.TEXTJOIN(" + ",TRUE,IF((TRIM(P326:S326)="")+(LOWER(TRIM(P326:S326))="(seleccione)"),"",PROPER(TRIM(P326:S326)))))*(CAT_Procesos!$D$2:$D$1581=IFERROR(VLOOKUP(N326&amp;"*",CAT_Procesos!$D:$D,1,FALSE),"")),0))))=SUMPRODUCT(--((CAT_Procesos!$E$2:$E$1581=O326)*(CAT_Procesos!$F$2:$F$1581=_xlfn.TEXTJOIN(" + ",TRUE,IF((TRIM(P326:S326)="")+(LOWER(TRIM(P326:S326))="(seleccione)"),"",PROPER(TRIM(P326:S326)))))*(CAT_Procesos!$D$2:$D$1581=IFERROR(VLOOKUP(N326&amp;"*",CAT_Procesos!$D:$D,1,FALSE),"")))),INDEX(CAT_Procesos!$G$2:$G$1581,MATCH(1,(CAT_Procesos!$E$2:$E$1581=O326)*(CAT_Procesos!$F$2:$F$1581=_xlfn.TEXTJOIN(" + ",TRUE,IF((TRIM(P326:S326)="")+(LOWER(TRIM(P326:S326))="(seleccione)"),"",PROPER(TRIM(P326:S326)))))*(CAT_Procesos!$D$2:$D$1581=IFERROR(VLOOKUP(N326&amp;"*",CAT_Procesos!$D:$D,1,FALSE),"")),0)),"(seleccione)"))</f>
        <v>Combinación no existente</v>
      </c>
      <c r="V326" s="55" t="s">
        <v>73</v>
      </c>
      <c r="W326" s="56" t="s">
        <v>73</v>
      </c>
      <c r="X326" s="57" t="str">
        <f t="shared" si="16"/>
        <v/>
      </c>
      <c r="Y326" s="58" t="s">
        <v>73</v>
      </c>
      <c r="Z326" s="57" t="str">
        <f t="shared" si="17"/>
        <v/>
      </c>
      <c r="AA326" s="58" t="s">
        <v>73</v>
      </c>
      <c r="AB326" s="57" t="str">
        <f t="shared" si="18"/>
        <v/>
      </c>
      <c r="AC326" s="58" t="s">
        <v>73</v>
      </c>
      <c r="AD326" s="57" t="str">
        <f t="shared" si="19"/>
        <v/>
      </c>
      <c r="AE326" s="59"/>
      <c r="AF326" s="59"/>
      <c r="AG326" s="59"/>
      <c r="AH326" s="59"/>
      <c r="AI326" s="59" t="s">
        <v>73</v>
      </c>
      <c r="AJ326" s="59"/>
      <c r="AK326" s="59" t="s">
        <v>73</v>
      </c>
      <c r="AL326" s="59"/>
      <c r="AM326" s="59" t="s">
        <v>73</v>
      </c>
      <c r="AN326" s="59"/>
      <c r="AO326" s="59" t="s">
        <v>73</v>
      </c>
      <c r="AP326" s="59"/>
      <c r="AQ326" s="59" t="s">
        <v>73</v>
      </c>
      <c r="AR326" s="59"/>
      <c r="AS326" s="59" t="s">
        <v>72</v>
      </c>
      <c r="AT326" s="59"/>
      <c r="AU326" s="59"/>
      <c r="AV326" s="59"/>
      <c r="AW326" s="59"/>
      <c r="AX326" s="59"/>
      <c r="AY326" s="60" t="str">
        <f>IF('Cálculo MP'!K336="","",'Cálculo MP'!K336)</f>
        <v/>
      </c>
      <c r="AZ326" s="60" t="str">
        <f>IF('Cálculo MP'!L336="","",'Cálculo MP'!L336)</f>
        <v/>
      </c>
      <c r="BA326" s="60" t="str">
        <f>IF('Cálculo MP'!M336="","",'Cálculo MP'!M336)</f>
        <v/>
      </c>
      <c r="BB326" s="60" t="str">
        <f>IF('Cálculo MP'!N336="","",'Cálculo MP'!N336)</f>
        <v/>
      </c>
      <c r="BC326" s="60" t="str">
        <f>IF('Cálculo MP'!O336="","",'Cálculo MP'!O336)</f>
        <v/>
      </c>
      <c r="BD326" s="60" t="str">
        <f>IF('Cálculo MP'!P336="","",'Cálculo MP'!P336)</f>
        <v/>
      </c>
      <c r="BE326" s="60" t="str">
        <f>IF('Cálculo MP'!Q336="","",'Cálculo MP'!Q336)</f>
        <v/>
      </c>
      <c r="BF326" s="60" t="str">
        <f>IF('Cálculo MP'!R336="","",'Cálculo MP'!R336)</f>
        <v/>
      </c>
      <c r="BG326" s="60" t="str">
        <f>IF('Cálculo MP'!S336="","",'Cálculo MP'!S336)</f>
        <v/>
      </c>
      <c r="BH326" s="59"/>
      <c r="BI326" s="59"/>
      <c r="BJ326" s="59"/>
      <c r="BK326" s="59"/>
      <c r="BL326" s="59"/>
      <c r="BM326" s="59"/>
      <c r="BN326" s="59"/>
      <c r="BO326" s="59"/>
    </row>
    <row r="327" spans="1:67" ht="19.5" customHeight="1" x14ac:dyDescent="0.15">
      <c r="A327" s="123" t="s">
        <v>1856</v>
      </c>
      <c r="B327" s="122" t="s">
        <v>1854</v>
      </c>
      <c r="C327" s="49"/>
      <c r="D327" s="48" t="s">
        <v>73</v>
      </c>
      <c r="E327" s="49"/>
      <c r="F327" s="50"/>
      <c r="G327" s="62"/>
      <c r="H327" s="48" t="s">
        <v>72</v>
      </c>
      <c r="I327" s="52">
        <v>1</v>
      </c>
      <c r="J327" s="52"/>
      <c r="K327" s="52" t="s">
        <v>73</v>
      </c>
      <c r="L327" s="52" t="s">
        <v>74</v>
      </c>
      <c r="M327" s="53" t="s">
        <v>942</v>
      </c>
      <c r="N327" s="58" t="s">
        <v>73</v>
      </c>
      <c r="O327" s="48" t="s">
        <v>72</v>
      </c>
      <c r="P327" s="48" t="s">
        <v>73</v>
      </c>
      <c r="Q327" s="54" t="s">
        <v>73</v>
      </c>
      <c r="R327" s="55" t="s">
        <v>73</v>
      </c>
      <c r="S327" s="48" t="s">
        <v>73</v>
      </c>
      <c r="T327" s="130"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8" t="str" cm="1">
        <f t="array" ref="U327">IF(SUMPRODUCT(--((CAT_Procesos!$E$2:$E$1581=O327)*(CAT_Procesos!$F$2:$F$1581=_xlfn.TEXTJOIN(" + ",TRUE,IF((TRIM(P327:S327)="")+(LOWER(TRIM(P327:S327))="(seleccione)"),"",PROPER(TRIM(P327:S327)))))*(CAT_Procesos!$D$2:$D$1581=IFERROR(VLOOKUP(N327&amp;"*",CAT_Procesos!$D:$D,1,FALSE),""))))=0,"Combinación no existente",IF(SUMPRODUCT(((CAT_Procesos!$E$2:$E$1581=O327)*(CAT_Procesos!$F$2:$F$1581=_xlfn.TEXTJOIN(" + ",TRUE,IF((TRIM(P327:S327)="")+(LOWER(TRIM(P327:S327))="(seleccione)"),"",PROPER(TRIM(P327:S327)))))*(CAT_Procesos!$D$2:$D$1581=IFERROR(VLOOKUP(N327&amp;"*",CAT_Procesos!$D:$D,1,FALSE),"")))*(CAT_Procesos!$G$2:$G$1581=INDEX(CAT_Procesos!$G$2:$G$1581,MATCH(1,(CAT_Procesos!$E$2:$E$1581=O327)*(CAT_Procesos!$F$2:$F$1581=_xlfn.TEXTJOIN(" + ",TRUE,IF((TRIM(P327:S327)="")+(LOWER(TRIM(P327:S327))="(seleccione)"),"",PROPER(TRIM(P327:S327)))))*(CAT_Procesos!$D$2:$D$1581=IFERROR(VLOOKUP(N327&amp;"*",CAT_Procesos!$D:$D,1,FALSE),"")),0))))=SUMPRODUCT(--((CAT_Procesos!$E$2:$E$1581=O327)*(CAT_Procesos!$F$2:$F$1581=_xlfn.TEXTJOIN(" + ",TRUE,IF((TRIM(P327:S327)="")+(LOWER(TRIM(P327:S327))="(seleccione)"),"",PROPER(TRIM(P327:S327)))))*(CAT_Procesos!$D$2:$D$1581=IFERROR(VLOOKUP(N327&amp;"*",CAT_Procesos!$D:$D,1,FALSE),"")))),INDEX(CAT_Procesos!$G$2:$G$1581,MATCH(1,(CAT_Procesos!$E$2:$E$1581=O327)*(CAT_Procesos!$F$2:$F$1581=_xlfn.TEXTJOIN(" + ",TRUE,IF((TRIM(P327:S327)="")+(LOWER(TRIM(P327:S327))="(seleccione)"),"",PROPER(TRIM(P327:S327)))))*(CAT_Procesos!$D$2:$D$1581=IFERROR(VLOOKUP(N327&amp;"*",CAT_Procesos!$D:$D,1,FALSE),"")),0)),"(seleccione)"))</f>
        <v>Combinación no existente</v>
      </c>
      <c r="V327" s="55" t="s">
        <v>73</v>
      </c>
      <c r="W327" s="56" t="s">
        <v>73</v>
      </c>
      <c r="X327" s="57" t="str">
        <f t="shared" si="16"/>
        <v/>
      </c>
      <c r="Y327" s="58" t="s">
        <v>73</v>
      </c>
      <c r="Z327" s="57" t="str">
        <f t="shared" si="17"/>
        <v/>
      </c>
      <c r="AA327" s="58" t="s">
        <v>73</v>
      </c>
      <c r="AB327" s="57" t="str">
        <f t="shared" si="18"/>
        <v/>
      </c>
      <c r="AC327" s="58" t="s">
        <v>73</v>
      </c>
      <c r="AD327" s="57" t="str">
        <f t="shared" si="19"/>
        <v/>
      </c>
      <c r="AE327" s="59"/>
      <c r="AF327" s="59"/>
      <c r="AG327" s="59"/>
      <c r="AH327" s="59"/>
      <c r="AI327" s="59" t="s">
        <v>73</v>
      </c>
      <c r="AJ327" s="59"/>
      <c r="AK327" s="59" t="s">
        <v>73</v>
      </c>
      <c r="AL327" s="59"/>
      <c r="AM327" s="59" t="s">
        <v>73</v>
      </c>
      <c r="AN327" s="59"/>
      <c r="AO327" s="59" t="s">
        <v>73</v>
      </c>
      <c r="AP327" s="59"/>
      <c r="AQ327" s="59" t="s">
        <v>73</v>
      </c>
      <c r="AR327" s="59"/>
      <c r="AS327" s="59" t="s">
        <v>72</v>
      </c>
      <c r="AT327" s="59"/>
      <c r="AU327" s="59"/>
      <c r="AV327" s="59"/>
      <c r="AW327" s="59"/>
      <c r="AX327" s="59"/>
      <c r="AY327" s="60" t="str">
        <f>IF('Cálculo MP'!K337="","",'Cálculo MP'!K337)</f>
        <v/>
      </c>
      <c r="AZ327" s="60" t="str">
        <f>IF('Cálculo MP'!L337="","",'Cálculo MP'!L337)</f>
        <v/>
      </c>
      <c r="BA327" s="60" t="str">
        <f>IF('Cálculo MP'!M337="","",'Cálculo MP'!M337)</f>
        <v/>
      </c>
      <c r="BB327" s="60" t="str">
        <f>IF('Cálculo MP'!N337="","",'Cálculo MP'!N337)</f>
        <v/>
      </c>
      <c r="BC327" s="60" t="str">
        <f>IF('Cálculo MP'!O337="","",'Cálculo MP'!O337)</f>
        <v/>
      </c>
      <c r="BD327" s="60" t="str">
        <f>IF('Cálculo MP'!P337="","",'Cálculo MP'!P337)</f>
        <v/>
      </c>
      <c r="BE327" s="60" t="str">
        <f>IF('Cálculo MP'!Q337="","",'Cálculo MP'!Q337)</f>
        <v/>
      </c>
      <c r="BF327" s="60" t="str">
        <f>IF('Cálculo MP'!R337="","",'Cálculo MP'!R337)</f>
        <v/>
      </c>
      <c r="BG327" s="60" t="str">
        <f>IF('Cálculo MP'!S337="","",'Cálculo MP'!S337)</f>
        <v/>
      </c>
      <c r="BH327" s="59"/>
      <c r="BI327" s="59"/>
      <c r="BJ327" s="59"/>
      <c r="BK327" s="59"/>
      <c r="BL327" s="59"/>
      <c r="BM327" s="59"/>
      <c r="BN327" s="59"/>
      <c r="BO327" s="59"/>
    </row>
    <row r="328" spans="1:67" ht="19.5" customHeight="1" x14ac:dyDescent="0.15">
      <c r="A328" s="123" t="s">
        <v>1856</v>
      </c>
      <c r="B328" s="122" t="s">
        <v>1854</v>
      </c>
      <c r="C328" s="49"/>
      <c r="D328" s="48" t="s">
        <v>73</v>
      </c>
      <c r="E328" s="49"/>
      <c r="F328" s="50"/>
      <c r="G328" s="62"/>
      <c r="H328" s="48" t="s">
        <v>72</v>
      </c>
      <c r="I328" s="52">
        <v>1</v>
      </c>
      <c r="J328" s="52"/>
      <c r="K328" s="52" t="s">
        <v>73</v>
      </c>
      <c r="L328" s="52" t="s">
        <v>74</v>
      </c>
      <c r="M328" s="53" t="s">
        <v>942</v>
      </c>
      <c r="N328" s="58" t="s">
        <v>73</v>
      </c>
      <c r="O328" s="48" t="s">
        <v>72</v>
      </c>
      <c r="P328" s="48" t="s">
        <v>73</v>
      </c>
      <c r="Q328" s="54" t="s">
        <v>73</v>
      </c>
      <c r="R328" s="55" t="s">
        <v>73</v>
      </c>
      <c r="S328" s="48" t="s">
        <v>73</v>
      </c>
      <c r="T328" s="130"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8" t="str" cm="1">
        <f t="array" ref="U328">IF(SUMPRODUCT(--((CAT_Procesos!$E$2:$E$1581=O328)*(CAT_Procesos!$F$2:$F$1581=_xlfn.TEXTJOIN(" + ",TRUE,IF((TRIM(P328:S328)="")+(LOWER(TRIM(P328:S328))="(seleccione)"),"",PROPER(TRIM(P328:S328)))))*(CAT_Procesos!$D$2:$D$1581=IFERROR(VLOOKUP(N328&amp;"*",CAT_Procesos!$D:$D,1,FALSE),""))))=0,"Combinación no existente",IF(SUMPRODUCT(((CAT_Procesos!$E$2:$E$1581=O328)*(CAT_Procesos!$F$2:$F$1581=_xlfn.TEXTJOIN(" + ",TRUE,IF((TRIM(P328:S328)="")+(LOWER(TRIM(P328:S328))="(seleccione)"),"",PROPER(TRIM(P328:S328)))))*(CAT_Procesos!$D$2:$D$1581=IFERROR(VLOOKUP(N328&amp;"*",CAT_Procesos!$D:$D,1,FALSE),"")))*(CAT_Procesos!$G$2:$G$1581=INDEX(CAT_Procesos!$G$2:$G$1581,MATCH(1,(CAT_Procesos!$E$2:$E$1581=O328)*(CAT_Procesos!$F$2:$F$1581=_xlfn.TEXTJOIN(" + ",TRUE,IF((TRIM(P328:S328)="")+(LOWER(TRIM(P328:S328))="(seleccione)"),"",PROPER(TRIM(P328:S328)))))*(CAT_Procesos!$D$2:$D$1581=IFERROR(VLOOKUP(N328&amp;"*",CAT_Procesos!$D:$D,1,FALSE),"")),0))))=SUMPRODUCT(--((CAT_Procesos!$E$2:$E$1581=O328)*(CAT_Procesos!$F$2:$F$1581=_xlfn.TEXTJOIN(" + ",TRUE,IF((TRIM(P328:S328)="")+(LOWER(TRIM(P328:S328))="(seleccione)"),"",PROPER(TRIM(P328:S328)))))*(CAT_Procesos!$D$2:$D$1581=IFERROR(VLOOKUP(N328&amp;"*",CAT_Procesos!$D:$D,1,FALSE),"")))),INDEX(CAT_Procesos!$G$2:$G$1581,MATCH(1,(CAT_Procesos!$E$2:$E$1581=O328)*(CAT_Procesos!$F$2:$F$1581=_xlfn.TEXTJOIN(" + ",TRUE,IF((TRIM(P328:S328)="")+(LOWER(TRIM(P328:S328))="(seleccione)"),"",PROPER(TRIM(P328:S328)))))*(CAT_Procesos!$D$2:$D$1581=IFERROR(VLOOKUP(N328&amp;"*",CAT_Procesos!$D:$D,1,FALSE),"")),0)),"(seleccione)"))</f>
        <v>Combinación no existente</v>
      </c>
      <c r="V328" s="55" t="s">
        <v>73</v>
      </c>
      <c r="W328" s="56" t="s">
        <v>73</v>
      </c>
      <c r="X328" s="57" t="str">
        <f t="shared" si="16"/>
        <v/>
      </c>
      <c r="Y328" s="58" t="s">
        <v>73</v>
      </c>
      <c r="Z328" s="57" t="str">
        <f t="shared" si="17"/>
        <v/>
      </c>
      <c r="AA328" s="58" t="s">
        <v>73</v>
      </c>
      <c r="AB328" s="57" t="str">
        <f t="shared" si="18"/>
        <v/>
      </c>
      <c r="AC328" s="58" t="s">
        <v>73</v>
      </c>
      <c r="AD328" s="57" t="str">
        <f t="shared" si="19"/>
        <v/>
      </c>
      <c r="AE328" s="59"/>
      <c r="AF328" s="59"/>
      <c r="AG328" s="59"/>
      <c r="AH328" s="59"/>
      <c r="AI328" s="59" t="s">
        <v>73</v>
      </c>
      <c r="AJ328" s="59"/>
      <c r="AK328" s="59" t="s">
        <v>73</v>
      </c>
      <c r="AL328" s="59"/>
      <c r="AM328" s="59" t="s">
        <v>73</v>
      </c>
      <c r="AN328" s="59"/>
      <c r="AO328" s="59" t="s">
        <v>73</v>
      </c>
      <c r="AP328" s="59"/>
      <c r="AQ328" s="59" t="s">
        <v>73</v>
      </c>
      <c r="AR328" s="59"/>
      <c r="AS328" s="59" t="s">
        <v>72</v>
      </c>
      <c r="AT328" s="59"/>
      <c r="AU328" s="59"/>
      <c r="AV328" s="59"/>
      <c r="AW328" s="59"/>
      <c r="AX328" s="59"/>
      <c r="AY328" s="60" t="str">
        <f>IF('Cálculo MP'!K338="","",'Cálculo MP'!K338)</f>
        <v/>
      </c>
      <c r="AZ328" s="60" t="str">
        <f>IF('Cálculo MP'!L338="","",'Cálculo MP'!L338)</f>
        <v/>
      </c>
      <c r="BA328" s="60" t="str">
        <f>IF('Cálculo MP'!M338="","",'Cálculo MP'!M338)</f>
        <v/>
      </c>
      <c r="BB328" s="60" t="str">
        <f>IF('Cálculo MP'!N338="","",'Cálculo MP'!N338)</f>
        <v/>
      </c>
      <c r="BC328" s="60" t="str">
        <f>IF('Cálculo MP'!O338="","",'Cálculo MP'!O338)</f>
        <v/>
      </c>
      <c r="BD328" s="60" t="str">
        <f>IF('Cálculo MP'!P338="","",'Cálculo MP'!P338)</f>
        <v/>
      </c>
      <c r="BE328" s="60" t="str">
        <f>IF('Cálculo MP'!Q338="","",'Cálculo MP'!Q338)</f>
        <v/>
      </c>
      <c r="BF328" s="60" t="str">
        <f>IF('Cálculo MP'!R338="","",'Cálculo MP'!R338)</f>
        <v/>
      </c>
      <c r="BG328" s="60" t="str">
        <f>IF('Cálculo MP'!S338="","",'Cálculo MP'!S338)</f>
        <v/>
      </c>
      <c r="BH328" s="59"/>
      <c r="BI328" s="59"/>
      <c r="BJ328" s="59"/>
      <c r="BK328" s="59"/>
      <c r="BL328" s="59"/>
      <c r="BM328" s="59"/>
      <c r="BN328" s="59"/>
      <c r="BO328" s="59"/>
    </row>
    <row r="329" spans="1:67" ht="19.5" customHeight="1" x14ac:dyDescent="0.15">
      <c r="A329" s="123" t="s">
        <v>1856</v>
      </c>
      <c r="B329" s="122" t="s">
        <v>1854</v>
      </c>
      <c r="C329" s="49"/>
      <c r="D329" s="48" t="s">
        <v>73</v>
      </c>
      <c r="E329" s="49"/>
      <c r="F329" s="50"/>
      <c r="G329" s="62"/>
      <c r="H329" s="48" t="s">
        <v>72</v>
      </c>
      <c r="I329" s="52">
        <v>1</v>
      </c>
      <c r="J329" s="52"/>
      <c r="K329" s="52" t="s">
        <v>73</v>
      </c>
      <c r="L329" s="52" t="s">
        <v>74</v>
      </c>
      <c r="M329" s="53" t="s">
        <v>942</v>
      </c>
      <c r="N329" s="58" t="s">
        <v>73</v>
      </c>
      <c r="O329" s="48" t="s">
        <v>72</v>
      </c>
      <c r="P329" s="48" t="s">
        <v>73</v>
      </c>
      <c r="Q329" s="54" t="s">
        <v>73</v>
      </c>
      <c r="R329" s="55" t="s">
        <v>73</v>
      </c>
      <c r="S329" s="48" t="s">
        <v>73</v>
      </c>
      <c r="T329" s="130"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8" t="str" cm="1">
        <f t="array" ref="U329">IF(SUMPRODUCT(--((CAT_Procesos!$E$2:$E$1581=O329)*(CAT_Procesos!$F$2:$F$1581=_xlfn.TEXTJOIN(" + ",TRUE,IF((TRIM(P329:S329)="")+(LOWER(TRIM(P329:S329))="(seleccione)"),"",PROPER(TRIM(P329:S329)))))*(CAT_Procesos!$D$2:$D$1581=IFERROR(VLOOKUP(N329&amp;"*",CAT_Procesos!$D:$D,1,FALSE),""))))=0,"Combinación no existente",IF(SUMPRODUCT(((CAT_Procesos!$E$2:$E$1581=O329)*(CAT_Procesos!$F$2:$F$1581=_xlfn.TEXTJOIN(" + ",TRUE,IF((TRIM(P329:S329)="")+(LOWER(TRIM(P329:S329))="(seleccione)"),"",PROPER(TRIM(P329:S329)))))*(CAT_Procesos!$D$2:$D$1581=IFERROR(VLOOKUP(N329&amp;"*",CAT_Procesos!$D:$D,1,FALSE),"")))*(CAT_Procesos!$G$2:$G$1581=INDEX(CAT_Procesos!$G$2:$G$1581,MATCH(1,(CAT_Procesos!$E$2:$E$1581=O329)*(CAT_Procesos!$F$2:$F$1581=_xlfn.TEXTJOIN(" + ",TRUE,IF((TRIM(P329:S329)="")+(LOWER(TRIM(P329:S329))="(seleccione)"),"",PROPER(TRIM(P329:S329)))))*(CAT_Procesos!$D$2:$D$1581=IFERROR(VLOOKUP(N329&amp;"*",CAT_Procesos!$D:$D,1,FALSE),"")),0))))=SUMPRODUCT(--((CAT_Procesos!$E$2:$E$1581=O329)*(CAT_Procesos!$F$2:$F$1581=_xlfn.TEXTJOIN(" + ",TRUE,IF((TRIM(P329:S329)="")+(LOWER(TRIM(P329:S329))="(seleccione)"),"",PROPER(TRIM(P329:S329)))))*(CAT_Procesos!$D$2:$D$1581=IFERROR(VLOOKUP(N329&amp;"*",CAT_Procesos!$D:$D,1,FALSE),"")))),INDEX(CAT_Procesos!$G$2:$G$1581,MATCH(1,(CAT_Procesos!$E$2:$E$1581=O329)*(CAT_Procesos!$F$2:$F$1581=_xlfn.TEXTJOIN(" + ",TRUE,IF((TRIM(P329:S329)="")+(LOWER(TRIM(P329:S329))="(seleccione)"),"",PROPER(TRIM(P329:S329)))))*(CAT_Procesos!$D$2:$D$1581=IFERROR(VLOOKUP(N329&amp;"*",CAT_Procesos!$D:$D,1,FALSE),"")),0)),"(seleccione)"))</f>
        <v>Combinación no existente</v>
      </c>
      <c r="V329" s="55" t="s">
        <v>73</v>
      </c>
      <c r="W329" s="56" t="s">
        <v>73</v>
      </c>
      <c r="X329" s="57" t="str">
        <f t="shared" ref="X329:X392" si="20">IFERROR(((VALUE(TRIM(LEFT(MID(W329,FIND("|",W329)+1,99),FIND("-",MID(W329,FIND("|",W329)+1,99))-1)))+VALUE(TRIM(SUBSTITUTE(SUBSTITUTE(SUBSTITUTE(SUBSTITUTE(SUBSTITUTE(MID(MID(W329,FIND("|",W329)+1,99),FIND("-",MID(W329,FIND("|",W329)+1,99))+1,20),"µm",""),"μm",""),"mils",""),"mil",""),"",""))))/2)*IF(ISNUMBER(SEARCH("mil",MID(W329,FIND("|",W329)+1,99))),25.4,1),"")</f>
        <v/>
      </c>
      <c r="Y329" s="58" t="s">
        <v>73</v>
      </c>
      <c r="Z329" s="57" t="str">
        <f t="shared" ref="Z329:Z392" si="21">IFERROR(((VALUE(TRIM(LEFT(MID(Y329,FIND("|",Y329)+1,99),FIND("-",MID(Y329,FIND("|",Y329)+1,99))-1)))+VALUE(TRIM(SUBSTITUTE(SUBSTITUTE(SUBSTITUTE(SUBSTITUTE(SUBSTITUTE(MID(MID(Y329,FIND("|",Y329)+1,99),FIND("-",MID(Y329,FIND("|",Y329)+1,99))+1,20),"µm",""),"μm",""),"mils",""),"mil",""),"",""))))/2)*IF(ISNUMBER(SEARCH("mil",MID(Y329,FIND("|",Y329)+1,99))),25.4,1),"")</f>
        <v/>
      </c>
      <c r="AA329" s="58" t="s">
        <v>73</v>
      </c>
      <c r="AB329" s="57"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8" t="s">
        <v>73</v>
      </c>
      <c r="AD329" s="57"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59"/>
      <c r="AF329" s="59"/>
      <c r="AG329" s="59"/>
      <c r="AH329" s="59"/>
      <c r="AI329" s="59" t="s">
        <v>73</v>
      </c>
      <c r="AJ329" s="59"/>
      <c r="AK329" s="59" t="s">
        <v>73</v>
      </c>
      <c r="AL329" s="59"/>
      <c r="AM329" s="59" t="s">
        <v>73</v>
      </c>
      <c r="AN329" s="59"/>
      <c r="AO329" s="59" t="s">
        <v>73</v>
      </c>
      <c r="AP329" s="59"/>
      <c r="AQ329" s="59" t="s">
        <v>73</v>
      </c>
      <c r="AR329" s="59"/>
      <c r="AS329" s="59" t="s">
        <v>72</v>
      </c>
      <c r="AT329" s="59"/>
      <c r="AU329" s="59"/>
      <c r="AV329" s="59"/>
      <c r="AW329" s="59"/>
      <c r="AX329" s="59"/>
      <c r="AY329" s="60" t="str">
        <f>IF('Cálculo MP'!K339="","",'Cálculo MP'!K339)</f>
        <v/>
      </c>
      <c r="AZ329" s="60" t="str">
        <f>IF('Cálculo MP'!L339="","",'Cálculo MP'!L339)</f>
        <v/>
      </c>
      <c r="BA329" s="60" t="str">
        <f>IF('Cálculo MP'!M339="","",'Cálculo MP'!M339)</f>
        <v/>
      </c>
      <c r="BB329" s="60" t="str">
        <f>IF('Cálculo MP'!N339="","",'Cálculo MP'!N339)</f>
        <v/>
      </c>
      <c r="BC329" s="60" t="str">
        <f>IF('Cálculo MP'!O339="","",'Cálculo MP'!O339)</f>
        <v/>
      </c>
      <c r="BD329" s="60" t="str">
        <f>IF('Cálculo MP'!P339="","",'Cálculo MP'!P339)</f>
        <v/>
      </c>
      <c r="BE329" s="60" t="str">
        <f>IF('Cálculo MP'!Q339="","",'Cálculo MP'!Q339)</f>
        <v/>
      </c>
      <c r="BF329" s="60" t="str">
        <f>IF('Cálculo MP'!R339="","",'Cálculo MP'!R339)</f>
        <v/>
      </c>
      <c r="BG329" s="60" t="str">
        <f>IF('Cálculo MP'!S339="","",'Cálculo MP'!S339)</f>
        <v/>
      </c>
      <c r="BH329" s="59"/>
      <c r="BI329" s="59"/>
      <c r="BJ329" s="59"/>
      <c r="BK329" s="59"/>
      <c r="BL329" s="59"/>
      <c r="BM329" s="59"/>
      <c r="BN329" s="59"/>
      <c r="BO329" s="59"/>
    </row>
    <row r="330" spans="1:67" ht="19.5" customHeight="1" x14ac:dyDescent="0.15">
      <c r="A330" s="123" t="s">
        <v>1856</v>
      </c>
      <c r="B330" s="122" t="s">
        <v>1854</v>
      </c>
      <c r="C330" s="49"/>
      <c r="D330" s="48" t="s">
        <v>73</v>
      </c>
      <c r="E330" s="49"/>
      <c r="F330" s="50"/>
      <c r="G330" s="62"/>
      <c r="H330" s="48" t="s">
        <v>72</v>
      </c>
      <c r="I330" s="52">
        <v>1</v>
      </c>
      <c r="J330" s="52"/>
      <c r="K330" s="52" t="s">
        <v>73</v>
      </c>
      <c r="L330" s="52" t="s">
        <v>74</v>
      </c>
      <c r="M330" s="53" t="s">
        <v>942</v>
      </c>
      <c r="N330" s="58" t="s">
        <v>73</v>
      </c>
      <c r="O330" s="48" t="s">
        <v>72</v>
      </c>
      <c r="P330" s="48" t="s">
        <v>73</v>
      </c>
      <c r="Q330" s="54" t="s">
        <v>73</v>
      </c>
      <c r="R330" s="55" t="s">
        <v>73</v>
      </c>
      <c r="S330" s="48" t="s">
        <v>73</v>
      </c>
      <c r="T330" s="130"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8" t="str" cm="1">
        <f t="array" ref="U330">IF(SUMPRODUCT(--((CAT_Procesos!$E$2:$E$1581=O330)*(CAT_Procesos!$F$2:$F$1581=_xlfn.TEXTJOIN(" + ",TRUE,IF((TRIM(P330:S330)="")+(LOWER(TRIM(P330:S330))="(seleccione)"),"",PROPER(TRIM(P330:S330)))))*(CAT_Procesos!$D$2:$D$1581=IFERROR(VLOOKUP(N330&amp;"*",CAT_Procesos!$D:$D,1,FALSE),""))))=0,"Combinación no existente",IF(SUMPRODUCT(((CAT_Procesos!$E$2:$E$1581=O330)*(CAT_Procesos!$F$2:$F$1581=_xlfn.TEXTJOIN(" + ",TRUE,IF((TRIM(P330:S330)="")+(LOWER(TRIM(P330:S330))="(seleccione)"),"",PROPER(TRIM(P330:S330)))))*(CAT_Procesos!$D$2:$D$1581=IFERROR(VLOOKUP(N330&amp;"*",CAT_Procesos!$D:$D,1,FALSE),"")))*(CAT_Procesos!$G$2:$G$1581=INDEX(CAT_Procesos!$G$2:$G$1581,MATCH(1,(CAT_Procesos!$E$2:$E$1581=O330)*(CAT_Procesos!$F$2:$F$1581=_xlfn.TEXTJOIN(" + ",TRUE,IF((TRIM(P330:S330)="")+(LOWER(TRIM(P330:S330))="(seleccione)"),"",PROPER(TRIM(P330:S330)))))*(CAT_Procesos!$D$2:$D$1581=IFERROR(VLOOKUP(N330&amp;"*",CAT_Procesos!$D:$D,1,FALSE),"")),0))))=SUMPRODUCT(--((CAT_Procesos!$E$2:$E$1581=O330)*(CAT_Procesos!$F$2:$F$1581=_xlfn.TEXTJOIN(" + ",TRUE,IF((TRIM(P330:S330)="")+(LOWER(TRIM(P330:S330))="(seleccione)"),"",PROPER(TRIM(P330:S330)))))*(CAT_Procesos!$D$2:$D$1581=IFERROR(VLOOKUP(N330&amp;"*",CAT_Procesos!$D:$D,1,FALSE),"")))),INDEX(CAT_Procesos!$G$2:$G$1581,MATCH(1,(CAT_Procesos!$E$2:$E$1581=O330)*(CAT_Procesos!$F$2:$F$1581=_xlfn.TEXTJOIN(" + ",TRUE,IF((TRIM(P330:S330)="")+(LOWER(TRIM(P330:S330))="(seleccione)"),"",PROPER(TRIM(P330:S330)))))*(CAT_Procesos!$D$2:$D$1581=IFERROR(VLOOKUP(N330&amp;"*",CAT_Procesos!$D:$D,1,FALSE),"")),0)),"(seleccione)"))</f>
        <v>Combinación no existente</v>
      </c>
      <c r="V330" s="55" t="s">
        <v>73</v>
      </c>
      <c r="W330" s="56" t="s">
        <v>73</v>
      </c>
      <c r="X330" s="57" t="str">
        <f t="shared" si="20"/>
        <v/>
      </c>
      <c r="Y330" s="58" t="s">
        <v>73</v>
      </c>
      <c r="Z330" s="57" t="str">
        <f t="shared" si="21"/>
        <v/>
      </c>
      <c r="AA330" s="58" t="s">
        <v>73</v>
      </c>
      <c r="AB330" s="57" t="str">
        <f t="shared" si="22"/>
        <v/>
      </c>
      <c r="AC330" s="58" t="s">
        <v>73</v>
      </c>
      <c r="AD330" s="57" t="str">
        <f t="shared" si="23"/>
        <v/>
      </c>
      <c r="AE330" s="59"/>
      <c r="AF330" s="59"/>
      <c r="AG330" s="59"/>
      <c r="AH330" s="59"/>
      <c r="AI330" s="59" t="s">
        <v>73</v>
      </c>
      <c r="AJ330" s="59"/>
      <c r="AK330" s="59" t="s">
        <v>73</v>
      </c>
      <c r="AL330" s="59"/>
      <c r="AM330" s="59" t="s">
        <v>73</v>
      </c>
      <c r="AN330" s="59"/>
      <c r="AO330" s="59" t="s">
        <v>73</v>
      </c>
      <c r="AP330" s="59"/>
      <c r="AQ330" s="59" t="s">
        <v>73</v>
      </c>
      <c r="AR330" s="59"/>
      <c r="AS330" s="59" t="s">
        <v>72</v>
      </c>
      <c r="AT330" s="59"/>
      <c r="AU330" s="59"/>
      <c r="AV330" s="59"/>
      <c r="AW330" s="59"/>
      <c r="AX330" s="59"/>
      <c r="AY330" s="60" t="str">
        <f>IF('Cálculo MP'!K340="","",'Cálculo MP'!K340)</f>
        <v/>
      </c>
      <c r="AZ330" s="60" t="str">
        <f>IF('Cálculo MP'!L340="","",'Cálculo MP'!L340)</f>
        <v/>
      </c>
      <c r="BA330" s="60" t="str">
        <f>IF('Cálculo MP'!M340="","",'Cálculo MP'!M340)</f>
        <v/>
      </c>
      <c r="BB330" s="60" t="str">
        <f>IF('Cálculo MP'!N340="","",'Cálculo MP'!N340)</f>
        <v/>
      </c>
      <c r="BC330" s="60" t="str">
        <f>IF('Cálculo MP'!O340="","",'Cálculo MP'!O340)</f>
        <v/>
      </c>
      <c r="BD330" s="60" t="str">
        <f>IF('Cálculo MP'!P340="","",'Cálculo MP'!P340)</f>
        <v/>
      </c>
      <c r="BE330" s="60" t="str">
        <f>IF('Cálculo MP'!Q340="","",'Cálculo MP'!Q340)</f>
        <v/>
      </c>
      <c r="BF330" s="60" t="str">
        <f>IF('Cálculo MP'!R340="","",'Cálculo MP'!R340)</f>
        <v/>
      </c>
      <c r="BG330" s="60" t="str">
        <f>IF('Cálculo MP'!S340="","",'Cálculo MP'!S340)</f>
        <v/>
      </c>
      <c r="BH330" s="59"/>
      <c r="BI330" s="59"/>
      <c r="BJ330" s="59"/>
      <c r="BK330" s="59"/>
      <c r="BL330" s="59"/>
      <c r="BM330" s="59"/>
      <c r="BN330" s="59"/>
      <c r="BO330" s="59"/>
    </row>
    <row r="331" spans="1:67" ht="19.5" customHeight="1" x14ac:dyDescent="0.15">
      <c r="A331" s="123" t="s">
        <v>1856</v>
      </c>
      <c r="B331" s="122" t="s">
        <v>1854</v>
      </c>
      <c r="C331" s="49"/>
      <c r="D331" s="48" t="s">
        <v>73</v>
      </c>
      <c r="E331" s="49"/>
      <c r="F331" s="50"/>
      <c r="G331" s="62"/>
      <c r="H331" s="48" t="s">
        <v>72</v>
      </c>
      <c r="I331" s="52">
        <v>1</v>
      </c>
      <c r="J331" s="52"/>
      <c r="K331" s="52" t="s">
        <v>73</v>
      </c>
      <c r="L331" s="52" t="s">
        <v>74</v>
      </c>
      <c r="M331" s="53" t="s">
        <v>942</v>
      </c>
      <c r="N331" s="58" t="s">
        <v>73</v>
      </c>
      <c r="O331" s="48" t="s">
        <v>72</v>
      </c>
      <c r="P331" s="48" t="s">
        <v>73</v>
      </c>
      <c r="Q331" s="54" t="s">
        <v>73</v>
      </c>
      <c r="R331" s="55" t="s">
        <v>73</v>
      </c>
      <c r="S331" s="48" t="s">
        <v>73</v>
      </c>
      <c r="T331" s="130"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8" t="str" cm="1">
        <f t="array" ref="U331">IF(SUMPRODUCT(--((CAT_Procesos!$E$2:$E$1581=O331)*(CAT_Procesos!$F$2:$F$1581=_xlfn.TEXTJOIN(" + ",TRUE,IF((TRIM(P331:S331)="")+(LOWER(TRIM(P331:S331))="(seleccione)"),"",PROPER(TRIM(P331:S331)))))*(CAT_Procesos!$D$2:$D$1581=IFERROR(VLOOKUP(N331&amp;"*",CAT_Procesos!$D:$D,1,FALSE),""))))=0,"Combinación no existente",IF(SUMPRODUCT(((CAT_Procesos!$E$2:$E$1581=O331)*(CAT_Procesos!$F$2:$F$1581=_xlfn.TEXTJOIN(" + ",TRUE,IF((TRIM(P331:S331)="")+(LOWER(TRIM(P331:S331))="(seleccione)"),"",PROPER(TRIM(P331:S331)))))*(CAT_Procesos!$D$2:$D$1581=IFERROR(VLOOKUP(N331&amp;"*",CAT_Procesos!$D:$D,1,FALSE),"")))*(CAT_Procesos!$G$2:$G$1581=INDEX(CAT_Procesos!$G$2:$G$1581,MATCH(1,(CAT_Procesos!$E$2:$E$1581=O331)*(CAT_Procesos!$F$2:$F$1581=_xlfn.TEXTJOIN(" + ",TRUE,IF((TRIM(P331:S331)="")+(LOWER(TRIM(P331:S331))="(seleccione)"),"",PROPER(TRIM(P331:S331)))))*(CAT_Procesos!$D$2:$D$1581=IFERROR(VLOOKUP(N331&amp;"*",CAT_Procesos!$D:$D,1,FALSE),"")),0))))=SUMPRODUCT(--((CAT_Procesos!$E$2:$E$1581=O331)*(CAT_Procesos!$F$2:$F$1581=_xlfn.TEXTJOIN(" + ",TRUE,IF((TRIM(P331:S331)="")+(LOWER(TRIM(P331:S331))="(seleccione)"),"",PROPER(TRIM(P331:S331)))))*(CAT_Procesos!$D$2:$D$1581=IFERROR(VLOOKUP(N331&amp;"*",CAT_Procesos!$D:$D,1,FALSE),"")))),INDEX(CAT_Procesos!$G$2:$G$1581,MATCH(1,(CAT_Procesos!$E$2:$E$1581=O331)*(CAT_Procesos!$F$2:$F$1581=_xlfn.TEXTJOIN(" + ",TRUE,IF((TRIM(P331:S331)="")+(LOWER(TRIM(P331:S331))="(seleccione)"),"",PROPER(TRIM(P331:S331)))))*(CAT_Procesos!$D$2:$D$1581=IFERROR(VLOOKUP(N331&amp;"*",CAT_Procesos!$D:$D,1,FALSE),"")),0)),"(seleccione)"))</f>
        <v>Combinación no existente</v>
      </c>
      <c r="V331" s="55" t="s">
        <v>73</v>
      </c>
      <c r="W331" s="56" t="s">
        <v>73</v>
      </c>
      <c r="X331" s="57" t="str">
        <f t="shared" si="20"/>
        <v/>
      </c>
      <c r="Y331" s="58" t="s">
        <v>73</v>
      </c>
      <c r="Z331" s="57" t="str">
        <f t="shared" si="21"/>
        <v/>
      </c>
      <c r="AA331" s="58" t="s">
        <v>73</v>
      </c>
      <c r="AB331" s="57" t="str">
        <f t="shared" si="22"/>
        <v/>
      </c>
      <c r="AC331" s="58" t="s">
        <v>73</v>
      </c>
      <c r="AD331" s="57" t="str">
        <f t="shared" si="23"/>
        <v/>
      </c>
      <c r="AE331" s="59"/>
      <c r="AF331" s="59"/>
      <c r="AG331" s="59"/>
      <c r="AH331" s="59"/>
      <c r="AI331" s="59" t="s">
        <v>73</v>
      </c>
      <c r="AJ331" s="59"/>
      <c r="AK331" s="59" t="s">
        <v>73</v>
      </c>
      <c r="AL331" s="59"/>
      <c r="AM331" s="59" t="s">
        <v>73</v>
      </c>
      <c r="AN331" s="59"/>
      <c r="AO331" s="59" t="s">
        <v>73</v>
      </c>
      <c r="AP331" s="59"/>
      <c r="AQ331" s="59" t="s">
        <v>73</v>
      </c>
      <c r="AR331" s="59"/>
      <c r="AS331" s="59" t="s">
        <v>72</v>
      </c>
      <c r="AT331" s="59"/>
      <c r="AU331" s="59"/>
      <c r="AV331" s="59"/>
      <c r="AW331" s="59"/>
      <c r="AX331" s="59"/>
      <c r="AY331" s="60" t="str">
        <f>IF('Cálculo MP'!K341="","",'Cálculo MP'!K341)</f>
        <v/>
      </c>
      <c r="AZ331" s="60" t="str">
        <f>IF('Cálculo MP'!L341="","",'Cálculo MP'!L341)</f>
        <v/>
      </c>
      <c r="BA331" s="60" t="str">
        <f>IF('Cálculo MP'!M341="","",'Cálculo MP'!M341)</f>
        <v/>
      </c>
      <c r="BB331" s="60" t="str">
        <f>IF('Cálculo MP'!N341="","",'Cálculo MP'!N341)</f>
        <v/>
      </c>
      <c r="BC331" s="60" t="str">
        <f>IF('Cálculo MP'!O341="","",'Cálculo MP'!O341)</f>
        <v/>
      </c>
      <c r="BD331" s="60" t="str">
        <f>IF('Cálculo MP'!P341="","",'Cálculo MP'!P341)</f>
        <v/>
      </c>
      <c r="BE331" s="60" t="str">
        <f>IF('Cálculo MP'!Q341="","",'Cálculo MP'!Q341)</f>
        <v/>
      </c>
      <c r="BF331" s="60" t="str">
        <f>IF('Cálculo MP'!R341="","",'Cálculo MP'!R341)</f>
        <v/>
      </c>
      <c r="BG331" s="60" t="str">
        <f>IF('Cálculo MP'!S341="","",'Cálculo MP'!S341)</f>
        <v/>
      </c>
      <c r="BH331" s="59"/>
      <c r="BI331" s="59"/>
      <c r="BJ331" s="59"/>
      <c r="BK331" s="59"/>
      <c r="BL331" s="59"/>
      <c r="BM331" s="59"/>
      <c r="BN331" s="59"/>
      <c r="BO331" s="59"/>
    </row>
    <row r="332" spans="1:67" ht="19.5" customHeight="1" x14ac:dyDescent="0.15">
      <c r="A332" s="123" t="s">
        <v>1856</v>
      </c>
      <c r="B332" s="122" t="s">
        <v>1854</v>
      </c>
      <c r="C332" s="49"/>
      <c r="D332" s="48" t="s">
        <v>73</v>
      </c>
      <c r="E332" s="49"/>
      <c r="F332" s="50"/>
      <c r="G332" s="62"/>
      <c r="H332" s="48" t="s">
        <v>72</v>
      </c>
      <c r="I332" s="52">
        <v>1</v>
      </c>
      <c r="J332" s="52"/>
      <c r="K332" s="52" t="s">
        <v>73</v>
      </c>
      <c r="L332" s="52" t="s">
        <v>74</v>
      </c>
      <c r="M332" s="53" t="s">
        <v>942</v>
      </c>
      <c r="N332" s="58" t="s">
        <v>73</v>
      </c>
      <c r="O332" s="48" t="s">
        <v>72</v>
      </c>
      <c r="P332" s="48" t="s">
        <v>73</v>
      </c>
      <c r="Q332" s="54" t="s">
        <v>73</v>
      </c>
      <c r="R332" s="55" t="s">
        <v>73</v>
      </c>
      <c r="S332" s="48" t="s">
        <v>73</v>
      </c>
      <c r="T332" s="130"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8" t="str" cm="1">
        <f t="array" ref="U332">IF(SUMPRODUCT(--((CAT_Procesos!$E$2:$E$1581=O332)*(CAT_Procesos!$F$2:$F$1581=_xlfn.TEXTJOIN(" + ",TRUE,IF((TRIM(P332:S332)="")+(LOWER(TRIM(P332:S332))="(seleccione)"),"",PROPER(TRIM(P332:S332)))))*(CAT_Procesos!$D$2:$D$1581=IFERROR(VLOOKUP(N332&amp;"*",CAT_Procesos!$D:$D,1,FALSE),""))))=0,"Combinación no existente",IF(SUMPRODUCT(((CAT_Procesos!$E$2:$E$1581=O332)*(CAT_Procesos!$F$2:$F$1581=_xlfn.TEXTJOIN(" + ",TRUE,IF((TRIM(P332:S332)="")+(LOWER(TRIM(P332:S332))="(seleccione)"),"",PROPER(TRIM(P332:S332)))))*(CAT_Procesos!$D$2:$D$1581=IFERROR(VLOOKUP(N332&amp;"*",CAT_Procesos!$D:$D,1,FALSE),"")))*(CAT_Procesos!$G$2:$G$1581=INDEX(CAT_Procesos!$G$2:$G$1581,MATCH(1,(CAT_Procesos!$E$2:$E$1581=O332)*(CAT_Procesos!$F$2:$F$1581=_xlfn.TEXTJOIN(" + ",TRUE,IF((TRIM(P332:S332)="")+(LOWER(TRIM(P332:S332))="(seleccione)"),"",PROPER(TRIM(P332:S332)))))*(CAT_Procesos!$D$2:$D$1581=IFERROR(VLOOKUP(N332&amp;"*",CAT_Procesos!$D:$D,1,FALSE),"")),0))))=SUMPRODUCT(--((CAT_Procesos!$E$2:$E$1581=O332)*(CAT_Procesos!$F$2:$F$1581=_xlfn.TEXTJOIN(" + ",TRUE,IF((TRIM(P332:S332)="")+(LOWER(TRIM(P332:S332))="(seleccione)"),"",PROPER(TRIM(P332:S332)))))*(CAT_Procesos!$D$2:$D$1581=IFERROR(VLOOKUP(N332&amp;"*",CAT_Procesos!$D:$D,1,FALSE),"")))),INDEX(CAT_Procesos!$G$2:$G$1581,MATCH(1,(CAT_Procesos!$E$2:$E$1581=O332)*(CAT_Procesos!$F$2:$F$1581=_xlfn.TEXTJOIN(" + ",TRUE,IF((TRIM(P332:S332)="")+(LOWER(TRIM(P332:S332))="(seleccione)"),"",PROPER(TRIM(P332:S332)))))*(CAT_Procesos!$D$2:$D$1581=IFERROR(VLOOKUP(N332&amp;"*",CAT_Procesos!$D:$D,1,FALSE),"")),0)),"(seleccione)"))</f>
        <v>Combinación no existente</v>
      </c>
      <c r="V332" s="55" t="s">
        <v>73</v>
      </c>
      <c r="W332" s="56" t="s">
        <v>73</v>
      </c>
      <c r="X332" s="57" t="str">
        <f t="shared" si="20"/>
        <v/>
      </c>
      <c r="Y332" s="58" t="s">
        <v>73</v>
      </c>
      <c r="Z332" s="57" t="str">
        <f t="shared" si="21"/>
        <v/>
      </c>
      <c r="AA332" s="58" t="s">
        <v>73</v>
      </c>
      <c r="AB332" s="57" t="str">
        <f t="shared" si="22"/>
        <v/>
      </c>
      <c r="AC332" s="58" t="s">
        <v>73</v>
      </c>
      <c r="AD332" s="57" t="str">
        <f t="shared" si="23"/>
        <v/>
      </c>
      <c r="AE332" s="59"/>
      <c r="AF332" s="59"/>
      <c r="AG332" s="59"/>
      <c r="AH332" s="59"/>
      <c r="AI332" s="59" t="s">
        <v>73</v>
      </c>
      <c r="AJ332" s="59"/>
      <c r="AK332" s="59" t="s">
        <v>73</v>
      </c>
      <c r="AL332" s="59"/>
      <c r="AM332" s="59" t="s">
        <v>73</v>
      </c>
      <c r="AN332" s="59"/>
      <c r="AO332" s="59" t="s">
        <v>73</v>
      </c>
      <c r="AP332" s="59"/>
      <c r="AQ332" s="59" t="s">
        <v>73</v>
      </c>
      <c r="AR332" s="59"/>
      <c r="AS332" s="59" t="s">
        <v>72</v>
      </c>
      <c r="AT332" s="59"/>
      <c r="AU332" s="59"/>
      <c r="AV332" s="59"/>
      <c r="AW332" s="59"/>
      <c r="AX332" s="59"/>
      <c r="AY332" s="60" t="str">
        <f>IF('Cálculo MP'!K342="","",'Cálculo MP'!K342)</f>
        <v/>
      </c>
      <c r="AZ332" s="60" t="str">
        <f>IF('Cálculo MP'!L342="","",'Cálculo MP'!L342)</f>
        <v/>
      </c>
      <c r="BA332" s="60" t="str">
        <f>IF('Cálculo MP'!M342="","",'Cálculo MP'!M342)</f>
        <v/>
      </c>
      <c r="BB332" s="60" t="str">
        <f>IF('Cálculo MP'!N342="","",'Cálculo MP'!N342)</f>
        <v/>
      </c>
      <c r="BC332" s="60" t="str">
        <f>IF('Cálculo MP'!O342="","",'Cálculo MP'!O342)</f>
        <v/>
      </c>
      <c r="BD332" s="60" t="str">
        <f>IF('Cálculo MP'!P342="","",'Cálculo MP'!P342)</f>
        <v/>
      </c>
      <c r="BE332" s="60" t="str">
        <f>IF('Cálculo MP'!Q342="","",'Cálculo MP'!Q342)</f>
        <v/>
      </c>
      <c r="BF332" s="60" t="str">
        <f>IF('Cálculo MP'!R342="","",'Cálculo MP'!R342)</f>
        <v/>
      </c>
      <c r="BG332" s="60" t="str">
        <f>IF('Cálculo MP'!S342="","",'Cálculo MP'!S342)</f>
        <v/>
      </c>
      <c r="BH332" s="59"/>
      <c r="BI332" s="59"/>
      <c r="BJ332" s="59"/>
      <c r="BK332" s="59"/>
      <c r="BL332" s="59"/>
      <c r="BM332" s="59"/>
      <c r="BN332" s="59"/>
      <c r="BO332" s="59"/>
    </row>
    <row r="333" spans="1:67" ht="19.5" customHeight="1" x14ac:dyDescent="0.15">
      <c r="A333" s="123" t="s">
        <v>1856</v>
      </c>
      <c r="B333" s="122" t="s">
        <v>1854</v>
      </c>
      <c r="C333" s="49"/>
      <c r="D333" s="48" t="s">
        <v>73</v>
      </c>
      <c r="E333" s="49"/>
      <c r="F333" s="50"/>
      <c r="G333" s="62"/>
      <c r="H333" s="48" t="s">
        <v>72</v>
      </c>
      <c r="I333" s="52">
        <v>1</v>
      </c>
      <c r="J333" s="52"/>
      <c r="K333" s="52" t="s">
        <v>73</v>
      </c>
      <c r="L333" s="52" t="s">
        <v>74</v>
      </c>
      <c r="M333" s="53" t="s">
        <v>942</v>
      </c>
      <c r="N333" s="58" t="s">
        <v>73</v>
      </c>
      <c r="O333" s="48" t="s">
        <v>72</v>
      </c>
      <c r="P333" s="48" t="s">
        <v>73</v>
      </c>
      <c r="Q333" s="54" t="s">
        <v>73</v>
      </c>
      <c r="R333" s="55" t="s">
        <v>73</v>
      </c>
      <c r="S333" s="48" t="s">
        <v>73</v>
      </c>
      <c r="T333" s="130"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8" t="str" cm="1">
        <f t="array" ref="U333">IF(SUMPRODUCT(--((CAT_Procesos!$E$2:$E$1581=O333)*(CAT_Procesos!$F$2:$F$1581=_xlfn.TEXTJOIN(" + ",TRUE,IF((TRIM(P333:S333)="")+(LOWER(TRIM(P333:S333))="(seleccione)"),"",PROPER(TRIM(P333:S333)))))*(CAT_Procesos!$D$2:$D$1581=IFERROR(VLOOKUP(N333&amp;"*",CAT_Procesos!$D:$D,1,FALSE),""))))=0,"Combinación no existente",IF(SUMPRODUCT(((CAT_Procesos!$E$2:$E$1581=O333)*(CAT_Procesos!$F$2:$F$1581=_xlfn.TEXTJOIN(" + ",TRUE,IF((TRIM(P333:S333)="")+(LOWER(TRIM(P333:S333))="(seleccione)"),"",PROPER(TRIM(P333:S333)))))*(CAT_Procesos!$D$2:$D$1581=IFERROR(VLOOKUP(N333&amp;"*",CAT_Procesos!$D:$D,1,FALSE),"")))*(CAT_Procesos!$G$2:$G$1581=INDEX(CAT_Procesos!$G$2:$G$1581,MATCH(1,(CAT_Procesos!$E$2:$E$1581=O333)*(CAT_Procesos!$F$2:$F$1581=_xlfn.TEXTJOIN(" + ",TRUE,IF((TRIM(P333:S333)="")+(LOWER(TRIM(P333:S333))="(seleccione)"),"",PROPER(TRIM(P333:S333)))))*(CAT_Procesos!$D$2:$D$1581=IFERROR(VLOOKUP(N333&amp;"*",CAT_Procesos!$D:$D,1,FALSE),"")),0))))=SUMPRODUCT(--((CAT_Procesos!$E$2:$E$1581=O333)*(CAT_Procesos!$F$2:$F$1581=_xlfn.TEXTJOIN(" + ",TRUE,IF((TRIM(P333:S333)="")+(LOWER(TRIM(P333:S333))="(seleccione)"),"",PROPER(TRIM(P333:S333)))))*(CAT_Procesos!$D$2:$D$1581=IFERROR(VLOOKUP(N333&amp;"*",CAT_Procesos!$D:$D,1,FALSE),"")))),INDEX(CAT_Procesos!$G$2:$G$1581,MATCH(1,(CAT_Procesos!$E$2:$E$1581=O333)*(CAT_Procesos!$F$2:$F$1581=_xlfn.TEXTJOIN(" + ",TRUE,IF((TRIM(P333:S333)="")+(LOWER(TRIM(P333:S333))="(seleccione)"),"",PROPER(TRIM(P333:S333)))))*(CAT_Procesos!$D$2:$D$1581=IFERROR(VLOOKUP(N333&amp;"*",CAT_Procesos!$D:$D,1,FALSE),"")),0)),"(seleccione)"))</f>
        <v>Combinación no existente</v>
      </c>
      <c r="V333" s="55" t="s">
        <v>73</v>
      </c>
      <c r="W333" s="56" t="s">
        <v>73</v>
      </c>
      <c r="X333" s="57" t="str">
        <f t="shared" si="20"/>
        <v/>
      </c>
      <c r="Y333" s="58" t="s">
        <v>73</v>
      </c>
      <c r="Z333" s="57" t="str">
        <f t="shared" si="21"/>
        <v/>
      </c>
      <c r="AA333" s="58" t="s">
        <v>73</v>
      </c>
      <c r="AB333" s="57" t="str">
        <f t="shared" si="22"/>
        <v/>
      </c>
      <c r="AC333" s="58" t="s">
        <v>73</v>
      </c>
      <c r="AD333" s="57" t="str">
        <f t="shared" si="23"/>
        <v/>
      </c>
      <c r="AE333" s="59"/>
      <c r="AF333" s="59"/>
      <c r="AG333" s="59"/>
      <c r="AH333" s="59"/>
      <c r="AI333" s="59" t="s">
        <v>73</v>
      </c>
      <c r="AJ333" s="59"/>
      <c r="AK333" s="59" t="s">
        <v>73</v>
      </c>
      <c r="AL333" s="59"/>
      <c r="AM333" s="59" t="s">
        <v>73</v>
      </c>
      <c r="AN333" s="59"/>
      <c r="AO333" s="59" t="s">
        <v>73</v>
      </c>
      <c r="AP333" s="59"/>
      <c r="AQ333" s="59" t="s">
        <v>73</v>
      </c>
      <c r="AR333" s="59"/>
      <c r="AS333" s="59" t="s">
        <v>72</v>
      </c>
      <c r="AT333" s="59"/>
      <c r="AU333" s="59"/>
      <c r="AV333" s="59"/>
      <c r="AW333" s="59"/>
      <c r="AX333" s="59"/>
      <c r="AY333" s="60" t="str">
        <f>IF('Cálculo MP'!K343="","",'Cálculo MP'!K343)</f>
        <v/>
      </c>
      <c r="AZ333" s="60" t="str">
        <f>IF('Cálculo MP'!L343="","",'Cálculo MP'!L343)</f>
        <v/>
      </c>
      <c r="BA333" s="60" t="str">
        <f>IF('Cálculo MP'!M343="","",'Cálculo MP'!M343)</f>
        <v/>
      </c>
      <c r="BB333" s="60" t="str">
        <f>IF('Cálculo MP'!N343="","",'Cálculo MP'!N343)</f>
        <v/>
      </c>
      <c r="BC333" s="60" t="str">
        <f>IF('Cálculo MP'!O343="","",'Cálculo MP'!O343)</f>
        <v/>
      </c>
      <c r="BD333" s="60" t="str">
        <f>IF('Cálculo MP'!P343="","",'Cálculo MP'!P343)</f>
        <v/>
      </c>
      <c r="BE333" s="60" t="str">
        <f>IF('Cálculo MP'!Q343="","",'Cálculo MP'!Q343)</f>
        <v/>
      </c>
      <c r="BF333" s="60" t="str">
        <f>IF('Cálculo MP'!R343="","",'Cálculo MP'!R343)</f>
        <v/>
      </c>
      <c r="BG333" s="60" t="str">
        <f>IF('Cálculo MP'!S343="","",'Cálculo MP'!S343)</f>
        <v/>
      </c>
      <c r="BH333" s="59"/>
      <c r="BI333" s="59"/>
      <c r="BJ333" s="59"/>
      <c r="BK333" s="59"/>
      <c r="BL333" s="59"/>
      <c r="BM333" s="59"/>
      <c r="BN333" s="59"/>
      <c r="BO333" s="59"/>
    </row>
    <row r="334" spans="1:67" ht="19.5" customHeight="1" x14ac:dyDescent="0.15">
      <c r="A334" s="123" t="s">
        <v>1856</v>
      </c>
      <c r="B334" s="122" t="s">
        <v>1854</v>
      </c>
      <c r="C334" s="49"/>
      <c r="D334" s="48" t="s">
        <v>73</v>
      </c>
      <c r="E334" s="49"/>
      <c r="F334" s="50"/>
      <c r="G334" s="62"/>
      <c r="H334" s="48" t="s">
        <v>72</v>
      </c>
      <c r="I334" s="52">
        <v>1</v>
      </c>
      <c r="J334" s="52"/>
      <c r="K334" s="52" t="s">
        <v>73</v>
      </c>
      <c r="L334" s="52" t="s">
        <v>74</v>
      </c>
      <c r="M334" s="53" t="s">
        <v>942</v>
      </c>
      <c r="N334" s="58" t="s">
        <v>73</v>
      </c>
      <c r="O334" s="48" t="s">
        <v>72</v>
      </c>
      <c r="P334" s="48" t="s">
        <v>73</v>
      </c>
      <c r="Q334" s="54" t="s">
        <v>73</v>
      </c>
      <c r="R334" s="55" t="s">
        <v>73</v>
      </c>
      <c r="S334" s="48" t="s">
        <v>73</v>
      </c>
      <c r="T334" s="130"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8" t="str" cm="1">
        <f t="array" ref="U334">IF(SUMPRODUCT(--((CAT_Procesos!$E$2:$E$1581=O334)*(CAT_Procesos!$F$2:$F$1581=_xlfn.TEXTJOIN(" + ",TRUE,IF((TRIM(P334:S334)="")+(LOWER(TRIM(P334:S334))="(seleccione)"),"",PROPER(TRIM(P334:S334)))))*(CAT_Procesos!$D$2:$D$1581=IFERROR(VLOOKUP(N334&amp;"*",CAT_Procesos!$D:$D,1,FALSE),""))))=0,"Combinación no existente",IF(SUMPRODUCT(((CAT_Procesos!$E$2:$E$1581=O334)*(CAT_Procesos!$F$2:$F$1581=_xlfn.TEXTJOIN(" + ",TRUE,IF((TRIM(P334:S334)="")+(LOWER(TRIM(P334:S334))="(seleccione)"),"",PROPER(TRIM(P334:S334)))))*(CAT_Procesos!$D$2:$D$1581=IFERROR(VLOOKUP(N334&amp;"*",CAT_Procesos!$D:$D,1,FALSE),"")))*(CAT_Procesos!$G$2:$G$1581=INDEX(CAT_Procesos!$G$2:$G$1581,MATCH(1,(CAT_Procesos!$E$2:$E$1581=O334)*(CAT_Procesos!$F$2:$F$1581=_xlfn.TEXTJOIN(" + ",TRUE,IF((TRIM(P334:S334)="")+(LOWER(TRIM(P334:S334))="(seleccione)"),"",PROPER(TRIM(P334:S334)))))*(CAT_Procesos!$D$2:$D$1581=IFERROR(VLOOKUP(N334&amp;"*",CAT_Procesos!$D:$D,1,FALSE),"")),0))))=SUMPRODUCT(--((CAT_Procesos!$E$2:$E$1581=O334)*(CAT_Procesos!$F$2:$F$1581=_xlfn.TEXTJOIN(" + ",TRUE,IF((TRIM(P334:S334)="")+(LOWER(TRIM(P334:S334))="(seleccione)"),"",PROPER(TRIM(P334:S334)))))*(CAT_Procesos!$D$2:$D$1581=IFERROR(VLOOKUP(N334&amp;"*",CAT_Procesos!$D:$D,1,FALSE),"")))),INDEX(CAT_Procesos!$G$2:$G$1581,MATCH(1,(CAT_Procesos!$E$2:$E$1581=O334)*(CAT_Procesos!$F$2:$F$1581=_xlfn.TEXTJOIN(" + ",TRUE,IF((TRIM(P334:S334)="")+(LOWER(TRIM(P334:S334))="(seleccione)"),"",PROPER(TRIM(P334:S334)))))*(CAT_Procesos!$D$2:$D$1581=IFERROR(VLOOKUP(N334&amp;"*",CAT_Procesos!$D:$D,1,FALSE),"")),0)),"(seleccione)"))</f>
        <v>Combinación no existente</v>
      </c>
      <c r="V334" s="55" t="s">
        <v>73</v>
      </c>
      <c r="W334" s="56" t="s">
        <v>73</v>
      </c>
      <c r="X334" s="57" t="str">
        <f t="shared" si="20"/>
        <v/>
      </c>
      <c r="Y334" s="58" t="s">
        <v>73</v>
      </c>
      <c r="Z334" s="57" t="str">
        <f t="shared" si="21"/>
        <v/>
      </c>
      <c r="AA334" s="58" t="s">
        <v>73</v>
      </c>
      <c r="AB334" s="57" t="str">
        <f t="shared" si="22"/>
        <v/>
      </c>
      <c r="AC334" s="58" t="s">
        <v>73</v>
      </c>
      <c r="AD334" s="57" t="str">
        <f t="shared" si="23"/>
        <v/>
      </c>
      <c r="AE334" s="59"/>
      <c r="AF334" s="59"/>
      <c r="AG334" s="59"/>
      <c r="AH334" s="59"/>
      <c r="AI334" s="59" t="s">
        <v>73</v>
      </c>
      <c r="AJ334" s="59"/>
      <c r="AK334" s="59" t="s">
        <v>73</v>
      </c>
      <c r="AL334" s="59"/>
      <c r="AM334" s="59" t="s">
        <v>73</v>
      </c>
      <c r="AN334" s="59"/>
      <c r="AO334" s="59" t="s">
        <v>73</v>
      </c>
      <c r="AP334" s="59"/>
      <c r="AQ334" s="59" t="s">
        <v>73</v>
      </c>
      <c r="AR334" s="59"/>
      <c r="AS334" s="59" t="s">
        <v>72</v>
      </c>
      <c r="AT334" s="59"/>
      <c r="AU334" s="59"/>
      <c r="AV334" s="59"/>
      <c r="AW334" s="59"/>
      <c r="AX334" s="59"/>
      <c r="AY334" s="60" t="str">
        <f>IF('Cálculo MP'!K344="","",'Cálculo MP'!K344)</f>
        <v/>
      </c>
      <c r="AZ334" s="60" t="str">
        <f>IF('Cálculo MP'!L344="","",'Cálculo MP'!L344)</f>
        <v/>
      </c>
      <c r="BA334" s="60" t="str">
        <f>IF('Cálculo MP'!M344="","",'Cálculo MP'!M344)</f>
        <v/>
      </c>
      <c r="BB334" s="60" t="str">
        <f>IF('Cálculo MP'!N344="","",'Cálculo MP'!N344)</f>
        <v/>
      </c>
      <c r="BC334" s="60" t="str">
        <f>IF('Cálculo MP'!O344="","",'Cálculo MP'!O344)</f>
        <v/>
      </c>
      <c r="BD334" s="60" t="str">
        <f>IF('Cálculo MP'!P344="","",'Cálculo MP'!P344)</f>
        <v/>
      </c>
      <c r="BE334" s="60" t="str">
        <f>IF('Cálculo MP'!Q344="","",'Cálculo MP'!Q344)</f>
        <v/>
      </c>
      <c r="BF334" s="60" t="str">
        <f>IF('Cálculo MP'!R344="","",'Cálculo MP'!R344)</f>
        <v/>
      </c>
      <c r="BG334" s="60" t="str">
        <f>IF('Cálculo MP'!S344="","",'Cálculo MP'!S344)</f>
        <v/>
      </c>
      <c r="BH334" s="59"/>
      <c r="BI334" s="59"/>
      <c r="BJ334" s="59"/>
      <c r="BK334" s="59"/>
      <c r="BL334" s="59"/>
      <c r="BM334" s="59"/>
      <c r="BN334" s="59"/>
      <c r="BO334" s="59"/>
    </row>
    <row r="335" spans="1:67" ht="19.5" customHeight="1" x14ac:dyDescent="0.15">
      <c r="A335" s="123" t="s">
        <v>1856</v>
      </c>
      <c r="B335" s="122" t="s">
        <v>1854</v>
      </c>
      <c r="C335" s="49"/>
      <c r="D335" s="48" t="s">
        <v>73</v>
      </c>
      <c r="E335" s="49"/>
      <c r="F335" s="50"/>
      <c r="G335" s="62"/>
      <c r="H335" s="48" t="s">
        <v>72</v>
      </c>
      <c r="I335" s="52">
        <v>1</v>
      </c>
      <c r="J335" s="52"/>
      <c r="K335" s="52" t="s">
        <v>73</v>
      </c>
      <c r="L335" s="52" t="s">
        <v>74</v>
      </c>
      <c r="M335" s="53" t="s">
        <v>942</v>
      </c>
      <c r="N335" s="58" t="s">
        <v>73</v>
      </c>
      <c r="O335" s="48" t="s">
        <v>72</v>
      </c>
      <c r="P335" s="48" t="s">
        <v>73</v>
      </c>
      <c r="Q335" s="54" t="s">
        <v>73</v>
      </c>
      <c r="R335" s="55" t="s">
        <v>73</v>
      </c>
      <c r="S335" s="48" t="s">
        <v>73</v>
      </c>
      <c r="T335" s="130"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8" t="str" cm="1">
        <f t="array" ref="U335">IF(SUMPRODUCT(--((CAT_Procesos!$E$2:$E$1581=O335)*(CAT_Procesos!$F$2:$F$1581=_xlfn.TEXTJOIN(" + ",TRUE,IF((TRIM(P335:S335)="")+(LOWER(TRIM(P335:S335))="(seleccione)"),"",PROPER(TRIM(P335:S335)))))*(CAT_Procesos!$D$2:$D$1581=IFERROR(VLOOKUP(N335&amp;"*",CAT_Procesos!$D:$D,1,FALSE),""))))=0,"Combinación no existente",IF(SUMPRODUCT(((CAT_Procesos!$E$2:$E$1581=O335)*(CAT_Procesos!$F$2:$F$1581=_xlfn.TEXTJOIN(" + ",TRUE,IF((TRIM(P335:S335)="")+(LOWER(TRIM(P335:S335))="(seleccione)"),"",PROPER(TRIM(P335:S335)))))*(CAT_Procesos!$D$2:$D$1581=IFERROR(VLOOKUP(N335&amp;"*",CAT_Procesos!$D:$D,1,FALSE),"")))*(CAT_Procesos!$G$2:$G$1581=INDEX(CAT_Procesos!$G$2:$G$1581,MATCH(1,(CAT_Procesos!$E$2:$E$1581=O335)*(CAT_Procesos!$F$2:$F$1581=_xlfn.TEXTJOIN(" + ",TRUE,IF((TRIM(P335:S335)="")+(LOWER(TRIM(P335:S335))="(seleccione)"),"",PROPER(TRIM(P335:S335)))))*(CAT_Procesos!$D$2:$D$1581=IFERROR(VLOOKUP(N335&amp;"*",CAT_Procesos!$D:$D,1,FALSE),"")),0))))=SUMPRODUCT(--((CAT_Procesos!$E$2:$E$1581=O335)*(CAT_Procesos!$F$2:$F$1581=_xlfn.TEXTJOIN(" + ",TRUE,IF((TRIM(P335:S335)="")+(LOWER(TRIM(P335:S335))="(seleccione)"),"",PROPER(TRIM(P335:S335)))))*(CAT_Procesos!$D$2:$D$1581=IFERROR(VLOOKUP(N335&amp;"*",CAT_Procesos!$D:$D,1,FALSE),"")))),INDEX(CAT_Procesos!$G$2:$G$1581,MATCH(1,(CAT_Procesos!$E$2:$E$1581=O335)*(CAT_Procesos!$F$2:$F$1581=_xlfn.TEXTJOIN(" + ",TRUE,IF((TRIM(P335:S335)="")+(LOWER(TRIM(P335:S335))="(seleccione)"),"",PROPER(TRIM(P335:S335)))))*(CAT_Procesos!$D$2:$D$1581=IFERROR(VLOOKUP(N335&amp;"*",CAT_Procesos!$D:$D,1,FALSE),"")),0)),"(seleccione)"))</f>
        <v>Combinación no existente</v>
      </c>
      <c r="V335" s="55" t="s">
        <v>73</v>
      </c>
      <c r="W335" s="56" t="s">
        <v>73</v>
      </c>
      <c r="X335" s="57" t="str">
        <f t="shared" si="20"/>
        <v/>
      </c>
      <c r="Y335" s="58" t="s">
        <v>73</v>
      </c>
      <c r="Z335" s="57" t="str">
        <f t="shared" si="21"/>
        <v/>
      </c>
      <c r="AA335" s="58" t="s">
        <v>73</v>
      </c>
      <c r="AB335" s="57" t="str">
        <f t="shared" si="22"/>
        <v/>
      </c>
      <c r="AC335" s="58" t="s">
        <v>73</v>
      </c>
      <c r="AD335" s="57" t="str">
        <f t="shared" si="23"/>
        <v/>
      </c>
      <c r="AE335" s="59"/>
      <c r="AF335" s="59"/>
      <c r="AG335" s="59"/>
      <c r="AH335" s="59"/>
      <c r="AI335" s="59" t="s">
        <v>73</v>
      </c>
      <c r="AJ335" s="59"/>
      <c r="AK335" s="59" t="s">
        <v>73</v>
      </c>
      <c r="AL335" s="59"/>
      <c r="AM335" s="59" t="s">
        <v>73</v>
      </c>
      <c r="AN335" s="59"/>
      <c r="AO335" s="59" t="s">
        <v>73</v>
      </c>
      <c r="AP335" s="59"/>
      <c r="AQ335" s="59" t="s">
        <v>73</v>
      </c>
      <c r="AR335" s="59"/>
      <c r="AS335" s="59" t="s">
        <v>72</v>
      </c>
      <c r="AT335" s="59"/>
      <c r="AU335" s="59"/>
      <c r="AV335" s="59"/>
      <c r="AW335" s="59"/>
      <c r="AX335" s="59"/>
      <c r="AY335" s="60" t="str">
        <f>IF('Cálculo MP'!K345="","",'Cálculo MP'!K345)</f>
        <v/>
      </c>
      <c r="AZ335" s="60" t="str">
        <f>IF('Cálculo MP'!L345="","",'Cálculo MP'!L345)</f>
        <v/>
      </c>
      <c r="BA335" s="60" t="str">
        <f>IF('Cálculo MP'!M345="","",'Cálculo MP'!M345)</f>
        <v/>
      </c>
      <c r="BB335" s="60" t="str">
        <f>IF('Cálculo MP'!N345="","",'Cálculo MP'!N345)</f>
        <v/>
      </c>
      <c r="BC335" s="60" t="str">
        <f>IF('Cálculo MP'!O345="","",'Cálculo MP'!O345)</f>
        <v/>
      </c>
      <c r="BD335" s="60" t="str">
        <f>IF('Cálculo MP'!P345="","",'Cálculo MP'!P345)</f>
        <v/>
      </c>
      <c r="BE335" s="60" t="str">
        <f>IF('Cálculo MP'!Q345="","",'Cálculo MP'!Q345)</f>
        <v/>
      </c>
      <c r="BF335" s="60" t="str">
        <f>IF('Cálculo MP'!R345="","",'Cálculo MP'!R345)</f>
        <v/>
      </c>
      <c r="BG335" s="60" t="str">
        <f>IF('Cálculo MP'!S345="","",'Cálculo MP'!S345)</f>
        <v/>
      </c>
      <c r="BH335" s="59"/>
      <c r="BI335" s="59"/>
      <c r="BJ335" s="59"/>
      <c r="BK335" s="59"/>
      <c r="BL335" s="59"/>
      <c r="BM335" s="59"/>
      <c r="BN335" s="59"/>
      <c r="BO335" s="59"/>
    </row>
    <row r="336" spans="1:67" ht="19.5" customHeight="1" x14ac:dyDescent="0.15">
      <c r="A336" s="123" t="s">
        <v>1856</v>
      </c>
      <c r="B336" s="122" t="s">
        <v>1854</v>
      </c>
      <c r="C336" s="49"/>
      <c r="D336" s="48" t="s">
        <v>73</v>
      </c>
      <c r="E336" s="49"/>
      <c r="F336" s="50"/>
      <c r="G336" s="62"/>
      <c r="H336" s="48" t="s">
        <v>72</v>
      </c>
      <c r="I336" s="52">
        <v>1</v>
      </c>
      <c r="J336" s="52"/>
      <c r="K336" s="52" t="s">
        <v>73</v>
      </c>
      <c r="L336" s="52" t="s">
        <v>74</v>
      </c>
      <c r="M336" s="53" t="s">
        <v>942</v>
      </c>
      <c r="N336" s="58" t="s">
        <v>73</v>
      </c>
      <c r="O336" s="48" t="s">
        <v>72</v>
      </c>
      <c r="P336" s="48" t="s">
        <v>73</v>
      </c>
      <c r="Q336" s="54" t="s">
        <v>73</v>
      </c>
      <c r="R336" s="55" t="s">
        <v>73</v>
      </c>
      <c r="S336" s="48" t="s">
        <v>73</v>
      </c>
      <c r="T336" s="130"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8" t="str" cm="1">
        <f t="array" ref="U336">IF(SUMPRODUCT(--((CAT_Procesos!$E$2:$E$1581=O336)*(CAT_Procesos!$F$2:$F$1581=_xlfn.TEXTJOIN(" + ",TRUE,IF((TRIM(P336:S336)="")+(LOWER(TRIM(P336:S336))="(seleccione)"),"",PROPER(TRIM(P336:S336)))))*(CAT_Procesos!$D$2:$D$1581=IFERROR(VLOOKUP(N336&amp;"*",CAT_Procesos!$D:$D,1,FALSE),""))))=0,"Combinación no existente",IF(SUMPRODUCT(((CAT_Procesos!$E$2:$E$1581=O336)*(CAT_Procesos!$F$2:$F$1581=_xlfn.TEXTJOIN(" + ",TRUE,IF((TRIM(P336:S336)="")+(LOWER(TRIM(P336:S336))="(seleccione)"),"",PROPER(TRIM(P336:S336)))))*(CAT_Procesos!$D$2:$D$1581=IFERROR(VLOOKUP(N336&amp;"*",CAT_Procesos!$D:$D,1,FALSE),"")))*(CAT_Procesos!$G$2:$G$1581=INDEX(CAT_Procesos!$G$2:$G$1581,MATCH(1,(CAT_Procesos!$E$2:$E$1581=O336)*(CAT_Procesos!$F$2:$F$1581=_xlfn.TEXTJOIN(" + ",TRUE,IF((TRIM(P336:S336)="")+(LOWER(TRIM(P336:S336))="(seleccione)"),"",PROPER(TRIM(P336:S336)))))*(CAT_Procesos!$D$2:$D$1581=IFERROR(VLOOKUP(N336&amp;"*",CAT_Procesos!$D:$D,1,FALSE),"")),0))))=SUMPRODUCT(--((CAT_Procesos!$E$2:$E$1581=O336)*(CAT_Procesos!$F$2:$F$1581=_xlfn.TEXTJOIN(" + ",TRUE,IF((TRIM(P336:S336)="")+(LOWER(TRIM(P336:S336))="(seleccione)"),"",PROPER(TRIM(P336:S336)))))*(CAT_Procesos!$D$2:$D$1581=IFERROR(VLOOKUP(N336&amp;"*",CAT_Procesos!$D:$D,1,FALSE),"")))),INDEX(CAT_Procesos!$G$2:$G$1581,MATCH(1,(CAT_Procesos!$E$2:$E$1581=O336)*(CAT_Procesos!$F$2:$F$1581=_xlfn.TEXTJOIN(" + ",TRUE,IF((TRIM(P336:S336)="")+(LOWER(TRIM(P336:S336))="(seleccione)"),"",PROPER(TRIM(P336:S336)))))*(CAT_Procesos!$D$2:$D$1581=IFERROR(VLOOKUP(N336&amp;"*",CAT_Procesos!$D:$D,1,FALSE),"")),0)),"(seleccione)"))</f>
        <v>Combinación no existente</v>
      </c>
      <c r="V336" s="55" t="s">
        <v>73</v>
      </c>
      <c r="W336" s="56" t="s">
        <v>73</v>
      </c>
      <c r="X336" s="57" t="str">
        <f t="shared" si="20"/>
        <v/>
      </c>
      <c r="Y336" s="58" t="s">
        <v>73</v>
      </c>
      <c r="Z336" s="57" t="str">
        <f t="shared" si="21"/>
        <v/>
      </c>
      <c r="AA336" s="58" t="s">
        <v>73</v>
      </c>
      <c r="AB336" s="57" t="str">
        <f t="shared" si="22"/>
        <v/>
      </c>
      <c r="AC336" s="58" t="s">
        <v>73</v>
      </c>
      <c r="AD336" s="57" t="str">
        <f t="shared" si="23"/>
        <v/>
      </c>
      <c r="AE336" s="59"/>
      <c r="AF336" s="59"/>
      <c r="AG336" s="59"/>
      <c r="AH336" s="59"/>
      <c r="AI336" s="59" t="s">
        <v>73</v>
      </c>
      <c r="AJ336" s="59"/>
      <c r="AK336" s="59" t="s">
        <v>73</v>
      </c>
      <c r="AL336" s="59"/>
      <c r="AM336" s="59" t="s">
        <v>73</v>
      </c>
      <c r="AN336" s="59"/>
      <c r="AO336" s="59" t="s">
        <v>73</v>
      </c>
      <c r="AP336" s="59"/>
      <c r="AQ336" s="59" t="s">
        <v>73</v>
      </c>
      <c r="AR336" s="59"/>
      <c r="AS336" s="59" t="s">
        <v>72</v>
      </c>
      <c r="AT336" s="59"/>
      <c r="AU336" s="59"/>
      <c r="AV336" s="59"/>
      <c r="AW336" s="59"/>
      <c r="AX336" s="59"/>
      <c r="AY336" s="60" t="str">
        <f>IF('Cálculo MP'!K346="","",'Cálculo MP'!K346)</f>
        <v/>
      </c>
      <c r="AZ336" s="60" t="str">
        <f>IF('Cálculo MP'!L346="","",'Cálculo MP'!L346)</f>
        <v/>
      </c>
      <c r="BA336" s="60" t="str">
        <f>IF('Cálculo MP'!M346="","",'Cálculo MP'!M346)</f>
        <v/>
      </c>
      <c r="BB336" s="60" t="str">
        <f>IF('Cálculo MP'!N346="","",'Cálculo MP'!N346)</f>
        <v/>
      </c>
      <c r="BC336" s="60" t="str">
        <f>IF('Cálculo MP'!O346="","",'Cálculo MP'!O346)</f>
        <v/>
      </c>
      <c r="BD336" s="60" t="str">
        <f>IF('Cálculo MP'!P346="","",'Cálculo MP'!P346)</f>
        <v/>
      </c>
      <c r="BE336" s="60" t="str">
        <f>IF('Cálculo MP'!Q346="","",'Cálculo MP'!Q346)</f>
        <v/>
      </c>
      <c r="BF336" s="60" t="str">
        <f>IF('Cálculo MP'!R346="","",'Cálculo MP'!R346)</f>
        <v/>
      </c>
      <c r="BG336" s="60" t="str">
        <f>IF('Cálculo MP'!S346="","",'Cálculo MP'!S346)</f>
        <v/>
      </c>
      <c r="BH336" s="59"/>
      <c r="BI336" s="59"/>
      <c r="BJ336" s="59"/>
      <c r="BK336" s="59"/>
      <c r="BL336" s="59"/>
      <c r="BM336" s="59"/>
      <c r="BN336" s="59"/>
      <c r="BO336" s="59"/>
    </row>
    <row r="337" spans="1:67" ht="19.5" customHeight="1" x14ac:dyDescent="0.15">
      <c r="A337" s="123" t="s">
        <v>1856</v>
      </c>
      <c r="B337" s="122" t="s">
        <v>1854</v>
      </c>
      <c r="C337" s="49"/>
      <c r="D337" s="48" t="s">
        <v>73</v>
      </c>
      <c r="E337" s="49"/>
      <c r="F337" s="50"/>
      <c r="G337" s="62"/>
      <c r="H337" s="48" t="s">
        <v>72</v>
      </c>
      <c r="I337" s="52">
        <v>1</v>
      </c>
      <c r="J337" s="52"/>
      <c r="K337" s="52" t="s">
        <v>73</v>
      </c>
      <c r="L337" s="52" t="s">
        <v>74</v>
      </c>
      <c r="M337" s="53" t="s">
        <v>942</v>
      </c>
      <c r="N337" s="58" t="s">
        <v>73</v>
      </c>
      <c r="O337" s="48" t="s">
        <v>72</v>
      </c>
      <c r="P337" s="48" t="s">
        <v>73</v>
      </c>
      <c r="Q337" s="54" t="s">
        <v>73</v>
      </c>
      <c r="R337" s="55" t="s">
        <v>73</v>
      </c>
      <c r="S337" s="48" t="s">
        <v>73</v>
      </c>
      <c r="T337" s="130"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8" t="str" cm="1">
        <f t="array" ref="U337">IF(SUMPRODUCT(--((CAT_Procesos!$E$2:$E$1581=O337)*(CAT_Procesos!$F$2:$F$1581=_xlfn.TEXTJOIN(" + ",TRUE,IF((TRIM(P337:S337)="")+(LOWER(TRIM(P337:S337))="(seleccione)"),"",PROPER(TRIM(P337:S337)))))*(CAT_Procesos!$D$2:$D$1581=IFERROR(VLOOKUP(N337&amp;"*",CAT_Procesos!$D:$D,1,FALSE),""))))=0,"Combinación no existente",IF(SUMPRODUCT(((CAT_Procesos!$E$2:$E$1581=O337)*(CAT_Procesos!$F$2:$F$1581=_xlfn.TEXTJOIN(" + ",TRUE,IF((TRIM(P337:S337)="")+(LOWER(TRIM(P337:S337))="(seleccione)"),"",PROPER(TRIM(P337:S337)))))*(CAT_Procesos!$D$2:$D$1581=IFERROR(VLOOKUP(N337&amp;"*",CAT_Procesos!$D:$D,1,FALSE),"")))*(CAT_Procesos!$G$2:$G$1581=INDEX(CAT_Procesos!$G$2:$G$1581,MATCH(1,(CAT_Procesos!$E$2:$E$1581=O337)*(CAT_Procesos!$F$2:$F$1581=_xlfn.TEXTJOIN(" + ",TRUE,IF((TRIM(P337:S337)="")+(LOWER(TRIM(P337:S337))="(seleccione)"),"",PROPER(TRIM(P337:S337)))))*(CAT_Procesos!$D$2:$D$1581=IFERROR(VLOOKUP(N337&amp;"*",CAT_Procesos!$D:$D,1,FALSE),"")),0))))=SUMPRODUCT(--((CAT_Procesos!$E$2:$E$1581=O337)*(CAT_Procesos!$F$2:$F$1581=_xlfn.TEXTJOIN(" + ",TRUE,IF((TRIM(P337:S337)="")+(LOWER(TRIM(P337:S337))="(seleccione)"),"",PROPER(TRIM(P337:S337)))))*(CAT_Procesos!$D$2:$D$1581=IFERROR(VLOOKUP(N337&amp;"*",CAT_Procesos!$D:$D,1,FALSE),"")))),INDEX(CAT_Procesos!$G$2:$G$1581,MATCH(1,(CAT_Procesos!$E$2:$E$1581=O337)*(CAT_Procesos!$F$2:$F$1581=_xlfn.TEXTJOIN(" + ",TRUE,IF((TRIM(P337:S337)="")+(LOWER(TRIM(P337:S337))="(seleccione)"),"",PROPER(TRIM(P337:S337)))))*(CAT_Procesos!$D$2:$D$1581=IFERROR(VLOOKUP(N337&amp;"*",CAT_Procesos!$D:$D,1,FALSE),"")),0)),"(seleccione)"))</f>
        <v>Combinación no existente</v>
      </c>
      <c r="V337" s="55" t="s">
        <v>73</v>
      </c>
      <c r="W337" s="56" t="s">
        <v>73</v>
      </c>
      <c r="X337" s="57" t="str">
        <f t="shared" si="20"/>
        <v/>
      </c>
      <c r="Y337" s="58" t="s">
        <v>73</v>
      </c>
      <c r="Z337" s="57" t="str">
        <f t="shared" si="21"/>
        <v/>
      </c>
      <c r="AA337" s="58" t="s">
        <v>73</v>
      </c>
      <c r="AB337" s="57" t="str">
        <f t="shared" si="22"/>
        <v/>
      </c>
      <c r="AC337" s="58" t="s">
        <v>73</v>
      </c>
      <c r="AD337" s="57" t="str">
        <f t="shared" si="23"/>
        <v/>
      </c>
      <c r="AE337" s="59"/>
      <c r="AF337" s="59"/>
      <c r="AG337" s="59"/>
      <c r="AH337" s="59"/>
      <c r="AI337" s="59" t="s">
        <v>73</v>
      </c>
      <c r="AJ337" s="59"/>
      <c r="AK337" s="59" t="s">
        <v>73</v>
      </c>
      <c r="AL337" s="59"/>
      <c r="AM337" s="59" t="s">
        <v>73</v>
      </c>
      <c r="AN337" s="59"/>
      <c r="AO337" s="59" t="s">
        <v>73</v>
      </c>
      <c r="AP337" s="59"/>
      <c r="AQ337" s="59" t="s">
        <v>73</v>
      </c>
      <c r="AR337" s="59"/>
      <c r="AS337" s="59" t="s">
        <v>72</v>
      </c>
      <c r="AT337" s="59"/>
      <c r="AU337" s="59"/>
      <c r="AV337" s="59"/>
      <c r="AW337" s="59"/>
      <c r="AX337" s="59"/>
      <c r="AY337" s="60" t="str">
        <f>IF('Cálculo MP'!K347="","",'Cálculo MP'!K347)</f>
        <v/>
      </c>
      <c r="AZ337" s="60" t="str">
        <f>IF('Cálculo MP'!L347="","",'Cálculo MP'!L347)</f>
        <v/>
      </c>
      <c r="BA337" s="60" t="str">
        <f>IF('Cálculo MP'!M347="","",'Cálculo MP'!M347)</f>
        <v/>
      </c>
      <c r="BB337" s="60" t="str">
        <f>IF('Cálculo MP'!N347="","",'Cálculo MP'!N347)</f>
        <v/>
      </c>
      <c r="BC337" s="60" t="str">
        <f>IF('Cálculo MP'!O347="","",'Cálculo MP'!O347)</f>
        <v/>
      </c>
      <c r="BD337" s="60" t="str">
        <f>IF('Cálculo MP'!P347="","",'Cálculo MP'!P347)</f>
        <v/>
      </c>
      <c r="BE337" s="60" t="str">
        <f>IF('Cálculo MP'!Q347="","",'Cálculo MP'!Q347)</f>
        <v/>
      </c>
      <c r="BF337" s="60" t="str">
        <f>IF('Cálculo MP'!R347="","",'Cálculo MP'!R347)</f>
        <v/>
      </c>
      <c r="BG337" s="60" t="str">
        <f>IF('Cálculo MP'!S347="","",'Cálculo MP'!S347)</f>
        <v/>
      </c>
      <c r="BH337" s="59"/>
      <c r="BI337" s="59"/>
      <c r="BJ337" s="59"/>
      <c r="BK337" s="59"/>
      <c r="BL337" s="59"/>
      <c r="BM337" s="59"/>
      <c r="BN337" s="59"/>
      <c r="BO337" s="59"/>
    </row>
    <row r="338" spans="1:67" ht="19.5" customHeight="1" x14ac:dyDescent="0.15">
      <c r="A338" s="123" t="s">
        <v>1856</v>
      </c>
      <c r="B338" s="122" t="s">
        <v>1854</v>
      </c>
      <c r="C338" s="49"/>
      <c r="D338" s="48" t="s">
        <v>73</v>
      </c>
      <c r="E338" s="49"/>
      <c r="F338" s="50"/>
      <c r="G338" s="62"/>
      <c r="H338" s="48" t="s">
        <v>72</v>
      </c>
      <c r="I338" s="52">
        <v>1</v>
      </c>
      <c r="J338" s="52"/>
      <c r="K338" s="52" t="s">
        <v>73</v>
      </c>
      <c r="L338" s="52" t="s">
        <v>74</v>
      </c>
      <c r="M338" s="53" t="s">
        <v>942</v>
      </c>
      <c r="N338" s="58" t="s">
        <v>73</v>
      </c>
      <c r="O338" s="48" t="s">
        <v>72</v>
      </c>
      <c r="P338" s="48" t="s">
        <v>73</v>
      </c>
      <c r="Q338" s="54" t="s">
        <v>73</v>
      </c>
      <c r="R338" s="55" t="s">
        <v>73</v>
      </c>
      <c r="S338" s="48" t="s">
        <v>73</v>
      </c>
      <c r="T338" s="130"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8" t="str" cm="1">
        <f t="array" ref="U338">IF(SUMPRODUCT(--((CAT_Procesos!$E$2:$E$1581=O338)*(CAT_Procesos!$F$2:$F$1581=_xlfn.TEXTJOIN(" + ",TRUE,IF((TRIM(P338:S338)="")+(LOWER(TRIM(P338:S338))="(seleccione)"),"",PROPER(TRIM(P338:S338)))))*(CAT_Procesos!$D$2:$D$1581=IFERROR(VLOOKUP(N338&amp;"*",CAT_Procesos!$D:$D,1,FALSE),""))))=0,"Combinación no existente",IF(SUMPRODUCT(((CAT_Procesos!$E$2:$E$1581=O338)*(CAT_Procesos!$F$2:$F$1581=_xlfn.TEXTJOIN(" + ",TRUE,IF((TRIM(P338:S338)="")+(LOWER(TRIM(P338:S338))="(seleccione)"),"",PROPER(TRIM(P338:S338)))))*(CAT_Procesos!$D$2:$D$1581=IFERROR(VLOOKUP(N338&amp;"*",CAT_Procesos!$D:$D,1,FALSE),"")))*(CAT_Procesos!$G$2:$G$1581=INDEX(CAT_Procesos!$G$2:$G$1581,MATCH(1,(CAT_Procesos!$E$2:$E$1581=O338)*(CAT_Procesos!$F$2:$F$1581=_xlfn.TEXTJOIN(" + ",TRUE,IF((TRIM(P338:S338)="")+(LOWER(TRIM(P338:S338))="(seleccione)"),"",PROPER(TRIM(P338:S338)))))*(CAT_Procesos!$D$2:$D$1581=IFERROR(VLOOKUP(N338&amp;"*",CAT_Procesos!$D:$D,1,FALSE),"")),0))))=SUMPRODUCT(--((CAT_Procesos!$E$2:$E$1581=O338)*(CAT_Procesos!$F$2:$F$1581=_xlfn.TEXTJOIN(" + ",TRUE,IF((TRIM(P338:S338)="")+(LOWER(TRIM(P338:S338))="(seleccione)"),"",PROPER(TRIM(P338:S338)))))*(CAT_Procesos!$D$2:$D$1581=IFERROR(VLOOKUP(N338&amp;"*",CAT_Procesos!$D:$D,1,FALSE),"")))),INDEX(CAT_Procesos!$G$2:$G$1581,MATCH(1,(CAT_Procesos!$E$2:$E$1581=O338)*(CAT_Procesos!$F$2:$F$1581=_xlfn.TEXTJOIN(" + ",TRUE,IF((TRIM(P338:S338)="")+(LOWER(TRIM(P338:S338))="(seleccione)"),"",PROPER(TRIM(P338:S338)))))*(CAT_Procesos!$D$2:$D$1581=IFERROR(VLOOKUP(N338&amp;"*",CAT_Procesos!$D:$D,1,FALSE),"")),0)),"(seleccione)"))</f>
        <v>Combinación no existente</v>
      </c>
      <c r="V338" s="55" t="s">
        <v>73</v>
      </c>
      <c r="W338" s="56" t="s">
        <v>73</v>
      </c>
      <c r="X338" s="57" t="str">
        <f t="shared" si="20"/>
        <v/>
      </c>
      <c r="Y338" s="58" t="s">
        <v>73</v>
      </c>
      <c r="Z338" s="57" t="str">
        <f t="shared" si="21"/>
        <v/>
      </c>
      <c r="AA338" s="58" t="s">
        <v>73</v>
      </c>
      <c r="AB338" s="57" t="str">
        <f t="shared" si="22"/>
        <v/>
      </c>
      <c r="AC338" s="58" t="s">
        <v>73</v>
      </c>
      <c r="AD338" s="57" t="str">
        <f t="shared" si="23"/>
        <v/>
      </c>
      <c r="AE338" s="59"/>
      <c r="AF338" s="59"/>
      <c r="AG338" s="59"/>
      <c r="AH338" s="59"/>
      <c r="AI338" s="59" t="s">
        <v>73</v>
      </c>
      <c r="AJ338" s="59"/>
      <c r="AK338" s="59" t="s">
        <v>73</v>
      </c>
      <c r="AL338" s="59"/>
      <c r="AM338" s="59" t="s">
        <v>73</v>
      </c>
      <c r="AN338" s="59"/>
      <c r="AO338" s="59" t="s">
        <v>73</v>
      </c>
      <c r="AP338" s="59"/>
      <c r="AQ338" s="59" t="s">
        <v>73</v>
      </c>
      <c r="AR338" s="59"/>
      <c r="AS338" s="59" t="s">
        <v>72</v>
      </c>
      <c r="AT338" s="59"/>
      <c r="AU338" s="59"/>
      <c r="AV338" s="59"/>
      <c r="AW338" s="59"/>
      <c r="AX338" s="59"/>
      <c r="AY338" s="60" t="str">
        <f>IF('Cálculo MP'!K348="","",'Cálculo MP'!K348)</f>
        <v/>
      </c>
      <c r="AZ338" s="60" t="str">
        <f>IF('Cálculo MP'!L348="","",'Cálculo MP'!L348)</f>
        <v/>
      </c>
      <c r="BA338" s="60" t="str">
        <f>IF('Cálculo MP'!M348="","",'Cálculo MP'!M348)</f>
        <v/>
      </c>
      <c r="BB338" s="60" t="str">
        <f>IF('Cálculo MP'!N348="","",'Cálculo MP'!N348)</f>
        <v/>
      </c>
      <c r="BC338" s="60" t="str">
        <f>IF('Cálculo MP'!O348="","",'Cálculo MP'!O348)</f>
        <v/>
      </c>
      <c r="BD338" s="60" t="str">
        <f>IF('Cálculo MP'!P348="","",'Cálculo MP'!P348)</f>
        <v/>
      </c>
      <c r="BE338" s="60" t="str">
        <f>IF('Cálculo MP'!Q348="","",'Cálculo MP'!Q348)</f>
        <v/>
      </c>
      <c r="BF338" s="60" t="str">
        <f>IF('Cálculo MP'!R348="","",'Cálculo MP'!R348)</f>
        <v/>
      </c>
      <c r="BG338" s="60" t="str">
        <f>IF('Cálculo MP'!S348="","",'Cálculo MP'!S348)</f>
        <v/>
      </c>
      <c r="BH338" s="59"/>
      <c r="BI338" s="59"/>
      <c r="BJ338" s="59"/>
      <c r="BK338" s="59"/>
      <c r="BL338" s="59"/>
      <c r="BM338" s="59"/>
      <c r="BN338" s="59"/>
      <c r="BO338" s="59"/>
    </row>
    <row r="339" spans="1:67" ht="19.5" customHeight="1" x14ac:dyDescent="0.15">
      <c r="A339" s="123" t="s">
        <v>1856</v>
      </c>
      <c r="B339" s="122" t="s">
        <v>1854</v>
      </c>
      <c r="C339" s="49"/>
      <c r="D339" s="48" t="s">
        <v>73</v>
      </c>
      <c r="E339" s="49"/>
      <c r="F339" s="50"/>
      <c r="G339" s="62"/>
      <c r="H339" s="48" t="s">
        <v>72</v>
      </c>
      <c r="I339" s="52">
        <v>1</v>
      </c>
      <c r="J339" s="52"/>
      <c r="K339" s="52" t="s">
        <v>73</v>
      </c>
      <c r="L339" s="52" t="s">
        <v>74</v>
      </c>
      <c r="M339" s="53" t="s">
        <v>942</v>
      </c>
      <c r="N339" s="58" t="s">
        <v>73</v>
      </c>
      <c r="O339" s="48" t="s">
        <v>72</v>
      </c>
      <c r="P339" s="48" t="s">
        <v>73</v>
      </c>
      <c r="Q339" s="54" t="s">
        <v>73</v>
      </c>
      <c r="R339" s="55" t="s">
        <v>73</v>
      </c>
      <c r="S339" s="48" t="s">
        <v>73</v>
      </c>
      <c r="T339" s="130"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8" t="str" cm="1">
        <f t="array" ref="U339">IF(SUMPRODUCT(--((CAT_Procesos!$E$2:$E$1581=O339)*(CAT_Procesos!$F$2:$F$1581=_xlfn.TEXTJOIN(" + ",TRUE,IF((TRIM(P339:S339)="")+(LOWER(TRIM(P339:S339))="(seleccione)"),"",PROPER(TRIM(P339:S339)))))*(CAT_Procesos!$D$2:$D$1581=IFERROR(VLOOKUP(N339&amp;"*",CAT_Procesos!$D:$D,1,FALSE),""))))=0,"Combinación no existente",IF(SUMPRODUCT(((CAT_Procesos!$E$2:$E$1581=O339)*(CAT_Procesos!$F$2:$F$1581=_xlfn.TEXTJOIN(" + ",TRUE,IF((TRIM(P339:S339)="")+(LOWER(TRIM(P339:S339))="(seleccione)"),"",PROPER(TRIM(P339:S339)))))*(CAT_Procesos!$D$2:$D$1581=IFERROR(VLOOKUP(N339&amp;"*",CAT_Procesos!$D:$D,1,FALSE),"")))*(CAT_Procesos!$G$2:$G$1581=INDEX(CAT_Procesos!$G$2:$G$1581,MATCH(1,(CAT_Procesos!$E$2:$E$1581=O339)*(CAT_Procesos!$F$2:$F$1581=_xlfn.TEXTJOIN(" + ",TRUE,IF((TRIM(P339:S339)="")+(LOWER(TRIM(P339:S339))="(seleccione)"),"",PROPER(TRIM(P339:S339)))))*(CAT_Procesos!$D$2:$D$1581=IFERROR(VLOOKUP(N339&amp;"*",CAT_Procesos!$D:$D,1,FALSE),"")),0))))=SUMPRODUCT(--((CAT_Procesos!$E$2:$E$1581=O339)*(CAT_Procesos!$F$2:$F$1581=_xlfn.TEXTJOIN(" + ",TRUE,IF((TRIM(P339:S339)="")+(LOWER(TRIM(P339:S339))="(seleccione)"),"",PROPER(TRIM(P339:S339)))))*(CAT_Procesos!$D$2:$D$1581=IFERROR(VLOOKUP(N339&amp;"*",CAT_Procesos!$D:$D,1,FALSE),"")))),INDEX(CAT_Procesos!$G$2:$G$1581,MATCH(1,(CAT_Procesos!$E$2:$E$1581=O339)*(CAT_Procesos!$F$2:$F$1581=_xlfn.TEXTJOIN(" + ",TRUE,IF((TRIM(P339:S339)="")+(LOWER(TRIM(P339:S339))="(seleccione)"),"",PROPER(TRIM(P339:S339)))))*(CAT_Procesos!$D$2:$D$1581=IFERROR(VLOOKUP(N339&amp;"*",CAT_Procesos!$D:$D,1,FALSE),"")),0)),"(seleccione)"))</f>
        <v>Combinación no existente</v>
      </c>
      <c r="V339" s="55" t="s">
        <v>73</v>
      </c>
      <c r="W339" s="56" t="s">
        <v>73</v>
      </c>
      <c r="X339" s="57" t="str">
        <f t="shared" si="20"/>
        <v/>
      </c>
      <c r="Y339" s="58" t="s">
        <v>73</v>
      </c>
      <c r="Z339" s="57" t="str">
        <f t="shared" si="21"/>
        <v/>
      </c>
      <c r="AA339" s="58" t="s">
        <v>73</v>
      </c>
      <c r="AB339" s="57" t="str">
        <f t="shared" si="22"/>
        <v/>
      </c>
      <c r="AC339" s="58" t="s">
        <v>73</v>
      </c>
      <c r="AD339" s="57" t="str">
        <f t="shared" si="23"/>
        <v/>
      </c>
      <c r="AE339" s="59"/>
      <c r="AF339" s="59"/>
      <c r="AG339" s="59"/>
      <c r="AH339" s="59"/>
      <c r="AI339" s="59" t="s">
        <v>73</v>
      </c>
      <c r="AJ339" s="59"/>
      <c r="AK339" s="59" t="s">
        <v>73</v>
      </c>
      <c r="AL339" s="59"/>
      <c r="AM339" s="59" t="s">
        <v>73</v>
      </c>
      <c r="AN339" s="59"/>
      <c r="AO339" s="59" t="s">
        <v>73</v>
      </c>
      <c r="AP339" s="59"/>
      <c r="AQ339" s="59" t="s">
        <v>73</v>
      </c>
      <c r="AR339" s="59"/>
      <c r="AS339" s="59" t="s">
        <v>72</v>
      </c>
      <c r="AT339" s="59"/>
      <c r="AU339" s="59"/>
      <c r="AV339" s="59"/>
      <c r="AW339" s="59"/>
      <c r="AX339" s="59"/>
      <c r="AY339" s="60" t="str">
        <f>IF('Cálculo MP'!K349="","",'Cálculo MP'!K349)</f>
        <v/>
      </c>
      <c r="AZ339" s="60" t="str">
        <f>IF('Cálculo MP'!L349="","",'Cálculo MP'!L349)</f>
        <v/>
      </c>
      <c r="BA339" s="60" t="str">
        <f>IF('Cálculo MP'!M349="","",'Cálculo MP'!M349)</f>
        <v/>
      </c>
      <c r="BB339" s="60" t="str">
        <f>IF('Cálculo MP'!N349="","",'Cálculo MP'!N349)</f>
        <v/>
      </c>
      <c r="BC339" s="60" t="str">
        <f>IF('Cálculo MP'!O349="","",'Cálculo MP'!O349)</f>
        <v/>
      </c>
      <c r="BD339" s="60" t="str">
        <f>IF('Cálculo MP'!P349="","",'Cálculo MP'!P349)</f>
        <v/>
      </c>
      <c r="BE339" s="60" t="str">
        <f>IF('Cálculo MP'!Q349="","",'Cálculo MP'!Q349)</f>
        <v/>
      </c>
      <c r="BF339" s="60" t="str">
        <f>IF('Cálculo MP'!R349="","",'Cálculo MP'!R349)</f>
        <v/>
      </c>
      <c r="BG339" s="60" t="str">
        <f>IF('Cálculo MP'!S349="","",'Cálculo MP'!S349)</f>
        <v/>
      </c>
      <c r="BH339" s="59"/>
      <c r="BI339" s="59"/>
      <c r="BJ339" s="59"/>
      <c r="BK339" s="59"/>
      <c r="BL339" s="59"/>
      <c r="BM339" s="59"/>
      <c r="BN339" s="59"/>
      <c r="BO339" s="59"/>
    </row>
    <row r="340" spans="1:67" ht="19.5" customHeight="1" x14ac:dyDescent="0.15">
      <c r="A340" s="123" t="s">
        <v>1856</v>
      </c>
      <c r="B340" s="122" t="s">
        <v>1854</v>
      </c>
      <c r="C340" s="49"/>
      <c r="D340" s="48" t="s">
        <v>73</v>
      </c>
      <c r="E340" s="49"/>
      <c r="F340" s="50"/>
      <c r="G340" s="62"/>
      <c r="H340" s="48" t="s">
        <v>72</v>
      </c>
      <c r="I340" s="52">
        <v>1</v>
      </c>
      <c r="J340" s="52"/>
      <c r="K340" s="52" t="s">
        <v>73</v>
      </c>
      <c r="L340" s="52" t="s">
        <v>74</v>
      </c>
      <c r="M340" s="53" t="s">
        <v>942</v>
      </c>
      <c r="N340" s="58" t="s">
        <v>73</v>
      </c>
      <c r="O340" s="48" t="s">
        <v>72</v>
      </c>
      <c r="P340" s="48" t="s">
        <v>73</v>
      </c>
      <c r="Q340" s="54" t="s">
        <v>73</v>
      </c>
      <c r="R340" s="55" t="s">
        <v>73</v>
      </c>
      <c r="S340" s="48" t="s">
        <v>73</v>
      </c>
      <c r="T340" s="130"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8" t="str" cm="1">
        <f t="array" ref="U340">IF(SUMPRODUCT(--((CAT_Procesos!$E$2:$E$1581=O340)*(CAT_Procesos!$F$2:$F$1581=_xlfn.TEXTJOIN(" + ",TRUE,IF((TRIM(P340:S340)="")+(LOWER(TRIM(P340:S340))="(seleccione)"),"",PROPER(TRIM(P340:S340)))))*(CAT_Procesos!$D$2:$D$1581=IFERROR(VLOOKUP(N340&amp;"*",CAT_Procesos!$D:$D,1,FALSE),""))))=0,"Combinación no existente",IF(SUMPRODUCT(((CAT_Procesos!$E$2:$E$1581=O340)*(CAT_Procesos!$F$2:$F$1581=_xlfn.TEXTJOIN(" + ",TRUE,IF((TRIM(P340:S340)="")+(LOWER(TRIM(P340:S340))="(seleccione)"),"",PROPER(TRIM(P340:S340)))))*(CAT_Procesos!$D$2:$D$1581=IFERROR(VLOOKUP(N340&amp;"*",CAT_Procesos!$D:$D,1,FALSE),"")))*(CAT_Procesos!$G$2:$G$1581=INDEX(CAT_Procesos!$G$2:$G$1581,MATCH(1,(CAT_Procesos!$E$2:$E$1581=O340)*(CAT_Procesos!$F$2:$F$1581=_xlfn.TEXTJOIN(" + ",TRUE,IF((TRIM(P340:S340)="")+(LOWER(TRIM(P340:S340))="(seleccione)"),"",PROPER(TRIM(P340:S340)))))*(CAT_Procesos!$D$2:$D$1581=IFERROR(VLOOKUP(N340&amp;"*",CAT_Procesos!$D:$D,1,FALSE),"")),0))))=SUMPRODUCT(--((CAT_Procesos!$E$2:$E$1581=O340)*(CAT_Procesos!$F$2:$F$1581=_xlfn.TEXTJOIN(" + ",TRUE,IF((TRIM(P340:S340)="")+(LOWER(TRIM(P340:S340))="(seleccione)"),"",PROPER(TRIM(P340:S340)))))*(CAT_Procesos!$D$2:$D$1581=IFERROR(VLOOKUP(N340&amp;"*",CAT_Procesos!$D:$D,1,FALSE),"")))),INDEX(CAT_Procesos!$G$2:$G$1581,MATCH(1,(CAT_Procesos!$E$2:$E$1581=O340)*(CAT_Procesos!$F$2:$F$1581=_xlfn.TEXTJOIN(" + ",TRUE,IF((TRIM(P340:S340)="")+(LOWER(TRIM(P340:S340))="(seleccione)"),"",PROPER(TRIM(P340:S340)))))*(CAT_Procesos!$D$2:$D$1581=IFERROR(VLOOKUP(N340&amp;"*",CAT_Procesos!$D:$D,1,FALSE),"")),0)),"(seleccione)"))</f>
        <v>Combinación no existente</v>
      </c>
      <c r="V340" s="55" t="s">
        <v>73</v>
      </c>
      <c r="W340" s="56" t="s">
        <v>73</v>
      </c>
      <c r="X340" s="57" t="str">
        <f t="shared" si="20"/>
        <v/>
      </c>
      <c r="Y340" s="58" t="s">
        <v>73</v>
      </c>
      <c r="Z340" s="57" t="str">
        <f t="shared" si="21"/>
        <v/>
      </c>
      <c r="AA340" s="58" t="s">
        <v>73</v>
      </c>
      <c r="AB340" s="57" t="str">
        <f t="shared" si="22"/>
        <v/>
      </c>
      <c r="AC340" s="58" t="s">
        <v>73</v>
      </c>
      <c r="AD340" s="57" t="str">
        <f t="shared" si="23"/>
        <v/>
      </c>
      <c r="AE340" s="59"/>
      <c r="AF340" s="59"/>
      <c r="AG340" s="59"/>
      <c r="AH340" s="59"/>
      <c r="AI340" s="59" t="s">
        <v>73</v>
      </c>
      <c r="AJ340" s="59"/>
      <c r="AK340" s="59" t="s">
        <v>73</v>
      </c>
      <c r="AL340" s="59"/>
      <c r="AM340" s="59" t="s">
        <v>73</v>
      </c>
      <c r="AN340" s="59"/>
      <c r="AO340" s="59" t="s">
        <v>73</v>
      </c>
      <c r="AP340" s="59"/>
      <c r="AQ340" s="59" t="s">
        <v>73</v>
      </c>
      <c r="AR340" s="59"/>
      <c r="AS340" s="59" t="s">
        <v>72</v>
      </c>
      <c r="AT340" s="59"/>
      <c r="AU340" s="59"/>
      <c r="AV340" s="59"/>
      <c r="AW340" s="59"/>
      <c r="AX340" s="59"/>
      <c r="AY340" s="60" t="str">
        <f>IF('Cálculo MP'!K350="","",'Cálculo MP'!K350)</f>
        <v/>
      </c>
      <c r="AZ340" s="60" t="str">
        <f>IF('Cálculo MP'!L350="","",'Cálculo MP'!L350)</f>
        <v/>
      </c>
      <c r="BA340" s="60" t="str">
        <f>IF('Cálculo MP'!M350="","",'Cálculo MP'!M350)</f>
        <v/>
      </c>
      <c r="BB340" s="60" t="str">
        <f>IF('Cálculo MP'!N350="","",'Cálculo MP'!N350)</f>
        <v/>
      </c>
      <c r="BC340" s="60" t="str">
        <f>IF('Cálculo MP'!O350="","",'Cálculo MP'!O350)</f>
        <v/>
      </c>
      <c r="BD340" s="60" t="str">
        <f>IF('Cálculo MP'!P350="","",'Cálculo MP'!P350)</f>
        <v/>
      </c>
      <c r="BE340" s="60" t="str">
        <f>IF('Cálculo MP'!Q350="","",'Cálculo MP'!Q350)</f>
        <v/>
      </c>
      <c r="BF340" s="60" t="str">
        <f>IF('Cálculo MP'!R350="","",'Cálculo MP'!R350)</f>
        <v/>
      </c>
      <c r="BG340" s="60" t="str">
        <f>IF('Cálculo MP'!S350="","",'Cálculo MP'!S350)</f>
        <v/>
      </c>
      <c r="BH340" s="59"/>
      <c r="BI340" s="59"/>
      <c r="BJ340" s="59"/>
      <c r="BK340" s="59"/>
      <c r="BL340" s="59"/>
      <c r="BM340" s="59"/>
      <c r="BN340" s="59"/>
      <c r="BO340" s="59"/>
    </row>
    <row r="341" spans="1:67" ht="19.5" customHeight="1" x14ac:dyDescent="0.15">
      <c r="A341" s="123" t="s">
        <v>1856</v>
      </c>
      <c r="B341" s="122" t="s">
        <v>1854</v>
      </c>
      <c r="C341" s="49"/>
      <c r="D341" s="48" t="s">
        <v>73</v>
      </c>
      <c r="E341" s="49"/>
      <c r="F341" s="50"/>
      <c r="G341" s="62"/>
      <c r="H341" s="48" t="s">
        <v>72</v>
      </c>
      <c r="I341" s="52">
        <v>1</v>
      </c>
      <c r="J341" s="52"/>
      <c r="K341" s="52" t="s">
        <v>73</v>
      </c>
      <c r="L341" s="52" t="s">
        <v>74</v>
      </c>
      <c r="M341" s="53" t="s">
        <v>942</v>
      </c>
      <c r="N341" s="58" t="s">
        <v>73</v>
      </c>
      <c r="O341" s="48" t="s">
        <v>72</v>
      </c>
      <c r="P341" s="48" t="s">
        <v>73</v>
      </c>
      <c r="Q341" s="54" t="s">
        <v>73</v>
      </c>
      <c r="R341" s="55" t="s">
        <v>73</v>
      </c>
      <c r="S341" s="48" t="s">
        <v>73</v>
      </c>
      <c r="T341" s="130"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8" t="str" cm="1">
        <f t="array" ref="U341">IF(SUMPRODUCT(--((CAT_Procesos!$E$2:$E$1581=O341)*(CAT_Procesos!$F$2:$F$1581=_xlfn.TEXTJOIN(" + ",TRUE,IF((TRIM(P341:S341)="")+(LOWER(TRIM(P341:S341))="(seleccione)"),"",PROPER(TRIM(P341:S341)))))*(CAT_Procesos!$D$2:$D$1581=IFERROR(VLOOKUP(N341&amp;"*",CAT_Procesos!$D:$D,1,FALSE),""))))=0,"Combinación no existente",IF(SUMPRODUCT(((CAT_Procesos!$E$2:$E$1581=O341)*(CAT_Procesos!$F$2:$F$1581=_xlfn.TEXTJOIN(" + ",TRUE,IF((TRIM(P341:S341)="")+(LOWER(TRIM(P341:S341))="(seleccione)"),"",PROPER(TRIM(P341:S341)))))*(CAT_Procesos!$D$2:$D$1581=IFERROR(VLOOKUP(N341&amp;"*",CAT_Procesos!$D:$D,1,FALSE),"")))*(CAT_Procesos!$G$2:$G$1581=INDEX(CAT_Procesos!$G$2:$G$1581,MATCH(1,(CAT_Procesos!$E$2:$E$1581=O341)*(CAT_Procesos!$F$2:$F$1581=_xlfn.TEXTJOIN(" + ",TRUE,IF((TRIM(P341:S341)="")+(LOWER(TRIM(P341:S341))="(seleccione)"),"",PROPER(TRIM(P341:S341)))))*(CAT_Procesos!$D$2:$D$1581=IFERROR(VLOOKUP(N341&amp;"*",CAT_Procesos!$D:$D,1,FALSE),"")),0))))=SUMPRODUCT(--((CAT_Procesos!$E$2:$E$1581=O341)*(CAT_Procesos!$F$2:$F$1581=_xlfn.TEXTJOIN(" + ",TRUE,IF((TRIM(P341:S341)="")+(LOWER(TRIM(P341:S341))="(seleccione)"),"",PROPER(TRIM(P341:S341)))))*(CAT_Procesos!$D$2:$D$1581=IFERROR(VLOOKUP(N341&amp;"*",CAT_Procesos!$D:$D,1,FALSE),"")))),INDEX(CAT_Procesos!$G$2:$G$1581,MATCH(1,(CAT_Procesos!$E$2:$E$1581=O341)*(CAT_Procesos!$F$2:$F$1581=_xlfn.TEXTJOIN(" + ",TRUE,IF((TRIM(P341:S341)="")+(LOWER(TRIM(P341:S341))="(seleccione)"),"",PROPER(TRIM(P341:S341)))))*(CAT_Procesos!$D$2:$D$1581=IFERROR(VLOOKUP(N341&amp;"*",CAT_Procesos!$D:$D,1,FALSE),"")),0)),"(seleccione)"))</f>
        <v>Combinación no existente</v>
      </c>
      <c r="V341" s="55" t="s">
        <v>73</v>
      </c>
      <c r="W341" s="56" t="s">
        <v>73</v>
      </c>
      <c r="X341" s="57" t="str">
        <f t="shared" si="20"/>
        <v/>
      </c>
      <c r="Y341" s="58" t="s">
        <v>73</v>
      </c>
      <c r="Z341" s="57" t="str">
        <f t="shared" si="21"/>
        <v/>
      </c>
      <c r="AA341" s="58" t="s">
        <v>73</v>
      </c>
      <c r="AB341" s="57" t="str">
        <f t="shared" si="22"/>
        <v/>
      </c>
      <c r="AC341" s="58" t="s">
        <v>73</v>
      </c>
      <c r="AD341" s="57" t="str">
        <f t="shared" si="23"/>
        <v/>
      </c>
      <c r="AE341" s="59"/>
      <c r="AF341" s="59"/>
      <c r="AG341" s="59"/>
      <c r="AH341" s="59"/>
      <c r="AI341" s="59" t="s">
        <v>73</v>
      </c>
      <c r="AJ341" s="59"/>
      <c r="AK341" s="59" t="s">
        <v>73</v>
      </c>
      <c r="AL341" s="59"/>
      <c r="AM341" s="59" t="s">
        <v>73</v>
      </c>
      <c r="AN341" s="59"/>
      <c r="AO341" s="59" t="s">
        <v>73</v>
      </c>
      <c r="AP341" s="59"/>
      <c r="AQ341" s="59" t="s">
        <v>73</v>
      </c>
      <c r="AR341" s="59"/>
      <c r="AS341" s="59" t="s">
        <v>72</v>
      </c>
      <c r="AT341" s="59"/>
      <c r="AU341" s="59"/>
      <c r="AV341" s="59"/>
      <c r="AW341" s="59"/>
      <c r="AX341" s="59"/>
      <c r="AY341" s="60" t="str">
        <f>IF('Cálculo MP'!K351="","",'Cálculo MP'!K351)</f>
        <v/>
      </c>
      <c r="AZ341" s="60" t="str">
        <f>IF('Cálculo MP'!L351="","",'Cálculo MP'!L351)</f>
        <v/>
      </c>
      <c r="BA341" s="60" t="str">
        <f>IF('Cálculo MP'!M351="","",'Cálculo MP'!M351)</f>
        <v/>
      </c>
      <c r="BB341" s="60" t="str">
        <f>IF('Cálculo MP'!N351="","",'Cálculo MP'!N351)</f>
        <v/>
      </c>
      <c r="BC341" s="60" t="str">
        <f>IF('Cálculo MP'!O351="","",'Cálculo MP'!O351)</f>
        <v/>
      </c>
      <c r="BD341" s="60" t="str">
        <f>IF('Cálculo MP'!P351="","",'Cálculo MP'!P351)</f>
        <v/>
      </c>
      <c r="BE341" s="60" t="str">
        <f>IF('Cálculo MP'!Q351="","",'Cálculo MP'!Q351)</f>
        <v/>
      </c>
      <c r="BF341" s="60" t="str">
        <f>IF('Cálculo MP'!R351="","",'Cálculo MP'!R351)</f>
        <v/>
      </c>
      <c r="BG341" s="60" t="str">
        <f>IF('Cálculo MP'!S351="","",'Cálculo MP'!S351)</f>
        <v/>
      </c>
      <c r="BH341" s="59"/>
      <c r="BI341" s="59"/>
      <c r="BJ341" s="59"/>
      <c r="BK341" s="59"/>
      <c r="BL341" s="59"/>
      <c r="BM341" s="59"/>
      <c r="BN341" s="59"/>
      <c r="BO341" s="59"/>
    </row>
    <row r="342" spans="1:67" ht="19.5" customHeight="1" x14ac:dyDescent="0.15">
      <c r="A342" s="123" t="s">
        <v>1856</v>
      </c>
      <c r="B342" s="122" t="s">
        <v>1854</v>
      </c>
      <c r="C342" s="49"/>
      <c r="D342" s="48" t="s">
        <v>73</v>
      </c>
      <c r="E342" s="49"/>
      <c r="F342" s="50"/>
      <c r="G342" s="62"/>
      <c r="H342" s="48" t="s">
        <v>72</v>
      </c>
      <c r="I342" s="52">
        <v>1</v>
      </c>
      <c r="J342" s="52"/>
      <c r="K342" s="52" t="s">
        <v>73</v>
      </c>
      <c r="L342" s="52" t="s">
        <v>74</v>
      </c>
      <c r="M342" s="53" t="s">
        <v>942</v>
      </c>
      <c r="N342" s="58" t="s">
        <v>73</v>
      </c>
      <c r="O342" s="48" t="s">
        <v>72</v>
      </c>
      <c r="P342" s="48" t="s">
        <v>73</v>
      </c>
      <c r="Q342" s="54" t="s">
        <v>73</v>
      </c>
      <c r="R342" s="55" t="s">
        <v>73</v>
      </c>
      <c r="S342" s="48" t="s">
        <v>73</v>
      </c>
      <c r="T342" s="130"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8" t="str" cm="1">
        <f t="array" ref="U342">IF(SUMPRODUCT(--((CAT_Procesos!$E$2:$E$1581=O342)*(CAT_Procesos!$F$2:$F$1581=_xlfn.TEXTJOIN(" + ",TRUE,IF((TRIM(P342:S342)="")+(LOWER(TRIM(P342:S342))="(seleccione)"),"",PROPER(TRIM(P342:S342)))))*(CAT_Procesos!$D$2:$D$1581=IFERROR(VLOOKUP(N342&amp;"*",CAT_Procesos!$D:$D,1,FALSE),""))))=0,"Combinación no existente",IF(SUMPRODUCT(((CAT_Procesos!$E$2:$E$1581=O342)*(CAT_Procesos!$F$2:$F$1581=_xlfn.TEXTJOIN(" + ",TRUE,IF((TRIM(P342:S342)="")+(LOWER(TRIM(P342:S342))="(seleccione)"),"",PROPER(TRIM(P342:S342)))))*(CAT_Procesos!$D$2:$D$1581=IFERROR(VLOOKUP(N342&amp;"*",CAT_Procesos!$D:$D,1,FALSE),"")))*(CAT_Procesos!$G$2:$G$1581=INDEX(CAT_Procesos!$G$2:$G$1581,MATCH(1,(CAT_Procesos!$E$2:$E$1581=O342)*(CAT_Procesos!$F$2:$F$1581=_xlfn.TEXTJOIN(" + ",TRUE,IF((TRIM(P342:S342)="")+(LOWER(TRIM(P342:S342))="(seleccione)"),"",PROPER(TRIM(P342:S342)))))*(CAT_Procesos!$D$2:$D$1581=IFERROR(VLOOKUP(N342&amp;"*",CAT_Procesos!$D:$D,1,FALSE),"")),0))))=SUMPRODUCT(--((CAT_Procesos!$E$2:$E$1581=O342)*(CAT_Procesos!$F$2:$F$1581=_xlfn.TEXTJOIN(" + ",TRUE,IF((TRIM(P342:S342)="")+(LOWER(TRIM(P342:S342))="(seleccione)"),"",PROPER(TRIM(P342:S342)))))*(CAT_Procesos!$D$2:$D$1581=IFERROR(VLOOKUP(N342&amp;"*",CAT_Procesos!$D:$D,1,FALSE),"")))),INDEX(CAT_Procesos!$G$2:$G$1581,MATCH(1,(CAT_Procesos!$E$2:$E$1581=O342)*(CAT_Procesos!$F$2:$F$1581=_xlfn.TEXTJOIN(" + ",TRUE,IF((TRIM(P342:S342)="")+(LOWER(TRIM(P342:S342))="(seleccione)"),"",PROPER(TRIM(P342:S342)))))*(CAT_Procesos!$D$2:$D$1581=IFERROR(VLOOKUP(N342&amp;"*",CAT_Procesos!$D:$D,1,FALSE),"")),0)),"(seleccione)"))</f>
        <v>Combinación no existente</v>
      </c>
      <c r="V342" s="55" t="s">
        <v>73</v>
      </c>
      <c r="W342" s="56" t="s">
        <v>73</v>
      </c>
      <c r="X342" s="57" t="str">
        <f t="shared" si="20"/>
        <v/>
      </c>
      <c r="Y342" s="58" t="s">
        <v>73</v>
      </c>
      <c r="Z342" s="57" t="str">
        <f t="shared" si="21"/>
        <v/>
      </c>
      <c r="AA342" s="58" t="s">
        <v>73</v>
      </c>
      <c r="AB342" s="57" t="str">
        <f t="shared" si="22"/>
        <v/>
      </c>
      <c r="AC342" s="58" t="s">
        <v>73</v>
      </c>
      <c r="AD342" s="57" t="str">
        <f t="shared" si="23"/>
        <v/>
      </c>
      <c r="AE342" s="59"/>
      <c r="AF342" s="59"/>
      <c r="AG342" s="59"/>
      <c r="AH342" s="59"/>
      <c r="AI342" s="59" t="s">
        <v>73</v>
      </c>
      <c r="AJ342" s="59"/>
      <c r="AK342" s="59" t="s">
        <v>73</v>
      </c>
      <c r="AL342" s="59"/>
      <c r="AM342" s="59" t="s">
        <v>73</v>
      </c>
      <c r="AN342" s="59"/>
      <c r="AO342" s="59" t="s">
        <v>73</v>
      </c>
      <c r="AP342" s="59"/>
      <c r="AQ342" s="59" t="s">
        <v>73</v>
      </c>
      <c r="AR342" s="59"/>
      <c r="AS342" s="59" t="s">
        <v>72</v>
      </c>
      <c r="AT342" s="59"/>
      <c r="AU342" s="59"/>
      <c r="AV342" s="59"/>
      <c r="AW342" s="59"/>
      <c r="AX342" s="59"/>
      <c r="AY342" s="60" t="str">
        <f>IF('Cálculo MP'!K352="","",'Cálculo MP'!K352)</f>
        <v/>
      </c>
      <c r="AZ342" s="60" t="str">
        <f>IF('Cálculo MP'!L352="","",'Cálculo MP'!L352)</f>
        <v/>
      </c>
      <c r="BA342" s="60" t="str">
        <f>IF('Cálculo MP'!M352="","",'Cálculo MP'!M352)</f>
        <v/>
      </c>
      <c r="BB342" s="60" t="str">
        <f>IF('Cálculo MP'!N352="","",'Cálculo MP'!N352)</f>
        <v/>
      </c>
      <c r="BC342" s="60" t="str">
        <f>IF('Cálculo MP'!O352="","",'Cálculo MP'!O352)</f>
        <v/>
      </c>
      <c r="BD342" s="60" t="str">
        <f>IF('Cálculo MP'!P352="","",'Cálculo MP'!P352)</f>
        <v/>
      </c>
      <c r="BE342" s="60" t="str">
        <f>IF('Cálculo MP'!Q352="","",'Cálculo MP'!Q352)</f>
        <v/>
      </c>
      <c r="BF342" s="60" t="str">
        <f>IF('Cálculo MP'!R352="","",'Cálculo MP'!R352)</f>
        <v/>
      </c>
      <c r="BG342" s="60" t="str">
        <f>IF('Cálculo MP'!S352="","",'Cálculo MP'!S352)</f>
        <v/>
      </c>
      <c r="BH342" s="59"/>
      <c r="BI342" s="59"/>
      <c r="BJ342" s="59"/>
      <c r="BK342" s="59"/>
      <c r="BL342" s="59"/>
      <c r="BM342" s="59"/>
      <c r="BN342" s="59"/>
      <c r="BO342" s="59"/>
    </row>
    <row r="343" spans="1:67" ht="19.5" customHeight="1" x14ac:dyDescent="0.15">
      <c r="A343" s="123" t="s">
        <v>1856</v>
      </c>
      <c r="B343" s="122" t="s">
        <v>1854</v>
      </c>
      <c r="C343" s="49"/>
      <c r="D343" s="48" t="s">
        <v>73</v>
      </c>
      <c r="E343" s="49"/>
      <c r="F343" s="50"/>
      <c r="G343" s="62"/>
      <c r="H343" s="48" t="s">
        <v>72</v>
      </c>
      <c r="I343" s="52">
        <v>1</v>
      </c>
      <c r="J343" s="52"/>
      <c r="K343" s="52" t="s">
        <v>73</v>
      </c>
      <c r="L343" s="52" t="s">
        <v>74</v>
      </c>
      <c r="M343" s="53" t="s">
        <v>942</v>
      </c>
      <c r="N343" s="58" t="s">
        <v>73</v>
      </c>
      <c r="O343" s="48" t="s">
        <v>72</v>
      </c>
      <c r="P343" s="48" t="s">
        <v>73</v>
      </c>
      <c r="Q343" s="54" t="s">
        <v>73</v>
      </c>
      <c r="R343" s="55" t="s">
        <v>73</v>
      </c>
      <c r="S343" s="48" t="s">
        <v>73</v>
      </c>
      <c r="T343" s="130"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8" t="str" cm="1">
        <f t="array" ref="U343">IF(SUMPRODUCT(--((CAT_Procesos!$E$2:$E$1581=O343)*(CAT_Procesos!$F$2:$F$1581=_xlfn.TEXTJOIN(" + ",TRUE,IF((TRIM(P343:S343)="")+(LOWER(TRIM(P343:S343))="(seleccione)"),"",PROPER(TRIM(P343:S343)))))*(CAT_Procesos!$D$2:$D$1581=IFERROR(VLOOKUP(N343&amp;"*",CAT_Procesos!$D:$D,1,FALSE),""))))=0,"Combinación no existente",IF(SUMPRODUCT(((CAT_Procesos!$E$2:$E$1581=O343)*(CAT_Procesos!$F$2:$F$1581=_xlfn.TEXTJOIN(" + ",TRUE,IF((TRIM(P343:S343)="")+(LOWER(TRIM(P343:S343))="(seleccione)"),"",PROPER(TRIM(P343:S343)))))*(CAT_Procesos!$D$2:$D$1581=IFERROR(VLOOKUP(N343&amp;"*",CAT_Procesos!$D:$D,1,FALSE),"")))*(CAT_Procesos!$G$2:$G$1581=INDEX(CAT_Procesos!$G$2:$G$1581,MATCH(1,(CAT_Procesos!$E$2:$E$1581=O343)*(CAT_Procesos!$F$2:$F$1581=_xlfn.TEXTJOIN(" + ",TRUE,IF((TRIM(P343:S343)="")+(LOWER(TRIM(P343:S343))="(seleccione)"),"",PROPER(TRIM(P343:S343)))))*(CAT_Procesos!$D$2:$D$1581=IFERROR(VLOOKUP(N343&amp;"*",CAT_Procesos!$D:$D,1,FALSE),"")),0))))=SUMPRODUCT(--((CAT_Procesos!$E$2:$E$1581=O343)*(CAT_Procesos!$F$2:$F$1581=_xlfn.TEXTJOIN(" + ",TRUE,IF((TRIM(P343:S343)="")+(LOWER(TRIM(P343:S343))="(seleccione)"),"",PROPER(TRIM(P343:S343)))))*(CAT_Procesos!$D$2:$D$1581=IFERROR(VLOOKUP(N343&amp;"*",CAT_Procesos!$D:$D,1,FALSE),"")))),INDEX(CAT_Procesos!$G$2:$G$1581,MATCH(1,(CAT_Procesos!$E$2:$E$1581=O343)*(CAT_Procesos!$F$2:$F$1581=_xlfn.TEXTJOIN(" + ",TRUE,IF((TRIM(P343:S343)="")+(LOWER(TRIM(P343:S343))="(seleccione)"),"",PROPER(TRIM(P343:S343)))))*(CAT_Procesos!$D$2:$D$1581=IFERROR(VLOOKUP(N343&amp;"*",CAT_Procesos!$D:$D,1,FALSE),"")),0)),"(seleccione)"))</f>
        <v>Combinación no existente</v>
      </c>
      <c r="V343" s="55" t="s">
        <v>73</v>
      </c>
      <c r="W343" s="56" t="s">
        <v>73</v>
      </c>
      <c r="X343" s="57" t="str">
        <f t="shared" si="20"/>
        <v/>
      </c>
      <c r="Y343" s="58" t="s">
        <v>73</v>
      </c>
      <c r="Z343" s="57" t="str">
        <f t="shared" si="21"/>
        <v/>
      </c>
      <c r="AA343" s="58" t="s">
        <v>73</v>
      </c>
      <c r="AB343" s="57" t="str">
        <f t="shared" si="22"/>
        <v/>
      </c>
      <c r="AC343" s="58" t="s">
        <v>73</v>
      </c>
      <c r="AD343" s="57" t="str">
        <f t="shared" si="23"/>
        <v/>
      </c>
      <c r="AE343" s="59"/>
      <c r="AF343" s="59"/>
      <c r="AG343" s="59"/>
      <c r="AH343" s="59"/>
      <c r="AI343" s="59" t="s">
        <v>73</v>
      </c>
      <c r="AJ343" s="59"/>
      <c r="AK343" s="59" t="s">
        <v>73</v>
      </c>
      <c r="AL343" s="59"/>
      <c r="AM343" s="59" t="s">
        <v>73</v>
      </c>
      <c r="AN343" s="59"/>
      <c r="AO343" s="59" t="s">
        <v>73</v>
      </c>
      <c r="AP343" s="59"/>
      <c r="AQ343" s="59" t="s">
        <v>73</v>
      </c>
      <c r="AR343" s="59"/>
      <c r="AS343" s="59" t="s">
        <v>72</v>
      </c>
      <c r="AT343" s="59"/>
      <c r="AU343" s="59"/>
      <c r="AV343" s="59"/>
      <c r="AW343" s="59"/>
      <c r="AX343" s="59"/>
      <c r="AY343" s="60" t="str">
        <f>IF('Cálculo MP'!K353="","",'Cálculo MP'!K353)</f>
        <v/>
      </c>
      <c r="AZ343" s="60" t="str">
        <f>IF('Cálculo MP'!L353="","",'Cálculo MP'!L353)</f>
        <v/>
      </c>
      <c r="BA343" s="60" t="str">
        <f>IF('Cálculo MP'!M353="","",'Cálculo MP'!M353)</f>
        <v/>
      </c>
      <c r="BB343" s="60" t="str">
        <f>IF('Cálculo MP'!N353="","",'Cálculo MP'!N353)</f>
        <v/>
      </c>
      <c r="BC343" s="60" t="str">
        <f>IF('Cálculo MP'!O353="","",'Cálculo MP'!O353)</f>
        <v/>
      </c>
      <c r="BD343" s="60" t="str">
        <f>IF('Cálculo MP'!P353="","",'Cálculo MP'!P353)</f>
        <v/>
      </c>
      <c r="BE343" s="60" t="str">
        <f>IF('Cálculo MP'!Q353="","",'Cálculo MP'!Q353)</f>
        <v/>
      </c>
      <c r="BF343" s="60" t="str">
        <f>IF('Cálculo MP'!R353="","",'Cálculo MP'!R353)</f>
        <v/>
      </c>
      <c r="BG343" s="60" t="str">
        <f>IF('Cálculo MP'!S353="","",'Cálculo MP'!S353)</f>
        <v/>
      </c>
      <c r="BH343" s="59"/>
      <c r="BI343" s="59"/>
      <c r="BJ343" s="59"/>
      <c r="BK343" s="59"/>
      <c r="BL343" s="59"/>
      <c r="BM343" s="59"/>
      <c r="BN343" s="59"/>
      <c r="BO343" s="59"/>
    </row>
    <row r="344" spans="1:67" ht="19.5" customHeight="1" x14ac:dyDescent="0.15">
      <c r="A344" s="123" t="s">
        <v>1856</v>
      </c>
      <c r="B344" s="122" t="s">
        <v>1854</v>
      </c>
      <c r="C344" s="49"/>
      <c r="D344" s="48" t="s">
        <v>73</v>
      </c>
      <c r="E344" s="49"/>
      <c r="F344" s="50"/>
      <c r="G344" s="62"/>
      <c r="H344" s="48" t="s">
        <v>72</v>
      </c>
      <c r="I344" s="52">
        <v>1</v>
      </c>
      <c r="J344" s="52"/>
      <c r="K344" s="52" t="s">
        <v>73</v>
      </c>
      <c r="L344" s="52" t="s">
        <v>74</v>
      </c>
      <c r="M344" s="53" t="s">
        <v>942</v>
      </c>
      <c r="N344" s="58" t="s">
        <v>73</v>
      </c>
      <c r="O344" s="48" t="s">
        <v>72</v>
      </c>
      <c r="P344" s="48" t="s">
        <v>73</v>
      </c>
      <c r="Q344" s="54" t="s">
        <v>73</v>
      </c>
      <c r="R344" s="55" t="s">
        <v>73</v>
      </c>
      <c r="S344" s="48" t="s">
        <v>73</v>
      </c>
      <c r="T344" s="130"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8" t="str" cm="1">
        <f t="array" ref="U344">IF(SUMPRODUCT(--((CAT_Procesos!$E$2:$E$1581=O344)*(CAT_Procesos!$F$2:$F$1581=_xlfn.TEXTJOIN(" + ",TRUE,IF((TRIM(P344:S344)="")+(LOWER(TRIM(P344:S344))="(seleccione)"),"",PROPER(TRIM(P344:S344)))))*(CAT_Procesos!$D$2:$D$1581=IFERROR(VLOOKUP(N344&amp;"*",CAT_Procesos!$D:$D,1,FALSE),""))))=0,"Combinación no existente",IF(SUMPRODUCT(((CAT_Procesos!$E$2:$E$1581=O344)*(CAT_Procesos!$F$2:$F$1581=_xlfn.TEXTJOIN(" + ",TRUE,IF((TRIM(P344:S344)="")+(LOWER(TRIM(P344:S344))="(seleccione)"),"",PROPER(TRIM(P344:S344)))))*(CAT_Procesos!$D$2:$D$1581=IFERROR(VLOOKUP(N344&amp;"*",CAT_Procesos!$D:$D,1,FALSE),"")))*(CAT_Procesos!$G$2:$G$1581=INDEX(CAT_Procesos!$G$2:$G$1581,MATCH(1,(CAT_Procesos!$E$2:$E$1581=O344)*(CAT_Procesos!$F$2:$F$1581=_xlfn.TEXTJOIN(" + ",TRUE,IF((TRIM(P344:S344)="")+(LOWER(TRIM(P344:S344))="(seleccione)"),"",PROPER(TRIM(P344:S344)))))*(CAT_Procesos!$D$2:$D$1581=IFERROR(VLOOKUP(N344&amp;"*",CAT_Procesos!$D:$D,1,FALSE),"")),0))))=SUMPRODUCT(--((CAT_Procesos!$E$2:$E$1581=O344)*(CAT_Procesos!$F$2:$F$1581=_xlfn.TEXTJOIN(" + ",TRUE,IF((TRIM(P344:S344)="")+(LOWER(TRIM(P344:S344))="(seleccione)"),"",PROPER(TRIM(P344:S344)))))*(CAT_Procesos!$D$2:$D$1581=IFERROR(VLOOKUP(N344&amp;"*",CAT_Procesos!$D:$D,1,FALSE),"")))),INDEX(CAT_Procesos!$G$2:$G$1581,MATCH(1,(CAT_Procesos!$E$2:$E$1581=O344)*(CAT_Procesos!$F$2:$F$1581=_xlfn.TEXTJOIN(" + ",TRUE,IF((TRIM(P344:S344)="")+(LOWER(TRIM(P344:S344))="(seleccione)"),"",PROPER(TRIM(P344:S344)))))*(CAT_Procesos!$D$2:$D$1581=IFERROR(VLOOKUP(N344&amp;"*",CAT_Procesos!$D:$D,1,FALSE),"")),0)),"(seleccione)"))</f>
        <v>Combinación no existente</v>
      </c>
      <c r="V344" s="55" t="s">
        <v>73</v>
      </c>
      <c r="W344" s="56" t="s">
        <v>73</v>
      </c>
      <c r="X344" s="57" t="str">
        <f t="shared" si="20"/>
        <v/>
      </c>
      <c r="Y344" s="58" t="s">
        <v>73</v>
      </c>
      <c r="Z344" s="57" t="str">
        <f t="shared" si="21"/>
        <v/>
      </c>
      <c r="AA344" s="58" t="s">
        <v>73</v>
      </c>
      <c r="AB344" s="57" t="str">
        <f t="shared" si="22"/>
        <v/>
      </c>
      <c r="AC344" s="58" t="s">
        <v>73</v>
      </c>
      <c r="AD344" s="57" t="str">
        <f t="shared" si="23"/>
        <v/>
      </c>
      <c r="AE344" s="59"/>
      <c r="AF344" s="59"/>
      <c r="AG344" s="59"/>
      <c r="AH344" s="59"/>
      <c r="AI344" s="59" t="s">
        <v>73</v>
      </c>
      <c r="AJ344" s="59"/>
      <c r="AK344" s="59" t="s">
        <v>73</v>
      </c>
      <c r="AL344" s="59"/>
      <c r="AM344" s="59" t="s">
        <v>73</v>
      </c>
      <c r="AN344" s="59"/>
      <c r="AO344" s="59" t="s">
        <v>73</v>
      </c>
      <c r="AP344" s="59"/>
      <c r="AQ344" s="59" t="s">
        <v>73</v>
      </c>
      <c r="AR344" s="59"/>
      <c r="AS344" s="59" t="s">
        <v>72</v>
      </c>
      <c r="AT344" s="59"/>
      <c r="AU344" s="59"/>
      <c r="AV344" s="59"/>
      <c r="AW344" s="59"/>
      <c r="AX344" s="59"/>
      <c r="AY344" s="60" t="str">
        <f>IF('Cálculo MP'!K354="","",'Cálculo MP'!K354)</f>
        <v/>
      </c>
      <c r="AZ344" s="60" t="str">
        <f>IF('Cálculo MP'!L354="","",'Cálculo MP'!L354)</f>
        <v/>
      </c>
      <c r="BA344" s="60" t="str">
        <f>IF('Cálculo MP'!M354="","",'Cálculo MP'!M354)</f>
        <v/>
      </c>
      <c r="BB344" s="60" t="str">
        <f>IF('Cálculo MP'!N354="","",'Cálculo MP'!N354)</f>
        <v/>
      </c>
      <c r="BC344" s="60" t="str">
        <f>IF('Cálculo MP'!O354="","",'Cálculo MP'!O354)</f>
        <v/>
      </c>
      <c r="BD344" s="60" t="str">
        <f>IF('Cálculo MP'!P354="","",'Cálculo MP'!P354)</f>
        <v/>
      </c>
      <c r="BE344" s="60" t="str">
        <f>IF('Cálculo MP'!Q354="","",'Cálculo MP'!Q354)</f>
        <v/>
      </c>
      <c r="BF344" s="60" t="str">
        <f>IF('Cálculo MP'!R354="","",'Cálculo MP'!R354)</f>
        <v/>
      </c>
      <c r="BG344" s="60" t="str">
        <f>IF('Cálculo MP'!S354="","",'Cálculo MP'!S354)</f>
        <v/>
      </c>
      <c r="BH344" s="59"/>
      <c r="BI344" s="59"/>
      <c r="BJ344" s="59"/>
      <c r="BK344" s="59"/>
      <c r="BL344" s="59"/>
      <c r="BM344" s="59"/>
      <c r="BN344" s="59"/>
      <c r="BO344" s="59"/>
    </row>
    <row r="345" spans="1:67" ht="19.5" customHeight="1" x14ac:dyDescent="0.15">
      <c r="A345" s="123" t="s">
        <v>1856</v>
      </c>
      <c r="B345" s="122" t="s">
        <v>1854</v>
      </c>
      <c r="C345" s="49"/>
      <c r="D345" s="48" t="s">
        <v>73</v>
      </c>
      <c r="E345" s="49"/>
      <c r="F345" s="50"/>
      <c r="G345" s="62"/>
      <c r="H345" s="48" t="s">
        <v>72</v>
      </c>
      <c r="I345" s="52">
        <v>1</v>
      </c>
      <c r="J345" s="52"/>
      <c r="K345" s="52" t="s">
        <v>73</v>
      </c>
      <c r="L345" s="52" t="s">
        <v>74</v>
      </c>
      <c r="M345" s="53" t="s">
        <v>942</v>
      </c>
      <c r="N345" s="58" t="s">
        <v>73</v>
      </c>
      <c r="O345" s="48" t="s">
        <v>72</v>
      </c>
      <c r="P345" s="48" t="s">
        <v>73</v>
      </c>
      <c r="Q345" s="54" t="s">
        <v>73</v>
      </c>
      <c r="R345" s="55" t="s">
        <v>73</v>
      </c>
      <c r="S345" s="48" t="s">
        <v>73</v>
      </c>
      <c r="T345" s="130"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8" t="str" cm="1">
        <f t="array" ref="U345">IF(SUMPRODUCT(--((CAT_Procesos!$E$2:$E$1581=O345)*(CAT_Procesos!$F$2:$F$1581=_xlfn.TEXTJOIN(" + ",TRUE,IF((TRIM(P345:S345)="")+(LOWER(TRIM(P345:S345))="(seleccione)"),"",PROPER(TRIM(P345:S345)))))*(CAT_Procesos!$D$2:$D$1581=IFERROR(VLOOKUP(N345&amp;"*",CAT_Procesos!$D:$D,1,FALSE),""))))=0,"Combinación no existente",IF(SUMPRODUCT(((CAT_Procesos!$E$2:$E$1581=O345)*(CAT_Procesos!$F$2:$F$1581=_xlfn.TEXTJOIN(" + ",TRUE,IF((TRIM(P345:S345)="")+(LOWER(TRIM(P345:S345))="(seleccione)"),"",PROPER(TRIM(P345:S345)))))*(CAT_Procesos!$D$2:$D$1581=IFERROR(VLOOKUP(N345&amp;"*",CAT_Procesos!$D:$D,1,FALSE),"")))*(CAT_Procesos!$G$2:$G$1581=INDEX(CAT_Procesos!$G$2:$G$1581,MATCH(1,(CAT_Procesos!$E$2:$E$1581=O345)*(CAT_Procesos!$F$2:$F$1581=_xlfn.TEXTJOIN(" + ",TRUE,IF((TRIM(P345:S345)="")+(LOWER(TRIM(P345:S345))="(seleccione)"),"",PROPER(TRIM(P345:S345)))))*(CAT_Procesos!$D$2:$D$1581=IFERROR(VLOOKUP(N345&amp;"*",CAT_Procesos!$D:$D,1,FALSE),"")),0))))=SUMPRODUCT(--((CAT_Procesos!$E$2:$E$1581=O345)*(CAT_Procesos!$F$2:$F$1581=_xlfn.TEXTJOIN(" + ",TRUE,IF((TRIM(P345:S345)="")+(LOWER(TRIM(P345:S345))="(seleccione)"),"",PROPER(TRIM(P345:S345)))))*(CAT_Procesos!$D$2:$D$1581=IFERROR(VLOOKUP(N345&amp;"*",CAT_Procesos!$D:$D,1,FALSE),"")))),INDEX(CAT_Procesos!$G$2:$G$1581,MATCH(1,(CAT_Procesos!$E$2:$E$1581=O345)*(CAT_Procesos!$F$2:$F$1581=_xlfn.TEXTJOIN(" + ",TRUE,IF((TRIM(P345:S345)="")+(LOWER(TRIM(P345:S345))="(seleccione)"),"",PROPER(TRIM(P345:S345)))))*(CAT_Procesos!$D$2:$D$1581=IFERROR(VLOOKUP(N345&amp;"*",CAT_Procesos!$D:$D,1,FALSE),"")),0)),"(seleccione)"))</f>
        <v>Combinación no existente</v>
      </c>
      <c r="V345" s="55" t="s">
        <v>73</v>
      </c>
      <c r="W345" s="56" t="s">
        <v>73</v>
      </c>
      <c r="X345" s="57" t="str">
        <f t="shared" si="20"/>
        <v/>
      </c>
      <c r="Y345" s="58" t="s">
        <v>73</v>
      </c>
      <c r="Z345" s="57" t="str">
        <f t="shared" si="21"/>
        <v/>
      </c>
      <c r="AA345" s="58" t="s">
        <v>73</v>
      </c>
      <c r="AB345" s="57" t="str">
        <f t="shared" si="22"/>
        <v/>
      </c>
      <c r="AC345" s="58" t="s">
        <v>73</v>
      </c>
      <c r="AD345" s="57" t="str">
        <f t="shared" si="23"/>
        <v/>
      </c>
      <c r="AE345" s="59"/>
      <c r="AF345" s="59"/>
      <c r="AG345" s="59"/>
      <c r="AH345" s="59"/>
      <c r="AI345" s="59" t="s">
        <v>73</v>
      </c>
      <c r="AJ345" s="59"/>
      <c r="AK345" s="59" t="s">
        <v>73</v>
      </c>
      <c r="AL345" s="59"/>
      <c r="AM345" s="59" t="s">
        <v>73</v>
      </c>
      <c r="AN345" s="59"/>
      <c r="AO345" s="59" t="s">
        <v>73</v>
      </c>
      <c r="AP345" s="59"/>
      <c r="AQ345" s="59" t="s">
        <v>73</v>
      </c>
      <c r="AR345" s="59"/>
      <c r="AS345" s="59" t="s">
        <v>72</v>
      </c>
      <c r="AT345" s="59"/>
      <c r="AU345" s="59"/>
      <c r="AV345" s="59"/>
      <c r="AW345" s="59"/>
      <c r="AX345" s="59"/>
      <c r="AY345" s="60" t="str">
        <f>IF('Cálculo MP'!K355="","",'Cálculo MP'!K355)</f>
        <v/>
      </c>
      <c r="AZ345" s="60" t="str">
        <f>IF('Cálculo MP'!L355="","",'Cálculo MP'!L355)</f>
        <v/>
      </c>
      <c r="BA345" s="60" t="str">
        <f>IF('Cálculo MP'!M355="","",'Cálculo MP'!M355)</f>
        <v/>
      </c>
      <c r="BB345" s="60" t="str">
        <f>IF('Cálculo MP'!N355="","",'Cálculo MP'!N355)</f>
        <v/>
      </c>
      <c r="BC345" s="60" t="str">
        <f>IF('Cálculo MP'!O355="","",'Cálculo MP'!O355)</f>
        <v/>
      </c>
      <c r="BD345" s="60" t="str">
        <f>IF('Cálculo MP'!P355="","",'Cálculo MP'!P355)</f>
        <v/>
      </c>
      <c r="BE345" s="60" t="str">
        <f>IF('Cálculo MP'!Q355="","",'Cálculo MP'!Q355)</f>
        <v/>
      </c>
      <c r="BF345" s="60" t="str">
        <f>IF('Cálculo MP'!R355="","",'Cálculo MP'!R355)</f>
        <v/>
      </c>
      <c r="BG345" s="60" t="str">
        <f>IF('Cálculo MP'!S355="","",'Cálculo MP'!S355)</f>
        <v/>
      </c>
      <c r="BH345" s="59"/>
      <c r="BI345" s="59"/>
      <c r="BJ345" s="59"/>
      <c r="BK345" s="59"/>
      <c r="BL345" s="59"/>
      <c r="BM345" s="59"/>
      <c r="BN345" s="59"/>
      <c r="BO345" s="59"/>
    </row>
    <row r="346" spans="1:67" ht="19.5" customHeight="1" x14ac:dyDescent="0.15">
      <c r="A346" s="123" t="s">
        <v>1856</v>
      </c>
      <c r="B346" s="122" t="s">
        <v>1854</v>
      </c>
      <c r="C346" s="49"/>
      <c r="D346" s="48" t="s">
        <v>73</v>
      </c>
      <c r="E346" s="49"/>
      <c r="F346" s="50"/>
      <c r="G346" s="62"/>
      <c r="H346" s="48" t="s">
        <v>72</v>
      </c>
      <c r="I346" s="52">
        <v>1</v>
      </c>
      <c r="J346" s="52"/>
      <c r="K346" s="52" t="s">
        <v>73</v>
      </c>
      <c r="L346" s="52" t="s">
        <v>74</v>
      </c>
      <c r="M346" s="53" t="s">
        <v>942</v>
      </c>
      <c r="N346" s="58" t="s">
        <v>73</v>
      </c>
      <c r="O346" s="48" t="s">
        <v>72</v>
      </c>
      <c r="P346" s="48" t="s">
        <v>73</v>
      </c>
      <c r="Q346" s="54" t="s">
        <v>73</v>
      </c>
      <c r="R346" s="55" t="s">
        <v>73</v>
      </c>
      <c r="S346" s="48" t="s">
        <v>73</v>
      </c>
      <c r="T346" s="130"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8" t="str" cm="1">
        <f t="array" ref="U346">IF(SUMPRODUCT(--((CAT_Procesos!$E$2:$E$1581=O346)*(CAT_Procesos!$F$2:$F$1581=_xlfn.TEXTJOIN(" + ",TRUE,IF((TRIM(P346:S346)="")+(LOWER(TRIM(P346:S346))="(seleccione)"),"",PROPER(TRIM(P346:S346)))))*(CAT_Procesos!$D$2:$D$1581=IFERROR(VLOOKUP(N346&amp;"*",CAT_Procesos!$D:$D,1,FALSE),""))))=0,"Combinación no existente",IF(SUMPRODUCT(((CAT_Procesos!$E$2:$E$1581=O346)*(CAT_Procesos!$F$2:$F$1581=_xlfn.TEXTJOIN(" + ",TRUE,IF((TRIM(P346:S346)="")+(LOWER(TRIM(P346:S346))="(seleccione)"),"",PROPER(TRIM(P346:S346)))))*(CAT_Procesos!$D$2:$D$1581=IFERROR(VLOOKUP(N346&amp;"*",CAT_Procesos!$D:$D,1,FALSE),"")))*(CAT_Procesos!$G$2:$G$1581=INDEX(CAT_Procesos!$G$2:$G$1581,MATCH(1,(CAT_Procesos!$E$2:$E$1581=O346)*(CAT_Procesos!$F$2:$F$1581=_xlfn.TEXTJOIN(" + ",TRUE,IF((TRIM(P346:S346)="")+(LOWER(TRIM(P346:S346))="(seleccione)"),"",PROPER(TRIM(P346:S346)))))*(CAT_Procesos!$D$2:$D$1581=IFERROR(VLOOKUP(N346&amp;"*",CAT_Procesos!$D:$D,1,FALSE),"")),0))))=SUMPRODUCT(--((CAT_Procesos!$E$2:$E$1581=O346)*(CAT_Procesos!$F$2:$F$1581=_xlfn.TEXTJOIN(" + ",TRUE,IF((TRIM(P346:S346)="")+(LOWER(TRIM(P346:S346))="(seleccione)"),"",PROPER(TRIM(P346:S346)))))*(CAT_Procesos!$D$2:$D$1581=IFERROR(VLOOKUP(N346&amp;"*",CAT_Procesos!$D:$D,1,FALSE),"")))),INDEX(CAT_Procesos!$G$2:$G$1581,MATCH(1,(CAT_Procesos!$E$2:$E$1581=O346)*(CAT_Procesos!$F$2:$F$1581=_xlfn.TEXTJOIN(" + ",TRUE,IF((TRIM(P346:S346)="")+(LOWER(TRIM(P346:S346))="(seleccione)"),"",PROPER(TRIM(P346:S346)))))*(CAT_Procesos!$D$2:$D$1581=IFERROR(VLOOKUP(N346&amp;"*",CAT_Procesos!$D:$D,1,FALSE),"")),0)),"(seleccione)"))</f>
        <v>Combinación no existente</v>
      </c>
      <c r="V346" s="55" t="s">
        <v>73</v>
      </c>
      <c r="W346" s="56" t="s">
        <v>73</v>
      </c>
      <c r="X346" s="57" t="str">
        <f t="shared" si="20"/>
        <v/>
      </c>
      <c r="Y346" s="58" t="s">
        <v>73</v>
      </c>
      <c r="Z346" s="57" t="str">
        <f t="shared" si="21"/>
        <v/>
      </c>
      <c r="AA346" s="58" t="s">
        <v>73</v>
      </c>
      <c r="AB346" s="57" t="str">
        <f t="shared" si="22"/>
        <v/>
      </c>
      <c r="AC346" s="58" t="s">
        <v>73</v>
      </c>
      <c r="AD346" s="57" t="str">
        <f t="shared" si="23"/>
        <v/>
      </c>
      <c r="AE346" s="59"/>
      <c r="AF346" s="59"/>
      <c r="AG346" s="59"/>
      <c r="AH346" s="59"/>
      <c r="AI346" s="59" t="s">
        <v>73</v>
      </c>
      <c r="AJ346" s="59"/>
      <c r="AK346" s="59" t="s">
        <v>73</v>
      </c>
      <c r="AL346" s="59"/>
      <c r="AM346" s="59" t="s">
        <v>73</v>
      </c>
      <c r="AN346" s="59"/>
      <c r="AO346" s="59" t="s">
        <v>73</v>
      </c>
      <c r="AP346" s="59"/>
      <c r="AQ346" s="59" t="s">
        <v>73</v>
      </c>
      <c r="AR346" s="59"/>
      <c r="AS346" s="59" t="s">
        <v>72</v>
      </c>
      <c r="AT346" s="59"/>
      <c r="AU346" s="59"/>
      <c r="AV346" s="59"/>
      <c r="AW346" s="59"/>
      <c r="AX346" s="59"/>
      <c r="AY346" s="60" t="str">
        <f>IF('Cálculo MP'!K356="","",'Cálculo MP'!K356)</f>
        <v/>
      </c>
      <c r="AZ346" s="60" t="str">
        <f>IF('Cálculo MP'!L356="","",'Cálculo MP'!L356)</f>
        <v/>
      </c>
      <c r="BA346" s="60" t="str">
        <f>IF('Cálculo MP'!M356="","",'Cálculo MP'!M356)</f>
        <v/>
      </c>
      <c r="BB346" s="60" t="str">
        <f>IF('Cálculo MP'!N356="","",'Cálculo MP'!N356)</f>
        <v/>
      </c>
      <c r="BC346" s="60" t="str">
        <f>IF('Cálculo MP'!O356="","",'Cálculo MP'!O356)</f>
        <v/>
      </c>
      <c r="BD346" s="60" t="str">
        <f>IF('Cálculo MP'!P356="","",'Cálculo MP'!P356)</f>
        <v/>
      </c>
      <c r="BE346" s="60" t="str">
        <f>IF('Cálculo MP'!Q356="","",'Cálculo MP'!Q356)</f>
        <v/>
      </c>
      <c r="BF346" s="60" t="str">
        <f>IF('Cálculo MP'!R356="","",'Cálculo MP'!R356)</f>
        <v/>
      </c>
      <c r="BG346" s="60" t="str">
        <f>IF('Cálculo MP'!S356="","",'Cálculo MP'!S356)</f>
        <v/>
      </c>
      <c r="BH346" s="59"/>
      <c r="BI346" s="59"/>
      <c r="BJ346" s="59"/>
      <c r="BK346" s="59"/>
      <c r="BL346" s="59"/>
      <c r="BM346" s="59"/>
      <c r="BN346" s="59"/>
      <c r="BO346" s="59"/>
    </row>
    <row r="347" spans="1:67" ht="19.5" customHeight="1" x14ac:dyDescent="0.15">
      <c r="A347" s="123" t="s">
        <v>1856</v>
      </c>
      <c r="B347" s="122" t="s">
        <v>1854</v>
      </c>
      <c r="C347" s="49"/>
      <c r="D347" s="48" t="s">
        <v>73</v>
      </c>
      <c r="E347" s="49"/>
      <c r="F347" s="50"/>
      <c r="G347" s="62"/>
      <c r="H347" s="48" t="s">
        <v>72</v>
      </c>
      <c r="I347" s="52">
        <v>1</v>
      </c>
      <c r="J347" s="52"/>
      <c r="K347" s="52" t="s">
        <v>73</v>
      </c>
      <c r="L347" s="52" t="s">
        <v>74</v>
      </c>
      <c r="M347" s="53" t="s">
        <v>942</v>
      </c>
      <c r="N347" s="58" t="s">
        <v>73</v>
      </c>
      <c r="O347" s="48" t="s">
        <v>72</v>
      </c>
      <c r="P347" s="48" t="s">
        <v>73</v>
      </c>
      <c r="Q347" s="54" t="s">
        <v>73</v>
      </c>
      <c r="R347" s="55" t="s">
        <v>73</v>
      </c>
      <c r="S347" s="48" t="s">
        <v>73</v>
      </c>
      <c r="T347" s="130"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8" t="str" cm="1">
        <f t="array" ref="U347">IF(SUMPRODUCT(--((CAT_Procesos!$E$2:$E$1581=O347)*(CAT_Procesos!$F$2:$F$1581=_xlfn.TEXTJOIN(" + ",TRUE,IF((TRIM(P347:S347)="")+(LOWER(TRIM(P347:S347))="(seleccione)"),"",PROPER(TRIM(P347:S347)))))*(CAT_Procesos!$D$2:$D$1581=IFERROR(VLOOKUP(N347&amp;"*",CAT_Procesos!$D:$D,1,FALSE),""))))=0,"Combinación no existente",IF(SUMPRODUCT(((CAT_Procesos!$E$2:$E$1581=O347)*(CAT_Procesos!$F$2:$F$1581=_xlfn.TEXTJOIN(" + ",TRUE,IF((TRIM(P347:S347)="")+(LOWER(TRIM(P347:S347))="(seleccione)"),"",PROPER(TRIM(P347:S347)))))*(CAT_Procesos!$D$2:$D$1581=IFERROR(VLOOKUP(N347&amp;"*",CAT_Procesos!$D:$D,1,FALSE),"")))*(CAT_Procesos!$G$2:$G$1581=INDEX(CAT_Procesos!$G$2:$G$1581,MATCH(1,(CAT_Procesos!$E$2:$E$1581=O347)*(CAT_Procesos!$F$2:$F$1581=_xlfn.TEXTJOIN(" + ",TRUE,IF((TRIM(P347:S347)="")+(LOWER(TRIM(P347:S347))="(seleccione)"),"",PROPER(TRIM(P347:S347)))))*(CAT_Procesos!$D$2:$D$1581=IFERROR(VLOOKUP(N347&amp;"*",CAT_Procesos!$D:$D,1,FALSE),"")),0))))=SUMPRODUCT(--((CAT_Procesos!$E$2:$E$1581=O347)*(CAT_Procesos!$F$2:$F$1581=_xlfn.TEXTJOIN(" + ",TRUE,IF((TRIM(P347:S347)="")+(LOWER(TRIM(P347:S347))="(seleccione)"),"",PROPER(TRIM(P347:S347)))))*(CAT_Procesos!$D$2:$D$1581=IFERROR(VLOOKUP(N347&amp;"*",CAT_Procesos!$D:$D,1,FALSE),"")))),INDEX(CAT_Procesos!$G$2:$G$1581,MATCH(1,(CAT_Procesos!$E$2:$E$1581=O347)*(CAT_Procesos!$F$2:$F$1581=_xlfn.TEXTJOIN(" + ",TRUE,IF((TRIM(P347:S347)="")+(LOWER(TRIM(P347:S347))="(seleccione)"),"",PROPER(TRIM(P347:S347)))))*(CAT_Procesos!$D$2:$D$1581=IFERROR(VLOOKUP(N347&amp;"*",CAT_Procesos!$D:$D,1,FALSE),"")),0)),"(seleccione)"))</f>
        <v>Combinación no existente</v>
      </c>
      <c r="V347" s="55" t="s">
        <v>73</v>
      </c>
      <c r="W347" s="56" t="s">
        <v>73</v>
      </c>
      <c r="X347" s="57" t="str">
        <f t="shared" si="20"/>
        <v/>
      </c>
      <c r="Y347" s="58" t="s">
        <v>73</v>
      </c>
      <c r="Z347" s="57" t="str">
        <f t="shared" si="21"/>
        <v/>
      </c>
      <c r="AA347" s="58" t="s">
        <v>73</v>
      </c>
      <c r="AB347" s="57" t="str">
        <f t="shared" si="22"/>
        <v/>
      </c>
      <c r="AC347" s="58" t="s">
        <v>73</v>
      </c>
      <c r="AD347" s="57" t="str">
        <f t="shared" si="23"/>
        <v/>
      </c>
      <c r="AE347" s="59"/>
      <c r="AF347" s="59"/>
      <c r="AG347" s="59"/>
      <c r="AH347" s="59"/>
      <c r="AI347" s="59" t="s">
        <v>73</v>
      </c>
      <c r="AJ347" s="59"/>
      <c r="AK347" s="59" t="s">
        <v>73</v>
      </c>
      <c r="AL347" s="59"/>
      <c r="AM347" s="59" t="s">
        <v>73</v>
      </c>
      <c r="AN347" s="59"/>
      <c r="AO347" s="59" t="s">
        <v>73</v>
      </c>
      <c r="AP347" s="59"/>
      <c r="AQ347" s="59" t="s">
        <v>73</v>
      </c>
      <c r="AR347" s="59"/>
      <c r="AS347" s="59" t="s">
        <v>72</v>
      </c>
      <c r="AT347" s="59"/>
      <c r="AU347" s="59"/>
      <c r="AV347" s="59"/>
      <c r="AW347" s="59"/>
      <c r="AX347" s="59"/>
      <c r="AY347" s="60" t="str">
        <f>IF('Cálculo MP'!K357="","",'Cálculo MP'!K357)</f>
        <v/>
      </c>
      <c r="AZ347" s="60" t="str">
        <f>IF('Cálculo MP'!L357="","",'Cálculo MP'!L357)</f>
        <v/>
      </c>
      <c r="BA347" s="60" t="str">
        <f>IF('Cálculo MP'!M357="","",'Cálculo MP'!M357)</f>
        <v/>
      </c>
      <c r="BB347" s="60" t="str">
        <f>IF('Cálculo MP'!N357="","",'Cálculo MP'!N357)</f>
        <v/>
      </c>
      <c r="BC347" s="60" t="str">
        <f>IF('Cálculo MP'!O357="","",'Cálculo MP'!O357)</f>
        <v/>
      </c>
      <c r="BD347" s="60" t="str">
        <f>IF('Cálculo MP'!P357="","",'Cálculo MP'!P357)</f>
        <v/>
      </c>
      <c r="BE347" s="60" t="str">
        <f>IF('Cálculo MP'!Q357="","",'Cálculo MP'!Q357)</f>
        <v/>
      </c>
      <c r="BF347" s="60" t="str">
        <f>IF('Cálculo MP'!R357="","",'Cálculo MP'!R357)</f>
        <v/>
      </c>
      <c r="BG347" s="60" t="str">
        <f>IF('Cálculo MP'!S357="","",'Cálculo MP'!S357)</f>
        <v/>
      </c>
      <c r="BH347" s="59"/>
      <c r="BI347" s="59"/>
      <c r="BJ347" s="59"/>
      <c r="BK347" s="59"/>
      <c r="BL347" s="59"/>
      <c r="BM347" s="59"/>
      <c r="BN347" s="59"/>
      <c r="BO347" s="59"/>
    </row>
    <row r="348" spans="1:67" ht="19.5" customHeight="1" x14ac:dyDescent="0.15">
      <c r="A348" s="123" t="s">
        <v>1856</v>
      </c>
      <c r="B348" s="122" t="s">
        <v>1854</v>
      </c>
      <c r="C348" s="49"/>
      <c r="D348" s="48" t="s">
        <v>73</v>
      </c>
      <c r="E348" s="49"/>
      <c r="F348" s="50"/>
      <c r="G348" s="62"/>
      <c r="H348" s="48" t="s">
        <v>72</v>
      </c>
      <c r="I348" s="52">
        <v>1</v>
      </c>
      <c r="J348" s="52"/>
      <c r="K348" s="52" t="s">
        <v>73</v>
      </c>
      <c r="L348" s="52" t="s">
        <v>74</v>
      </c>
      <c r="M348" s="53" t="s">
        <v>942</v>
      </c>
      <c r="N348" s="58" t="s">
        <v>73</v>
      </c>
      <c r="O348" s="48" t="s">
        <v>72</v>
      </c>
      <c r="P348" s="48" t="s">
        <v>73</v>
      </c>
      <c r="Q348" s="54" t="s">
        <v>73</v>
      </c>
      <c r="R348" s="55" t="s">
        <v>73</v>
      </c>
      <c r="S348" s="48" t="s">
        <v>73</v>
      </c>
      <c r="T348" s="130"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8" t="str" cm="1">
        <f t="array" ref="U348">IF(SUMPRODUCT(--((CAT_Procesos!$E$2:$E$1581=O348)*(CAT_Procesos!$F$2:$F$1581=_xlfn.TEXTJOIN(" + ",TRUE,IF((TRIM(P348:S348)="")+(LOWER(TRIM(P348:S348))="(seleccione)"),"",PROPER(TRIM(P348:S348)))))*(CAT_Procesos!$D$2:$D$1581=IFERROR(VLOOKUP(N348&amp;"*",CAT_Procesos!$D:$D,1,FALSE),""))))=0,"Combinación no existente",IF(SUMPRODUCT(((CAT_Procesos!$E$2:$E$1581=O348)*(CAT_Procesos!$F$2:$F$1581=_xlfn.TEXTJOIN(" + ",TRUE,IF((TRIM(P348:S348)="")+(LOWER(TRIM(P348:S348))="(seleccione)"),"",PROPER(TRIM(P348:S348)))))*(CAT_Procesos!$D$2:$D$1581=IFERROR(VLOOKUP(N348&amp;"*",CAT_Procesos!$D:$D,1,FALSE),"")))*(CAT_Procesos!$G$2:$G$1581=INDEX(CAT_Procesos!$G$2:$G$1581,MATCH(1,(CAT_Procesos!$E$2:$E$1581=O348)*(CAT_Procesos!$F$2:$F$1581=_xlfn.TEXTJOIN(" + ",TRUE,IF((TRIM(P348:S348)="")+(LOWER(TRIM(P348:S348))="(seleccione)"),"",PROPER(TRIM(P348:S348)))))*(CAT_Procesos!$D$2:$D$1581=IFERROR(VLOOKUP(N348&amp;"*",CAT_Procesos!$D:$D,1,FALSE),"")),0))))=SUMPRODUCT(--((CAT_Procesos!$E$2:$E$1581=O348)*(CAT_Procesos!$F$2:$F$1581=_xlfn.TEXTJOIN(" + ",TRUE,IF((TRIM(P348:S348)="")+(LOWER(TRIM(P348:S348))="(seleccione)"),"",PROPER(TRIM(P348:S348)))))*(CAT_Procesos!$D$2:$D$1581=IFERROR(VLOOKUP(N348&amp;"*",CAT_Procesos!$D:$D,1,FALSE),"")))),INDEX(CAT_Procesos!$G$2:$G$1581,MATCH(1,(CAT_Procesos!$E$2:$E$1581=O348)*(CAT_Procesos!$F$2:$F$1581=_xlfn.TEXTJOIN(" + ",TRUE,IF((TRIM(P348:S348)="")+(LOWER(TRIM(P348:S348))="(seleccione)"),"",PROPER(TRIM(P348:S348)))))*(CAT_Procesos!$D$2:$D$1581=IFERROR(VLOOKUP(N348&amp;"*",CAT_Procesos!$D:$D,1,FALSE),"")),0)),"(seleccione)"))</f>
        <v>Combinación no existente</v>
      </c>
      <c r="V348" s="55" t="s">
        <v>73</v>
      </c>
      <c r="W348" s="56" t="s">
        <v>73</v>
      </c>
      <c r="X348" s="57" t="str">
        <f t="shared" si="20"/>
        <v/>
      </c>
      <c r="Y348" s="58" t="s">
        <v>73</v>
      </c>
      <c r="Z348" s="57" t="str">
        <f t="shared" si="21"/>
        <v/>
      </c>
      <c r="AA348" s="58" t="s">
        <v>73</v>
      </c>
      <c r="AB348" s="57" t="str">
        <f t="shared" si="22"/>
        <v/>
      </c>
      <c r="AC348" s="58" t="s">
        <v>73</v>
      </c>
      <c r="AD348" s="57" t="str">
        <f t="shared" si="23"/>
        <v/>
      </c>
      <c r="AE348" s="59"/>
      <c r="AF348" s="59"/>
      <c r="AG348" s="59"/>
      <c r="AH348" s="59"/>
      <c r="AI348" s="59" t="s">
        <v>73</v>
      </c>
      <c r="AJ348" s="59"/>
      <c r="AK348" s="59" t="s">
        <v>73</v>
      </c>
      <c r="AL348" s="59"/>
      <c r="AM348" s="59" t="s">
        <v>73</v>
      </c>
      <c r="AN348" s="59"/>
      <c r="AO348" s="59" t="s">
        <v>73</v>
      </c>
      <c r="AP348" s="59"/>
      <c r="AQ348" s="59" t="s">
        <v>73</v>
      </c>
      <c r="AR348" s="59"/>
      <c r="AS348" s="59" t="s">
        <v>72</v>
      </c>
      <c r="AT348" s="59"/>
      <c r="AU348" s="59"/>
      <c r="AV348" s="59"/>
      <c r="AW348" s="59"/>
      <c r="AX348" s="59"/>
      <c r="AY348" s="60" t="str">
        <f>IF('Cálculo MP'!K358="","",'Cálculo MP'!K358)</f>
        <v/>
      </c>
      <c r="AZ348" s="60" t="str">
        <f>IF('Cálculo MP'!L358="","",'Cálculo MP'!L358)</f>
        <v/>
      </c>
      <c r="BA348" s="60" t="str">
        <f>IF('Cálculo MP'!M358="","",'Cálculo MP'!M358)</f>
        <v/>
      </c>
      <c r="BB348" s="60" t="str">
        <f>IF('Cálculo MP'!N358="","",'Cálculo MP'!N358)</f>
        <v/>
      </c>
      <c r="BC348" s="60" t="str">
        <f>IF('Cálculo MP'!O358="","",'Cálculo MP'!O358)</f>
        <v/>
      </c>
      <c r="BD348" s="60" t="str">
        <f>IF('Cálculo MP'!P358="","",'Cálculo MP'!P358)</f>
        <v/>
      </c>
      <c r="BE348" s="60" t="str">
        <f>IF('Cálculo MP'!Q358="","",'Cálculo MP'!Q358)</f>
        <v/>
      </c>
      <c r="BF348" s="60" t="str">
        <f>IF('Cálculo MP'!R358="","",'Cálculo MP'!R358)</f>
        <v/>
      </c>
      <c r="BG348" s="60" t="str">
        <f>IF('Cálculo MP'!S358="","",'Cálculo MP'!S358)</f>
        <v/>
      </c>
      <c r="BH348" s="59"/>
      <c r="BI348" s="59"/>
      <c r="BJ348" s="59"/>
      <c r="BK348" s="59"/>
      <c r="BL348" s="59"/>
      <c r="BM348" s="59"/>
      <c r="BN348" s="59"/>
      <c r="BO348" s="59"/>
    </row>
    <row r="349" spans="1:67" ht="19.5" customHeight="1" x14ac:dyDescent="0.15">
      <c r="A349" s="123" t="s">
        <v>1856</v>
      </c>
      <c r="B349" s="122" t="s">
        <v>1854</v>
      </c>
      <c r="C349" s="49"/>
      <c r="D349" s="48" t="s">
        <v>73</v>
      </c>
      <c r="E349" s="49"/>
      <c r="F349" s="50"/>
      <c r="G349" s="62"/>
      <c r="H349" s="48" t="s">
        <v>72</v>
      </c>
      <c r="I349" s="52">
        <v>1</v>
      </c>
      <c r="J349" s="52"/>
      <c r="K349" s="52" t="s">
        <v>73</v>
      </c>
      <c r="L349" s="52" t="s">
        <v>74</v>
      </c>
      <c r="M349" s="53" t="s">
        <v>942</v>
      </c>
      <c r="N349" s="58" t="s">
        <v>73</v>
      </c>
      <c r="O349" s="48" t="s">
        <v>72</v>
      </c>
      <c r="P349" s="48" t="s">
        <v>73</v>
      </c>
      <c r="Q349" s="54" t="s">
        <v>73</v>
      </c>
      <c r="R349" s="55" t="s">
        <v>73</v>
      </c>
      <c r="S349" s="48" t="s">
        <v>73</v>
      </c>
      <c r="T349" s="130"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8" t="str" cm="1">
        <f t="array" ref="U349">IF(SUMPRODUCT(--((CAT_Procesos!$E$2:$E$1581=O349)*(CAT_Procesos!$F$2:$F$1581=_xlfn.TEXTJOIN(" + ",TRUE,IF((TRIM(P349:S349)="")+(LOWER(TRIM(P349:S349))="(seleccione)"),"",PROPER(TRIM(P349:S349)))))*(CAT_Procesos!$D$2:$D$1581=IFERROR(VLOOKUP(N349&amp;"*",CAT_Procesos!$D:$D,1,FALSE),""))))=0,"Combinación no existente",IF(SUMPRODUCT(((CAT_Procesos!$E$2:$E$1581=O349)*(CAT_Procesos!$F$2:$F$1581=_xlfn.TEXTJOIN(" + ",TRUE,IF((TRIM(P349:S349)="")+(LOWER(TRIM(P349:S349))="(seleccione)"),"",PROPER(TRIM(P349:S349)))))*(CAT_Procesos!$D$2:$D$1581=IFERROR(VLOOKUP(N349&amp;"*",CAT_Procesos!$D:$D,1,FALSE),"")))*(CAT_Procesos!$G$2:$G$1581=INDEX(CAT_Procesos!$G$2:$G$1581,MATCH(1,(CAT_Procesos!$E$2:$E$1581=O349)*(CAT_Procesos!$F$2:$F$1581=_xlfn.TEXTJOIN(" + ",TRUE,IF((TRIM(P349:S349)="")+(LOWER(TRIM(P349:S349))="(seleccione)"),"",PROPER(TRIM(P349:S349)))))*(CAT_Procesos!$D$2:$D$1581=IFERROR(VLOOKUP(N349&amp;"*",CAT_Procesos!$D:$D,1,FALSE),"")),0))))=SUMPRODUCT(--((CAT_Procesos!$E$2:$E$1581=O349)*(CAT_Procesos!$F$2:$F$1581=_xlfn.TEXTJOIN(" + ",TRUE,IF((TRIM(P349:S349)="")+(LOWER(TRIM(P349:S349))="(seleccione)"),"",PROPER(TRIM(P349:S349)))))*(CAT_Procesos!$D$2:$D$1581=IFERROR(VLOOKUP(N349&amp;"*",CAT_Procesos!$D:$D,1,FALSE),"")))),INDEX(CAT_Procesos!$G$2:$G$1581,MATCH(1,(CAT_Procesos!$E$2:$E$1581=O349)*(CAT_Procesos!$F$2:$F$1581=_xlfn.TEXTJOIN(" + ",TRUE,IF((TRIM(P349:S349)="")+(LOWER(TRIM(P349:S349))="(seleccione)"),"",PROPER(TRIM(P349:S349)))))*(CAT_Procesos!$D$2:$D$1581=IFERROR(VLOOKUP(N349&amp;"*",CAT_Procesos!$D:$D,1,FALSE),"")),0)),"(seleccione)"))</f>
        <v>Combinación no existente</v>
      </c>
      <c r="V349" s="55" t="s">
        <v>73</v>
      </c>
      <c r="W349" s="56" t="s">
        <v>73</v>
      </c>
      <c r="X349" s="57" t="str">
        <f t="shared" si="20"/>
        <v/>
      </c>
      <c r="Y349" s="58" t="s">
        <v>73</v>
      </c>
      <c r="Z349" s="57" t="str">
        <f t="shared" si="21"/>
        <v/>
      </c>
      <c r="AA349" s="58" t="s">
        <v>73</v>
      </c>
      <c r="AB349" s="57" t="str">
        <f t="shared" si="22"/>
        <v/>
      </c>
      <c r="AC349" s="58" t="s">
        <v>73</v>
      </c>
      <c r="AD349" s="57" t="str">
        <f t="shared" si="23"/>
        <v/>
      </c>
      <c r="AE349" s="59"/>
      <c r="AF349" s="59"/>
      <c r="AG349" s="59"/>
      <c r="AH349" s="59"/>
      <c r="AI349" s="59" t="s">
        <v>73</v>
      </c>
      <c r="AJ349" s="59"/>
      <c r="AK349" s="59" t="s">
        <v>73</v>
      </c>
      <c r="AL349" s="59"/>
      <c r="AM349" s="59" t="s">
        <v>73</v>
      </c>
      <c r="AN349" s="59"/>
      <c r="AO349" s="59" t="s">
        <v>73</v>
      </c>
      <c r="AP349" s="59"/>
      <c r="AQ349" s="59" t="s">
        <v>73</v>
      </c>
      <c r="AR349" s="59"/>
      <c r="AS349" s="59" t="s">
        <v>72</v>
      </c>
      <c r="AT349" s="59"/>
      <c r="AU349" s="59"/>
      <c r="AV349" s="59"/>
      <c r="AW349" s="59"/>
      <c r="AX349" s="59"/>
      <c r="AY349" s="60" t="str">
        <f>IF('Cálculo MP'!K359="","",'Cálculo MP'!K359)</f>
        <v/>
      </c>
      <c r="AZ349" s="60" t="str">
        <f>IF('Cálculo MP'!L359="","",'Cálculo MP'!L359)</f>
        <v/>
      </c>
      <c r="BA349" s="60" t="str">
        <f>IF('Cálculo MP'!M359="","",'Cálculo MP'!M359)</f>
        <v/>
      </c>
      <c r="BB349" s="60" t="str">
        <f>IF('Cálculo MP'!N359="","",'Cálculo MP'!N359)</f>
        <v/>
      </c>
      <c r="BC349" s="60" t="str">
        <f>IF('Cálculo MP'!O359="","",'Cálculo MP'!O359)</f>
        <v/>
      </c>
      <c r="BD349" s="60" t="str">
        <f>IF('Cálculo MP'!P359="","",'Cálculo MP'!P359)</f>
        <v/>
      </c>
      <c r="BE349" s="60" t="str">
        <f>IF('Cálculo MP'!Q359="","",'Cálculo MP'!Q359)</f>
        <v/>
      </c>
      <c r="BF349" s="60" t="str">
        <f>IF('Cálculo MP'!R359="","",'Cálculo MP'!R359)</f>
        <v/>
      </c>
      <c r="BG349" s="60" t="str">
        <f>IF('Cálculo MP'!S359="","",'Cálculo MP'!S359)</f>
        <v/>
      </c>
      <c r="BH349" s="59"/>
      <c r="BI349" s="59"/>
      <c r="BJ349" s="59"/>
      <c r="BK349" s="59"/>
      <c r="BL349" s="59"/>
      <c r="BM349" s="59"/>
      <c r="BN349" s="59"/>
      <c r="BO349" s="59"/>
    </row>
    <row r="350" spans="1:67" ht="19.5" customHeight="1" x14ac:dyDescent="0.15">
      <c r="A350" s="123" t="s">
        <v>1856</v>
      </c>
      <c r="B350" s="122" t="s">
        <v>1854</v>
      </c>
      <c r="C350" s="49"/>
      <c r="D350" s="48" t="s">
        <v>73</v>
      </c>
      <c r="E350" s="49"/>
      <c r="F350" s="50"/>
      <c r="G350" s="62"/>
      <c r="H350" s="48" t="s">
        <v>72</v>
      </c>
      <c r="I350" s="52">
        <v>1</v>
      </c>
      <c r="J350" s="52"/>
      <c r="K350" s="52" t="s">
        <v>73</v>
      </c>
      <c r="L350" s="52" t="s">
        <v>74</v>
      </c>
      <c r="M350" s="53" t="s">
        <v>942</v>
      </c>
      <c r="N350" s="58" t="s">
        <v>73</v>
      </c>
      <c r="O350" s="48" t="s">
        <v>72</v>
      </c>
      <c r="P350" s="48" t="s">
        <v>73</v>
      </c>
      <c r="Q350" s="54" t="s">
        <v>73</v>
      </c>
      <c r="R350" s="55" t="s">
        <v>73</v>
      </c>
      <c r="S350" s="48" t="s">
        <v>73</v>
      </c>
      <c r="T350" s="130"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8" t="str" cm="1">
        <f t="array" ref="U350">IF(SUMPRODUCT(--((CAT_Procesos!$E$2:$E$1581=O350)*(CAT_Procesos!$F$2:$F$1581=_xlfn.TEXTJOIN(" + ",TRUE,IF((TRIM(P350:S350)="")+(LOWER(TRIM(P350:S350))="(seleccione)"),"",PROPER(TRIM(P350:S350)))))*(CAT_Procesos!$D$2:$D$1581=IFERROR(VLOOKUP(N350&amp;"*",CAT_Procesos!$D:$D,1,FALSE),""))))=0,"Combinación no existente",IF(SUMPRODUCT(((CAT_Procesos!$E$2:$E$1581=O350)*(CAT_Procesos!$F$2:$F$1581=_xlfn.TEXTJOIN(" + ",TRUE,IF((TRIM(P350:S350)="")+(LOWER(TRIM(P350:S350))="(seleccione)"),"",PROPER(TRIM(P350:S350)))))*(CAT_Procesos!$D$2:$D$1581=IFERROR(VLOOKUP(N350&amp;"*",CAT_Procesos!$D:$D,1,FALSE),"")))*(CAT_Procesos!$G$2:$G$1581=INDEX(CAT_Procesos!$G$2:$G$1581,MATCH(1,(CAT_Procesos!$E$2:$E$1581=O350)*(CAT_Procesos!$F$2:$F$1581=_xlfn.TEXTJOIN(" + ",TRUE,IF((TRIM(P350:S350)="")+(LOWER(TRIM(P350:S350))="(seleccione)"),"",PROPER(TRIM(P350:S350)))))*(CAT_Procesos!$D$2:$D$1581=IFERROR(VLOOKUP(N350&amp;"*",CAT_Procesos!$D:$D,1,FALSE),"")),0))))=SUMPRODUCT(--((CAT_Procesos!$E$2:$E$1581=O350)*(CAT_Procesos!$F$2:$F$1581=_xlfn.TEXTJOIN(" + ",TRUE,IF((TRIM(P350:S350)="")+(LOWER(TRIM(P350:S350))="(seleccione)"),"",PROPER(TRIM(P350:S350)))))*(CAT_Procesos!$D$2:$D$1581=IFERROR(VLOOKUP(N350&amp;"*",CAT_Procesos!$D:$D,1,FALSE),"")))),INDEX(CAT_Procesos!$G$2:$G$1581,MATCH(1,(CAT_Procesos!$E$2:$E$1581=O350)*(CAT_Procesos!$F$2:$F$1581=_xlfn.TEXTJOIN(" + ",TRUE,IF((TRIM(P350:S350)="")+(LOWER(TRIM(P350:S350))="(seleccione)"),"",PROPER(TRIM(P350:S350)))))*(CAT_Procesos!$D$2:$D$1581=IFERROR(VLOOKUP(N350&amp;"*",CAT_Procesos!$D:$D,1,FALSE),"")),0)),"(seleccione)"))</f>
        <v>Combinación no existente</v>
      </c>
      <c r="V350" s="55" t="s">
        <v>73</v>
      </c>
      <c r="W350" s="56" t="s">
        <v>73</v>
      </c>
      <c r="X350" s="57" t="str">
        <f t="shared" si="20"/>
        <v/>
      </c>
      <c r="Y350" s="58" t="s">
        <v>73</v>
      </c>
      <c r="Z350" s="57" t="str">
        <f t="shared" si="21"/>
        <v/>
      </c>
      <c r="AA350" s="58" t="s">
        <v>73</v>
      </c>
      <c r="AB350" s="57" t="str">
        <f t="shared" si="22"/>
        <v/>
      </c>
      <c r="AC350" s="58" t="s">
        <v>73</v>
      </c>
      <c r="AD350" s="57" t="str">
        <f t="shared" si="23"/>
        <v/>
      </c>
      <c r="AE350" s="59"/>
      <c r="AF350" s="59"/>
      <c r="AG350" s="59"/>
      <c r="AH350" s="59"/>
      <c r="AI350" s="59" t="s">
        <v>73</v>
      </c>
      <c r="AJ350" s="59"/>
      <c r="AK350" s="59" t="s">
        <v>73</v>
      </c>
      <c r="AL350" s="59"/>
      <c r="AM350" s="59" t="s">
        <v>73</v>
      </c>
      <c r="AN350" s="59"/>
      <c r="AO350" s="59" t="s">
        <v>73</v>
      </c>
      <c r="AP350" s="59"/>
      <c r="AQ350" s="59" t="s">
        <v>73</v>
      </c>
      <c r="AR350" s="59"/>
      <c r="AS350" s="59" t="s">
        <v>72</v>
      </c>
      <c r="AT350" s="59"/>
      <c r="AU350" s="59"/>
      <c r="AV350" s="59"/>
      <c r="AW350" s="59"/>
      <c r="AX350" s="59"/>
      <c r="AY350" s="60" t="str">
        <f>IF('Cálculo MP'!K360="","",'Cálculo MP'!K360)</f>
        <v/>
      </c>
      <c r="AZ350" s="60" t="str">
        <f>IF('Cálculo MP'!L360="","",'Cálculo MP'!L360)</f>
        <v/>
      </c>
      <c r="BA350" s="60" t="str">
        <f>IF('Cálculo MP'!M360="","",'Cálculo MP'!M360)</f>
        <v/>
      </c>
      <c r="BB350" s="60" t="str">
        <f>IF('Cálculo MP'!N360="","",'Cálculo MP'!N360)</f>
        <v/>
      </c>
      <c r="BC350" s="60" t="str">
        <f>IF('Cálculo MP'!O360="","",'Cálculo MP'!O360)</f>
        <v/>
      </c>
      <c r="BD350" s="60" t="str">
        <f>IF('Cálculo MP'!P360="","",'Cálculo MP'!P360)</f>
        <v/>
      </c>
      <c r="BE350" s="60" t="str">
        <f>IF('Cálculo MP'!Q360="","",'Cálculo MP'!Q360)</f>
        <v/>
      </c>
      <c r="BF350" s="60" t="str">
        <f>IF('Cálculo MP'!R360="","",'Cálculo MP'!R360)</f>
        <v/>
      </c>
      <c r="BG350" s="60" t="str">
        <f>IF('Cálculo MP'!S360="","",'Cálculo MP'!S360)</f>
        <v/>
      </c>
      <c r="BH350" s="59"/>
      <c r="BI350" s="59"/>
      <c r="BJ350" s="59"/>
      <c r="BK350" s="59"/>
      <c r="BL350" s="59"/>
      <c r="BM350" s="59"/>
      <c r="BN350" s="59"/>
      <c r="BO350" s="59"/>
    </row>
    <row r="351" spans="1:67" ht="19.5" customHeight="1" x14ac:dyDescent="0.15">
      <c r="A351" s="123" t="s">
        <v>1856</v>
      </c>
      <c r="B351" s="122" t="s">
        <v>1854</v>
      </c>
      <c r="C351" s="49"/>
      <c r="D351" s="48" t="s">
        <v>73</v>
      </c>
      <c r="E351" s="49"/>
      <c r="F351" s="50"/>
      <c r="G351" s="62"/>
      <c r="H351" s="48" t="s">
        <v>72</v>
      </c>
      <c r="I351" s="52">
        <v>1</v>
      </c>
      <c r="J351" s="52"/>
      <c r="K351" s="52" t="s">
        <v>73</v>
      </c>
      <c r="L351" s="52" t="s">
        <v>74</v>
      </c>
      <c r="M351" s="53" t="s">
        <v>942</v>
      </c>
      <c r="N351" s="58" t="s">
        <v>73</v>
      </c>
      <c r="O351" s="48" t="s">
        <v>72</v>
      </c>
      <c r="P351" s="48" t="s">
        <v>73</v>
      </c>
      <c r="Q351" s="54" t="s">
        <v>73</v>
      </c>
      <c r="R351" s="55" t="s">
        <v>73</v>
      </c>
      <c r="S351" s="48" t="s">
        <v>73</v>
      </c>
      <c r="T351" s="130"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8" t="str" cm="1">
        <f t="array" ref="U351">IF(SUMPRODUCT(--((CAT_Procesos!$E$2:$E$1581=O351)*(CAT_Procesos!$F$2:$F$1581=_xlfn.TEXTJOIN(" + ",TRUE,IF((TRIM(P351:S351)="")+(LOWER(TRIM(P351:S351))="(seleccione)"),"",PROPER(TRIM(P351:S351)))))*(CAT_Procesos!$D$2:$D$1581=IFERROR(VLOOKUP(N351&amp;"*",CAT_Procesos!$D:$D,1,FALSE),""))))=0,"Combinación no existente",IF(SUMPRODUCT(((CAT_Procesos!$E$2:$E$1581=O351)*(CAT_Procesos!$F$2:$F$1581=_xlfn.TEXTJOIN(" + ",TRUE,IF((TRIM(P351:S351)="")+(LOWER(TRIM(P351:S351))="(seleccione)"),"",PROPER(TRIM(P351:S351)))))*(CAT_Procesos!$D$2:$D$1581=IFERROR(VLOOKUP(N351&amp;"*",CAT_Procesos!$D:$D,1,FALSE),"")))*(CAT_Procesos!$G$2:$G$1581=INDEX(CAT_Procesos!$G$2:$G$1581,MATCH(1,(CAT_Procesos!$E$2:$E$1581=O351)*(CAT_Procesos!$F$2:$F$1581=_xlfn.TEXTJOIN(" + ",TRUE,IF((TRIM(P351:S351)="")+(LOWER(TRIM(P351:S351))="(seleccione)"),"",PROPER(TRIM(P351:S351)))))*(CAT_Procesos!$D$2:$D$1581=IFERROR(VLOOKUP(N351&amp;"*",CAT_Procesos!$D:$D,1,FALSE),"")),0))))=SUMPRODUCT(--((CAT_Procesos!$E$2:$E$1581=O351)*(CAT_Procesos!$F$2:$F$1581=_xlfn.TEXTJOIN(" + ",TRUE,IF((TRIM(P351:S351)="")+(LOWER(TRIM(P351:S351))="(seleccione)"),"",PROPER(TRIM(P351:S351)))))*(CAT_Procesos!$D$2:$D$1581=IFERROR(VLOOKUP(N351&amp;"*",CAT_Procesos!$D:$D,1,FALSE),"")))),INDEX(CAT_Procesos!$G$2:$G$1581,MATCH(1,(CAT_Procesos!$E$2:$E$1581=O351)*(CAT_Procesos!$F$2:$F$1581=_xlfn.TEXTJOIN(" + ",TRUE,IF((TRIM(P351:S351)="")+(LOWER(TRIM(P351:S351))="(seleccione)"),"",PROPER(TRIM(P351:S351)))))*(CAT_Procesos!$D$2:$D$1581=IFERROR(VLOOKUP(N351&amp;"*",CAT_Procesos!$D:$D,1,FALSE),"")),0)),"(seleccione)"))</f>
        <v>Combinación no existente</v>
      </c>
      <c r="V351" s="55" t="s">
        <v>73</v>
      </c>
      <c r="W351" s="56" t="s">
        <v>73</v>
      </c>
      <c r="X351" s="57" t="str">
        <f t="shared" si="20"/>
        <v/>
      </c>
      <c r="Y351" s="58" t="s">
        <v>73</v>
      </c>
      <c r="Z351" s="57" t="str">
        <f t="shared" si="21"/>
        <v/>
      </c>
      <c r="AA351" s="58" t="s">
        <v>73</v>
      </c>
      <c r="AB351" s="57" t="str">
        <f t="shared" si="22"/>
        <v/>
      </c>
      <c r="AC351" s="58" t="s">
        <v>73</v>
      </c>
      <c r="AD351" s="57" t="str">
        <f t="shared" si="23"/>
        <v/>
      </c>
      <c r="AE351" s="59"/>
      <c r="AF351" s="59"/>
      <c r="AG351" s="59"/>
      <c r="AH351" s="59"/>
      <c r="AI351" s="59" t="s">
        <v>73</v>
      </c>
      <c r="AJ351" s="59"/>
      <c r="AK351" s="59" t="s">
        <v>73</v>
      </c>
      <c r="AL351" s="59"/>
      <c r="AM351" s="59" t="s">
        <v>73</v>
      </c>
      <c r="AN351" s="59"/>
      <c r="AO351" s="59" t="s">
        <v>73</v>
      </c>
      <c r="AP351" s="59"/>
      <c r="AQ351" s="59" t="s">
        <v>73</v>
      </c>
      <c r="AR351" s="59"/>
      <c r="AS351" s="59" t="s">
        <v>72</v>
      </c>
      <c r="AT351" s="59"/>
      <c r="AU351" s="59"/>
      <c r="AV351" s="59"/>
      <c r="AW351" s="59"/>
      <c r="AX351" s="59"/>
      <c r="AY351" s="60" t="str">
        <f>IF('Cálculo MP'!K361="","",'Cálculo MP'!K361)</f>
        <v/>
      </c>
      <c r="AZ351" s="60" t="str">
        <f>IF('Cálculo MP'!L361="","",'Cálculo MP'!L361)</f>
        <v/>
      </c>
      <c r="BA351" s="60" t="str">
        <f>IF('Cálculo MP'!M361="","",'Cálculo MP'!M361)</f>
        <v/>
      </c>
      <c r="BB351" s="60" t="str">
        <f>IF('Cálculo MP'!N361="","",'Cálculo MP'!N361)</f>
        <v/>
      </c>
      <c r="BC351" s="60" t="str">
        <f>IF('Cálculo MP'!O361="","",'Cálculo MP'!O361)</f>
        <v/>
      </c>
      <c r="BD351" s="60" t="str">
        <f>IF('Cálculo MP'!P361="","",'Cálculo MP'!P361)</f>
        <v/>
      </c>
      <c r="BE351" s="60" t="str">
        <f>IF('Cálculo MP'!Q361="","",'Cálculo MP'!Q361)</f>
        <v/>
      </c>
      <c r="BF351" s="60" t="str">
        <f>IF('Cálculo MP'!R361="","",'Cálculo MP'!R361)</f>
        <v/>
      </c>
      <c r="BG351" s="60" t="str">
        <f>IF('Cálculo MP'!S361="","",'Cálculo MP'!S361)</f>
        <v/>
      </c>
      <c r="BH351" s="59"/>
      <c r="BI351" s="59"/>
      <c r="BJ351" s="59"/>
      <c r="BK351" s="59"/>
      <c r="BL351" s="59"/>
      <c r="BM351" s="59"/>
      <c r="BN351" s="59"/>
      <c r="BO351" s="59"/>
    </row>
    <row r="352" spans="1:67" ht="19.5" customHeight="1" x14ac:dyDescent="0.15">
      <c r="A352" s="123" t="s">
        <v>1856</v>
      </c>
      <c r="B352" s="122" t="s">
        <v>1854</v>
      </c>
      <c r="C352" s="49"/>
      <c r="D352" s="48" t="s">
        <v>73</v>
      </c>
      <c r="E352" s="49"/>
      <c r="F352" s="50"/>
      <c r="G352" s="62"/>
      <c r="H352" s="48" t="s">
        <v>72</v>
      </c>
      <c r="I352" s="52">
        <v>1</v>
      </c>
      <c r="J352" s="52"/>
      <c r="K352" s="52" t="s">
        <v>73</v>
      </c>
      <c r="L352" s="52" t="s">
        <v>74</v>
      </c>
      <c r="M352" s="53" t="s">
        <v>942</v>
      </c>
      <c r="N352" s="58" t="s">
        <v>73</v>
      </c>
      <c r="O352" s="48" t="s">
        <v>72</v>
      </c>
      <c r="P352" s="48" t="s">
        <v>73</v>
      </c>
      <c r="Q352" s="54" t="s">
        <v>73</v>
      </c>
      <c r="R352" s="55" t="s">
        <v>73</v>
      </c>
      <c r="S352" s="48" t="s">
        <v>73</v>
      </c>
      <c r="T352" s="130"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8" t="str" cm="1">
        <f t="array" ref="U352">IF(SUMPRODUCT(--((CAT_Procesos!$E$2:$E$1581=O352)*(CAT_Procesos!$F$2:$F$1581=_xlfn.TEXTJOIN(" + ",TRUE,IF((TRIM(P352:S352)="")+(LOWER(TRIM(P352:S352))="(seleccione)"),"",PROPER(TRIM(P352:S352)))))*(CAT_Procesos!$D$2:$D$1581=IFERROR(VLOOKUP(N352&amp;"*",CAT_Procesos!$D:$D,1,FALSE),""))))=0,"Combinación no existente",IF(SUMPRODUCT(((CAT_Procesos!$E$2:$E$1581=O352)*(CAT_Procesos!$F$2:$F$1581=_xlfn.TEXTJOIN(" + ",TRUE,IF((TRIM(P352:S352)="")+(LOWER(TRIM(P352:S352))="(seleccione)"),"",PROPER(TRIM(P352:S352)))))*(CAT_Procesos!$D$2:$D$1581=IFERROR(VLOOKUP(N352&amp;"*",CAT_Procesos!$D:$D,1,FALSE),"")))*(CAT_Procesos!$G$2:$G$1581=INDEX(CAT_Procesos!$G$2:$G$1581,MATCH(1,(CAT_Procesos!$E$2:$E$1581=O352)*(CAT_Procesos!$F$2:$F$1581=_xlfn.TEXTJOIN(" + ",TRUE,IF((TRIM(P352:S352)="")+(LOWER(TRIM(P352:S352))="(seleccione)"),"",PROPER(TRIM(P352:S352)))))*(CAT_Procesos!$D$2:$D$1581=IFERROR(VLOOKUP(N352&amp;"*",CAT_Procesos!$D:$D,1,FALSE),"")),0))))=SUMPRODUCT(--((CAT_Procesos!$E$2:$E$1581=O352)*(CAT_Procesos!$F$2:$F$1581=_xlfn.TEXTJOIN(" + ",TRUE,IF((TRIM(P352:S352)="")+(LOWER(TRIM(P352:S352))="(seleccione)"),"",PROPER(TRIM(P352:S352)))))*(CAT_Procesos!$D$2:$D$1581=IFERROR(VLOOKUP(N352&amp;"*",CAT_Procesos!$D:$D,1,FALSE),"")))),INDEX(CAT_Procesos!$G$2:$G$1581,MATCH(1,(CAT_Procesos!$E$2:$E$1581=O352)*(CAT_Procesos!$F$2:$F$1581=_xlfn.TEXTJOIN(" + ",TRUE,IF((TRIM(P352:S352)="")+(LOWER(TRIM(P352:S352))="(seleccione)"),"",PROPER(TRIM(P352:S352)))))*(CAT_Procesos!$D$2:$D$1581=IFERROR(VLOOKUP(N352&amp;"*",CAT_Procesos!$D:$D,1,FALSE),"")),0)),"(seleccione)"))</f>
        <v>Combinación no existente</v>
      </c>
      <c r="V352" s="55" t="s">
        <v>73</v>
      </c>
      <c r="W352" s="56" t="s">
        <v>73</v>
      </c>
      <c r="X352" s="57" t="str">
        <f t="shared" si="20"/>
        <v/>
      </c>
      <c r="Y352" s="58" t="s">
        <v>73</v>
      </c>
      <c r="Z352" s="57" t="str">
        <f t="shared" si="21"/>
        <v/>
      </c>
      <c r="AA352" s="58" t="s">
        <v>73</v>
      </c>
      <c r="AB352" s="57" t="str">
        <f t="shared" si="22"/>
        <v/>
      </c>
      <c r="AC352" s="58" t="s">
        <v>73</v>
      </c>
      <c r="AD352" s="57" t="str">
        <f t="shared" si="23"/>
        <v/>
      </c>
      <c r="AE352" s="59"/>
      <c r="AF352" s="59"/>
      <c r="AG352" s="59"/>
      <c r="AH352" s="59"/>
      <c r="AI352" s="59" t="s">
        <v>73</v>
      </c>
      <c r="AJ352" s="59"/>
      <c r="AK352" s="59" t="s">
        <v>73</v>
      </c>
      <c r="AL352" s="59"/>
      <c r="AM352" s="59" t="s">
        <v>73</v>
      </c>
      <c r="AN352" s="59"/>
      <c r="AO352" s="59" t="s">
        <v>73</v>
      </c>
      <c r="AP352" s="59"/>
      <c r="AQ352" s="59" t="s">
        <v>73</v>
      </c>
      <c r="AR352" s="59"/>
      <c r="AS352" s="59" t="s">
        <v>72</v>
      </c>
      <c r="AT352" s="59"/>
      <c r="AU352" s="59"/>
      <c r="AV352" s="59"/>
      <c r="AW352" s="59"/>
      <c r="AX352" s="59"/>
      <c r="AY352" s="60" t="str">
        <f>IF('Cálculo MP'!K362="","",'Cálculo MP'!K362)</f>
        <v/>
      </c>
      <c r="AZ352" s="60" t="str">
        <f>IF('Cálculo MP'!L362="","",'Cálculo MP'!L362)</f>
        <v/>
      </c>
      <c r="BA352" s="60" t="str">
        <f>IF('Cálculo MP'!M362="","",'Cálculo MP'!M362)</f>
        <v/>
      </c>
      <c r="BB352" s="60" t="str">
        <f>IF('Cálculo MP'!N362="","",'Cálculo MP'!N362)</f>
        <v/>
      </c>
      <c r="BC352" s="60" t="str">
        <f>IF('Cálculo MP'!O362="","",'Cálculo MP'!O362)</f>
        <v/>
      </c>
      <c r="BD352" s="60" t="str">
        <f>IF('Cálculo MP'!P362="","",'Cálculo MP'!P362)</f>
        <v/>
      </c>
      <c r="BE352" s="60" t="str">
        <f>IF('Cálculo MP'!Q362="","",'Cálculo MP'!Q362)</f>
        <v/>
      </c>
      <c r="BF352" s="60" t="str">
        <f>IF('Cálculo MP'!R362="","",'Cálculo MP'!R362)</f>
        <v/>
      </c>
      <c r="BG352" s="60" t="str">
        <f>IF('Cálculo MP'!S362="","",'Cálculo MP'!S362)</f>
        <v/>
      </c>
      <c r="BH352" s="59"/>
      <c r="BI352" s="59"/>
      <c r="BJ352" s="59"/>
      <c r="BK352" s="59"/>
      <c r="BL352" s="59"/>
      <c r="BM352" s="59"/>
      <c r="BN352" s="59"/>
      <c r="BO352" s="59"/>
    </row>
    <row r="353" spans="1:67" ht="19.5" customHeight="1" x14ac:dyDescent="0.15">
      <c r="A353" s="123" t="s">
        <v>1856</v>
      </c>
      <c r="B353" s="122" t="s">
        <v>1854</v>
      </c>
      <c r="C353" s="49"/>
      <c r="D353" s="48" t="s">
        <v>73</v>
      </c>
      <c r="E353" s="49"/>
      <c r="F353" s="50"/>
      <c r="G353" s="62"/>
      <c r="H353" s="48" t="s">
        <v>72</v>
      </c>
      <c r="I353" s="52">
        <v>1</v>
      </c>
      <c r="J353" s="52"/>
      <c r="K353" s="52" t="s">
        <v>73</v>
      </c>
      <c r="L353" s="52" t="s">
        <v>74</v>
      </c>
      <c r="M353" s="53" t="s">
        <v>942</v>
      </c>
      <c r="N353" s="58" t="s">
        <v>73</v>
      </c>
      <c r="O353" s="48" t="s">
        <v>72</v>
      </c>
      <c r="P353" s="48" t="s">
        <v>73</v>
      </c>
      <c r="Q353" s="54" t="s">
        <v>73</v>
      </c>
      <c r="R353" s="55" t="s">
        <v>73</v>
      </c>
      <c r="S353" s="48" t="s">
        <v>73</v>
      </c>
      <c r="T353" s="130"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8" t="str" cm="1">
        <f t="array" ref="U353">IF(SUMPRODUCT(--((CAT_Procesos!$E$2:$E$1581=O353)*(CAT_Procesos!$F$2:$F$1581=_xlfn.TEXTJOIN(" + ",TRUE,IF((TRIM(P353:S353)="")+(LOWER(TRIM(P353:S353))="(seleccione)"),"",PROPER(TRIM(P353:S353)))))*(CAT_Procesos!$D$2:$D$1581=IFERROR(VLOOKUP(N353&amp;"*",CAT_Procesos!$D:$D,1,FALSE),""))))=0,"Combinación no existente",IF(SUMPRODUCT(((CAT_Procesos!$E$2:$E$1581=O353)*(CAT_Procesos!$F$2:$F$1581=_xlfn.TEXTJOIN(" + ",TRUE,IF((TRIM(P353:S353)="")+(LOWER(TRIM(P353:S353))="(seleccione)"),"",PROPER(TRIM(P353:S353)))))*(CAT_Procesos!$D$2:$D$1581=IFERROR(VLOOKUP(N353&amp;"*",CAT_Procesos!$D:$D,1,FALSE),"")))*(CAT_Procesos!$G$2:$G$1581=INDEX(CAT_Procesos!$G$2:$G$1581,MATCH(1,(CAT_Procesos!$E$2:$E$1581=O353)*(CAT_Procesos!$F$2:$F$1581=_xlfn.TEXTJOIN(" + ",TRUE,IF((TRIM(P353:S353)="")+(LOWER(TRIM(P353:S353))="(seleccione)"),"",PROPER(TRIM(P353:S353)))))*(CAT_Procesos!$D$2:$D$1581=IFERROR(VLOOKUP(N353&amp;"*",CAT_Procesos!$D:$D,1,FALSE),"")),0))))=SUMPRODUCT(--((CAT_Procesos!$E$2:$E$1581=O353)*(CAT_Procesos!$F$2:$F$1581=_xlfn.TEXTJOIN(" + ",TRUE,IF((TRIM(P353:S353)="")+(LOWER(TRIM(P353:S353))="(seleccione)"),"",PROPER(TRIM(P353:S353)))))*(CAT_Procesos!$D$2:$D$1581=IFERROR(VLOOKUP(N353&amp;"*",CAT_Procesos!$D:$D,1,FALSE),"")))),INDEX(CAT_Procesos!$G$2:$G$1581,MATCH(1,(CAT_Procesos!$E$2:$E$1581=O353)*(CAT_Procesos!$F$2:$F$1581=_xlfn.TEXTJOIN(" + ",TRUE,IF((TRIM(P353:S353)="")+(LOWER(TRIM(P353:S353))="(seleccione)"),"",PROPER(TRIM(P353:S353)))))*(CAT_Procesos!$D$2:$D$1581=IFERROR(VLOOKUP(N353&amp;"*",CAT_Procesos!$D:$D,1,FALSE),"")),0)),"(seleccione)"))</f>
        <v>Combinación no existente</v>
      </c>
      <c r="V353" s="55" t="s">
        <v>73</v>
      </c>
      <c r="W353" s="56" t="s">
        <v>73</v>
      </c>
      <c r="X353" s="57" t="str">
        <f t="shared" si="20"/>
        <v/>
      </c>
      <c r="Y353" s="58" t="s">
        <v>73</v>
      </c>
      <c r="Z353" s="57" t="str">
        <f t="shared" si="21"/>
        <v/>
      </c>
      <c r="AA353" s="58" t="s">
        <v>73</v>
      </c>
      <c r="AB353" s="57" t="str">
        <f t="shared" si="22"/>
        <v/>
      </c>
      <c r="AC353" s="58" t="s">
        <v>73</v>
      </c>
      <c r="AD353" s="57" t="str">
        <f t="shared" si="23"/>
        <v/>
      </c>
      <c r="AE353" s="59"/>
      <c r="AF353" s="59"/>
      <c r="AG353" s="59"/>
      <c r="AH353" s="59"/>
      <c r="AI353" s="59" t="s">
        <v>73</v>
      </c>
      <c r="AJ353" s="59"/>
      <c r="AK353" s="59" t="s">
        <v>73</v>
      </c>
      <c r="AL353" s="59"/>
      <c r="AM353" s="59" t="s">
        <v>73</v>
      </c>
      <c r="AN353" s="59"/>
      <c r="AO353" s="59" t="s">
        <v>73</v>
      </c>
      <c r="AP353" s="59"/>
      <c r="AQ353" s="59" t="s">
        <v>73</v>
      </c>
      <c r="AR353" s="59"/>
      <c r="AS353" s="59" t="s">
        <v>72</v>
      </c>
      <c r="AT353" s="59"/>
      <c r="AU353" s="59"/>
      <c r="AV353" s="59"/>
      <c r="AW353" s="59"/>
      <c r="AX353" s="59"/>
      <c r="AY353" s="60" t="str">
        <f>IF('Cálculo MP'!K363="","",'Cálculo MP'!K363)</f>
        <v/>
      </c>
      <c r="AZ353" s="60" t="str">
        <f>IF('Cálculo MP'!L363="","",'Cálculo MP'!L363)</f>
        <v/>
      </c>
      <c r="BA353" s="60" t="str">
        <f>IF('Cálculo MP'!M363="","",'Cálculo MP'!M363)</f>
        <v/>
      </c>
      <c r="BB353" s="60" t="str">
        <f>IF('Cálculo MP'!N363="","",'Cálculo MP'!N363)</f>
        <v/>
      </c>
      <c r="BC353" s="60" t="str">
        <f>IF('Cálculo MP'!O363="","",'Cálculo MP'!O363)</f>
        <v/>
      </c>
      <c r="BD353" s="60" t="str">
        <f>IF('Cálculo MP'!P363="","",'Cálculo MP'!P363)</f>
        <v/>
      </c>
      <c r="BE353" s="60" t="str">
        <f>IF('Cálculo MP'!Q363="","",'Cálculo MP'!Q363)</f>
        <v/>
      </c>
      <c r="BF353" s="60" t="str">
        <f>IF('Cálculo MP'!R363="","",'Cálculo MP'!R363)</f>
        <v/>
      </c>
      <c r="BG353" s="60" t="str">
        <f>IF('Cálculo MP'!S363="","",'Cálculo MP'!S363)</f>
        <v/>
      </c>
      <c r="BH353" s="59"/>
      <c r="BI353" s="59"/>
      <c r="BJ353" s="59"/>
      <c r="BK353" s="59"/>
      <c r="BL353" s="59"/>
      <c r="BM353" s="59"/>
      <c r="BN353" s="59"/>
      <c r="BO353" s="59"/>
    </row>
    <row r="354" spans="1:67" ht="19.5" customHeight="1" x14ac:dyDescent="0.15">
      <c r="A354" s="123" t="s">
        <v>1856</v>
      </c>
      <c r="B354" s="122" t="s">
        <v>1854</v>
      </c>
      <c r="C354" s="49"/>
      <c r="D354" s="48" t="s">
        <v>73</v>
      </c>
      <c r="E354" s="49"/>
      <c r="F354" s="50"/>
      <c r="G354" s="62"/>
      <c r="H354" s="48" t="s">
        <v>72</v>
      </c>
      <c r="I354" s="52">
        <v>1</v>
      </c>
      <c r="J354" s="52"/>
      <c r="K354" s="52" t="s">
        <v>73</v>
      </c>
      <c r="L354" s="52" t="s">
        <v>74</v>
      </c>
      <c r="M354" s="53" t="s">
        <v>942</v>
      </c>
      <c r="N354" s="58" t="s">
        <v>73</v>
      </c>
      <c r="O354" s="48" t="s">
        <v>72</v>
      </c>
      <c r="P354" s="48" t="s">
        <v>73</v>
      </c>
      <c r="Q354" s="54" t="s">
        <v>73</v>
      </c>
      <c r="R354" s="55" t="s">
        <v>73</v>
      </c>
      <c r="S354" s="48" t="s">
        <v>73</v>
      </c>
      <c r="T354" s="130"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8" t="str" cm="1">
        <f t="array" ref="U354">IF(SUMPRODUCT(--((CAT_Procesos!$E$2:$E$1581=O354)*(CAT_Procesos!$F$2:$F$1581=_xlfn.TEXTJOIN(" + ",TRUE,IF((TRIM(P354:S354)="")+(LOWER(TRIM(P354:S354))="(seleccione)"),"",PROPER(TRIM(P354:S354)))))*(CAT_Procesos!$D$2:$D$1581=IFERROR(VLOOKUP(N354&amp;"*",CAT_Procesos!$D:$D,1,FALSE),""))))=0,"Combinación no existente",IF(SUMPRODUCT(((CAT_Procesos!$E$2:$E$1581=O354)*(CAT_Procesos!$F$2:$F$1581=_xlfn.TEXTJOIN(" + ",TRUE,IF((TRIM(P354:S354)="")+(LOWER(TRIM(P354:S354))="(seleccione)"),"",PROPER(TRIM(P354:S354)))))*(CAT_Procesos!$D$2:$D$1581=IFERROR(VLOOKUP(N354&amp;"*",CAT_Procesos!$D:$D,1,FALSE),"")))*(CAT_Procesos!$G$2:$G$1581=INDEX(CAT_Procesos!$G$2:$G$1581,MATCH(1,(CAT_Procesos!$E$2:$E$1581=O354)*(CAT_Procesos!$F$2:$F$1581=_xlfn.TEXTJOIN(" + ",TRUE,IF((TRIM(P354:S354)="")+(LOWER(TRIM(P354:S354))="(seleccione)"),"",PROPER(TRIM(P354:S354)))))*(CAT_Procesos!$D$2:$D$1581=IFERROR(VLOOKUP(N354&amp;"*",CAT_Procesos!$D:$D,1,FALSE),"")),0))))=SUMPRODUCT(--((CAT_Procesos!$E$2:$E$1581=O354)*(CAT_Procesos!$F$2:$F$1581=_xlfn.TEXTJOIN(" + ",TRUE,IF((TRIM(P354:S354)="")+(LOWER(TRIM(P354:S354))="(seleccione)"),"",PROPER(TRIM(P354:S354)))))*(CAT_Procesos!$D$2:$D$1581=IFERROR(VLOOKUP(N354&amp;"*",CAT_Procesos!$D:$D,1,FALSE),"")))),INDEX(CAT_Procesos!$G$2:$G$1581,MATCH(1,(CAT_Procesos!$E$2:$E$1581=O354)*(CAT_Procesos!$F$2:$F$1581=_xlfn.TEXTJOIN(" + ",TRUE,IF((TRIM(P354:S354)="")+(LOWER(TRIM(P354:S354))="(seleccione)"),"",PROPER(TRIM(P354:S354)))))*(CAT_Procesos!$D$2:$D$1581=IFERROR(VLOOKUP(N354&amp;"*",CAT_Procesos!$D:$D,1,FALSE),"")),0)),"(seleccione)"))</f>
        <v>Combinación no existente</v>
      </c>
      <c r="V354" s="55" t="s">
        <v>73</v>
      </c>
      <c r="W354" s="56" t="s">
        <v>73</v>
      </c>
      <c r="X354" s="57" t="str">
        <f t="shared" si="20"/>
        <v/>
      </c>
      <c r="Y354" s="58" t="s">
        <v>73</v>
      </c>
      <c r="Z354" s="57" t="str">
        <f t="shared" si="21"/>
        <v/>
      </c>
      <c r="AA354" s="58" t="s">
        <v>73</v>
      </c>
      <c r="AB354" s="57" t="str">
        <f t="shared" si="22"/>
        <v/>
      </c>
      <c r="AC354" s="58" t="s">
        <v>73</v>
      </c>
      <c r="AD354" s="57" t="str">
        <f t="shared" si="23"/>
        <v/>
      </c>
      <c r="AE354" s="59"/>
      <c r="AF354" s="59"/>
      <c r="AG354" s="59"/>
      <c r="AH354" s="59"/>
      <c r="AI354" s="59" t="s">
        <v>73</v>
      </c>
      <c r="AJ354" s="59"/>
      <c r="AK354" s="59" t="s">
        <v>73</v>
      </c>
      <c r="AL354" s="59"/>
      <c r="AM354" s="59" t="s">
        <v>73</v>
      </c>
      <c r="AN354" s="59"/>
      <c r="AO354" s="59" t="s">
        <v>73</v>
      </c>
      <c r="AP354" s="59"/>
      <c r="AQ354" s="59" t="s">
        <v>73</v>
      </c>
      <c r="AR354" s="59"/>
      <c r="AS354" s="59" t="s">
        <v>72</v>
      </c>
      <c r="AT354" s="59"/>
      <c r="AU354" s="59"/>
      <c r="AV354" s="59"/>
      <c r="AW354" s="59"/>
      <c r="AX354" s="59"/>
      <c r="AY354" s="60" t="str">
        <f>IF('Cálculo MP'!K364="","",'Cálculo MP'!K364)</f>
        <v/>
      </c>
      <c r="AZ354" s="60" t="str">
        <f>IF('Cálculo MP'!L364="","",'Cálculo MP'!L364)</f>
        <v/>
      </c>
      <c r="BA354" s="60" t="str">
        <f>IF('Cálculo MP'!M364="","",'Cálculo MP'!M364)</f>
        <v/>
      </c>
      <c r="BB354" s="60" t="str">
        <f>IF('Cálculo MP'!N364="","",'Cálculo MP'!N364)</f>
        <v/>
      </c>
      <c r="BC354" s="60" t="str">
        <f>IF('Cálculo MP'!O364="","",'Cálculo MP'!O364)</f>
        <v/>
      </c>
      <c r="BD354" s="60" t="str">
        <f>IF('Cálculo MP'!P364="","",'Cálculo MP'!P364)</f>
        <v/>
      </c>
      <c r="BE354" s="60" t="str">
        <f>IF('Cálculo MP'!Q364="","",'Cálculo MP'!Q364)</f>
        <v/>
      </c>
      <c r="BF354" s="60" t="str">
        <f>IF('Cálculo MP'!R364="","",'Cálculo MP'!R364)</f>
        <v/>
      </c>
      <c r="BG354" s="60" t="str">
        <f>IF('Cálculo MP'!S364="","",'Cálculo MP'!S364)</f>
        <v/>
      </c>
      <c r="BH354" s="59"/>
      <c r="BI354" s="59"/>
      <c r="BJ354" s="59"/>
      <c r="BK354" s="59"/>
      <c r="BL354" s="59"/>
      <c r="BM354" s="59"/>
      <c r="BN354" s="59"/>
      <c r="BO354" s="59"/>
    </row>
    <row r="355" spans="1:67" ht="19.5" customHeight="1" x14ac:dyDescent="0.15">
      <c r="A355" s="123" t="s">
        <v>1856</v>
      </c>
      <c r="B355" s="122" t="s">
        <v>1854</v>
      </c>
      <c r="C355" s="49"/>
      <c r="D355" s="48" t="s">
        <v>73</v>
      </c>
      <c r="E355" s="49"/>
      <c r="F355" s="50"/>
      <c r="G355" s="62"/>
      <c r="H355" s="48" t="s">
        <v>72</v>
      </c>
      <c r="I355" s="52">
        <v>1</v>
      </c>
      <c r="J355" s="52"/>
      <c r="K355" s="52" t="s">
        <v>73</v>
      </c>
      <c r="L355" s="52" t="s">
        <v>74</v>
      </c>
      <c r="M355" s="53" t="s">
        <v>942</v>
      </c>
      <c r="N355" s="58" t="s">
        <v>73</v>
      </c>
      <c r="O355" s="48" t="s">
        <v>72</v>
      </c>
      <c r="P355" s="48" t="s">
        <v>73</v>
      </c>
      <c r="Q355" s="54" t="s">
        <v>73</v>
      </c>
      <c r="R355" s="55" t="s">
        <v>73</v>
      </c>
      <c r="S355" s="48" t="s">
        <v>73</v>
      </c>
      <c r="T355" s="130"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8" t="str" cm="1">
        <f t="array" ref="U355">IF(SUMPRODUCT(--((CAT_Procesos!$E$2:$E$1581=O355)*(CAT_Procesos!$F$2:$F$1581=_xlfn.TEXTJOIN(" + ",TRUE,IF((TRIM(P355:S355)="")+(LOWER(TRIM(P355:S355))="(seleccione)"),"",PROPER(TRIM(P355:S355)))))*(CAT_Procesos!$D$2:$D$1581=IFERROR(VLOOKUP(N355&amp;"*",CAT_Procesos!$D:$D,1,FALSE),""))))=0,"Combinación no existente",IF(SUMPRODUCT(((CAT_Procesos!$E$2:$E$1581=O355)*(CAT_Procesos!$F$2:$F$1581=_xlfn.TEXTJOIN(" + ",TRUE,IF((TRIM(P355:S355)="")+(LOWER(TRIM(P355:S355))="(seleccione)"),"",PROPER(TRIM(P355:S355)))))*(CAT_Procesos!$D$2:$D$1581=IFERROR(VLOOKUP(N355&amp;"*",CAT_Procesos!$D:$D,1,FALSE),"")))*(CAT_Procesos!$G$2:$G$1581=INDEX(CAT_Procesos!$G$2:$G$1581,MATCH(1,(CAT_Procesos!$E$2:$E$1581=O355)*(CAT_Procesos!$F$2:$F$1581=_xlfn.TEXTJOIN(" + ",TRUE,IF((TRIM(P355:S355)="")+(LOWER(TRIM(P355:S355))="(seleccione)"),"",PROPER(TRIM(P355:S355)))))*(CAT_Procesos!$D$2:$D$1581=IFERROR(VLOOKUP(N355&amp;"*",CAT_Procesos!$D:$D,1,FALSE),"")),0))))=SUMPRODUCT(--((CAT_Procesos!$E$2:$E$1581=O355)*(CAT_Procesos!$F$2:$F$1581=_xlfn.TEXTJOIN(" + ",TRUE,IF((TRIM(P355:S355)="")+(LOWER(TRIM(P355:S355))="(seleccione)"),"",PROPER(TRIM(P355:S355)))))*(CAT_Procesos!$D$2:$D$1581=IFERROR(VLOOKUP(N355&amp;"*",CAT_Procesos!$D:$D,1,FALSE),"")))),INDEX(CAT_Procesos!$G$2:$G$1581,MATCH(1,(CAT_Procesos!$E$2:$E$1581=O355)*(CAT_Procesos!$F$2:$F$1581=_xlfn.TEXTJOIN(" + ",TRUE,IF((TRIM(P355:S355)="")+(LOWER(TRIM(P355:S355))="(seleccione)"),"",PROPER(TRIM(P355:S355)))))*(CAT_Procesos!$D$2:$D$1581=IFERROR(VLOOKUP(N355&amp;"*",CAT_Procesos!$D:$D,1,FALSE),"")),0)),"(seleccione)"))</f>
        <v>Combinación no existente</v>
      </c>
      <c r="V355" s="55" t="s">
        <v>73</v>
      </c>
      <c r="W355" s="56" t="s">
        <v>73</v>
      </c>
      <c r="X355" s="57" t="str">
        <f t="shared" si="20"/>
        <v/>
      </c>
      <c r="Y355" s="58" t="s">
        <v>73</v>
      </c>
      <c r="Z355" s="57" t="str">
        <f t="shared" si="21"/>
        <v/>
      </c>
      <c r="AA355" s="58" t="s">
        <v>73</v>
      </c>
      <c r="AB355" s="57" t="str">
        <f t="shared" si="22"/>
        <v/>
      </c>
      <c r="AC355" s="58" t="s">
        <v>73</v>
      </c>
      <c r="AD355" s="57" t="str">
        <f t="shared" si="23"/>
        <v/>
      </c>
      <c r="AE355" s="59"/>
      <c r="AF355" s="59"/>
      <c r="AG355" s="59"/>
      <c r="AH355" s="59"/>
      <c r="AI355" s="59" t="s">
        <v>73</v>
      </c>
      <c r="AJ355" s="59"/>
      <c r="AK355" s="59" t="s">
        <v>73</v>
      </c>
      <c r="AL355" s="59"/>
      <c r="AM355" s="59" t="s">
        <v>73</v>
      </c>
      <c r="AN355" s="59"/>
      <c r="AO355" s="59" t="s">
        <v>73</v>
      </c>
      <c r="AP355" s="59"/>
      <c r="AQ355" s="59" t="s">
        <v>73</v>
      </c>
      <c r="AR355" s="59"/>
      <c r="AS355" s="59" t="s">
        <v>72</v>
      </c>
      <c r="AT355" s="59"/>
      <c r="AU355" s="59"/>
      <c r="AV355" s="59"/>
      <c r="AW355" s="59"/>
      <c r="AX355" s="59"/>
      <c r="AY355" s="60" t="str">
        <f>IF('Cálculo MP'!K365="","",'Cálculo MP'!K365)</f>
        <v/>
      </c>
      <c r="AZ355" s="60" t="str">
        <f>IF('Cálculo MP'!L365="","",'Cálculo MP'!L365)</f>
        <v/>
      </c>
      <c r="BA355" s="60" t="str">
        <f>IF('Cálculo MP'!M365="","",'Cálculo MP'!M365)</f>
        <v/>
      </c>
      <c r="BB355" s="60" t="str">
        <f>IF('Cálculo MP'!N365="","",'Cálculo MP'!N365)</f>
        <v/>
      </c>
      <c r="BC355" s="60" t="str">
        <f>IF('Cálculo MP'!O365="","",'Cálculo MP'!O365)</f>
        <v/>
      </c>
      <c r="BD355" s="60" t="str">
        <f>IF('Cálculo MP'!P365="","",'Cálculo MP'!P365)</f>
        <v/>
      </c>
      <c r="BE355" s="60" t="str">
        <f>IF('Cálculo MP'!Q365="","",'Cálculo MP'!Q365)</f>
        <v/>
      </c>
      <c r="BF355" s="60" t="str">
        <f>IF('Cálculo MP'!R365="","",'Cálculo MP'!R365)</f>
        <v/>
      </c>
      <c r="BG355" s="60" t="str">
        <f>IF('Cálculo MP'!S365="","",'Cálculo MP'!S365)</f>
        <v/>
      </c>
      <c r="BH355" s="59"/>
      <c r="BI355" s="59"/>
      <c r="BJ355" s="59"/>
      <c r="BK355" s="59"/>
      <c r="BL355" s="59"/>
      <c r="BM355" s="59"/>
      <c r="BN355" s="59"/>
      <c r="BO355" s="59"/>
    </row>
    <row r="356" spans="1:67" ht="19.5" customHeight="1" x14ac:dyDescent="0.15">
      <c r="A356" s="123" t="s">
        <v>1856</v>
      </c>
      <c r="B356" s="122" t="s">
        <v>1854</v>
      </c>
      <c r="C356" s="49"/>
      <c r="D356" s="48" t="s">
        <v>73</v>
      </c>
      <c r="E356" s="49"/>
      <c r="F356" s="50"/>
      <c r="G356" s="62"/>
      <c r="H356" s="48" t="s">
        <v>72</v>
      </c>
      <c r="I356" s="52">
        <v>1</v>
      </c>
      <c r="J356" s="52"/>
      <c r="K356" s="52" t="s">
        <v>73</v>
      </c>
      <c r="L356" s="52" t="s">
        <v>74</v>
      </c>
      <c r="M356" s="53" t="s">
        <v>942</v>
      </c>
      <c r="N356" s="58" t="s">
        <v>73</v>
      </c>
      <c r="O356" s="48" t="s">
        <v>72</v>
      </c>
      <c r="P356" s="48" t="s">
        <v>73</v>
      </c>
      <c r="Q356" s="54" t="s">
        <v>73</v>
      </c>
      <c r="R356" s="55" t="s">
        <v>73</v>
      </c>
      <c r="S356" s="48" t="s">
        <v>73</v>
      </c>
      <c r="T356" s="130"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8" t="str" cm="1">
        <f t="array" ref="U356">IF(SUMPRODUCT(--((CAT_Procesos!$E$2:$E$1581=O356)*(CAT_Procesos!$F$2:$F$1581=_xlfn.TEXTJOIN(" + ",TRUE,IF((TRIM(P356:S356)="")+(LOWER(TRIM(P356:S356))="(seleccione)"),"",PROPER(TRIM(P356:S356)))))*(CAT_Procesos!$D$2:$D$1581=IFERROR(VLOOKUP(N356&amp;"*",CAT_Procesos!$D:$D,1,FALSE),""))))=0,"Combinación no existente",IF(SUMPRODUCT(((CAT_Procesos!$E$2:$E$1581=O356)*(CAT_Procesos!$F$2:$F$1581=_xlfn.TEXTJOIN(" + ",TRUE,IF((TRIM(P356:S356)="")+(LOWER(TRIM(P356:S356))="(seleccione)"),"",PROPER(TRIM(P356:S356)))))*(CAT_Procesos!$D$2:$D$1581=IFERROR(VLOOKUP(N356&amp;"*",CAT_Procesos!$D:$D,1,FALSE),"")))*(CAT_Procesos!$G$2:$G$1581=INDEX(CAT_Procesos!$G$2:$G$1581,MATCH(1,(CAT_Procesos!$E$2:$E$1581=O356)*(CAT_Procesos!$F$2:$F$1581=_xlfn.TEXTJOIN(" + ",TRUE,IF((TRIM(P356:S356)="")+(LOWER(TRIM(P356:S356))="(seleccione)"),"",PROPER(TRIM(P356:S356)))))*(CAT_Procesos!$D$2:$D$1581=IFERROR(VLOOKUP(N356&amp;"*",CAT_Procesos!$D:$D,1,FALSE),"")),0))))=SUMPRODUCT(--((CAT_Procesos!$E$2:$E$1581=O356)*(CAT_Procesos!$F$2:$F$1581=_xlfn.TEXTJOIN(" + ",TRUE,IF((TRIM(P356:S356)="")+(LOWER(TRIM(P356:S356))="(seleccione)"),"",PROPER(TRIM(P356:S356)))))*(CAT_Procesos!$D$2:$D$1581=IFERROR(VLOOKUP(N356&amp;"*",CAT_Procesos!$D:$D,1,FALSE),"")))),INDEX(CAT_Procesos!$G$2:$G$1581,MATCH(1,(CAT_Procesos!$E$2:$E$1581=O356)*(CAT_Procesos!$F$2:$F$1581=_xlfn.TEXTJOIN(" + ",TRUE,IF((TRIM(P356:S356)="")+(LOWER(TRIM(P356:S356))="(seleccione)"),"",PROPER(TRIM(P356:S356)))))*(CAT_Procesos!$D$2:$D$1581=IFERROR(VLOOKUP(N356&amp;"*",CAT_Procesos!$D:$D,1,FALSE),"")),0)),"(seleccione)"))</f>
        <v>Combinación no existente</v>
      </c>
      <c r="V356" s="55" t="s">
        <v>73</v>
      </c>
      <c r="W356" s="56" t="s">
        <v>73</v>
      </c>
      <c r="X356" s="57" t="str">
        <f t="shared" si="20"/>
        <v/>
      </c>
      <c r="Y356" s="58" t="s">
        <v>73</v>
      </c>
      <c r="Z356" s="57" t="str">
        <f t="shared" si="21"/>
        <v/>
      </c>
      <c r="AA356" s="58" t="s">
        <v>73</v>
      </c>
      <c r="AB356" s="57" t="str">
        <f t="shared" si="22"/>
        <v/>
      </c>
      <c r="AC356" s="58" t="s">
        <v>73</v>
      </c>
      <c r="AD356" s="57" t="str">
        <f t="shared" si="23"/>
        <v/>
      </c>
      <c r="AE356" s="59"/>
      <c r="AF356" s="59"/>
      <c r="AG356" s="59"/>
      <c r="AH356" s="59"/>
      <c r="AI356" s="59" t="s">
        <v>73</v>
      </c>
      <c r="AJ356" s="59"/>
      <c r="AK356" s="59" t="s">
        <v>73</v>
      </c>
      <c r="AL356" s="59"/>
      <c r="AM356" s="59" t="s">
        <v>73</v>
      </c>
      <c r="AN356" s="59"/>
      <c r="AO356" s="59" t="s">
        <v>73</v>
      </c>
      <c r="AP356" s="59"/>
      <c r="AQ356" s="59" t="s">
        <v>73</v>
      </c>
      <c r="AR356" s="59"/>
      <c r="AS356" s="59" t="s">
        <v>72</v>
      </c>
      <c r="AT356" s="59"/>
      <c r="AU356" s="59"/>
      <c r="AV356" s="59"/>
      <c r="AW356" s="59"/>
      <c r="AX356" s="59"/>
      <c r="AY356" s="60" t="str">
        <f>IF('Cálculo MP'!K366="","",'Cálculo MP'!K366)</f>
        <v/>
      </c>
      <c r="AZ356" s="60" t="str">
        <f>IF('Cálculo MP'!L366="","",'Cálculo MP'!L366)</f>
        <v/>
      </c>
      <c r="BA356" s="60" t="str">
        <f>IF('Cálculo MP'!M366="","",'Cálculo MP'!M366)</f>
        <v/>
      </c>
      <c r="BB356" s="60" t="str">
        <f>IF('Cálculo MP'!N366="","",'Cálculo MP'!N366)</f>
        <v/>
      </c>
      <c r="BC356" s="60" t="str">
        <f>IF('Cálculo MP'!O366="","",'Cálculo MP'!O366)</f>
        <v/>
      </c>
      <c r="BD356" s="60" t="str">
        <f>IF('Cálculo MP'!P366="","",'Cálculo MP'!P366)</f>
        <v/>
      </c>
      <c r="BE356" s="60" t="str">
        <f>IF('Cálculo MP'!Q366="","",'Cálculo MP'!Q366)</f>
        <v/>
      </c>
      <c r="BF356" s="60" t="str">
        <f>IF('Cálculo MP'!R366="","",'Cálculo MP'!R366)</f>
        <v/>
      </c>
      <c r="BG356" s="60" t="str">
        <f>IF('Cálculo MP'!S366="","",'Cálculo MP'!S366)</f>
        <v/>
      </c>
      <c r="BH356" s="59"/>
      <c r="BI356" s="59"/>
      <c r="BJ356" s="59"/>
      <c r="BK356" s="59"/>
      <c r="BL356" s="59"/>
      <c r="BM356" s="59"/>
      <c r="BN356" s="59"/>
      <c r="BO356" s="59"/>
    </row>
    <row r="357" spans="1:67" ht="19.5" customHeight="1" x14ac:dyDescent="0.15">
      <c r="A357" s="123" t="s">
        <v>1856</v>
      </c>
      <c r="B357" s="122" t="s">
        <v>1854</v>
      </c>
      <c r="C357" s="49"/>
      <c r="D357" s="48" t="s">
        <v>73</v>
      </c>
      <c r="E357" s="49"/>
      <c r="F357" s="50"/>
      <c r="G357" s="62"/>
      <c r="H357" s="48" t="s">
        <v>72</v>
      </c>
      <c r="I357" s="52">
        <v>1</v>
      </c>
      <c r="J357" s="52"/>
      <c r="K357" s="52" t="s">
        <v>73</v>
      </c>
      <c r="L357" s="52" t="s">
        <v>74</v>
      </c>
      <c r="M357" s="53" t="s">
        <v>942</v>
      </c>
      <c r="N357" s="58" t="s">
        <v>73</v>
      </c>
      <c r="O357" s="48" t="s">
        <v>72</v>
      </c>
      <c r="P357" s="48" t="s">
        <v>73</v>
      </c>
      <c r="Q357" s="54" t="s">
        <v>73</v>
      </c>
      <c r="R357" s="55" t="s">
        <v>73</v>
      </c>
      <c r="S357" s="48" t="s">
        <v>73</v>
      </c>
      <c r="T357" s="130"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8" t="str" cm="1">
        <f t="array" ref="U357">IF(SUMPRODUCT(--((CAT_Procesos!$E$2:$E$1581=O357)*(CAT_Procesos!$F$2:$F$1581=_xlfn.TEXTJOIN(" + ",TRUE,IF((TRIM(P357:S357)="")+(LOWER(TRIM(P357:S357))="(seleccione)"),"",PROPER(TRIM(P357:S357)))))*(CAT_Procesos!$D$2:$D$1581=IFERROR(VLOOKUP(N357&amp;"*",CAT_Procesos!$D:$D,1,FALSE),""))))=0,"Combinación no existente",IF(SUMPRODUCT(((CAT_Procesos!$E$2:$E$1581=O357)*(CAT_Procesos!$F$2:$F$1581=_xlfn.TEXTJOIN(" + ",TRUE,IF((TRIM(P357:S357)="")+(LOWER(TRIM(P357:S357))="(seleccione)"),"",PROPER(TRIM(P357:S357)))))*(CAT_Procesos!$D$2:$D$1581=IFERROR(VLOOKUP(N357&amp;"*",CAT_Procesos!$D:$D,1,FALSE),"")))*(CAT_Procesos!$G$2:$G$1581=INDEX(CAT_Procesos!$G$2:$G$1581,MATCH(1,(CAT_Procesos!$E$2:$E$1581=O357)*(CAT_Procesos!$F$2:$F$1581=_xlfn.TEXTJOIN(" + ",TRUE,IF((TRIM(P357:S357)="")+(LOWER(TRIM(P357:S357))="(seleccione)"),"",PROPER(TRIM(P357:S357)))))*(CAT_Procesos!$D$2:$D$1581=IFERROR(VLOOKUP(N357&amp;"*",CAT_Procesos!$D:$D,1,FALSE),"")),0))))=SUMPRODUCT(--((CAT_Procesos!$E$2:$E$1581=O357)*(CAT_Procesos!$F$2:$F$1581=_xlfn.TEXTJOIN(" + ",TRUE,IF((TRIM(P357:S357)="")+(LOWER(TRIM(P357:S357))="(seleccione)"),"",PROPER(TRIM(P357:S357)))))*(CAT_Procesos!$D$2:$D$1581=IFERROR(VLOOKUP(N357&amp;"*",CAT_Procesos!$D:$D,1,FALSE),"")))),INDEX(CAT_Procesos!$G$2:$G$1581,MATCH(1,(CAT_Procesos!$E$2:$E$1581=O357)*(CAT_Procesos!$F$2:$F$1581=_xlfn.TEXTJOIN(" + ",TRUE,IF((TRIM(P357:S357)="")+(LOWER(TRIM(P357:S357))="(seleccione)"),"",PROPER(TRIM(P357:S357)))))*(CAT_Procesos!$D$2:$D$1581=IFERROR(VLOOKUP(N357&amp;"*",CAT_Procesos!$D:$D,1,FALSE),"")),0)),"(seleccione)"))</f>
        <v>Combinación no existente</v>
      </c>
      <c r="V357" s="55" t="s">
        <v>73</v>
      </c>
      <c r="W357" s="56" t="s">
        <v>73</v>
      </c>
      <c r="X357" s="57" t="str">
        <f t="shared" si="20"/>
        <v/>
      </c>
      <c r="Y357" s="58" t="s">
        <v>73</v>
      </c>
      <c r="Z357" s="57" t="str">
        <f t="shared" si="21"/>
        <v/>
      </c>
      <c r="AA357" s="58" t="s">
        <v>73</v>
      </c>
      <c r="AB357" s="57" t="str">
        <f t="shared" si="22"/>
        <v/>
      </c>
      <c r="AC357" s="58" t="s">
        <v>73</v>
      </c>
      <c r="AD357" s="57" t="str">
        <f t="shared" si="23"/>
        <v/>
      </c>
      <c r="AE357" s="59"/>
      <c r="AF357" s="59"/>
      <c r="AG357" s="59"/>
      <c r="AH357" s="59"/>
      <c r="AI357" s="59" t="s">
        <v>73</v>
      </c>
      <c r="AJ357" s="59"/>
      <c r="AK357" s="59" t="s">
        <v>73</v>
      </c>
      <c r="AL357" s="59"/>
      <c r="AM357" s="59" t="s">
        <v>73</v>
      </c>
      <c r="AN357" s="59"/>
      <c r="AO357" s="59" t="s">
        <v>73</v>
      </c>
      <c r="AP357" s="59"/>
      <c r="AQ357" s="59" t="s">
        <v>73</v>
      </c>
      <c r="AR357" s="59"/>
      <c r="AS357" s="59" t="s">
        <v>72</v>
      </c>
      <c r="AT357" s="59"/>
      <c r="AU357" s="59"/>
      <c r="AV357" s="59"/>
      <c r="AW357" s="59"/>
      <c r="AX357" s="59"/>
      <c r="AY357" s="60" t="str">
        <f>IF('Cálculo MP'!K367="","",'Cálculo MP'!K367)</f>
        <v/>
      </c>
      <c r="AZ357" s="60" t="str">
        <f>IF('Cálculo MP'!L367="","",'Cálculo MP'!L367)</f>
        <v/>
      </c>
      <c r="BA357" s="60" t="str">
        <f>IF('Cálculo MP'!M367="","",'Cálculo MP'!M367)</f>
        <v/>
      </c>
      <c r="BB357" s="60" t="str">
        <f>IF('Cálculo MP'!N367="","",'Cálculo MP'!N367)</f>
        <v/>
      </c>
      <c r="BC357" s="60" t="str">
        <f>IF('Cálculo MP'!O367="","",'Cálculo MP'!O367)</f>
        <v/>
      </c>
      <c r="BD357" s="60" t="str">
        <f>IF('Cálculo MP'!P367="","",'Cálculo MP'!P367)</f>
        <v/>
      </c>
      <c r="BE357" s="60" t="str">
        <f>IF('Cálculo MP'!Q367="","",'Cálculo MP'!Q367)</f>
        <v/>
      </c>
      <c r="BF357" s="60" t="str">
        <f>IF('Cálculo MP'!R367="","",'Cálculo MP'!R367)</f>
        <v/>
      </c>
      <c r="BG357" s="60" t="str">
        <f>IF('Cálculo MP'!S367="","",'Cálculo MP'!S367)</f>
        <v/>
      </c>
      <c r="BH357" s="59"/>
      <c r="BI357" s="59"/>
      <c r="BJ357" s="59"/>
      <c r="BK357" s="59"/>
      <c r="BL357" s="59"/>
      <c r="BM357" s="59"/>
      <c r="BN357" s="59"/>
      <c r="BO357" s="59"/>
    </row>
    <row r="358" spans="1:67" ht="19.5" customHeight="1" x14ac:dyDescent="0.15">
      <c r="A358" s="123" t="s">
        <v>1856</v>
      </c>
      <c r="B358" s="122" t="s">
        <v>1854</v>
      </c>
      <c r="C358" s="49"/>
      <c r="D358" s="48" t="s">
        <v>73</v>
      </c>
      <c r="E358" s="49"/>
      <c r="F358" s="50"/>
      <c r="G358" s="62"/>
      <c r="H358" s="48" t="s">
        <v>72</v>
      </c>
      <c r="I358" s="52">
        <v>1</v>
      </c>
      <c r="J358" s="52"/>
      <c r="K358" s="52" t="s">
        <v>73</v>
      </c>
      <c r="L358" s="52" t="s">
        <v>74</v>
      </c>
      <c r="M358" s="53" t="s">
        <v>942</v>
      </c>
      <c r="N358" s="58" t="s">
        <v>73</v>
      </c>
      <c r="O358" s="48" t="s">
        <v>72</v>
      </c>
      <c r="P358" s="48" t="s">
        <v>73</v>
      </c>
      <c r="Q358" s="54" t="s">
        <v>73</v>
      </c>
      <c r="R358" s="55" t="s">
        <v>73</v>
      </c>
      <c r="S358" s="48" t="s">
        <v>73</v>
      </c>
      <c r="T358" s="130"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8" t="str" cm="1">
        <f t="array" ref="U358">IF(SUMPRODUCT(--((CAT_Procesos!$E$2:$E$1581=O358)*(CAT_Procesos!$F$2:$F$1581=_xlfn.TEXTJOIN(" + ",TRUE,IF((TRIM(P358:S358)="")+(LOWER(TRIM(P358:S358))="(seleccione)"),"",PROPER(TRIM(P358:S358)))))*(CAT_Procesos!$D$2:$D$1581=IFERROR(VLOOKUP(N358&amp;"*",CAT_Procesos!$D:$D,1,FALSE),""))))=0,"Combinación no existente",IF(SUMPRODUCT(((CAT_Procesos!$E$2:$E$1581=O358)*(CAT_Procesos!$F$2:$F$1581=_xlfn.TEXTJOIN(" + ",TRUE,IF((TRIM(P358:S358)="")+(LOWER(TRIM(P358:S358))="(seleccione)"),"",PROPER(TRIM(P358:S358)))))*(CAT_Procesos!$D$2:$D$1581=IFERROR(VLOOKUP(N358&amp;"*",CAT_Procesos!$D:$D,1,FALSE),"")))*(CAT_Procesos!$G$2:$G$1581=INDEX(CAT_Procesos!$G$2:$G$1581,MATCH(1,(CAT_Procesos!$E$2:$E$1581=O358)*(CAT_Procesos!$F$2:$F$1581=_xlfn.TEXTJOIN(" + ",TRUE,IF((TRIM(P358:S358)="")+(LOWER(TRIM(P358:S358))="(seleccione)"),"",PROPER(TRIM(P358:S358)))))*(CAT_Procesos!$D$2:$D$1581=IFERROR(VLOOKUP(N358&amp;"*",CAT_Procesos!$D:$D,1,FALSE),"")),0))))=SUMPRODUCT(--((CAT_Procesos!$E$2:$E$1581=O358)*(CAT_Procesos!$F$2:$F$1581=_xlfn.TEXTJOIN(" + ",TRUE,IF((TRIM(P358:S358)="")+(LOWER(TRIM(P358:S358))="(seleccione)"),"",PROPER(TRIM(P358:S358)))))*(CAT_Procesos!$D$2:$D$1581=IFERROR(VLOOKUP(N358&amp;"*",CAT_Procesos!$D:$D,1,FALSE),"")))),INDEX(CAT_Procesos!$G$2:$G$1581,MATCH(1,(CAT_Procesos!$E$2:$E$1581=O358)*(CAT_Procesos!$F$2:$F$1581=_xlfn.TEXTJOIN(" + ",TRUE,IF((TRIM(P358:S358)="")+(LOWER(TRIM(P358:S358))="(seleccione)"),"",PROPER(TRIM(P358:S358)))))*(CAT_Procesos!$D$2:$D$1581=IFERROR(VLOOKUP(N358&amp;"*",CAT_Procesos!$D:$D,1,FALSE),"")),0)),"(seleccione)"))</f>
        <v>Combinación no existente</v>
      </c>
      <c r="V358" s="55" t="s">
        <v>73</v>
      </c>
      <c r="W358" s="56" t="s">
        <v>73</v>
      </c>
      <c r="X358" s="57" t="str">
        <f t="shared" si="20"/>
        <v/>
      </c>
      <c r="Y358" s="58" t="s">
        <v>73</v>
      </c>
      <c r="Z358" s="57" t="str">
        <f t="shared" si="21"/>
        <v/>
      </c>
      <c r="AA358" s="58" t="s">
        <v>73</v>
      </c>
      <c r="AB358" s="57" t="str">
        <f t="shared" si="22"/>
        <v/>
      </c>
      <c r="AC358" s="58" t="s">
        <v>73</v>
      </c>
      <c r="AD358" s="57" t="str">
        <f t="shared" si="23"/>
        <v/>
      </c>
      <c r="AE358" s="59"/>
      <c r="AF358" s="59"/>
      <c r="AG358" s="59"/>
      <c r="AH358" s="59"/>
      <c r="AI358" s="59" t="s">
        <v>73</v>
      </c>
      <c r="AJ358" s="59"/>
      <c r="AK358" s="59" t="s">
        <v>73</v>
      </c>
      <c r="AL358" s="59"/>
      <c r="AM358" s="59" t="s">
        <v>73</v>
      </c>
      <c r="AN358" s="59"/>
      <c r="AO358" s="59" t="s">
        <v>73</v>
      </c>
      <c r="AP358" s="59"/>
      <c r="AQ358" s="59" t="s">
        <v>73</v>
      </c>
      <c r="AR358" s="59"/>
      <c r="AS358" s="59" t="s">
        <v>72</v>
      </c>
      <c r="AT358" s="59"/>
      <c r="AU358" s="59"/>
      <c r="AV358" s="59"/>
      <c r="AW358" s="59"/>
      <c r="AX358" s="59"/>
      <c r="AY358" s="60" t="str">
        <f>IF('Cálculo MP'!K368="","",'Cálculo MP'!K368)</f>
        <v/>
      </c>
      <c r="AZ358" s="60" t="str">
        <f>IF('Cálculo MP'!L368="","",'Cálculo MP'!L368)</f>
        <v/>
      </c>
      <c r="BA358" s="60" t="str">
        <f>IF('Cálculo MP'!M368="","",'Cálculo MP'!M368)</f>
        <v/>
      </c>
      <c r="BB358" s="60" t="str">
        <f>IF('Cálculo MP'!N368="","",'Cálculo MP'!N368)</f>
        <v/>
      </c>
      <c r="BC358" s="60" t="str">
        <f>IF('Cálculo MP'!O368="","",'Cálculo MP'!O368)</f>
        <v/>
      </c>
      <c r="BD358" s="60" t="str">
        <f>IF('Cálculo MP'!P368="","",'Cálculo MP'!P368)</f>
        <v/>
      </c>
      <c r="BE358" s="60" t="str">
        <f>IF('Cálculo MP'!Q368="","",'Cálculo MP'!Q368)</f>
        <v/>
      </c>
      <c r="BF358" s="60" t="str">
        <f>IF('Cálculo MP'!R368="","",'Cálculo MP'!R368)</f>
        <v/>
      </c>
      <c r="BG358" s="60" t="str">
        <f>IF('Cálculo MP'!S368="","",'Cálculo MP'!S368)</f>
        <v/>
      </c>
      <c r="BH358" s="59"/>
      <c r="BI358" s="59"/>
      <c r="BJ358" s="59"/>
      <c r="BK358" s="59"/>
      <c r="BL358" s="59"/>
      <c r="BM358" s="59"/>
      <c r="BN358" s="59"/>
      <c r="BO358" s="59"/>
    </row>
    <row r="359" spans="1:67" ht="19.5" customHeight="1" x14ac:dyDescent="0.15">
      <c r="A359" s="123" t="s">
        <v>1856</v>
      </c>
      <c r="B359" s="122" t="s">
        <v>1854</v>
      </c>
      <c r="C359" s="49"/>
      <c r="D359" s="48" t="s">
        <v>73</v>
      </c>
      <c r="E359" s="49"/>
      <c r="F359" s="50"/>
      <c r="G359" s="62"/>
      <c r="H359" s="48" t="s">
        <v>72</v>
      </c>
      <c r="I359" s="52">
        <v>1</v>
      </c>
      <c r="J359" s="52"/>
      <c r="K359" s="52" t="s">
        <v>73</v>
      </c>
      <c r="L359" s="52" t="s">
        <v>74</v>
      </c>
      <c r="M359" s="53" t="s">
        <v>942</v>
      </c>
      <c r="N359" s="58" t="s">
        <v>73</v>
      </c>
      <c r="O359" s="48" t="s">
        <v>72</v>
      </c>
      <c r="P359" s="48" t="s">
        <v>73</v>
      </c>
      <c r="Q359" s="54" t="s">
        <v>73</v>
      </c>
      <c r="R359" s="55" t="s">
        <v>73</v>
      </c>
      <c r="S359" s="48" t="s">
        <v>73</v>
      </c>
      <c r="T359" s="130"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8" t="str" cm="1">
        <f t="array" ref="U359">IF(SUMPRODUCT(--((CAT_Procesos!$E$2:$E$1581=O359)*(CAT_Procesos!$F$2:$F$1581=_xlfn.TEXTJOIN(" + ",TRUE,IF((TRIM(P359:S359)="")+(LOWER(TRIM(P359:S359))="(seleccione)"),"",PROPER(TRIM(P359:S359)))))*(CAT_Procesos!$D$2:$D$1581=IFERROR(VLOOKUP(N359&amp;"*",CAT_Procesos!$D:$D,1,FALSE),""))))=0,"Combinación no existente",IF(SUMPRODUCT(((CAT_Procesos!$E$2:$E$1581=O359)*(CAT_Procesos!$F$2:$F$1581=_xlfn.TEXTJOIN(" + ",TRUE,IF((TRIM(P359:S359)="")+(LOWER(TRIM(P359:S359))="(seleccione)"),"",PROPER(TRIM(P359:S359)))))*(CAT_Procesos!$D$2:$D$1581=IFERROR(VLOOKUP(N359&amp;"*",CAT_Procesos!$D:$D,1,FALSE),"")))*(CAT_Procesos!$G$2:$G$1581=INDEX(CAT_Procesos!$G$2:$G$1581,MATCH(1,(CAT_Procesos!$E$2:$E$1581=O359)*(CAT_Procesos!$F$2:$F$1581=_xlfn.TEXTJOIN(" + ",TRUE,IF((TRIM(P359:S359)="")+(LOWER(TRIM(P359:S359))="(seleccione)"),"",PROPER(TRIM(P359:S359)))))*(CAT_Procesos!$D$2:$D$1581=IFERROR(VLOOKUP(N359&amp;"*",CAT_Procesos!$D:$D,1,FALSE),"")),0))))=SUMPRODUCT(--((CAT_Procesos!$E$2:$E$1581=O359)*(CAT_Procesos!$F$2:$F$1581=_xlfn.TEXTJOIN(" + ",TRUE,IF((TRIM(P359:S359)="")+(LOWER(TRIM(P359:S359))="(seleccione)"),"",PROPER(TRIM(P359:S359)))))*(CAT_Procesos!$D$2:$D$1581=IFERROR(VLOOKUP(N359&amp;"*",CAT_Procesos!$D:$D,1,FALSE),"")))),INDEX(CAT_Procesos!$G$2:$G$1581,MATCH(1,(CAT_Procesos!$E$2:$E$1581=O359)*(CAT_Procesos!$F$2:$F$1581=_xlfn.TEXTJOIN(" + ",TRUE,IF((TRIM(P359:S359)="")+(LOWER(TRIM(P359:S359))="(seleccione)"),"",PROPER(TRIM(P359:S359)))))*(CAT_Procesos!$D$2:$D$1581=IFERROR(VLOOKUP(N359&amp;"*",CAT_Procesos!$D:$D,1,FALSE),"")),0)),"(seleccione)"))</f>
        <v>Combinación no existente</v>
      </c>
      <c r="V359" s="55" t="s">
        <v>73</v>
      </c>
      <c r="W359" s="56" t="s">
        <v>73</v>
      </c>
      <c r="X359" s="57" t="str">
        <f t="shared" si="20"/>
        <v/>
      </c>
      <c r="Y359" s="58" t="s">
        <v>73</v>
      </c>
      <c r="Z359" s="57" t="str">
        <f t="shared" si="21"/>
        <v/>
      </c>
      <c r="AA359" s="58" t="s">
        <v>73</v>
      </c>
      <c r="AB359" s="57" t="str">
        <f t="shared" si="22"/>
        <v/>
      </c>
      <c r="AC359" s="58" t="s">
        <v>73</v>
      </c>
      <c r="AD359" s="57" t="str">
        <f t="shared" si="23"/>
        <v/>
      </c>
      <c r="AE359" s="59"/>
      <c r="AF359" s="59"/>
      <c r="AG359" s="59"/>
      <c r="AH359" s="59"/>
      <c r="AI359" s="59" t="s">
        <v>73</v>
      </c>
      <c r="AJ359" s="59"/>
      <c r="AK359" s="59" t="s">
        <v>73</v>
      </c>
      <c r="AL359" s="59"/>
      <c r="AM359" s="59" t="s">
        <v>73</v>
      </c>
      <c r="AN359" s="59"/>
      <c r="AO359" s="59" t="s">
        <v>73</v>
      </c>
      <c r="AP359" s="59"/>
      <c r="AQ359" s="59" t="s">
        <v>73</v>
      </c>
      <c r="AR359" s="59"/>
      <c r="AS359" s="59" t="s">
        <v>72</v>
      </c>
      <c r="AT359" s="59"/>
      <c r="AU359" s="59"/>
      <c r="AV359" s="59"/>
      <c r="AW359" s="59"/>
      <c r="AX359" s="59"/>
      <c r="AY359" s="60" t="str">
        <f>IF('Cálculo MP'!K369="","",'Cálculo MP'!K369)</f>
        <v/>
      </c>
      <c r="AZ359" s="60" t="str">
        <f>IF('Cálculo MP'!L369="","",'Cálculo MP'!L369)</f>
        <v/>
      </c>
      <c r="BA359" s="60" t="str">
        <f>IF('Cálculo MP'!M369="","",'Cálculo MP'!M369)</f>
        <v/>
      </c>
      <c r="BB359" s="60" t="str">
        <f>IF('Cálculo MP'!N369="","",'Cálculo MP'!N369)</f>
        <v/>
      </c>
      <c r="BC359" s="60" t="str">
        <f>IF('Cálculo MP'!O369="","",'Cálculo MP'!O369)</f>
        <v/>
      </c>
      <c r="BD359" s="60" t="str">
        <f>IF('Cálculo MP'!P369="","",'Cálculo MP'!P369)</f>
        <v/>
      </c>
      <c r="BE359" s="60" t="str">
        <f>IF('Cálculo MP'!Q369="","",'Cálculo MP'!Q369)</f>
        <v/>
      </c>
      <c r="BF359" s="60" t="str">
        <f>IF('Cálculo MP'!R369="","",'Cálculo MP'!R369)</f>
        <v/>
      </c>
      <c r="BG359" s="60" t="str">
        <f>IF('Cálculo MP'!S369="","",'Cálculo MP'!S369)</f>
        <v/>
      </c>
      <c r="BH359" s="59"/>
      <c r="BI359" s="59"/>
      <c r="BJ359" s="59"/>
      <c r="BK359" s="59"/>
      <c r="BL359" s="59"/>
      <c r="BM359" s="59"/>
      <c r="BN359" s="59"/>
      <c r="BO359" s="59"/>
    </row>
    <row r="360" spans="1:67" ht="19.5" customHeight="1" x14ac:dyDescent="0.15">
      <c r="A360" s="123" t="s">
        <v>1856</v>
      </c>
      <c r="B360" s="122" t="s">
        <v>1854</v>
      </c>
      <c r="C360" s="49"/>
      <c r="D360" s="48" t="s">
        <v>73</v>
      </c>
      <c r="E360" s="49"/>
      <c r="F360" s="50"/>
      <c r="G360" s="62"/>
      <c r="H360" s="48" t="s">
        <v>72</v>
      </c>
      <c r="I360" s="52">
        <v>1</v>
      </c>
      <c r="J360" s="52"/>
      <c r="K360" s="52" t="s">
        <v>73</v>
      </c>
      <c r="L360" s="52" t="s">
        <v>74</v>
      </c>
      <c r="M360" s="53" t="s">
        <v>942</v>
      </c>
      <c r="N360" s="58" t="s">
        <v>73</v>
      </c>
      <c r="O360" s="48" t="s">
        <v>72</v>
      </c>
      <c r="P360" s="48" t="s">
        <v>73</v>
      </c>
      <c r="Q360" s="54" t="s">
        <v>73</v>
      </c>
      <c r="R360" s="55" t="s">
        <v>73</v>
      </c>
      <c r="S360" s="48" t="s">
        <v>73</v>
      </c>
      <c r="T360" s="130"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8" t="str" cm="1">
        <f t="array" ref="U360">IF(SUMPRODUCT(--((CAT_Procesos!$E$2:$E$1581=O360)*(CAT_Procesos!$F$2:$F$1581=_xlfn.TEXTJOIN(" + ",TRUE,IF((TRIM(P360:S360)="")+(LOWER(TRIM(P360:S360))="(seleccione)"),"",PROPER(TRIM(P360:S360)))))*(CAT_Procesos!$D$2:$D$1581=IFERROR(VLOOKUP(N360&amp;"*",CAT_Procesos!$D:$D,1,FALSE),""))))=0,"Combinación no existente",IF(SUMPRODUCT(((CAT_Procesos!$E$2:$E$1581=O360)*(CAT_Procesos!$F$2:$F$1581=_xlfn.TEXTJOIN(" + ",TRUE,IF((TRIM(P360:S360)="")+(LOWER(TRIM(P360:S360))="(seleccione)"),"",PROPER(TRIM(P360:S360)))))*(CAT_Procesos!$D$2:$D$1581=IFERROR(VLOOKUP(N360&amp;"*",CAT_Procesos!$D:$D,1,FALSE),"")))*(CAT_Procesos!$G$2:$G$1581=INDEX(CAT_Procesos!$G$2:$G$1581,MATCH(1,(CAT_Procesos!$E$2:$E$1581=O360)*(CAT_Procesos!$F$2:$F$1581=_xlfn.TEXTJOIN(" + ",TRUE,IF((TRIM(P360:S360)="")+(LOWER(TRIM(P360:S360))="(seleccione)"),"",PROPER(TRIM(P360:S360)))))*(CAT_Procesos!$D$2:$D$1581=IFERROR(VLOOKUP(N360&amp;"*",CAT_Procesos!$D:$D,1,FALSE),"")),0))))=SUMPRODUCT(--((CAT_Procesos!$E$2:$E$1581=O360)*(CAT_Procesos!$F$2:$F$1581=_xlfn.TEXTJOIN(" + ",TRUE,IF((TRIM(P360:S360)="")+(LOWER(TRIM(P360:S360))="(seleccione)"),"",PROPER(TRIM(P360:S360)))))*(CAT_Procesos!$D$2:$D$1581=IFERROR(VLOOKUP(N360&amp;"*",CAT_Procesos!$D:$D,1,FALSE),"")))),INDEX(CAT_Procesos!$G$2:$G$1581,MATCH(1,(CAT_Procesos!$E$2:$E$1581=O360)*(CAT_Procesos!$F$2:$F$1581=_xlfn.TEXTJOIN(" + ",TRUE,IF((TRIM(P360:S360)="")+(LOWER(TRIM(P360:S360))="(seleccione)"),"",PROPER(TRIM(P360:S360)))))*(CAT_Procesos!$D$2:$D$1581=IFERROR(VLOOKUP(N360&amp;"*",CAT_Procesos!$D:$D,1,FALSE),"")),0)),"(seleccione)"))</f>
        <v>Combinación no existente</v>
      </c>
      <c r="V360" s="55" t="s">
        <v>73</v>
      </c>
      <c r="W360" s="56" t="s">
        <v>73</v>
      </c>
      <c r="X360" s="57" t="str">
        <f t="shared" si="20"/>
        <v/>
      </c>
      <c r="Y360" s="58" t="s">
        <v>73</v>
      </c>
      <c r="Z360" s="57" t="str">
        <f t="shared" si="21"/>
        <v/>
      </c>
      <c r="AA360" s="58" t="s">
        <v>73</v>
      </c>
      <c r="AB360" s="57" t="str">
        <f t="shared" si="22"/>
        <v/>
      </c>
      <c r="AC360" s="58" t="s">
        <v>73</v>
      </c>
      <c r="AD360" s="57" t="str">
        <f t="shared" si="23"/>
        <v/>
      </c>
      <c r="AE360" s="59"/>
      <c r="AF360" s="59"/>
      <c r="AG360" s="59"/>
      <c r="AH360" s="59"/>
      <c r="AI360" s="59" t="s">
        <v>73</v>
      </c>
      <c r="AJ360" s="59"/>
      <c r="AK360" s="59" t="s">
        <v>73</v>
      </c>
      <c r="AL360" s="59"/>
      <c r="AM360" s="59" t="s">
        <v>73</v>
      </c>
      <c r="AN360" s="59"/>
      <c r="AO360" s="59" t="s">
        <v>73</v>
      </c>
      <c r="AP360" s="59"/>
      <c r="AQ360" s="59" t="s">
        <v>73</v>
      </c>
      <c r="AR360" s="59"/>
      <c r="AS360" s="59" t="s">
        <v>72</v>
      </c>
      <c r="AT360" s="59"/>
      <c r="AU360" s="59"/>
      <c r="AV360" s="59"/>
      <c r="AW360" s="59"/>
      <c r="AX360" s="59"/>
      <c r="AY360" s="60" t="str">
        <f>IF('Cálculo MP'!K370="","",'Cálculo MP'!K370)</f>
        <v/>
      </c>
      <c r="AZ360" s="60" t="str">
        <f>IF('Cálculo MP'!L370="","",'Cálculo MP'!L370)</f>
        <v/>
      </c>
      <c r="BA360" s="60" t="str">
        <f>IF('Cálculo MP'!M370="","",'Cálculo MP'!M370)</f>
        <v/>
      </c>
      <c r="BB360" s="60" t="str">
        <f>IF('Cálculo MP'!N370="","",'Cálculo MP'!N370)</f>
        <v/>
      </c>
      <c r="BC360" s="60" t="str">
        <f>IF('Cálculo MP'!O370="","",'Cálculo MP'!O370)</f>
        <v/>
      </c>
      <c r="BD360" s="60" t="str">
        <f>IF('Cálculo MP'!P370="","",'Cálculo MP'!P370)</f>
        <v/>
      </c>
      <c r="BE360" s="60" t="str">
        <f>IF('Cálculo MP'!Q370="","",'Cálculo MP'!Q370)</f>
        <v/>
      </c>
      <c r="BF360" s="60" t="str">
        <f>IF('Cálculo MP'!R370="","",'Cálculo MP'!R370)</f>
        <v/>
      </c>
      <c r="BG360" s="60" t="str">
        <f>IF('Cálculo MP'!S370="","",'Cálculo MP'!S370)</f>
        <v/>
      </c>
      <c r="BH360" s="59"/>
      <c r="BI360" s="59"/>
      <c r="BJ360" s="59"/>
      <c r="BK360" s="59"/>
      <c r="BL360" s="59"/>
      <c r="BM360" s="59"/>
      <c r="BN360" s="59"/>
      <c r="BO360" s="59"/>
    </row>
    <row r="361" spans="1:67" ht="19.5" customHeight="1" x14ac:dyDescent="0.15">
      <c r="A361" s="123" t="s">
        <v>1856</v>
      </c>
      <c r="B361" s="122" t="s">
        <v>1854</v>
      </c>
      <c r="C361" s="49"/>
      <c r="D361" s="48" t="s">
        <v>73</v>
      </c>
      <c r="E361" s="49"/>
      <c r="F361" s="50"/>
      <c r="G361" s="62"/>
      <c r="H361" s="48" t="s">
        <v>72</v>
      </c>
      <c r="I361" s="52">
        <v>1</v>
      </c>
      <c r="J361" s="52"/>
      <c r="K361" s="52" t="s">
        <v>73</v>
      </c>
      <c r="L361" s="52" t="s">
        <v>74</v>
      </c>
      <c r="M361" s="53" t="s">
        <v>942</v>
      </c>
      <c r="N361" s="58" t="s">
        <v>73</v>
      </c>
      <c r="O361" s="48" t="s">
        <v>72</v>
      </c>
      <c r="P361" s="48" t="s">
        <v>73</v>
      </c>
      <c r="Q361" s="54" t="s">
        <v>73</v>
      </c>
      <c r="R361" s="55" t="s">
        <v>73</v>
      </c>
      <c r="S361" s="48" t="s">
        <v>73</v>
      </c>
      <c r="T361" s="130"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8" t="str" cm="1">
        <f t="array" ref="U361">IF(SUMPRODUCT(--((CAT_Procesos!$E$2:$E$1581=O361)*(CAT_Procesos!$F$2:$F$1581=_xlfn.TEXTJOIN(" + ",TRUE,IF((TRIM(P361:S361)="")+(LOWER(TRIM(P361:S361))="(seleccione)"),"",PROPER(TRIM(P361:S361)))))*(CAT_Procesos!$D$2:$D$1581=IFERROR(VLOOKUP(N361&amp;"*",CAT_Procesos!$D:$D,1,FALSE),""))))=0,"Combinación no existente",IF(SUMPRODUCT(((CAT_Procesos!$E$2:$E$1581=O361)*(CAT_Procesos!$F$2:$F$1581=_xlfn.TEXTJOIN(" + ",TRUE,IF((TRIM(P361:S361)="")+(LOWER(TRIM(P361:S361))="(seleccione)"),"",PROPER(TRIM(P361:S361)))))*(CAT_Procesos!$D$2:$D$1581=IFERROR(VLOOKUP(N361&amp;"*",CAT_Procesos!$D:$D,1,FALSE),"")))*(CAT_Procesos!$G$2:$G$1581=INDEX(CAT_Procesos!$G$2:$G$1581,MATCH(1,(CAT_Procesos!$E$2:$E$1581=O361)*(CAT_Procesos!$F$2:$F$1581=_xlfn.TEXTJOIN(" + ",TRUE,IF((TRIM(P361:S361)="")+(LOWER(TRIM(P361:S361))="(seleccione)"),"",PROPER(TRIM(P361:S361)))))*(CAT_Procesos!$D$2:$D$1581=IFERROR(VLOOKUP(N361&amp;"*",CAT_Procesos!$D:$D,1,FALSE),"")),0))))=SUMPRODUCT(--((CAT_Procesos!$E$2:$E$1581=O361)*(CAT_Procesos!$F$2:$F$1581=_xlfn.TEXTJOIN(" + ",TRUE,IF((TRIM(P361:S361)="")+(LOWER(TRIM(P361:S361))="(seleccione)"),"",PROPER(TRIM(P361:S361)))))*(CAT_Procesos!$D$2:$D$1581=IFERROR(VLOOKUP(N361&amp;"*",CAT_Procesos!$D:$D,1,FALSE),"")))),INDEX(CAT_Procesos!$G$2:$G$1581,MATCH(1,(CAT_Procesos!$E$2:$E$1581=O361)*(CAT_Procesos!$F$2:$F$1581=_xlfn.TEXTJOIN(" + ",TRUE,IF((TRIM(P361:S361)="")+(LOWER(TRIM(P361:S361))="(seleccione)"),"",PROPER(TRIM(P361:S361)))))*(CAT_Procesos!$D$2:$D$1581=IFERROR(VLOOKUP(N361&amp;"*",CAT_Procesos!$D:$D,1,FALSE),"")),0)),"(seleccione)"))</f>
        <v>Combinación no existente</v>
      </c>
      <c r="V361" s="55" t="s">
        <v>73</v>
      </c>
      <c r="W361" s="56" t="s">
        <v>73</v>
      </c>
      <c r="X361" s="57" t="str">
        <f t="shared" si="20"/>
        <v/>
      </c>
      <c r="Y361" s="58" t="s">
        <v>73</v>
      </c>
      <c r="Z361" s="57" t="str">
        <f t="shared" si="21"/>
        <v/>
      </c>
      <c r="AA361" s="58" t="s">
        <v>73</v>
      </c>
      <c r="AB361" s="57" t="str">
        <f t="shared" si="22"/>
        <v/>
      </c>
      <c r="AC361" s="58" t="s">
        <v>73</v>
      </c>
      <c r="AD361" s="57" t="str">
        <f t="shared" si="23"/>
        <v/>
      </c>
      <c r="AE361" s="59"/>
      <c r="AF361" s="59"/>
      <c r="AG361" s="59"/>
      <c r="AH361" s="59"/>
      <c r="AI361" s="59" t="s">
        <v>73</v>
      </c>
      <c r="AJ361" s="59"/>
      <c r="AK361" s="59" t="s">
        <v>73</v>
      </c>
      <c r="AL361" s="59"/>
      <c r="AM361" s="59" t="s">
        <v>73</v>
      </c>
      <c r="AN361" s="59"/>
      <c r="AO361" s="59" t="s">
        <v>73</v>
      </c>
      <c r="AP361" s="59"/>
      <c r="AQ361" s="59" t="s">
        <v>73</v>
      </c>
      <c r="AR361" s="59"/>
      <c r="AS361" s="59" t="s">
        <v>72</v>
      </c>
      <c r="AT361" s="59"/>
      <c r="AU361" s="59"/>
      <c r="AV361" s="59"/>
      <c r="AW361" s="59"/>
      <c r="AX361" s="59"/>
      <c r="AY361" s="60" t="str">
        <f>IF('Cálculo MP'!K371="","",'Cálculo MP'!K371)</f>
        <v/>
      </c>
      <c r="AZ361" s="60" t="str">
        <f>IF('Cálculo MP'!L371="","",'Cálculo MP'!L371)</f>
        <v/>
      </c>
      <c r="BA361" s="60" t="str">
        <f>IF('Cálculo MP'!M371="","",'Cálculo MP'!M371)</f>
        <v/>
      </c>
      <c r="BB361" s="60" t="str">
        <f>IF('Cálculo MP'!N371="","",'Cálculo MP'!N371)</f>
        <v/>
      </c>
      <c r="BC361" s="60" t="str">
        <f>IF('Cálculo MP'!O371="","",'Cálculo MP'!O371)</f>
        <v/>
      </c>
      <c r="BD361" s="60" t="str">
        <f>IF('Cálculo MP'!P371="","",'Cálculo MP'!P371)</f>
        <v/>
      </c>
      <c r="BE361" s="60" t="str">
        <f>IF('Cálculo MP'!Q371="","",'Cálculo MP'!Q371)</f>
        <v/>
      </c>
      <c r="BF361" s="60" t="str">
        <f>IF('Cálculo MP'!R371="","",'Cálculo MP'!R371)</f>
        <v/>
      </c>
      <c r="BG361" s="60" t="str">
        <f>IF('Cálculo MP'!S371="","",'Cálculo MP'!S371)</f>
        <v/>
      </c>
      <c r="BH361" s="59"/>
      <c r="BI361" s="59"/>
      <c r="BJ361" s="59"/>
      <c r="BK361" s="59"/>
      <c r="BL361" s="59"/>
      <c r="BM361" s="59"/>
      <c r="BN361" s="59"/>
      <c r="BO361" s="59"/>
    </row>
    <row r="362" spans="1:67" ht="19.5" customHeight="1" x14ac:dyDescent="0.15">
      <c r="A362" s="123" t="s">
        <v>1856</v>
      </c>
      <c r="B362" s="122" t="s">
        <v>1854</v>
      </c>
      <c r="C362" s="49"/>
      <c r="D362" s="48" t="s">
        <v>73</v>
      </c>
      <c r="E362" s="49"/>
      <c r="F362" s="50"/>
      <c r="G362" s="62"/>
      <c r="H362" s="48" t="s">
        <v>72</v>
      </c>
      <c r="I362" s="52">
        <v>1</v>
      </c>
      <c r="J362" s="52"/>
      <c r="K362" s="52" t="s">
        <v>73</v>
      </c>
      <c r="L362" s="52" t="s">
        <v>74</v>
      </c>
      <c r="M362" s="53" t="s">
        <v>942</v>
      </c>
      <c r="N362" s="58" t="s">
        <v>73</v>
      </c>
      <c r="O362" s="48" t="s">
        <v>72</v>
      </c>
      <c r="P362" s="48" t="s">
        <v>73</v>
      </c>
      <c r="Q362" s="54" t="s">
        <v>73</v>
      </c>
      <c r="R362" s="55" t="s">
        <v>73</v>
      </c>
      <c r="S362" s="48" t="s">
        <v>73</v>
      </c>
      <c r="T362" s="130"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8" t="str" cm="1">
        <f t="array" ref="U362">IF(SUMPRODUCT(--((CAT_Procesos!$E$2:$E$1581=O362)*(CAT_Procesos!$F$2:$F$1581=_xlfn.TEXTJOIN(" + ",TRUE,IF((TRIM(P362:S362)="")+(LOWER(TRIM(P362:S362))="(seleccione)"),"",PROPER(TRIM(P362:S362)))))*(CAT_Procesos!$D$2:$D$1581=IFERROR(VLOOKUP(N362&amp;"*",CAT_Procesos!$D:$D,1,FALSE),""))))=0,"Combinación no existente",IF(SUMPRODUCT(((CAT_Procesos!$E$2:$E$1581=O362)*(CAT_Procesos!$F$2:$F$1581=_xlfn.TEXTJOIN(" + ",TRUE,IF((TRIM(P362:S362)="")+(LOWER(TRIM(P362:S362))="(seleccione)"),"",PROPER(TRIM(P362:S362)))))*(CAT_Procesos!$D$2:$D$1581=IFERROR(VLOOKUP(N362&amp;"*",CAT_Procesos!$D:$D,1,FALSE),"")))*(CAT_Procesos!$G$2:$G$1581=INDEX(CAT_Procesos!$G$2:$G$1581,MATCH(1,(CAT_Procesos!$E$2:$E$1581=O362)*(CAT_Procesos!$F$2:$F$1581=_xlfn.TEXTJOIN(" + ",TRUE,IF((TRIM(P362:S362)="")+(LOWER(TRIM(P362:S362))="(seleccione)"),"",PROPER(TRIM(P362:S362)))))*(CAT_Procesos!$D$2:$D$1581=IFERROR(VLOOKUP(N362&amp;"*",CAT_Procesos!$D:$D,1,FALSE),"")),0))))=SUMPRODUCT(--((CAT_Procesos!$E$2:$E$1581=O362)*(CAT_Procesos!$F$2:$F$1581=_xlfn.TEXTJOIN(" + ",TRUE,IF((TRIM(P362:S362)="")+(LOWER(TRIM(P362:S362))="(seleccione)"),"",PROPER(TRIM(P362:S362)))))*(CAT_Procesos!$D$2:$D$1581=IFERROR(VLOOKUP(N362&amp;"*",CAT_Procesos!$D:$D,1,FALSE),"")))),INDEX(CAT_Procesos!$G$2:$G$1581,MATCH(1,(CAT_Procesos!$E$2:$E$1581=O362)*(CAT_Procesos!$F$2:$F$1581=_xlfn.TEXTJOIN(" + ",TRUE,IF((TRIM(P362:S362)="")+(LOWER(TRIM(P362:S362))="(seleccione)"),"",PROPER(TRIM(P362:S362)))))*(CAT_Procesos!$D$2:$D$1581=IFERROR(VLOOKUP(N362&amp;"*",CAT_Procesos!$D:$D,1,FALSE),"")),0)),"(seleccione)"))</f>
        <v>Combinación no existente</v>
      </c>
      <c r="V362" s="55" t="s">
        <v>73</v>
      </c>
      <c r="W362" s="56" t="s">
        <v>73</v>
      </c>
      <c r="X362" s="57" t="str">
        <f t="shared" si="20"/>
        <v/>
      </c>
      <c r="Y362" s="58" t="s">
        <v>73</v>
      </c>
      <c r="Z362" s="57" t="str">
        <f t="shared" si="21"/>
        <v/>
      </c>
      <c r="AA362" s="58" t="s">
        <v>73</v>
      </c>
      <c r="AB362" s="57" t="str">
        <f t="shared" si="22"/>
        <v/>
      </c>
      <c r="AC362" s="58" t="s">
        <v>73</v>
      </c>
      <c r="AD362" s="57" t="str">
        <f t="shared" si="23"/>
        <v/>
      </c>
      <c r="AE362" s="59"/>
      <c r="AF362" s="59"/>
      <c r="AG362" s="59"/>
      <c r="AH362" s="59"/>
      <c r="AI362" s="59" t="s">
        <v>73</v>
      </c>
      <c r="AJ362" s="59"/>
      <c r="AK362" s="59" t="s">
        <v>73</v>
      </c>
      <c r="AL362" s="59"/>
      <c r="AM362" s="59" t="s">
        <v>73</v>
      </c>
      <c r="AN362" s="59"/>
      <c r="AO362" s="59" t="s">
        <v>73</v>
      </c>
      <c r="AP362" s="59"/>
      <c r="AQ362" s="59" t="s">
        <v>73</v>
      </c>
      <c r="AR362" s="59"/>
      <c r="AS362" s="59" t="s">
        <v>72</v>
      </c>
      <c r="AT362" s="59"/>
      <c r="AU362" s="59"/>
      <c r="AV362" s="59"/>
      <c r="AW362" s="59"/>
      <c r="AX362" s="59"/>
      <c r="AY362" s="60" t="str">
        <f>IF('Cálculo MP'!K372="","",'Cálculo MP'!K372)</f>
        <v/>
      </c>
      <c r="AZ362" s="60" t="str">
        <f>IF('Cálculo MP'!L372="","",'Cálculo MP'!L372)</f>
        <v/>
      </c>
      <c r="BA362" s="60" t="str">
        <f>IF('Cálculo MP'!M372="","",'Cálculo MP'!M372)</f>
        <v/>
      </c>
      <c r="BB362" s="60" t="str">
        <f>IF('Cálculo MP'!N372="","",'Cálculo MP'!N372)</f>
        <v/>
      </c>
      <c r="BC362" s="60" t="str">
        <f>IF('Cálculo MP'!O372="","",'Cálculo MP'!O372)</f>
        <v/>
      </c>
      <c r="BD362" s="60" t="str">
        <f>IF('Cálculo MP'!P372="","",'Cálculo MP'!P372)</f>
        <v/>
      </c>
      <c r="BE362" s="60" t="str">
        <f>IF('Cálculo MP'!Q372="","",'Cálculo MP'!Q372)</f>
        <v/>
      </c>
      <c r="BF362" s="60" t="str">
        <f>IF('Cálculo MP'!R372="","",'Cálculo MP'!R372)</f>
        <v/>
      </c>
      <c r="BG362" s="60" t="str">
        <f>IF('Cálculo MP'!S372="","",'Cálculo MP'!S372)</f>
        <v/>
      </c>
      <c r="BH362" s="59"/>
      <c r="BI362" s="59"/>
      <c r="BJ362" s="59"/>
      <c r="BK362" s="59"/>
      <c r="BL362" s="59"/>
      <c r="BM362" s="59"/>
      <c r="BN362" s="59"/>
      <c r="BO362" s="59"/>
    </row>
    <row r="363" spans="1:67" ht="19.5" customHeight="1" x14ac:dyDescent="0.15">
      <c r="A363" s="123" t="s">
        <v>1856</v>
      </c>
      <c r="B363" s="122" t="s">
        <v>1854</v>
      </c>
      <c r="C363" s="49"/>
      <c r="D363" s="48" t="s">
        <v>73</v>
      </c>
      <c r="E363" s="49"/>
      <c r="F363" s="50"/>
      <c r="G363" s="62"/>
      <c r="H363" s="48" t="s">
        <v>72</v>
      </c>
      <c r="I363" s="52">
        <v>1</v>
      </c>
      <c r="J363" s="52"/>
      <c r="K363" s="52" t="s">
        <v>73</v>
      </c>
      <c r="L363" s="52" t="s">
        <v>74</v>
      </c>
      <c r="M363" s="53" t="s">
        <v>942</v>
      </c>
      <c r="N363" s="58" t="s">
        <v>73</v>
      </c>
      <c r="O363" s="48" t="s">
        <v>72</v>
      </c>
      <c r="P363" s="48" t="s">
        <v>73</v>
      </c>
      <c r="Q363" s="54" t="s">
        <v>73</v>
      </c>
      <c r="R363" s="55" t="s">
        <v>73</v>
      </c>
      <c r="S363" s="48" t="s">
        <v>73</v>
      </c>
      <c r="T363" s="130"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8" t="str" cm="1">
        <f t="array" ref="U363">IF(SUMPRODUCT(--((CAT_Procesos!$E$2:$E$1581=O363)*(CAT_Procesos!$F$2:$F$1581=_xlfn.TEXTJOIN(" + ",TRUE,IF((TRIM(P363:S363)="")+(LOWER(TRIM(P363:S363))="(seleccione)"),"",PROPER(TRIM(P363:S363)))))*(CAT_Procesos!$D$2:$D$1581=IFERROR(VLOOKUP(N363&amp;"*",CAT_Procesos!$D:$D,1,FALSE),""))))=0,"Combinación no existente",IF(SUMPRODUCT(((CAT_Procesos!$E$2:$E$1581=O363)*(CAT_Procesos!$F$2:$F$1581=_xlfn.TEXTJOIN(" + ",TRUE,IF((TRIM(P363:S363)="")+(LOWER(TRIM(P363:S363))="(seleccione)"),"",PROPER(TRIM(P363:S363)))))*(CAT_Procesos!$D$2:$D$1581=IFERROR(VLOOKUP(N363&amp;"*",CAT_Procesos!$D:$D,1,FALSE),"")))*(CAT_Procesos!$G$2:$G$1581=INDEX(CAT_Procesos!$G$2:$G$1581,MATCH(1,(CAT_Procesos!$E$2:$E$1581=O363)*(CAT_Procesos!$F$2:$F$1581=_xlfn.TEXTJOIN(" + ",TRUE,IF((TRIM(P363:S363)="")+(LOWER(TRIM(P363:S363))="(seleccione)"),"",PROPER(TRIM(P363:S363)))))*(CAT_Procesos!$D$2:$D$1581=IFERROR(VLOOKUP(N363&amp;"*",CAT_Procesos!$D:$D,1,FALSE),"")),0))))=SUMPRODUCT(--((CAT_Procesos!$E$2:$E$1581=O363)*(CAT_Procesos!$F$2:$F$1581=_xlfn.TEXTJOIN(" + ",TRUE,IF((TRIM(P363:S363)="")+(LOWER(TRIM(P363:S363))="(seleccione)"),"",PROPER(TRIM(P363:S363)))))*(CAT_Procesos!$D$2:$D$1581=IFERROR(VLOOKUP(N363&amp;"*",CAT_Procesos!$D:$D,1,FALSE),"")))),INDEX(CAT_Procesos!$G$2:$G$1581,MATCH(1,(CAT_Procesos!$E$2:$E$1581=O363)*(CAT_Procesos!$F$2:$F$1581=_xlfn.TEXTJOIN(" + ",TRUE,IF((TRIM(P363:S363)="")+(LOWER(TRIM(P363:S363))="(seleccione)"),"",PROPER(TRIM(P363:S363)))))*(CAT_Procesos!$D$2:$D$1581=IFERROR(VLOOKUP(N363&amp;"*",CAT_Procesos!$D:$D,1,FALSE),"")),0)),"(seleccione)"))</f>
        <v>Combinación no existente</v>
      </c>
      <c r="V363" s="55" t="s">
        <v>73</v>
      </c>
      <c r="W363" s="56" t="s">
        <v>73</v>
      </c>
      <c r="X363" s="57" t="str">
        <f t="shared" si="20"/>
        <v/>
      </c>
      <c r="Y363" s="58" t="s">
        <v>73</v>
      </c>
      <c r="Z363" s="57" t="str">
        <f t="shared" si="21"/>
        <v/>
      </c>
      <c r="AA363" s="58" t="s">
        <v>73</v>
      </c>
      <c r="AB363" s="57" t="str">
        <f t="shared" si="22"/>
        <v/>
      </c>
      <c r="AC363" s="58" t="s">
        <v>73</v>
      </c>
      <c r="AD363" s="57" t="str">
        <f t="shared" si="23"/>
        <v/>
      </c>
      <c r="AE363" s="59"/>
      <c r="AF363" s="59"/>
      <c r="AG363" s="59"/>
      <c r="AH363" s="59"/>
      <c r="AI363" s="59" t="s">
        <v>73</v>
      </c>
      <c r="AJ363" s="59"/>
      <c r="AK363" s="59" t="s">
        <v>73</v>
      </c>
      <c r="AL363" s="59"/>
      <c r="AM363" s="59" t="s">
        <v>73</v>
      </c>
      <c r="AN363" s="59"/>
      <c r="AO363" s="59" t="s">
        <v>73</v>
      </c>
      <c r="AP363" s="59"/>
      <c r="AQ363" s="59" t="s">
        <v>73</v>
      </c>
      <c r="AR363" s="59"/>
      <c r="AS363" s="59" t="s">
        <v>72</v>
      </c>
      <c r="AT363" s="59"/>
      <c r="AU363" s="59"/>
      <c r="AV363" s="59"/>
      <c r="AW363" s="59"/>
      <c r="AX363" s="59"/>
      <c r="AY363" s="60" t="str">
        <f>IF('Cálculo MP'!K373="","",'Cálculo MP'!K373)</f>
        <v/>
      </c>
      <c r="AZ363" s="60" t="str">
        <f>IF('Cálculo MP'!L373="","",'Cálculo MP'!L373)</f>
        <v/>
      </c>
      <c r="BA363" s="60" t="str">
        <f>IF('Cálculo MP'!M373="","",'Cálculo MP'!M373)</f>
        <v/>
      </c>
      <c r="BB363" s="60" t="str">
        <f>IF('Cálculo MP'!N373="","",'Cálculo MP'!N373)</f>
        <v/>
      </c>
      <c r="BC363" s="60" t="str">
        <f>IF('Cálculo MP'!O373="","",'Cálculo MP'!O373)</f>
        <v/>
      </c>
      <c r="BD363" s="60" t="str">
        <f>IF('Cálculo MP'!P373="","",'Cálculo MP'!P373)</f>
        <v/>
      </c>
      <c r="BE363" s="60" t="str">
        <f>IF('Cálculo MP'!Q373="","",'Cálculo MP'!Q373)</f>
        <v/>
      </c>
      <c r="BF363" s="60" t="str">
        <f>IF('Cálculo MP'!R373="","",'Cálculo MP'!R373)</f>
        <v/>
      </c>
      <c r="BG363" s="60" t="str">
        <f>IF('Cálculo MP'!S373="","",'Cálculo MP'!S373)</f>
        <v/>
      </c>
      <c r="BH363" s="59"/>
      <c r="BI363" s="59"/>
      <c r="BJ363" s="59"/>
      <c r="BK363" s="59"/>
      <c r="BL363" s="59"/>
      <c r="BM363" s="59"/>
      <c r="BN363" s="59"/>
      <c r="BO363" s="59"/>
    </row>
    <row r="364" spans="1:67" ht="19.5" customHeight="1" x14ac:dyDescent="0.15">
      <c r="A364" s="123" t="s">
        <v>1856</v>
      </c>
      <c r="B364" s="122" t="s">
        <v>1854</v>
      </c>
      <c r="C364" s="49"/>
      <c r="D364" s="48" t="s">
        <v>73</v>
      </c>
      <c r="E364" s="49"/>
      <c r="F364" s="50"/>
      <c r="G364" s="62"/>
      <c r="H364" s="48" t="s">
        <v>72</v>
      </c>
      <c r="I364" s="52">
        <v>1</v>
      </c>
      <c r="J364" s="52"/>
      <c r="K364" s="52" t="s">
        <v>73</v>
      </c>
      <c r="L364" s="52" t="s">
        <v>74</v>
      </c>
      <c r="M364" s="53" t="s">
        <v>942</v>
      </c>
      <c r="N364" s="58" t="s">
        <v>73</v>
      </c>
      <c r="O364" s="48" t="s">
        <v>72</v>
      </c>
      <c r="P364" s="48" t="s">
        <v>73</v>
      </c>
      <c r="Q364" s="54" t="s">
        <v>73</v>
      </c>
      <c r="R364" s="55" t="s">
        <v>73</v>
      </c>
      <c r="S364" s="48" t="s">
        <v>73</v>
      </c>
      <c r="T364" s="130"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8" t="str" cm="1">
        <f t="array" ref="U364">IF(SUMPRODUCT(--((CAT_Procesos!$E$2:$E$1581=O364)*(CAT_Procesos!$F$2:$F$1581=_xlfn.TEXTJOIN(" + ",TRUE,IF((TRIM(P364:S364)="")+(LOWER(TRIM(P364:S364))="(seleccione)"),"",PROPER(TRIM(P364:S364)))))*(CAT_Procesos!$D$2:$D$1581=IFERROR(VLOOKUP(N364&amp;"*",CAT_Procesos!$D:$D,1,FALSE),""))))=0,"Combinación no existente",IF(SUMPRODUCT(((CAT_Procesos!$E$2:$E$1581=O364)*(CAT_Procesos!$F$2:$F$1581=_xlfn.TEXTJOIN(" + ",TRUE,IF((TRIM(P364:S364)="")+(LOWER(TRIM(P364:S364))="(seleccione)"),"",PROPER(TRIM(P364:S364)))))*(CAT_Procesos!$D$2:$D$1581=IFERROR(VLOOKUP(N364&amp;"*",CAT_Procesos!$D:$D,1,FALSE),"")))*(CAT_Procesos!$G$2:$G$1581=INDEX(CAT_Procesos!$G$2:$G$1581,MATCH(1,(CAT_Procesos!$E$2:$E$1581=O364)*(CAT_Procesos!$F$2:$F$1581=_xlfn.TEXTJOIN(" + ",TRUE,IF((TRIM(P364:S364)="")+(LOWER(TRIM(P364:S364))="(seleccione)"),"",PROPER(TRIM(P364:S364)))))*(CAT_Procesos!$D$2:$D$1581=IFERROR(VLOOKUP(N364&amp;"*",CAT_Procesos!$D:$D,1,FALSE),"")),0))))=SUMPRODUCT(--((CAT_Procesos!$E$2:$E$1581=O364)*(CAT_Procesos!$F$2:$F$1581=_xlfn.TEXTJOIN(" + ",TRUE,IF((TRIM(P364:S364)="")+(LOWER(TRIM(P364:S364))="(seleccione)"),"",PROPER(TRIM(P364:S364)))))*(CAT_Procesos!$D$2:$D$1581=IFERROR(VLOOKUP(N364&amp;"*",CAT_Procesos!$D:$D,1,FALSE),"")))),INDEX(CAT_Procesos!$G$2:$G$1581,MATCH(1,(CAT_Procesos!$E$2:$E$1581=O364)*(CAT_Procesos!$F$2:$F$1581=_xlfn.TEXTJOIN(" + ",TRUE,IF((TRIM(P364:S364)="")+(LOWER(TRIM(P364:S364))="(seleccione)"),"",PROPER(TRIM(P364:S364)))))*(CAT_Procesos!$D$2:$D$1581=IFERROR(VLOOKUP(N364&amp;"*",CAT_Procesos!$D:$D,1,FALSE),"")),0)),"(seleccione)"))</f>
        <v>Combinación no existente</v>
      </c>
      <c r="V364" s="55" t="s">
        <v>73</v>
      </c>
      <c r="W364" s="56" t="s">
        <v>73</v>
      </c>
      <c r="X364" s="57" t="str">
        <f t="shared" si="20"/>
        <v/>
      </c>
      <c r="Y364" s="58" t="s">
        <v>73</v>
      </c>
      <c r="Z364" s="57" t="str">
        <f t="shared" si="21"/>
        <v/>
      </c>
      <c r="AA364" s="58" t="s">
        <v>73</v>
      </c>
      <c r="AB364" s="57" t="str">
        <f t="shared" si="22"/>
        <v/>
      </c>
      <c r="AC364" s="58" t="s">
        <v>73</v>
      </c>
      <c r="AD364" s="57" t="str">
        <f t="shared" si="23"/>
        <v/>
      </c>
      <c r="AE364" s="59"/>
      <c r="AF364" s="59"/>
      <c r="AG364" s="59"/>
      <c r="AH364" s="59"/>
      <c r="AI364" s="59" t="s">
        <v>73</v>
      </c>
      <c r="AJ364" s="59"/>
      <c r="AK364" s="59" t="s">
        <v>73</v>
      </c>
      <c r="AL364" s="59"/>
      <c r="AM364" s="59" t="s">
        <v>73</v>
      </c>
      <c r="AN364" s="59"/>
      <c r="AO364" s="59" t="s">
        <v>73</v>
      </c>
      <c r="AP364" s="59"/>
      <c r="AQ364" s="59" t="s">
        <v>73</v>
      </c>
      <c r="AR364" s="59"/>
      <c r="AS364" s="59" t="s">
        <v>72</v>
      </c>
      <c r="AT364" s="59"/>
      <c r="AU364" s="59"/>
      <c r="AV364" s="59"/>
      <c r="AW364" s="59"/>
      <c r="AX364" s="59"/>
      <c r="AY364" s="60" t="str">
        <f>IF('Cálculo MP'!K374="","",'Cálculo MP'!K374)</f>
        <v/>
      </c>
      <c r="AZ364" s="60" t="str">
        <f>IF('Cálculo MP'!L374="","",'Cálculo MP'!L374)</f>
        <v/>
      </c>
      <c r="BA364" s="60" t="str">
        <f>IF('Cálculo MP'!M374="","",'Cálculo MP'!M374)</f>
        <v/>
      </c>
      <c r="BB364" s="60" t="str">
        <f>IF('Cálculo MP'!N374="","",'Cálculo MP'!N374)</f>
        <v/>
      </c>
      <c r="BC364" s="60" t="str">
        <f>IF('Cálculo MP'!O374="","",'Cálculo MP'!O374)</f>
        <v/>
      </c>
      <c r="BD364" s="60" t="str">
        <f>IF('Cálculo MP'!P374="","",'Cálculo MP'!P374)</f>
        <v/>
      </c>
      <c r="BE364" s="60" t="str">
        <f>IF('Cálculo MP'!Q374="","",'Cálculo MP'!Q374)</f>
        <v/>
      </c>
      <c r="BF364" s="60" t="str">
        <f>IF('Cálculo MP'!R374="","",'Cálculo MP'!R374)</f>
        <v/>
      </c>
      <c r="BG364" s="60" t="str">
        <f>IF('Cálculo MP'!S374="","",'Cálculo MP'!S374)</f>
        <v/>
      </c>
      <c r="BH364" s="59"/>
      <c r="BI364" s="59"/>
      <c r="BJ364" s="59"/>
      <c r="BK364" s="59"/>
      <c r="BL364" s="59"/>
      <c r="BM364" s="59"/>
      <c r="BN364" s="59"/>
      <c r="BO364" s="59"/>
    </row>
    <row r="365" spans="1:67" ht="19.5" customHeight="1" x14ac:dyDescent="0.15">
      <c r="A365" s="123" t="s">
        <v>1856</v>
      </c>
      <c r="B365" s="122" t="s">
        <v>1854</v>
      </c>
      <c r="C365" s="49"/>
      <c r="D365" s="48" t="s">
        <v>73</v>
      </c>
      <c r="E365" s="49"/>
      <c r="F365" s="50"/>
      <c r="G365" s="62"/>
      <c r="H365" s="48" t="s">
        <v>72</v>
      </c>
      <c r="I365" s="52">
        <v>1</v>
      </c>
      <c r="J365" s="52"/>
      <c r="K365" s="52" t="s">
        <v>73</v>
      </c>
      <c r="L365" s="52" t="s">
        <v>74</v>
      </c>
      <c r="M365" s="53" t="s">
        <v>942</v>
      </c>
      <c r="N365" s="58" t="s">
        <v>73</v>
      </c>
      <c r="O365" s="48" t="s">
        <v>72</v>
      </c>
      <c r="P365" s="48" t="s">
        <v>73</v>
      </c>
      <c r="Q365" s="54" t="s">
        <v>73</v>
      </c>
      <c r="R365" s="55" t="s">
        <v>73</v>
      </c>
      <c r="S365" s="48" t="s">
        <v>73</v>
      </c>
      <c r="T365" s="130"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8" t="str" cm="1">
        <f t="array" ref="U365">IF(SUMPRODUCT(--((CAT_Procesos!$E$2:$E$1581=O365)*(CAT_Procesos!$F$2:$F$1581=_xlfn.TEXTJOIN(" + ",TRUE,IF((TRIM(P365:S365)="")+(LOWER(TRIM(P365:S365))="(seleccione)"),"",PROPER(TRIM(P365:S365)))))*(CAT_Procesos!$D$2:$D$1581=IFERROR(VLOOKUP(N365&amp;"*",CAT_Procesos!$D:$D,1,FALSE),""))))=0,"Combinación no existente",IF(SUMPRODUCT(((CAT_Procesos!$E$2:$E$1581=O365)*(CAT_Procesos!$F$2:$F$1581=_xlfn.TEXTJOIN(" + ",TRUE,IF((TRIM(P365:S365)="")+(LOWER(TRIM(P365:S365))="(seleccione)"),"",PROPER(TRIM(P365:S365)))))*(CAT_Procesos!$D$2:$D$1581=IFERROR(VLOOKUP(N365&amp;"*",CAT_Procesos!$D:$D,1,FALSE),"")))*(CAT_Procesos!$G$2:$G$1581=INDEX(CAT_Procesos!$G$2:$G$1581,MATCH(1,(CAT_Procesos!$E$2:$E$1581=O365)*(CAT_Procesos!$F$2:$F$1581=_xlfn.TEXTJOIN(" + ",TRUE,IF((TRIM(P365:S365)="")+(LOWER(TRIM(P365:S365))="(seleccione)"),"",PROPER(TRIM(P365:S365)))))*(CAT_Procesos!$D$2:$D$1581=IFERROR(VLOOKUP(N365&amp;"*",CAT_Procesos!$D:$D,1,FALSE),"")),0))))=SUMPRODUCT(--((CAT_Procesos!$E$2:$E$1581=O365)*(CAT_Procesos!$F$2:$F$1581=_xlfn.TEXTJOIN(" + ",TRUE,IF((TRIM(P365:S365)="")+(LOWER(TRIM(P365:S365))="(seleccione)"),"",PROPER(TRIM(P365:S365)))))*(CAT_Procesos!$D$2:$D$1581=IFERROR(VLOOKUP(N365&amp;"*",CAT_Procesos!$D:$D,1,FALSE),"")))),INDEX(CAT_Procesos!$G$2:$G$1581,MATCH(1,(CAT_Procesos!$E$2:$E$1581=O365)*(CAT_Procesos!$F$2:$F$1581=_xlfn.TEXTJOIN(" + ",TRUE,IF((TRIM(P365:S365)="")+(LOWER(TRIM(P365:S365))="(seleccione)"),"",PROPER(TRIM(P365:S365)))))*(CAT_Procesos!$D$2:$D$1581=IFERROR(VLOOKUP(N365&amp;"*",CAT_Procesos!$D:$D,1,FALSE),"")),0)),"(seleccione)"))</f>
        <v>Combinación no existente</v>
      </c>
      <c r="V365" s="55" t="s">
        <v>73</v>
      </c>
      <c r="W365" s="56" t="s">
        <v>73</v>
      </c>
      <c r="X365" s="57" t="str">
        <f t="shared" si="20"/>
        <v/>
      </c>
      <c r="Y365" s="58" t="s">
        <v>73</v>
      </c>
      <c r="Z365" s="57" t="str">
        <f t="shared" si="21"/>
        <v/>
      </c>
      <c r="AA365" s="58" t="s">
        <v>73</v>
      </c>
      <c r="AB365" s="57" t="str">
        <f t="shared" si="22"/>
        <v/>
      </c>
      <c r="AC365" s="58" t="s">
        <v>73</v>
      </c>
      <c r="AD365" s="57" t="str">
        <f t="shared" si="23"/>
        <v/>
      </c>
      <c r="AE365" s="59"/>
      <c r="AF365" s="59"/>
      <c r="AG365" s="59"/>
      <c r="AH365" s="59"/>
      <c r="AI365" s="59" t="s">
        <v>73</v>
      </c>
      <c r="AJ365" s="59"/>
      <c r="AK365" s="59" t="s">
        <v>73</v>
      </c>
      <c r="AL365" s="59"/>
      <c r="AM365" s="59" t="s">
        <v>73</v>
      </c>
      <c r="AN365" s="59"/>
      <c r="AO365" s="59" t="s">
        <v>73</v>
      </c>
      <c r="AP365" s="59"/>
      <c r="AQ365" s="59" t="s">
        <v>73</v>
      </c>
      <c r="AR365" s="59"/>
      <c r="AS365" s="59" t="s">
        <v>72</v>
      </c>
      <c r="AT365" s="59"/>
      <c r="AU365" s="59"/>
      <c r="AV365" s="59"/>
      <c r="AW365" s="59"/>
      <c r="AX365" s="59"/>
      <c r="AY365" s="60" t="str">
        <f>IF('Cálculo MP'!K375="","",'Cálculo MP'!K375)</f>
        <v/>
      </c>
      <c r="AZ365" s="60" t="str">
        <f>IF('Cálculo MP'!L375="","",'Cálculo MP'!L375)</f>
        <v/>
      </c>
      <c r="BA365" s="60" t="str">
        <f>IF('Cálculo MP'!M375="","",'Cálculo MP'!M375)</f>
        <v/>
      </c>
      <c r="BB365" s="60" t="str">
        <f>IF('Cálculo MP'!N375="","",'Cálculo MP'!N375)</f>
        <v/>
      </c>
      <c r="BC365" s="60" t="str">
        <f>IF('Cálculo MP'!O375="","",'Cálculo MP'!O375)</f>
        <v/>
      </c>
      <c r="BD365" s="60" t="str">
        <f>IF('Cálculo MP'!P375="","",'Cálculo MP'!P375)</f>
        <v/>
      </c>
      <c r="BE365" s="60" t="str">
        <f>IF('Cálculo MP'!Q375="","",'Cálculo MP'!Q375)</f>
        <v/>
      </c>
      <c r="BF365" s="60" t="str">
        <f>IF('Cálculo MP'!R375="","",'Cálculo MP'!R375)</f>
        <v/>
      </c>
      <c r="BG365" s="60" t="str">
        <f>IF('Cálculo MP'!S375="","",'Cálculo MP'!S375)</f>
        <v/>
      </c>
      <c r="BH365" s="59"/>
      <c r="BI365" s="59"/>
      <c r="BJ365" s="59"/>
      <c r="BK365" s="59"/>
      <c r="BL365" s="59"/>
      <c r="BM365" s="59"/>
      <c r="BN365" s="59"/>
      <c r="BO365" s="59"/>
    </row>
    <row r="366" spans="1:67" ht="19.5" customHeight="1" x14ac:dyDescent="0.15">
      <c r="A366" s="123" t="s">
        <v>1856</v>
      </c>
      <c r="B366" s="122" t="s">
        <v>1854</v>
      </c>
      <c r="C366" s="49"/>
      <c r="D366" s="48" t="s">
        <v>73</v>
      </c>
      <c r="E366" s="49"/>
      <c r="F366" s="50"/>
      <c r="G366" s="62"/>
      <c r="H366" s="48" t="s">
        <v>72</v>
      </c>
      <c r="I366" s="52">
        <v>1</v>
      </c>
      <c r="J366" s="52"/>
      <c r="K366" s="52" t="s">
        <v>73</v>
      </c>
      <c r="L366" s="52" t="s">
        <v>74</v>
      </c>
      <c r="M366" s="53" t="s">
        <v>942</v>
      </c>
      <c r="N366" s="58" t="s">
        <v>73</v>
      </c>
      <c r="O366" s="48" t="s">
        <v>72</v>
      </c>
      <c r="P366" s="48" t="s">
        <v>73</v>
      </c>
      <c r="Q366" s="54" t="s">
        <v>73</v>
      </c>
      <c r="R366" s="55" t="s">
        <v>73</v>
      </c>
      <c r="S366" s="48" t="s">
        <v>73</v>
      </c>
      <c r="T366" s="130"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8" t="str" cm="1">
        <f t="array" ref="U366">IF(SUMPRODUCT(--((CAT_Procesos!$E$2:$E$1581=O366)*(CAT_Procesos!$F$2:$F$1581=_xlfn.TEXTJOIN(" + ",TRUE,IF((TRIM(P366:S366)="")+(LOWER(TRIM(P366:S366))="(seleccione)"),"",PROPER(TRIM(P366:S366)))))*(CAT_Procesos!$D$2:$D$1581=IFERROR(VLOOKUP(N366&amp;"*",CAT_Procesos!$D:$D,1,FALSE),""))))=0,"Combinación no existente",IF(SUMPRODUCT(((CAT_Procesos!$E$2:$E$1581=O366)*(CAT_Procesos!$F$2:$F$1581=_xlfn.TEXTJOIN(" + ",TRUE,IF((TRIM(P366:S366)="")+(LOWER(TRIM(P366:S366))="(seleccione)"),"",PROPER(TRIM(P366:S366)))))*(CAT_Procesos!$D$2:$D$1581=IFERROR(VLOOKUP(N366&amp;"*",CAT_Procesos!$D:$D,1,FALSE),"")))*(CAT_Procesos!$G$2:$G$1581=INDEX(CAT_Procesos!$G$2:$G$1581,MATCH(1,(CAT_Procesos!$E$2:$E$1581=O366)*(CAT_Procesos!$F$2:$F$1581=_xlfn.TEXTJOIN(" + ",TRUE,IF((TRIM(P366:S366)="")+(LOWER(TRIM(P366:S366))="(seleccione)"),"",PROPER(TRIM(P366:S366)))))*(CAT_Procesos!$D$2:$D$1581=IFERROR(VLOOKUP(N366&amp;"*",CAT_Procesos!$D:$D,1,FALSE),"")),0))))=SUMPRODUCT(--((CAT_Procesos!$E$2:$E$1581=O366)*(CAT_Procesos!$F$2:$F$1581=_xlfn.TEXTJOIN(" + ",TRUE,IF((TRIM(P366:S366)="")+(LOWER(TRIM(P366:S366))="(seleccione)"),"",PROPER(TRIM(P366:S366)))))*(CAT_Procesos!$D$2:$D$1581=IFERROR(VLOOKUP(N366&amp;"*",CAT_Procesos!$D:$D,1,FALSE),"")))),INDEX(CAT_Procesos!$G$2:$G$1581,MATCH(1,(CAT_Procesos!$E$2:$E$1581=O366)*(CAT_Procesos!$F$2:$F$1581=_xlfn.TEXTJOIN(" + ",TRUE,IF((TRIM(P366:S366)="")+(LOWER(TRIM(P366:S366))="(seleccione)"),"",PROPER(TRIM(P366:S366)))))*(CAT_Procesos!$D$2:$D$1581=IFERROR(VLOOKUP(N366&amp;"*",CAT_Procesos!$D:$D,1,FALSE),"")),0)),"(seleccione)"))</f>
        <v>Combinación no existente</v>
      </c>
      <c r="V366" s="55" t="s">
        <v>73</v>
      </c>
      <c r="W366" s="56" t="s">
        <v>73</v>
      </c>
      <c r="X366" s="57" t="str">
        <f t="shared" si="20"/>
        <v/>
      </c>
      <c r="Y366" s="58" t="s">
        <v>73</v>
      </c>
      <c r="Z366" s="57" t="str">
        <f t="shared" si="21"/>
        <v/>
      </c>
      <c r="AA366" s="58" t="s">
        <v>73</v>
      </c>
      <c r="AB366" s="57" t="str">
        <f t="shared" si="22"/>
        <v/>
      </c>
      <c r="AC366" s="58" t="s">
        <v>73</v>
      </c>
      <c r="AD366" s="57" t="str">
        <f t="shared" si="23"/>
        <v/>
      </c>
      <c r="AE366" s="59"/>
      <c r="AF366" s="59"/>
      <c r="AG366" s="59"/>
      <c r="AH366" s="59"/>
      <c r="AI366" s="59" t="s">
        <v>73</v>
      </c>
      <c r="AJ366" s="59"/>
      <c r="AK366" s="59" t="s">
        <v>73</v>
      </c>
      <c r="AL366" s="59"/>
      <c r="AM366" s="59" t="s">
        <v>73</v>
      </c>
      <c r="AN366" s="59"/>
      <c r="AO366" s="59" t="s">
        <v>73</v>
      </c>
      <c r="AP366" s="59"/>
      <c r="AQ366" s="59" t="s">
        <v>73</v>
      </c>
      <c r="AR366" s="59"/>
      <c r="AS366" s="59" t="s">
        <v>72</v>
      </c>
      <c r="AT366" s="59"/>
      <c r="AU366" s="59"/>
      <c r="AV366" s="59"/>
      <c r="AW366" s="59"/>
      <c r="AX366" s="59"/>
      <c r="AY366" s="60" t="str">
        <f>IF('Cálculo MP'!K376="","",'Cálculo MP'!K376)</f>
        <v/>
      </c>
      <c r="AZ366" s="60" t="str">
        <f>IF('Cálculo MP'!L376="","",'Cálculo MP'!L376)</f>
        <v/>
      </c>
      <c r="BA366" s="60" t="str">
        <f>IF('Cálculo MP'!M376="","",'Cálculo MP'!M376)</f>
        <v/>
      </c>
      <c r="BB366" s="60" t="str">
        <f>IF('Cálculo MP'!N376="","",'Cálculo MP'!N376)</f>
        <v/>
      </c>
      <c r="BC366" s="60" t="str">
        <f>IF('Cálculo MP'!O376="","",'Cálculo MP'!O376)</f>
        <v/>
      </c>
      <c r="BD366" s="60" t="str">
        <f>IF('Cálculo MP'!P376="","",'Cálculo MP'!P376)</f>
        <v/>
      </c>
      <c r="BE366" s="60" t="str">
        <f>IF('Cálculo MP'!Q376="","",'Cálculo MP'!Q376)</f>
        <v/>
      </c>
      <c r="BF366" s="60" t="str">
        <f>IF('Cálculo MP'!R376="","",'Cálculo MP'!R376)</f>
        <v/>
      </c>
      <c r="BG366" s="60" t="str">
        <f>IF('Cálculo MP'!S376="","",'Cálculo MP'!S376)</f>
        <v/>
      </c>
      <c r="BH366" s="59"/>
      <c r="BI366" s="59"/>
      <c r="BJ366" s="59"/>
      <c r="BK366" s="59"/>
      <c r="BL366" s="59"/>
      <c r="BM366" s="59"/>
      <c r="BN366" s="59"/>
      <c r="BO366" s="59"/>
    </row>
    <row r="367" spans="1:67" ht="19.5" customHeight="1" x14ac:dyDescent="0.15">
      <c r="A367" s="123" t="s">
        <v>1856</v>
      </c>
      <c r="B367" s="122" t="s">
        <v>1854</v>
      </c>
      <c r="C367" s="49"/>
      <c r="D367" s="48" t="s">
        <v>73</v>
      </c>
      <c r="E367" s="49"/>
      <c r="F367" s="50"/>
      <c r="G367" s="62"/>
      <c r="H367" s="48" t="s">
        <v>72</v>
      </c>
      <c r="I367" s="52">
        <v>1</v>
      </c>
      <c r="J367" s="52"/>
      <c r="K367" s="52" t="s">
        <v>73</v>
      </c>
      <c r="L367" s="52" t="s">
        <v>74</v>
      </c>
      <c r="M367" s="53" t="s">
        <v>942</v>
      </c>
      <c r="N367" s="58" t="s">
        <v>73</v>
      </c>
      <c r="O367" s="48" t="s">
        <v>72</v>
      </c>
      <c r="P367" s="48" t="s">
        <v>73</v>
      </c>
      <c r="Q367" s="54" t="s">
        <v>73</v>
      </c>
      <c r="R367" s="55" t="s">
        <v>73</v>
      </c>
      <c r="S367" s="48" t="s">
        <v>73</v>
      </c>
      <c r="T367" s="130"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8" t="str" cm="1">
        <f t="array" ref="U367">IF(SUMPRODUCT(--((CAT_Procesos!$E$2:$E$1581=O367)*(CAT_Procesos!$F$2:$F$1581=_xlfn.TEXTJOIN(" + ",TRUE,IF((TRIM(P367:S367)="")+(LOWER(TRIM(P367:S367))="(seleccione)"),"",PROPER(TRIM(P367:S367)))))*(CAT_Procesos!$D$2:$D$1581=IFERROR(VLOOKUP(N367&amp;"*",CAT_Procesos!$D:$D,1,FALSE),""))))=0,"Combinación no existente",IF(SUMPRODUCT(((CAT_Procesos!$E$2:$E$1581=O367)*(CAT_Procesos!$F$2:$F$1581=_xlfn.TEXTJOIN(" + ",TRUE,IF((TRIM(P367:S367)="")+(LOWER(TRIM(P367:S367))="(seleccione)"),"",PROPER(TRIM(P367:S367)))))*(CAT_Procesos!$D$2:$D$1581=IFERROR(VLOOKUP(N367&amp;"*",CAT_Procesos!$D:$D,1,FALSE),"")))*(CAT_Procesos!$G$2:$G$1581=INDEX(CAT_Procesos!$G$2:$G$1581,MATCH(1,(CAT_Procesos!$E$2:$E$1581=O367)*(CAT_Procesos!$F$2:$F$1581=_xlfn.TEXTJOIN(" + ",TRUE,IF((TRIM(P367:S367)="")+(LOWER(TRIM(P367:S367))="(seleccione)"),"",PROPER(TRIM(P367:S367)))))*(CAT_Procesos!$D$2:$D$1581=IFERROR(VLOOKUP(N367&amp;"*",CAT_Procesos!$D:$D,1,FALSE),"")),0))))=SUMPRODUCT(--((CAT_Procesos!$E$2:$E$1581=O367)*(CAT_Procesos!$F$2:$F$1581=_xlfn.TEXTJOIN(" + ",TRUE,IF((TRIM(P367:S367)="")+(LOWER(TRIM(P367:S367))="(seleccione)"),"",PROPER(TRIM(P367:S367)))))*(CAT_Procesos!$D$2:$D$1581=IFERROR(VLOOKUP(N367&amp;"*",CAT_Procesos!$D:$D,1,FALSE),"")))),INDEX(CAT_Procesos!$G$2:$G$1581,MATCH(1,(CAT_Procesos!$E$2:$E$1581=O367)*(CAT_Procesos!$F$2:$F$1581=_xlfn.TEXTJOIN(" + ",TRUE,IF((TRIM(P367:S367)="")+(LOWER(TRIM(P367:S367))="(seleccione)"),"",PROPER(TRIM(P367:S367)))))*(CAT_Procesos!$D$2:$D$1581=IFERROR(VLOOKUP(N367&amp;"*",CAT_Procesos!$D:$D,1,FALSE),"")),0)),"(seleccione)"))</f>
        <v>Combinación no existente</v>
      </c>
      <c r="V367" s="55" t="s">
        <v>73</v>
      </c>
      <c r="W367" s="56" t="s">
        <v>73</v>
      </c>
      <c r="X367" s="57" t="str">
        <f t="shared" si="20"/>
        <v/>
      </c>
      <c r="Y367" s="58" t="s">
        <v>73</v>
      </c>
      <c r="Z367" s="57" t="str">
        <f t="shared" si="21"/>
        <v/>
      </c>
      <c r="AA367" s="58" t="s">
        <v>73</v>
      </c>
      <c r="AB367" s="57" t="str">
        <f t="shared" si="22"/>
        <v/>
      </c>
      <c r="AC367" s="58" t="s">
        <v>73</v>
      </c>
      <c r="AD367" s="57" t="str">
        <f t="shared" si="23"/>
        <v/>
      </c>
      <c r="AE367" s="59"/>
      <c r="AF367" s="59"/>
      <c r="AG367" s="59"/>
      <c r="AH367" s="59"/>
      <c r="AI367" s="59" t="s">
        <v>73</v>
      </c>
      <c r="AJ367" s="59"/>
      <c r="AK367" s="59" t="s">
        <v>73</v>
      </c>
      <c r="AL367" s="59"/>
      <c r="AM367" s="59" t="s">
        <v>73</v>
      </c>
      <c r="AN367" s="59"/>
      <c r="AO367" s="59" t="s">
        <v>73</v>
      </c>
      <c r="AP367" s="59"/>
      <c r="AQ367" s="59" t="s">
        <v>73</v>
      </c>
      <c r="AR367" s="59"/>
      <c r="AS367" s="59" t="s">
        <v>72</v>
      </c>
      <c r="AT367" s="59"/>
      <c r="AU367" s="59"/>
      <c r="AV367" s="59"/>
      <c r="AW367" s="59"/>
      <c r="AX367" s="59"/>
      <c r="AY367" s="60" t="str">
        <f>IF('Cálculo MP'!K377="","",'Cálculo MP'!K377)</f>
        <v/>
      </c>
      <c r="AZ367" s="60" t="str">
        <f>IF('Cálculo MP'!L377="","",'Cálculo MP'!L377)</f>
        <v/>
      </c>
      <c r="BA367" s="60" t="str">
        <f>IF('Cálculo MP'!M377="","",'Cálculo MP'!M377)</f>
        <v/>
      </c>
      <c r="BB367" s="60" t="str">
        <f>IF('Cálculo MP'!N377="","",'Cálculo MP'!N377)</f>
        <v/>
      </c>
      <c r="BC367" s="60" t="str">
        <f>IF('Cálculo MP'!O377="","",'Cálculo MP'!O377)</f>
        <v/>
      </c>
      <c r="BD367" s="60" t="str">
        <f>IF('Cálculo MP'!P377="","",'Cálculo MP'!P377)</f>
        <v/>
      </c>
      <c r="BE367" s="60" t="str">
        <f>IF('Cálculo MP'!Q377="","",'Cálculo MP'!Q377)</f>
        <v/>
      </c>
      <c r="BF367" s="60" t="str">
        <f>IF('Cálculo MP'!R377="","",'Cálculo MP'!R377)</f>
        <v/>
      </c>
      <c r="BG367" s="60" t="str">
        <f>IF('Cálculo MP'!S377="","",'Cálculo MP'!S377)</f>
        <v/>
      </c>
      <c r="BH367" s="59"/>
      <c r="BI367" s="59"/>
      <c r="BJ367" s="59"/>
      <c r="BK367" s="59"/>
      <c r="BL367" s="59"/>
      <c r="BM367" s="59"/>
      <c r="BN367" s="59"/>
      <c r="BO367" s="59"/>
    </row>
    <row r="368" spans="1:67" ht="19.5" customHeight="1" x14ac:dyDescent="0.15">
      <c r="A368" s="123" t="s">
        <v>1856</v>
      </c>
      <c r="B368" s="122" t="s">
        <v>1854</v>
      </c>
      <c r="C368" s="49"/>
      <c r="D368" s="48" t="s">
        <v>73</v>
      </c>
      <c r="E368" s="49"/>
      <c r="F368" s="50"/>
      <c r="G368" s="62"/>
      <c r="H368" s="48" t="s">
        <v>72</v>
      </c>
      <c r="I368" s="52">
        <v>1</v>
      </c>
      <c r="J368" s="52"/>
      <c r="K368" s="52" t="s">
        <v>73</v>
      </c>
      <c r="L368" s="52" t="s">
        <v>74</v>
      </c>
      <c r="M368" s="53" t="s">
        <v>942</v>
      </c>
      <c r="N368" s="58" t="s">
        <v>73</v>
      </c>
      <c r="O368" s="48" t="s">
        <v>72</v>
      </c>
      <c r="P368" s="48" t="s">
        <v>73</v>
      </c>
      <c r="Q368" s="54" t="s">
        <v>73</v>
      </c>
      <c r="R368" s="55" t="s">
        <v>73</v>
      </c>
      <c r="S368" s="48" t="s">
        <v>73</v>
      </c>
      <c r="T368" s="130"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8" t="str" cm="1">
        <f t="array" ref="U368">IF(SUMPRODUCT(--((CAT_Procesos!$E$2:$E$1581=O368)*(CAT_Procesos!$F$2:$F$1581=_xlfn.TEXTJOIN(" + ",TRUE,IF((TRIM(P368:S368)="")+(LOWER(TRIM(P368:S368))="(seleccione)"),"",PROPER(TRIM(P368:S368)))))*(CAT_Procesos!$D$2:$D$1581=IFERROR(VLOOKUP(N368&amp;"*",CAT_Procesos!$D:$D,1,FALSE),""))))=0,"Combinación no existente",IF(SUMPRODUCT(((CAT_Procesos!$E$2:$E$1581=O368)*(CAT_Procesos!$F$2:$F$1581=_xlfn.TEXTJOIN(" + ",TRUE,IF((TRIM(P368:S368)="")+(LOWER(TRIM(P368:S368))="(seleccione)"),"",PROPER(TRIM(P368:S368)))))*(CAT_Procesos!$D$2:$D$1581=IFERROR(VLOOKUP(N368&amp;"*",CAT_Procesos!$D:$D,1,FALSE),"")))*(CAT_Procesos!$G$2:$G$1581=INDEX(CAT_Procesos!$G$2:$G$1581,MATCH(1,(CAT_Procesos!$E$2:$E$1581=O368)*(CAT_Procesos!$F$2:$F$1581=_xlfn.TEXTJOIN(" + ",TRUE,IF((TRIM(P368:S368)="")+(LOWER(TRIM(P368:S368))="(seleccione)"),"",PROPER(TRIM(P368:S368)))))*(CAT_Procesos!$D$2:$D$1581=IFERROR(VLOOKUP(N368&amp;"*",CAT_Procesos!$D:$D,1,FALSE),"")),0))))=SUMPRODUCT(--((CAT_Procesos!$E$2:$E$1581=O368)*(CAT_Procesos!$F$2:$F$1581=_xlfn.TEXTJOIN(" + ",TRUE,IF((TRIM(P368:S368)="")+(LOWER(TRIM(P368:S368))="(seleccione)"),"",PROPER(TRIM(P368:S368)))))*(CAT_Procesos!$D$2:$D$1581=IFERROR(VLOOKUP(N368&amp;"*",CAT_Procesos!$D:$D,1,FALSE),"")))),INDEX(CAT_Procesos!$G$2:$G$1581,MATCH(1,(CAT_Procesos!$E$2:$E$1581=O368)*(CAT_Procesos!$F$2:$F$1581=_xlfn.TEXTJOIN(" + ",TRUE,IF((TRIM(P368:S368)="")+(LOWER(TRIM(P368:S368))="(seleccione)"),"",PROPER(TRIM(P368:S368)))))*(CAT_Procesos!$D$2:$D$1581=IFERROR(VLOOKUP(N368&amp;"*",CAT_Procesos!$D:$D,1,FALSE),"")),0)),"(seleccione)"))</f>
        <v>Combinación no existente</v>
      </c>
      <c r="V368" s="55" t="s">
        <v>73</v>
      </c>
      <c r="W368" s="56" t="s">
        <v>73</v>
      </c>
      <c r="X368" s="57" t="str">
        <f t="shared" si="20"/>
        <v/>
      </c>
      <c r="Y368" s="58" t="s">
        <v>73</v>
      </c>
      <c r="Z368" s="57" t="str">
        <f t="shared" si="21"/>
        <v/>
      </c>
      <c r="AA368" s="58" t="s">
        <v>73</v>
      </c>
      <c r="AB368" s="57" t="str">
        <f t="shared" si="22"/>
        <v/>
      </c>
      <c r="AC368" s="58" t="s">
        <v>73</v>
      </c>
      <c r="AD368" s="57" t="str">
        <f t="shared" si="23"/>
        <v/>
      </c>
      <c r="AE368" s="59"/>
      <c r="AF368" s="59"/>
      <c r="AG368" s="59"/>
      <c r="AH368" s="59"/>
      <c r="AI368" s="59" t="s">
        <v>73</v>
      </c>
      <c r="AJ368" s="59"/>
      <c r="AK368" s="59" t="s">
        <v>73</v>
      </c>
      <c r="AL368" s="59"/>
      <c r="AM368" s="59" t="s">
        <v>73</v>
      </c>
      <c r="AN368" s="59"/>
      <c r="AO368" s="59" t="s">
        <v>73</v>
      </c>
      <c r="AP368" s="59"/>
      <c r="AQ368" s="59" t="s">
        <v>73</v>
      </c>
      <c r="AR368" s="59"/>
      <c r="AS368" s="59" t="s">
        <v>72</v>
      </c>
      <c r="AT368" s="59"/>
      <c r="AU368" s="59"/>
      <c r="AV368" s="59"/>
      <c r="AW368" s="59"/>
      <c r="AX368" s="59"/>
      <c r="AY368" s="60" t="str">
        <f>IF('Cálculo MP'!K378="","",'Cálculo MP'!K378)</f>
        <v/>
      </c>
      <c r="AZ368" s="60" t="str">
        <f>IF('Cálculo MP'!L378="","",'Cálculo MP'!L378)</f>
        <v/>
      </c>
      <c r="BA368" s="60" t="str">
        <f>IF('Cálculo MP'!M378="","",'Cálculo MP'!M378)</f>
        <v/>
      </c>
      <c r="BB368" s="60" t="str">
        <f>IF('Cálculo MP'!N378="","",'Cálculo MP'!N378)</f>
        <v/>
      </c>
      <c r="BC368" s="60" t="str">
        <f>IF('Cálculo MP'!O378="","",'Cálculo MP'!O378)</f>
        <v/>
      </c>
      <c r="BD368" s="60" t="str">
        <f>IF('Cálculo MP'!P378="","",'Cálculo MP'!P378)</f>
        <v/>
      </c>
      <c r="BE368" s="60" t="str">
        <f>IF('Cálculo MP'!Q378="","",'Cálculo MP'!Q378)</f>
        <v/>
      </c>
      <c r="BF368" s="60" t="str">
        <f>IF('Cálculo MP'!R378="","",'Cálculo MP'!R378)</f>
        <v/>
      </c>
      <c r="BG368" s="60" t="str">
        <f>IF('Cálculo MP'!S378="","",'Cálculo MP'!S378)</f>
        <v/>
      </c>
      <c r="BH368" s="59"/>
      <c r="BI368" s="59"/>
      <c r="BJ368" s="59"/>
      <c r="BK368" s="59"/>
      <c r="BL368" s="59"/>
      <c r="BM368" s="59"/>
      <c r="BN368" s="59"/>
      <c r="BO368" s="59"/>
    </row>
    <row r="369" spans="1:67" ht="19.5" customHeight="1" x14ac:dyDescent="0.15">
      <c r="A369" s="123" t="s">
        <v>1856</v>
      </c>
      <c r="B369" s="122" t="s">
        <v>1854</v>
      </c>
      <c r="C369" s="49"/>
      <c r="D369" s="48" t="s">
        <v>73</v>
      </c>
      <c r="E369" s="49"/>
      <c r="F369" s="50"/>
      <c r="G369" s="62"/>
      <c r="H369" s="48" t="s">
        <v>72</v>
      </c>
      <c r="I369" s="52">
        <v>1</v>
      </c>
      <c r="J369" s="52"/>
      <c r="K369" s="52" t="s">
        <v>73</v>
      </c>
      <c r="L369" s="52" t="s">
        <v>74</v>
      </c>
      <c r="M369" s="53" t="s">
        <v>942</v>
      </c>
      <c r="N369" s="58" t="s">
        <v>73</v>
      </c>
      <c r="O369" s="48" t="s">
        <v>72</v>
      </c>
      <c r="P369" s="48" t="s">
        <v>73</v>
      </c>
      <c r="Q369" s="54" t="s">
        <v>73</v>
      </c>
      <c r="R369" s="55" t="s">
        <v>73</v>
      </c>
      <c r="S369" s="48" t="s">
        <v>73</v>
      </c>
      <c r="T369" s="130"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8" t="str" cm="1">
        <f t="array" ref="U369">IF(SUMPRODUCT(--((CAT_Procesos!$E$2:$E$1581=O369)*(CAT_Procesos!$F$2:$F$1581=_xlfn.TEXTJOIN(" + ",TRUE,IF((TRIM(P369:S369)="")+(LOWER(TRIM(P369:S369))="(seleccione)"),"",PROPER(TRIM(P369:S369)))))*(CAT_Procesos!$D$2:$D$1581=IFERROR(VLOOKUP(N369&amp;"*",CAT_Procesos!$D:$D,1,FALSE),""))))=0,"Combinación no existente",IF(SUMPRODUCT(((CAT_Procesos!$E$2:$E$1581=O369)*(CAT_Procesos!$F$2:$F$1581=_xlfn.TEXTJOIN(" + ",TRUE,IF((TRIM(P369:S369)="")+(LOWER(TRIM(P369:S369))="(seleccione)"),"",PROPER(TRIM(P369:S369)))))*(CAT_Procesos!$D$2:$D$1581=IFERROR(VLOOKUP(N369&amp;"*",CAT_Procesos!$D:$D,1,FALSE),"")))*(CAT_Procesos!$G$2:$G$1581=INDEX(CAT_Procesos!$G$2:$G$1581,MATCH(1,(CAT_Procesos!$E$2:$E$1581=O369)*(CAT_Procesos!$F$2:$F$1581=_xlfn.TEXTJOIN(" + ",TRUE,IF((TRIM(P369:S369)="")+(LOWER(TRIM(P369:S369))="(seleccione)"),"",PROPER(TRIM(P369:S369)))))*(CAT_Procesos!$D$2:$D$1581=IFERROR(VLOOKUP(N369&amp;"*",CAT_Procesos!$D:$D,1,FALSE),"")),0))))=SUMPRODUCT(--((CAT_Procesos!$E$2:$E$1581=O369)*(CAT_Procesos!$F$2:$F$1581=_xlfn.TEXTJOIN(" + ",TRUE,IF((TRIM(P369:S369)="")+(LOWER(TRIM(P369:S369))="(seleccione)"),"",PROPER(TRIM(P369:S369)))))*(CAT_Procesos!$D$2:$D$1581=IFERROR(VLOOKUP(N369&amp;"*",CAT_Procesos!$D:$D,1,FALSE),"")))),INDEX(CAT_Procesos!$G$2:$G$1581,MATCH(1,(CAT_Procesos!$E$2:$E$1581=O369)*(CAT_Procesos!$F$2:$F$1581=_xlfn.TEXTJOIN(" + ",TRUE,IF((TRIM(P369:S369)="")+(LOWER(TRIM(P369:S369))="(seleccione)"),"",PROPER(TRIM(P369:S369)))))*(CAT_Procesos!$D$2:$D$1581=IFERROR(VLOOKUP(N369&amp;"*",CAT_Procesos!$D:$D,1,FALSE),"")),0)),"(seleccione)"))</f>
        <v>Combinación no existente</v>
      </c>
      <c r="V369" s="55" t="s">
        <v>73</v>
      </c>
      <c r="W369" s="56" t="s">
        <v>73</v>
      </c>
      <c r="X369" s="57" t="str">
        <f t="shared" si="20"/>
        <v/>
      </c>
      <c r="Y369" s="58" t="s">
        <v>73</v>
      </c>
      <c r="Z369" s="57" t="str">
        <f t="shared" si="21"/>
        <v/>
      </c>
      <c r="AA369" s="58" t="s">
        <v>73</v>
      </c>
      <c r="AB369" s="57" t="str">
        <f t="shared" si="22"/>
        <v/>
      </c>
      <c r="AC369" s="58" t="s">
        <v>73</v>
      </c>
      <c r="AD369" s="57" t="str">
        <f t="shared" si="23"/>
        <v/>
      </c>
      <c r="AE369" s="59"/>
      <c r="AF369" s="59"/>
      <c r="AG369" s="59"/>
      <c r="AH369" s="59"/>
      <c r="AI369" s="59" t="s">
        <v>73</v>
      </c>
      <c r="AJ369" s="59"/>
      <c r="AK369" s="59" t="s">
        <v>73</v>
      </c>
      <c r="AL369" s="59"/>
      <c r="AM369" s="59" t="s">
        <v>73</v>
      </c>
      <c r="AN369" s="59"/>
      <c r="AO369" s="59" t="s">
        <v>73</v>
      </c>
      <c r="AP369" s="59"/>
      <c r="AQ369" s="59" t="s">
        <v>73</v>
      </c>
      <c r="AR369" s="59"/>
      <c r="AS369" s="59" t="s">
        <v>72</v>
      </c>
      <c r="AT369" s="59"/>
      <c r="AU369" s="59"/>
      <c r="AV369" s="59"/>
      <c r="AW369" s="59"/>
      <c r="AX369" s="59"/>
      <c r="AY369" s="60" t="str">
        <f>IF('Cálculo MP'!K379="","",'Cálculo MP'!K379)</f>
        <v/>
      </c>
      <c r="AZ369" s="60" t="str">
        <f>IF('Cálculo MP'!L379="","",'Cálculo MP'!L379)</f>
        <v/>
      </c>
      <c r="BA369" s="60" t="str">
        <f>IF('Cálculo MP'!M379="","",'Cálculo MP'!M379)</f>
        <v/>
      </c>
      <c r="BB369" s="60" t="str">
        <f>IF('Cálculo MP'!N379="","",'Cálculo MP'!N379)</f>
        <v/>
      </c>
      <c r="BC369" s="60" t="str">
        <f>IF('Cálculo MP'!O379="","",'Cálculo MP'!O379)</f>
        <v/>
      </c>
      <c r="BD369" s="60" t="str">
        <f>IF('Cálculo MP'!P379="","",'Cálculo MP'!P379)</f>
        <v/>
      </c>
      <c r="BE369" s="60" t="str">
        <f>IF('Cálculo MP'!Q379="","",'Cálculo MP'!Q379)</f>
        <v/>
      </c>
      <c r="BF369" s="60" t="str">
        <f>IF('Cálculo MP'!R379="","",'Cálculo MP'!R379)</f>
        <v/>
      </c>
      <c r="BG369" s="60" t="str">
        <f>IF('Cálculo MP'!S379="","",'Cálculo MP'!S379)</f>
        <v/>
      </c>
      <c r="BH369" s="59"/>
      <c r="BI369" s="59"/>
      <c r="BJ369" s="59"/>
      <c r="BK369" s="59"/>
      <c r="BL369" s="59"/>
      <c r="BM369" s="59"/>
      <c r="BN369" s="59"/>
      <c r="BO369" s="59"/>
    </row>
    <row r="370" spans="1:67" ht="19.5" customHeight="1" x14ac:dyDescent="0.15">
      <c r="A370" s="123" t="s">
        <v>1856</v>
      </c>
      <c r="B370" s="122" t="s">
        <v>1854</v>
      </c>
      <c r="C370" s="49"/>
      <c r="D370" s="48" t="s">
        <v>73</v>
      </c>
      <c r="E370" s="49"/>
      <c r="F370" s="50"/>
      <c r="G370" s="62"/>
      <c r="H370" s="48" t="s">
        <v>72</v>
      </c>
      <c r="I370" s="52">
        <v>1</v>
      </c>
      <c r="J370" s="52"/>
      <c r="K370" s="52" t="s">
        <v>73</v>
      </c>
      <c r="L370" s="52" t="s">
        <v>74</v>
      </c>
      <c r="M370" s="53" t="s">
        <v>942</v>
      </c>
      <c r="N370" s="58" t="s">
        <v>73</v>
      </c>
      <c r="O370" s="48" t="s">
        <v>72</v>
      </c>
      <c r="P370" s="48" t="s">
        <v>73</v>
      </c>
      <c r="Q370" s="54" t="s">
        <v>73</v>
      </c>
      <c r="R370" s="55" t="s">
        <v>73</v>
      </c>
      <c r="S370" s="48" t="s">
        <v>73</v>
      </c>
      <c r="T370" s="130"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8" t="str" cm="1">
        <f t="array" ref="U370">IF(SUMPRODUCT(--((CAT_Procesos!$E$2:$E$1581=O370)*(CAT_Procesos!$F$2:$F$1581=_xlfn.TEXTJOIN(" + ",TRUE,IF((TRIM(P370:S370)="")+(LOWER(TRIM(P370:S370))="(seleccione)"),"",PROPER(TRIM(P370:S370)))))*(CAT_Procesos!$D$2:$D$1581=IFERROR(VLOOKUP(N370&amp;"*",CAT_Procesos!$D:$D,1,FALSE),""))))=0,"Combinación no existente",IF(SUMPRODUCT(((CAT_Procesos!$E$2:$E$1581=O370)*(CAT_Procesos!$F$2:$F$1581=_xlfn.TEXTJOIN(" + ",TRUE,IF((TRIM(P370:S370)="")+(LOWER(TRIM(P370:S370))="(seleccione)"),"",PROPER(TRIM(P370:S370)))))*(CAT_Procesos!$D$2:$D$1581=IFERROR(VLOOKUP(N370&amp;"*",CAT_Procesos!$D:$D,1,FALSE),"")))*(CAT_Procesos!$G$2:$G$1581=INDEX(CAT_Procesos!$G$2:$G$1581,MATCH(1,(CAT_Procesos!$E$2:$E$1581=O370)*(CAT_Procesos!$F$2:$F$1581=_xlfn.TEXTJOIN(" + ",TRUE,IF((TRIM(P370:S370)="")+(LOWER(TRIM(P370:S370))="(seleccione)"),"",PROPER(TRIM(P370:S370)))))*(CAT_Procesos!$D$2:$D$1581=IFERROR(VLOOKUP(N370&amp;"*",CAT_Procesos!$D:$D,1,FALSE),"")),0))))=SUMPRODUCT(--((CAT_Procesos!$E$2:$E$1581=O370)*(CAT_Procesos!$F$2:$F$1581=_xlfn.TEXTJOIN(" + ",TRUE,IF((TRIM(P370:S370)="")+(LOWER(TRIM(P370:S370))="(seleccione)"),"",PROPER(TRIM(P370:S370)))))*(CAT_Procesos!$D$2:$D$1581=IFERROR(VLOOKUP(N370&amp;"*",CAT_Procesos!$D:$D,1,FALSE),"")))),INDEX(CAT_Procesos!$G$2:$G$1581,MATCH(1,(CAT_Procesos!$E$2:$E$1581=O370)*(CAT_Procesos!$F$2:$F$1581=_xlfn.TEXTJOIN(" + ",TRUE,IF((TRIM(P370:S370)="")+(LOWER(TRIM(P370:S370))="(seleccione)"),"",PROPER(TRIM(P370:S370)))))*(CAT_Procesos!$D$2:$D$1581=IFERROR(VLOOKUP(N370&amp;"*",CAT_Procesos!$D:$D,1,FALSE),"")),0)),"(seleccione)"))</f>
        <v>Combinación no existente</v>
      </c>
      <c r="V370" s="55" t="s">
        <v>73</v>
      </c>
      <c r="W370" s="56" t="s">
        <v>73</v>
      </c>
      <c r="X370" s="57" t="str">
        <f t="shared" si="20"/>
        <v/>
      </c>
      <c r="Y370" s="58" t="s">
        <v>73</v>
      </c>
      <c r="Z370" s="57" t="str">
        <f t="shared" si="21"/>
        <v/>
      </c>
      <c r="AA370" s="58" t="s">
        <v>73</v>
      </c>
      <c r="AB370" s="57" t="str">
        <f t="shared" si="22"/>
        <v/>
      </c>
      <c r="AC370" s="58" t="s">
        <v>73</v>
      </c>
      <c r="AD370" s="57" t="str">
        <f t="shared" si="23"/>
        <v/>
      </c>
      <c r="AE370" s="59"/>
      <c r="AF370" s="59"/>
      <c r="AG370" s="59"/>
      <c r="AH370" s="59"/>
      <c r="AI370" s="59" t="s">
        <v>73</v>
      </c>
      <c r="AJ370" s="59"/>
      <c r="AK370" s="59" t="s">
        <v>73</v>
      </c>
      <c r="AL370" s="59"/>
      <c r="AM370" s="59" t="s">
        <v>73</v>
      </c>
      <c r="AN370" s="59"/>
      <c r="AO370" s="59" t="s">
        <v>73</v>
      </c>
      <c r="AP370" s="59"/>
      <c r="AQ370" s="59" t="s">
        <v>73</v>
      </c>
      <c r="AR370" s="59"/>
      <c r="AS370" s="59" t="s">
        <v>72</v>
      </c>
      <c r="AT370" s="59"/>
      <c r="AU370" s="59"/>
      <c r="AV370" s="59"/>
      <c r="AW370" s="59"/>
      <c r="AX370" s="59"/>
      <c r="AY370" s="60" t="str">
        <f>IF('Cálculo MP'!K380="","",'Cálculo MP'!K380)</f>
        <v/>
      </c>
      <c r="AZ370" s="60" t="str">
        <f>IF('Cálculo MP'!L380="","",'Cálculo MP'!L380)</f>
        <v/>
      </c>
      <c r="BA370" s="60" t="str">
        <f>IF('Cálculo MP'!M380="","",'Cálculo MP'!M380)</f>
        <v/>
      </c>
      <c r="BB370" s="60" t="str">
        <f>IF('Cálculo MP'!N380="","",'Cálculo MP'!N380)</f>
        <v/>
      </c>
      <c r="BC370" s="60" t="str">
        <f>IF('Cálculo MP'!O380="","",'Cálculo MP'!O380)</f>
        <v/>
      </c>
      <c r="BD370" s="60" t="str">
        <f>IF('Cálculo MP'!P380="","",'Cálculo MP'!P380)</f>
        <v/>
      </c>
      <c r="BE370" s="60" t="str">
        <f>IF('Cálculo MP'!Q380="","",'Cálculo MP'!Q380)</f>
        <v/>
      </c>
      <c r="BF370" s="60" t="str">
        <f>IF('Cálculo MP'!R380="","",'Cálculo MP'!R380)</f>
        <v/>
      </c>
      <c r="BG370" s="60" t="str">
        <f>IF('Cálculo MP'!S380="","",'Cálculo MP'!S380)</f>
        <v/>
      </c>
      <c r="BH370" s="59"/>
      <c r="BI370" s="59"/>
      <c r="BJ370" s="59"/>
      <c r="BK370" s="59"/>
      <c r="BL370" s="59"/>
      <c r="BM370" s="59"/>
      <c r="BN370" s="59"/>
      <c r="BO370" s="59"/>
    </row>
    <row r="371" spans="1:67" ht="19.5" customHeight="1" x14ac:dyDescent="0.15">
      <c r="A371" s="123" t="s">
        <v>1856</v>
      </c>
      <c r="B371" s="122" t="s">
        <v>1854</v>
      </c>
      <c r="C371" s="49"/>
      <c r="D371" s="48" t="s">
        <v>73</v>
      </c>
      <c r="E371" s="49"/>
      <c r="F371" s="50"/>
      <c r="G371" s="62"/>
      <c r="H371" s="48" t="s">
        <v>72</v>
      </c>
      <c r="I371" s="52">
        <v>1</v>
      </c>
      <c r="J371" s="52"/>
      <c r="K371" s="52" t="s">
        <v>73</v>
      </c>
      <c r="L371" s="52" t="s">
        <v>74</v>
      </c>
      <c r="M371" s="53" t="s">
        <v>942</v>
      </c>
      <c r="N371" s="58" t="s">
        <v>73</v>
      </c>
      <c r="O371" s="48" t="s">
        <v>72</v>
      </c>
      <c r="P371" s="48" t="s">
        <v>73</v>
      </c>
      <c r="Q371" s="54" t="s">
        <v>73</v>
      </c>
      <c r="R371" s="55" t="s">
        <v>73</v>
      </c>
      <c r="S371" s="48" t="s">
        <v>73</v>
      </c>
      <c r="T371" s="130"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8" t="str" cm="1">
        <f t="array" ref="U371">IF(SUMPRODUCT(--((CAT_Procesos!$E$2:$E$1581=O371)*(CAT_Procesos!$F$2:$F$1581=_xlfn.TEXTJOIN(" + ",TRUE,IF((TRIM(P371:S371)="")+(LOWER(TRIM(P371:S371))="(seleccione)"),"",PROPER(TRIM(P371:S371)))))*(CAT_Procesos!$D$2:$D$1581=IFERROR(VLOOKUP(N371&amp;"*",CAT_Procesos!$D:$D,1,FALSE),""))))=0,"Combinación no existente",IF(SUMPRODUCT(((CAT_Procesos!$E$2:$E$1581=O371)*(CAT_Procesos!$F$2:$F$1581=_xlfn.TEXTJOIN(" + ",TRUE,IF((TRIM(P371:S371)="")+(LOWER(TRIM(P371:S371))="(seleccione)"),"",PROPER(TRIM(P371:S371)))))*(CAT_Procesos!$D$2:$D$1581=IFERROR(VLOOKUP(N371&amp;"*",CAT_Procesos!$D:$D,1,FALSE),"")))*(CAT_Procesos!$G$2:$G$1581=INDEX(CAT_Procesos!$G$2:$G$1581,MATCH(1,(CAT_Procesos!$E$2:$E$1581=O371)*(CAT_Procesos!$F$2:$F$1581=_xlfn.TEXTJOIN(" + ",TRUE,IF((TRIM(P371:S371)="")+(LOWER(TRIM(P371:S371))="(seleccione)"),"",PROPER(TRIM(P371:S371)))))*(CAT_Procesos!$D$2:$D$1581=IFERROR(VLOOKUP(N371&amp;"*",CAT_Procesos!$D:$D,1,FALSE),"")),0))))=SUMPRODUCT(--((CAT_Procesos!$E$2:$E$1581=O371)*(CAT_Procesos!$F$2:$F$1581=_xlfn.TEXTJOIN(" + ",TRUE,IF((TRIM(P371:S371)="")+(LOWER(TRIM(P371:S371))="(seleccione)"),"",PROPER(TRIM(P371:S371)))))*(CAT_Procesos!$D$2:$D$1581=IFERROR(VLOOKUP(N371&amp;"*",CAT_Procesos!$D:$D,1,FALSE),"")))),INDEX(CAT_Procesos!$G$2:$G$1581,MATCH(1,(CAT_Procesos!$E$2:$E$1581=O371)*(CAT_Procesos!$F$2:$F$1581=_xlfn.TEXTJOIN(" + ",TRUE,IF((TRIM(P371:S371)="")+(LOWER(TRIM(P371:S371))="(seleccione)"),"",PROPER(TRIM(P371:S371)))))*(CAT_Procesos!$D$2:$D$1581=IFERROR(VLOOKUP(N371&amp;"*",CAT_Procesos!$D:$D,1,FALSE),"")),0)),"(seleccione)"))</f>
        <v>Combinación no existente</v>
      </c>
      <c r="V371" s="55" t="s">
        <v>73</v>
      </c>
      <c r="W371" s="56" t="s">
        <v>73</v>
      </c>
      <c r="X371" s="57" t="str">
        <f t="shared" si="20"/>
        <v/>
      </c>
      <c r="Y371" s="58" t="s">
        <v>73</v>
      </c>
      <c r="Z371" s="57" t="str">
        <f t="shared" si="21"/>
        <v/>
      </c>
      <c r="AA371" s="58" t="s">
        <v>73</v>
      </c>
      <c r="AB371" s="57" t="str">
        <f t="shared" si="22"/>
        <v/>
      </c>
      <c r="AC371" s="58" t="s">
        <v>73</v>
      </c>
      <c r="AD371" s="57" t="str">
        <f t="shared" si="23"/>
        <v/>
      </c>
      <c r="AE371" s="59"/>
      <c r="AF371" s="59"/>
      <c r="AG371" s="59"/>
      <c r="AH371" s="59"/>
      <c r="AI371" s="59" t="s">
        <v>73</v>
      </c>
      <c r="AJ371" s="59"/>
      <c r="AK371" s="59" t="s">
        <v>73</v>
      </c>
      <c r="AL371" s="59"/>
      <c r="AM371" s="59" t="s">
        <v>73</v>
      </c>
      <c r="AN371" s="59"/>
      <c r="AO371" s="59" t="s">
        <v>73</v>
      </c>
      <c r="AP371" s="59"/>
      <c r="AQ371" s="59" t="s">
        <v>73</v>
      </c>
      <c r="AR371" s="59"/>
      <c r="AS371" s="59" t="s">
        <v>72</v>
      </c>
      <c r="AT371" s="59"/>
      <c r="AU371" s="59"/>
      <c r="AV371" s="59"/>
      <c r="AW371" s="59"/>
      <c r="AX371" s="59"/>
      <c r="AY371" s="60" t="str">
        <f>IF('Cálculo MP'!K381="","",'Cálculo MP'!K381)</f>
        <v/>
      </c>
      <c r="AZ371" s="60" t="str">
        <f>IF('Cálculo MP'!L381="","",'Cálculo MP'!L381)</f>
        <v/>
      </c>
      <c r="BA371" s="60" t="str">
        <f>IF('Cálculo MP'!M381="","",'Cálculo MP'!M381)</f>
        <v/>
      </c>
      <c r="BB371" s="60" t="str">
        <f>IF('Cálculo MP'!N381="","",'Cálculo MP'!N381)</f>
        <v/>
      </c>
      <c r="BC371" s="60" t="str">
        <f>IF('Cálculo MP'!O381="","",'Cálculo MP'!O381)</f>
        <v/>
      </c>
      <c r="BD371" s="60" t="str">
        <f>IF('Cálculo MP'!P381="","",'Cálculo MP'!P381)</f>
        <v/>
      </c>
      <c r="BE371" s="60" t="str">
        <f>IF('Cálculo MP'!Q381="","",'Cálculo MP'!Q381)</f>
        <v/>
      </c>
      <c r="BF371" s="60" t="str">
        <f>IF('Cálculo MP'!R381="","",'Cálculo MP'!R381)</f>
        <v/>
      </c>
      <c r="BG371" s="60" t="str">
        <f>IF('Cálculo MP'!S381="","",'Cálculo MP'!S381)</f>
        <v/>
      </c>
      <c r="BH371" s="59"/>
      <c r="BI371" s="59"/>
      <c r="BJ371" s="59"/>
      <c r="BK371" s="59"/>
      <c r="BL371" s="59"/>
      <c r="BM371" s="59"/>
      <c r="BN371" s="59"/>
      <c r="BO371" s="59"/>
    </row>
    <row r="372" spans="1:67" ht="19.5" customHeight="1" x14ac:dyDescent="0.15">
      <c r="A372" s="123" t="s">
        <v>1856</v>
      </c>
      <c r="B372" s="122" t="s">
        <v>1854</v>
      </c>
      <c r="C372" s="49"/>
      <c r="D372" s="48" t="s">
        <v>73</v>
      </c>
      <c r="E372" s="49"/>
      <c r="F372" s="50"/>
      <c r="G372" s="62"/>
      <c r="H372" s="48" t="s">
        <v>72</v>
      </c>
      <c r="I372" s="52">
        <v>1</v>
      </c>
      <c r="J372" s="52"/>
      <c r="K372" s="52" t="s">
        <v>73</v>
      </c>
      <c r="L372" s="52" t="s">
        <v>74</v>
      </c>
      <c r="M372" s="53" t="s">
        <v>942</v>
      </c>
      <c r="N372" s="58" t="s">
        <v>73</v>
      </c>
      <c r="O372" s="48" t="s">
        <v>72</v>
      </c>
      <c r="P372" s="48" t="s">
        <v>73</v>
      </c>
      <c r="Q372" s="54" t="s">
        <v>73</v>
      </c>
      <c r="R372" s="55" t="s">
        <v>73</v>
      </c>
      <c r="S372" s="48" t="s">
        <v>73</v>
      </c>
      <c r="T372" s="130"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8" t="str" cm="1">
        <f t="array" ref="U372">IF(SUMPRODUCT(--((CAT_Procesos!$E$2:$E$1581=O372)*(CAT_Procesos!$F$2:$F$1581=_xlfn.TEXTJOIN(" + ",TRUE,IF((TRIM(P372:S372)="")+(LOWER(TRIM(P372:S372))="(seleccione)"),"",PROPER(TRIM(P372:S372)))))*(CAT_Procesos!$D$2:$D$1581=IFERROR(VLOOKUP(N372&amp;"*",CAT_Procesos!$D:$D,1,FALSE),""))))=0,"Combinación no existente",IF(SUMPRODUCT(((CAT_Procesos!$E$2:$E$1581=O372)*(CAT_Procesos!$F$2:$F$1581=_xlfn.TEXTJOIN(" + ",TRUE,IF((TRIM(P372:S372)="")+(LOWER(TRIM(P372:S372))="(seleccione)"),"",PROPER(TRIM(P372:S372)))))*(CAT_Procesos!$D$2:$D$1581=IFERROR(VLOOKUP(N372&amp;"*",CAT_Procesos!$D:$D,1,FALSE),"")))*(CAT_Procesos!$G$2:$G$1581=INDEX(CAT_Procesos!$G$2:$G$1581,MATCH(1,(CAT_Procesos!$E$2:$E$1581=O372)*(CAT_Procesos!$F$2:$F$1581=_xlfn.TEXTJOIN(" + ",TRUE,IF((TRIM(P372:S372)="")+(LOWER(TRIM(P372:S372))="(seleccione)"),"",PROPER(TRIM(P372:S372)))))*(CAT_Procesos!$D$2:$D$1581=IFERROR(VLOOKUP(N372&amp;"*",CAT_Procesos!$D:$D,1,FALSE),"")),0))))=SUMPRODUCT(--((CAT_Procesos!$E$2:$E$1581=O372)*(CAT_Procesos!$F$2:$F$1581=_xlfn.TEXTJOIN(" + ",TRUE,IF((TRIM(P372:S372)="")+(LOWER(TRIM(P372:S372))="(seleccione)"),"",PROPER(TRIM(P372:S372)))))*(CAT_Procesos!$D$2:$D$1581=IFERROR(VLOOKUP(N372&amp;"*",CAT_Procesos!$D:$D,1,FALSE),"")))),INDEX(CAT_Procesos!$G$2:$G$1581,MATCH(1,(CAT_Procesos!$E$2:$E$1581=O372)*(CAT_Procesos!$F$2:$F$1581=_xlfn.TEXTJOIN(" + ",TRUE,IF((TRIM(P372:S372)="")+(LOWER(TRIM(P372:S372))="(seleccione)"),"",PROPER(TRIM(P372:S372)))))*(CAT_Procesos!$D$2:$D$1581=IFERROR(VLOOKUP(N372&amp;"*",CAT_Procesos!$D:$D,1,FALSE),"")),0)),"(seleccione)"))</f>
        <v>Combinación no existente</v>
      </c>
      <c r="V372" s="55" t="s">
        <v>73</v>
      </c>
      <c r="W372" s="56" t="s">
        <v>73</v>
      </c>
      <c r="X372" s="57" t="str">
        <f t="shared" si="20"/>
        <v/>
      </c>
      <c r="Y372" s="58" t="s">
        <v>73</v>
      </c>
      <c r="Z372" s="57" t="str">
        <f t="shared" si="21"/>
        <v/>
      </c>
      <c r="AA372" s="58" t="s">
        <v>73</v>
      </c>
      <c r="AB372" s="57" t="str">
        <f t="shared" si="22"/>
        <v/>
      </c>
      <c r="AC372" s="58" t="s">
        <v>73</v>
      </c>
      <c r="AD372" s="57" t="str">
        <f t="shared" si="23"/>
        <v/>
      </c>
      <c r="AE372" s="59"/>
      <c r="AF372" s="59"/>
      <c r="AG372" s="59"/>
      <c r="AH372" s="59"/>
      <c r="AI372" s="59" t="s">
        <v>73</v>
      </c>
      <c r="AJ372" s="59"/>
      <c r="AK372" s="59" t="s">
        <v>73</v>
      </c>
      <c r="AL372" s="59"/>
      <c r="AM372" s="59" t="s">
        <v>73</v>
      </c>
      <c r="AN372" s="59"/>
      <c r="AO372" s="59" t="s">
        <v>73</v>
      </c>
      <c r="AP372" s="59"/>
      <c r="AQ372" s="59" t="s">
        <v>73</v>
      </c>
      <c r="AR372" s="59"/>
      <c r="AS372" s="59" t="s">
        <v>72</v>
      </c>
      <c r="AT372" s="59"/>
      <c r="AU372" s="59"/>
      <c r="AV372" s="59"/>
      <c r="AW372" s="59"/>
      <c r="AX372" s="59"/>
      <c r="AY372" s="60" t="str">
        <f>IF('Cálculo MP'!K382="","",'Cálculo MP'!K382)</f>
        <v/>
      </c>
      <c r="AZ372" s="60" t="str">
        <f>IF('Cálculo MP'!L382="","",'Cálculo MP'!L382)</f>
        <v/>
      </c>
      <c r="BA372" s="60" t="str">
        <f>IF('Cálculo MP'!M382="","",'Cálculo MP'!M382)</f>
        <v/>
      </c>
      <c r="BB372" s="60" t="str">
        <f>IF('Cálculo MP'!N382="","",'Cálculo MP'!N382)</f>
        <v/>
      </c>
      <c r="BC372" s="60" t="str">
        <f>IF('Cálculo MP'!O382="","",'Cálculo MP'!O382)</f>
        <v/>
      </c>
      <c r="BD372" s="60" t="str">
        <f>IF('Cálculo MP'!P382="","",'Cálculo MP'!P382)</f>
        <v/>
      </c>
      <c r="BE372" s="60" t="str">
        <f>IF('Cálculo MP'!Q382="","",'Cálculo MP'!Q382)</f>
        <v/>
      </c>
      <c r="BF372" s="60" t="str">
        <f>IF('Cálculo MP'!R382="","",'Cálculo MP'!R382)</f>
        <v/>
      </c>
      <c r="BG372" s="60" t="str">
        <f>IF('Cálculo MP'!S382="","",'Cálculo MP'!S382)</f>
        <v/>
      </c>
      <c r="BH372" s="59"/>
      <c r="BI372" s="59"/>
      <c r="BJ372" s="59"/>
      <c r="BK372" s="59"/>
      <c r="BL372" s="59"/>
      <c r="BM372" s="59"/>
      <c r="BN372" s="59"/>
      <c r="BO372" s="59"/>
    </row>
    <row r="373" spans="1:67" ht="19.5" customHeight="1" x14ac:dyDescent="0.15">
      <c r="A373" s="123" t="s">
        <v>1856</v>
      </c>
      <c r="B373" s="122" t="s">
        <v>1854</v>
      </c>
      <c r="C373" s="49"/>
      <c r="D373" s="48" t="s">
        <v>73</v>
      </c>
      <c r="E373" s="49"/>
      <c r="F373" s="50"/>
      <c r="G373" s="62"/>
      <c r="H373" s="48" t="s">
        <v>72</v>
      </c>
      <c r="I373" s="52">
        <v>1</v>
      </c>
      <c r="J373" s="52"/>
      <c r="K373" s="52" t="s">
        <v>73</v>
      </c>
      <c r="L373" s="52" t="s">
        <v>74</v>
      </c>
      <c r="M373" s="53" t="s">
        <v>942</v>
      </c>
      <c r="N373" s="58" t="s">
        <v>73</v>
      </c>
      <c r="O373" s="48" t="s">
        <v>72</v>
      </c>
      <c r="P373" s="48" t="s">
        <v>73</v>
      </c>
      <c r="Q373" s="54" t="s">
        <v>73</v>
      </c>
      <c r="R373" s="55" t="s">
        <v>73</v>
      </c>
      <c r="S373" s="48" t="s">
        <v>73</v>
      </c>
      <c r="T373" s="130"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8" t="str" cm="1">
        <f t="array" ref="U373">IF(SUMPRODUCT(--((CAT_Procesos!$E$2:$E$1581=O373)*(CAT_Procesos!$F$2:$F$1581=_xlfn.TEXTJOIN(" + ",TRUE,IF((TRIM(P373:S373)="")+(LOWER(TRIM(P373:S373))="(seleccione)"),"",PROPER(TRIM(P373:S373)))))*(CAT_Procesos!$D$2:$D$1581=IFERROR(VLOOKUP(N373&amp;"*",CAT_Procesos!$D:$D,1,FALSE),""))))=0,"Combinación no existente",IF(SUMPRODUCT(((CAT_Procesos!$E$2:$E$1581=O373)*(CAT_Procesos!$F$2:$F$1581=_xlfn.TEXTJOIN(" + ",TRUE,IF((TRIM(P373:S373)="")+(LOWER(TRIM(P373:S373))="(seleccione)"),"",PROPER(TRIM(P373:S373)))))*(CAT_Procesos!$D$2:$D$1581=IFERROR(VLOOKUP(N373&amp;"*",CAT_Procesos!$D:$D,1,FALSE),"")))*(CAT_Procesos!$G$2:$G$1581=INDEX(CAT_Procesos!$G$2:$G$1581,MATCH(1,(CAT_Procesos!$E$2:$E$1581=O373)*(CAT_Procesos!$F$2:$F$1581=_xlfn.TEXTJOIN(" + ",TRUE,IF((TRIM(P373:S373)="")+(LOWER(TRIM(P373:S373))="(seleccione)"),"",PROPER(TRIM(P373:S373)))))*(CAT_Procesos!$D$2:$D$1581=IFERROR(VLOOKUP(N373&amp;"*",CAT_Procesos!$D:$D,1,FALSE),"")),0))))=SUMPRODUCT(--((CAT_Procesos!$E$2:$E$1581=O373)*(CAT_Procesos!$F$2:$F$1581=_xlfn.TEXTJOIN(" + ",TRUE,IF((TRIM(P373:S373)="")+(LOWER(TRIM(P373:S373))="(seleccione)"),"",PROPER(TRIM(P373:S373)))))*(CAT_Procesos!$D$2:$D$1581=IFERROR(VLOOKUP(N373&amp;"*",CAT_Procesos!$D:$D,1,FALSE),"")))),INDEX(CAT_Procesos!$G$2:$G$1581,MATCH(1,(CAT_Procesos!$E$2:$E$1581=O373)*(CAT_Procesos!$F$2:$F$1581=_xlfn.TEXTJOIN(" + ",TRUE,IF((TRIM(P373:S373)="")+(LOWER(TRIM(P373:S373))="(seleccione)"),"",PROPER(TRIM(P373:S373)))))*(CAT_Procesos!$D$2:$D$1581=IFERROR(VLOOKUP(N373&amp;"*",CAT_Procesos!$D:$D,1,FALSE),"")),0)),"(seleccione)"))</f>
        <v>Combinación no existente</v>
      </c>
      <c r="V373" s="55" t="s">
        <v>73</v>
      </c>
      <c r="W373" s="56" t="s">
        <v>73</v>
      </c>
      <c r="X373" s="57" t="str">
        <f t="shared" si="20"/>
        <v/>
      </c>
      <c r="Y373" s="58" t="s">
        <v>73</v>
      </c>
      <c r="Z373" s="57" t="str">
        <f t="shared" si="21"/>
        <v/>
      </c>
      <c r="AA373" s="58" t="s">
        <v>73</v>
      </c>
      <c r="AB373" s="57" t="str">
        <f t="shared" si="22"/>
        <v/>
      </c>
      <c r="AC373" s="58" t="s">
        <v>73</v>
      </c>
      <c r="AD373" s="57" t="str">
        <f t="shared" si="23"/>
        <v/>
      </c>
      <c r="AE373" s="59"/>
      <c r="AF373" s="59"/>
      <c r="AG373" s="59"/>
      <c r="AH373" s="59"/>
      <c r="AI373" s="59" t="s">
        <v>73</v>
      </c>
      <c r="AJ373" s="59"/>
      <c r="AK373" s="59" t="s">
        <v>73</v>
      </c>
      <c r="AL373" s="59"/>
      <c r="AM373" s="59" t="s">
        <v>73</v>
      </c>
      <c r="AN373" s="59"/>
      <c r="AO373" s="59" t="s">
        <v>73</v>
      </c>
      <c r="AP373" s="59"/>
      <c r="AQ373" s="59" t="s">
        <v>73</v>
      </c>
      <c r="AR373" s="59"/>
      <c r="AS373" s="59" t="s">
        <v>72</v>
      </c>
      <c r="AT373" s="59"/>
      <c r="AU373" s="59"/>
      <c r="AV373" s="59"/>
      <c r="AW373" s="59"/>
      <c r="AX373" s="59"/>
      <c r="AY373" s="60" t="str">
        <f>IF('Cálculo MP'!K383="","",'Cálculo MP'!K383)</f>
        <v/>
      </c>
      <c r="AZ373" s="60" t="str">
        <f>IF('Cálculo MP'!L383="","",'Cálculo MP'!L383)</f>
        <v/>
      </c>
      <c r="BA373" s="60" t="str">
        <f>IF('Cálculo MP'!M383="","",'Cálculo MP'!M383)</f>
        <v/>
      </c>
      <c r="BB373" s="60" t="str">
        <f>IF('Cálculo MP'!N383="","",'Cálculo MP'!N383)</f>
        <v/>
      </c>
      <c r="BC373" s="60" t="str">
        <f>IF('Cálculo MP'!O383="","",'Cálculo MP'!O383)</f>
        <v/>
      </c>
      <c r="BD373" s="60" t="str">
        <f>IF('Cálculo MP'!P383="","",'Cálculo MP'!P383)</f>
        <v/>
      </c>
      <c r="BE373" s="60" t="str">
        <f>IF('Cálculo MP'!Q383="","",'Cálculo MP'!Q383)</f>
        <v/>
      </c>
      <c r="BF373" s="60" t="str">
        <f>IF('Cálculo MP'!R383="","",'Cálculo MP'!R383)</f>
        <v/>
      </c>
      <c r="BG373" s="60" t="str">
        <f>IF('Cálculo MP'!S383="","",'Cálculo MP'!S383)</f>
        <v/>
      </c>
      <c r="BH373" s="59"/>
      <c r="BI373" s="59"/>
      <c r="BJ373" s="59"/>
      <c r="BK373" s="59"/>
      <c r="BL373" s="59"/>
      <c r="BM373" s="59"/>
      <c r="BN373" s="59"/>
      <c r="BO373" s="59"/>
    </row>
    <row r="374" spans="1:67" ht="19.5" customHeight="1" x14ac:dyDescent="0.15">
      <c r="A374" s="123" t="s">
        <v>1856</v>
      </c>
      <c r="B374" s="122" t="s">
        <v>1854</v>
      </c>
      <c r="C374" s="49"/>
      <c r="D374" s="48" t="s">
        <v>73</v>
      </c>
      <c r="E374" s="49"/>
      <c r="F374" s="50"/>
      <c r="G374" s="62"/>
      <c r="H374" s="48" t="s">
        <v>72</v>
      </c>
      <c r="I374" s="52">
        <v>1</v>
      </c>
      <c r="J374" s="52"/>
      <c r="K374" s="52" t="s">
        <v>73</v>
      </c>
      <c r="L374" s="52" t="s">
        <v>74</v>
      </c>
      <c r="M374" s="53" t="s">
        <v>942</v>
      </c>
      <c r="N374" s="58" t="s">
        <v>73</v>
      </c>
      <c r="O374" s="48" t="s">
        <v>72</v>
      </c>
      <c r="P374" s="48" t="s">
        <v>73</v>
      </c>
      <c r="Q374" s="54" t="s">
        <v>73</v>
      </c>
      <c r="R374" s="55" t="s">
        <v>73</v>
      </c>
      <c r="S374" s="48" t="s">
        <v>73</v>
      </c>
      <c r="T374" s="130"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8" t="str" cm="1">
        <f t="array" ref="U374">IF(SUMPRODUCT(--((CAT_Procesos!$E$2:$E$1581=O374)*(CAT_Procesos!$F$2:$F$1581=_xlfn.TEXTJOIN(" + ",TRUE,IF((TRIM(P374:S374)="")+(LOWER(TRIM(P374:S374))="(seleccione)"),"",PROPER(TRIM(P374:S374)))))*(CAT_Procesos!$D$2:$D$1581=IFERROR(VLOOKUP(N374&amp;"*",CAT_Procesos!$D:$D,1,FALSE),""))))=0,"Combinación no existente",IF(SUMPRODUCT(((CAT_Procesos!$E$2:$E$1581=O374)*(CAT_Procesos!$F$2:$F$1581=_xlfn.TEXTJOIN(" + ",TRUE,IF((TRIM(P374:S374)="")+(LOWER(TRIM(P374:S374))="(seleccione)"),"",PROPER(TRIM(P374:S374)))))*(CAT_Procesos!$D$2:$D$1581=IFERROR(VLOOKUP(N374&amp;"*",CAT_Procesos!$D:$D,1,FALSE),"")))*(CAT_Procesos!$G$2:$G$1581=INDEX(CAT_Procesos!$G$2:$G$1581,MATCH(1,(CAT_Procesos!$E$2:$E$1581=O374)*(CAT_Procesos!$F$2:$F$1581=_xlfn.TEXTJOIN(" + ",TRUE,IF((TRIM(P374:S374)="")+(LOWER(TRIM(P374:S374))="(seleccione)"),"",PROPER(TRIM(P374:S374)))))*(CAT_Procesos!$D$2:$D$1581=IFERROR(VLOOKUP(N374&amp;"*",CAT_Procesos!$D:$D,1,FALSE),"")),0))))=SUMPRODUCT(--((CAT_Procesos!$E$2:$E$1581=O374)*(CAT_Procesos!$F$2:$F$1581=_xlfn.TEXTJOIN(" + ",TRUE,IF((TRIM(P374:S374)="")+(LOWER(TRIM(P374:S374))="(seleccione)"),"",PROPER(TRIM(P374:S374)))))*(CAT_Procesos!$D$2:$D$1581=IFERROR(VLOOKUP(N374&amp;"*",CAT_Procesos!$D:$D,1,FALSE),"")))),INDEX(CAT_Procesos!$G$2:$G$1581,MATCH(1,(CAT_Procesos!$E$2:$E$1581=O374)*(CAT_Procesos!$F$2:$F$1581=_xlfn.TEXTJOIN(" + ",TRUE,IF((TRIM(P374:S374)="")+(LOWER(TRIM(P374:S374))="(seleccione)"),"",PROPER(TRIM(P374:S374)))))*(CAT_Procesos!$D$2:$D$1581=IFERROR(VLOOKUP(N374&amp;"*",CAT_Procesos!$D:$D,1,FALSE),"")),0)),"(seleccione)"))</f>
        <v>Combinación no existente</v>
      </c>
      <c r="V374" s="55" t="s">
        <v>73</v>
      </c>
      <c r="W374" s="56" t="s">
        <v>73</v>
      </c>
      <c r="X374" s="57" t="str">
        <f t="shared" si="20"/>
        <v/>
      </c>
      <c r="Y374" s="58" t="s">
        <v>73</v>
      </c>
      <c r="Z374" s="57" t="str">
        <f t="shared" si="21"/>
        <v/>
      </c>
      <c r="AA374" s="58" t="s">
        <v>73</v>
      </c>
      <c r="AB374" s="57" t="str">
        <f t="shared" si="22"/>
        <v/>
      </c>
      <c r="AC374" s="58" t="s">
        <v>73</v>
      </c>
      <c r="AD374" s="57" t="str">
        <f t="shared" si="23"/>
        <v/>
      </c>
      <c r="AE374" s="59"/>
      <c r="AF374" s="59"/>
      <c r="AG374" s="59"/>
      <c r="AH374" s="59"/>
      <c r="AI374" s="59" t="s">
        <v>73</v>
      </c>
      <c r="AJ374" s="59"/>
      <c r="AK374" s="59" t="s">
        <v>73</v>
      </c>
      <c r="AL374" s="59"/>
      <c r="AM374" s="59" t="s">
        <v>73</v>
      </c>
      <c r="AN374" s="59"/>
      <c r="AO374" s="59" t="s">
        <v>73</v>
      </c>
      <c r="AP374" s="59"/>
      <c r="AQ374" s="59" t="s">
        <v>73</v>
      </c>
      <c r="AR374" s="59"/>
      <c r="AS374" s="59" t="s">
        <v>72</v>
      </c>
      <c r="AT374" s="59"/>
      <c r="AU374" s="59"/>
      <c r="AV374" s="59"/>
      <c r="AW374" s="59"/>
      <c r="AX374" s="59"/>
      <c r="AY374" s="60" t="str">
        <f>IF('Cálculo MP'!K384="","",'Cálculo MP'!K384)</f>
        <v/>
      </c>
      <c r="AZ374" s="60" t="str">
        <f>IF('Cálculo MP'!L384="","",'Cálculo MP'!L384)</f>
        <v/>
      </c>
      <c r="BA374" s="60" t="str">
        <f>IF('Cálculo MP'!M384="","",'Cálculo MP'!M384)</f>
        <v/>
      </c>
      <c r="BB374" s="60" t="str">
        <f>IF('Cálculo MP'!N384="","",'Cálculo MP'!N384)</f>
        <v/>
      </c>
      <c r="BC374" s="60" t="str">
        <f>IF('Cálculo MP'!O384="","",'Cálculo MP'!O384)</f>
        <v/>
      </c>
      <c r="BD374" s="60" t="str">
        <f>IF('Cálculo MP'!P384="","",'Cálculo MP'!P384)</f>
        <v/>
      </c>
      <c r="BE374" s="60" t="str">
        <f>IF('Cálculo MP'!Q384="","",'Cálculo MP'!Q384)</f>
        <v/>
      </c>
      <c r="BF374" s="60" t="str">
        <f>IF('Cálculo MP'!R384="","",'Cálculo MP'!R384)</f>
        <v/>
      </c>
      <c r="BG374" s="60" t="str">
        <f>IF('Cálculo MP'!S384="","",'Cálculo MP'!S384)</f>
        <v/>
      </c>
      <c r="BH374" s="59"/>
      <c r="BI374" s="59"/>
      <c r="BJ374" s="59"/>
      <c r="BK374" s="59"/>
      <c r="BL374" s="59"/>
      <c r="BM374" s="59"/>
      <c r="BN374" s="59"/>
      <c r="BO374" s="59"/>
    </row>
    <row r="375" spans="1:67" ht="19.5" customHeight="1" x14ac:dyDescent="0.15">
      <c r="A375" s="123" t="s">
        <v>1856</v>
      </c>
      <c r="B375" s="122" t="s">
        <v>1854</v>
      </c>
      <c r="C375" s="49"/>
      <c r="D375" s="48" t="s">
        <v>73</v>
      </c>
      <c r="E375" s="49"/>
      <c r="F375" s="50"/>
      <c r="G375" s="62"/>
      <c r="H375" s="48" t="s">
        <v>72</v>
      </c>
      <c r="I375" s="52">
        <v>1</v>
      </c>
      <c r="J375" s="52"/>
      <c r="K375" s="52" t="s">
        <v>73</v>
      </c>
      <c r="L375" s="52" t="s">
        <v>74</v>
      </c>
      <c r="M375" s="53" t="s">
        <v>942</v>
      </c>
      <c r="N375" s="58" t="s">
        <v>73</v>
      </c>
      <c r="O375" s="48" t="s">
        <v>72</v>
      </c>
      <c r="P375" s="48" t="s">
        <v>73</v>
      </c>
      <c r="Q375" s="54" t="s">
        <v>73</v>
      </c>
      <c r="R375" s="55" t="s">
        <v>73</v>
      </c>
      <c r="S375" s="48" t="s">
        <v>73</v>
      </c>
      <c r="T375" s="130"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8" t="str" cm="1">
        <f t="array" ref="U375">IF(SUMPRODUCT(--((CAT_Procesos!$E$2:$E$1581=O375)*(CAT_Procesos!$F$2:$F$1581=_xlfn.TEXTJOIN(" + ",TRUE,IF((TRIM(P375:S375)="")+(LOWER(TRIM(P375:S375))="(seleccione)"),"",PROPER(TRIM(P375:S375)))))*(CAT_Procesos!$D$2:$D$1581=IFERROR(VLOOKUP(N375&amp;"*",CAT_Procesos!$D:$D,1,FALSE),""))))=0,"Combinación no existente",IF(SUMPRODUCT(((CAT_Procesos!$E$2:$E$1581=O375)*(CAT_Procesos!$F$2:$F$1581=_xlfn.TEXTJOIN(" + ",TRUE,IF((TRIM(P375:S375)="")+(LOWER(TRIM(P375:S375))="(seleccione)"),"",PROPER(TRIM(P375:S375)))))*(CAT_Procesos!$D$2:$D$1581=IFERROR(VLOOKUP(N375&amp;"*",CAT_Procesos!$D:$D,1,FALSE),"")))*(CAT_Procesos!$G$2:$G$1581=INDEX(CAT_Procesos!$G$2:$G$1581,MATCH(1,(CAT_Procesos!$E$2:$E$1581=O375)*(CAT_Procesos!$F$2:$F$1581=_xlfn.TEXTJOIN(" + ",TRUE,IF((TRIM(P375:S375)="")+(LOWER(TRIM(P375:S375))="(seleccione)"),"",PROPER(TRIM(P375:S375)))))*(CAT_Procesos!$D$2:$D$1581=IFERROR(VLOOKUP(N375&amp;"*",CAT_Procesos!$D:$D,1,FALSE),"")),0))))=SUMPRODUCT(--((CAT_Procesos!$E$2:$E$1581=O375)*(CAT_Procesos!$F$2:$F$1581=_xlfn.TEXTJOIN(" + ",TRUE,IF((TRIM(P375:S375)="")+(LOWER(TRIM(P375:S375))="(seleccione)"),"",PROPER(TRIM(P375:S375)))))*(CAT_Procesos!$D$2:$D$1581=IFERROR(VLOOKUP(N375&amp;"*",CAT_Procesos!$D:$D,1,FALSE),"")))),INDEX(CAT_Procesos!$G$2:$G$1581,MATCH(1,(CAT_Procesos!$E$2:$E$1581=O375)*(CAT_Procesos!$F$2:$F$1581=_xlfn.TEXTJOIN(" + ",TRUE,IF((TRIM(P375:S375)="")+(LOWER(TRIM(P375:S375))="(seleccione)"),"",PROPER(TRIM(P375:S375)))))*(CAT_Procesos!$D$2:$D$1581=IFERROR(VLOOKUP(N375&amp;"*",CAT_Procesos!$D:$D,1,FALSE),"")),0)),"(seleccione)"))</f>
        <v>Combinación no existente</v>
      </c>
      <c r="V375" s="55" t="s">
        <v>73</v>
      </c>
      <c r="W375" s="56" t="s">
        <v>73</v>
      </c>
      <c r="X375" s="57" t="str">
        <f t="shared" si="20"/>
        <v/>
      </c>
      <c r="Y375" s="58" t="s">
        <v>73</v>
      </c>
      <c r="Z375" s="57" t="str">
        <f t="shared" si="21"/>
        <v/>
      </c>
      <c r="AA375" s="58" t="s">
        <v>73</v>
      </c>
      <c r="AB375" s="57" t="str">
        <f t="shared" si="22"/>
        <v/>
      </c>
      <c r="AC375" s="58" t="s">
        <v>73</v>
      </c>
      <c r="AD375" s="57" t="str">
        <f t="shared" si="23"/>
        <v/>
      </c>
      <c r="AE375" s="59"/>
      <c r="AF375" s="59"/>
      <c r="AG375" s="59"/>
      <c r="AH375" s="59"/>
      <c r="AI375" s="59" t="s">
        <v>73</v>
      </c>
      <c r="AJ375" s="59"/>
      <c r="AK375" s="59" t="s">
        <v>73</v>
      </c>
      <c r="AL375" s="59"/>
      <c r="AM375" s="59" t="s">
        <v>73</v>
      </c>
      <c r="AN375" s="59"/>
      <c r="AO375" s="59" t="s">
        <v>73</v>
      </c>
      <c r="AP375" s="59"/>
      <c r="AQ375" s="59" t="s">
        <v>73</v>
      </c>
      <c r="AR375" s="59"/>
      <c r="AS375" s="59" t="s">
        <v>72</v>
      </c>
      <c r="AT375" s="59"/>
      <c r="AU375" s="59"/>
      <c r="AV375" s="59"/>
      <c r="AW375" s="59"/>
      <c r="AX375" s="59"/>
      <c r="AY375" s="60" t="str">
        <f>IF('Cálculo MP'!K385="","",'Cálculo MP'!K385)</f>
        <v/>
      </c>
      <c r="AZ375" s="60" t="str">
        <f>IF('Cálculo MP'!L385="","",'Cálculo MP'!L385)</f>
        <v/>
      </c>
      <c r="BA375" s="60" t="str">
        <f>IF('Cálculo MP'!M385="","",'Cálculo MP'!M385)</f>
        <v/>
      </c>
      <c r="BB375" s="60" t="str">
        <f>IF('Cálculo MP'!N385="","",'Cálculo MP'!N385)</f>
        <v/>
      </c>
      <c r="BC375" s="60" t="str">
        <f>IF('Cálculo MP'!O385="","",'Cálculo MP'!O385)</f>
        <v/>
      </c>
      <c r="BD375" s="60" t="str">
        <f>IF('Cálculo MP'!P385="","",'Cálculo MP'!P385)</f>
        <v/>
      </c>
      <c r="BE375" s="60" t="str">
        <f>IF('Cálculo MP'!Q385="","",'Cálculo MP'!Q385)</f>
        <v/>
      </c>
      <c r="BF375" s="60" t="str">
        <f>IF('Cálculo MP'!R385="","",'Cálculo MP'!R385)</f>
        <v/>
      </c>
      <c r="BG375" s="60" t="str">
        <f>IF('Cálculo MP'!S385="","",'Cálculo MP'!S385)</f>
        <v/>
      </c>
      <c r="BH375" s="59"/>
      <c r="BI375" s="59"/>
      <c r="BJ375" s="59"/>
      <c r="BK375" s="59"/>
      <c r="BL375" s="59"/>
      <c r="BM375" s="59"/>
      <c r="BN375" s="59"/>
      <c r="BO375" s="59"/>
    </row>
    <row r="376" spans="1:67" ht="19.5" customHeight="1" x14ac:dyDescent="0.15">
      <c r="A376" s="123" t="s">
        <v>1856</v>
      </c>
      <c r="B376" s="122" t="s">
        <v>1854</v>
      </c>
      <c r="C376" s="49"/>
      <c r="D376" s="48" t="s">
        <v>73</v>
      </c>
      <c r="E376" s="49"/>
      <c r="F376" s="50"/>
      <c r="G376" s="62"/>
      <c r="H376" s="48" t="s">
        <v>72</v>
      </c>
      <c r="I376" s="52">
        <v>1</v>
      </c>
      <c r="J376" s="52"/>
      <c r="K376" s="52" t="s">
        <v>73</v>
      </c>
      <c r="L376" s="52" t="s">
        <v>74</v>
      </c>
      <c r="M376" s="53" t="s">
        <v>942</v>
      </c>
      <c r="N376" s="58" t="s">
        <v>73</v>
      </c>
      <c r="O376" s="48" t="s">
        <v>72</v>
      </c>
      <c r="P376" s="48" t="s">
        <v>73</v>
      </c>
      <c r="Q376" s="54" t="s">
        <v>73</v>
      </c>
      <c r="R376" s="55" t="s">
        <v>73</v>
      </c>
      <c r="S376" s="48" t="s">
        <v>73</v>
      </c>
      <c r="T376" s="130"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8" t="str" cm="1">
        <f t="array" ref="U376">IF(SUMPRODUCT(--((CAT_Procesos!$E$2:$E$1581=O376)*(CAT_Procesos!$F$2:$F$1581=_xlfn.TEXTJOIN(" + ",TRUE,IF((TRIM(P376:S376)="")+(LOWER(TRIM(P376:S376))="(seleccione)"),"",PROPER(TRIM(P376:S376)))))*(CAT_Procesos!$D$2:$D$1581=IFERROR(VLOOKUP(N376&amp;"*",CAT_Procesos!$D:$D,1,FALSE),""))))=0,"Combinación no existente",IF(SUMPRODUCT(((CAT_Procesos!$E$2:$E$1581=O376)*(CAT_Procesos!$F$2:$F$1581=_xlfn.TEXTJOIN(" + ",TRUE,IF((TRIM(P376:S376)="")+(LOWER(TRIM(P376:S376))="(seleccione)"),"",PROPER(TRIM(P376:S376)))))*(CAT_Procesos!$D$2:$D$1581=IFERROR(VLOOKUP(N376&amp;"*",CAT_Procesos!$D:$D,1,FALSE),"")))*(CAT_Procesos!$G$2:$G$1581=INDEX(CAT_Procesos!$G$2:$G$1581,MATCH(1,(CAT_Procesos!$E$2:$E$1581=O376)*(CAT_Procesos!$F$2:$F$1581=_xlfn.TEXTJOIN(" + ",TRUE,IF((TRIM(P376:S376)="")+(LOWER(TRIM(P376:S376))="(seleccione)"),"",PROPER(TRIM(P376:S376)))))*(CAT_Procesos!$D$2:$D$1581=IFERROR(VLOOKUP(N376&amp;"*",CAT_Procesos!$D:$D,1,FALSE),"")),0))))=SUMPRODUCT(--((CAT_Procesos!$E$2:$E$1581=O376)*(CAT_Procesos!$F$2:$F$1581=_xlfn.TEXTJOIN(" + ",TRUE,IF((TRIM(P376:S376)="")+(LOWER(TRIM(P376:S376))="(seleccione)"),"",PROPER(TRIM(P376:S376)))))*(CAT_Procesos!$D$2:$D$1581=IFERROR(VLOOKUP(N376&amp;"*",CAT_Procesos!$D:$D,1,FALSE),"")))),INDEX(CAT_Procesos!$G$2:$G$1581,MATCH(1,(CAT_Procesos!$E$2:$E$1581=O376)*(CAT_Procesos!$F$2:$F$1581=_xlfn.TEXTJOIN(" + ",TRUE,IF((TRIM(P376:S376)="")+(LOWER(TRIM(P376:S376))="(seleccione)"),"",PROPER(TRIM(P376:S376)))))*(CAT_Procesos!$D$2:$D$1581=IFERROR(VLOOKUP(N376&amp;"*",CAT_Procesos!$D:$D,1,FALSE),"")),0)),"(seleccione)"))</f>
        <v>Combinación no existente</v>
      </c>
      <c r="V376" s="55" t="s">
        <v>73</v>
      </c>
      <c r="W376" s="56" t="s">
        <v>73</v>
      </c>
      <c r="X376" s="57" t="str">
        <f t="shared" si="20"/>
        <v/>
      </c>
      <c r="Y376" s="58" t="s">
        <v>73</v>
      </c>
      <c r="Z376" s="57" t="str">
        <f t="shared" si="21"/>
        <v/>
      </c>
      <c r="AA376" s="58" t="s">
        <v>73</v>
      </c>
      <c r="AB376" s="57" t="str">
        <f t="shared" si="22"/>
        <v/>
      </c>
      <c r="AC376" s="58" t="s">
        <v>73</v>
      </c>
      <c r="AD376" s="57" t="str">
        <f t="shared" si="23"/>
        <v/>
      </c>
      <c r="AE376" s="59"/>
      <c r="AF376" s="59"/>
      <c r="AG376" s="59"/>
      <c r="AH376" s="59"/>
      <c r="AI376" s="59" t="s">
        <v>73</v>
      </c>
      <c r="AJ376" s="59"/>
      <c r="AK376" s="59" t="s">
        <v>73</v>
      </c>
      <c r="AL376" s="59"/>
      <c r="AM376" s="59" t="s">
        <v>73</v>
      </c>
      <c r="AN376" s="59"/>
      <c r="AO376" s="59" t="s">
        <v>73</v>
      </c>
      <c r="AP376" s="59"/>
      <c r="AQ376" s="59" t="s">
        <v>73</v>
      </c>
      <c r="AR376" s="59"/>
      <c r="AS376" s="59" t="s">
        <v>72</v>
      </c>
      <c r="AT376" s="59"/>
      <c r="AU376" s="59"/>
      <c r="AV376" s="59"/>
      <c r="AW376" s="59"/>
      <c r="AX376" s="59"/>
      <c r="AY376" s="60" t="str">
        <f>IF('Cálculo MP'!K386="","",'Cálculo MP'!K386)</f>
        <v/>
      </c>
      <c r="AZ376" s="60" t="str">
        <f>IF('Cálculo MP'!L386="","",'Cálculo MP'!L386)</f>
        <v/>
      </c>
      <c r="BA376" s="60" t="str">
        <f>IF('Cálculo MP'!M386="","",'Cálculo MP'!M386)</f>
        <v/>
      </c>
      <c r="BB376" s="60" t="str">
        <f>IF('Cálculo MP'!N386="","",'Cálculo MP'!N386)</f>
        <v/>
      </c>
      <c r="BC376" s="60" t="str">
        <f>IF('Cálculo MP'!O386="","",'Cálculo MP'!O386)</f>
        <v/>
      </c>
      <c r="BD376" s="60" t="str">
        <f>IF('Cálculo MP'!P386="","",'Cálculo MP'!P386)</f>
        <v/>
      </c>
      <c r="BE376" s="60" t="str">
        <f>IF('Cálculo MP'!Q386="","",'Cálculo MP'!Q386)</f>
        <v/>
      </c>
      <c r="BF376" s="60" t="str">
        <f>IF('Cálculo MP'!R386="","",'Cálculo MP'!R386)</f>
        <v/>
      </c>
      <c r="BG376" s="60" t="str">
        <f>IF('Cálculo MP'!S386="","",'Cálculo MP'!S386)</f>
        <v/>
      </c>
      <c r="BH376" s="59"/>
      <c r="BI376" s="59"/>
      <c r="BJ376" s="59"/>
      <c r="BK376" s="59"/>
      <c r="BL376" s="59"/>
      <c r="BM376" s="59"/>
      <c r="BN376" s="59"/>
      <c r="BO376" s="59"/>
    </row>
    <row r="377" spans="1:67" ht="19.5" customHeight="1" x14ac:dyDescent="0.15">
      <c r="A377" s="123" t="s">
        <v>1856</v>
      </c>
      <c r="B377" s="122" t="s">
        <v>1854</v>
      </c>
      <c r="C377" s="49"/>
      <c r="D377" s="48" t="s">
        <v>73</v>
      </c>
      <c r="E377" s="49"/>
      <c r="F377" s="50"/>
      <c r="G377" s="62"/>
      <c r="H377" s="48" t="s">
        <v>72</v>
      </c>
      <c r="I377" s="52">
        <v>1</v>
      </c>
      <c r="J377" s="52"/>
      <c r="K377" s="52" t="s">
        <v>73</v>
      </c>
      <c r="L377" s="52" t="s">
        <v>74</v>
      </c>
      <c r="M377" s="53" t="s">
        <v>942</v>
      </c>
      <c r="N377" s="58" t="s">
        <v>73</v>
      </c>
      <c r="O377" s="48" t="s">
        <v>72</v>
      </c>
      <c r="P377" s="48" t="s">
        <v>73</v>
      </c>
      <c r="Q377" s="54" t="s">
        <v>73</v>
      </c>
      <c r="R377" s="55" t="s">
        <v>73</v>
      </c>
      <c r="S377" s="48" t="s">
        <v>73</v>
      </c>
      <c r="T377" s="130"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8" t="str" cm="1">
        <f t="array" ref="U377">IF(SUMPRODUCT(--((CAT_Procesos!$E$2:$E$1581=O377)*(CAT_Procesos!$F$2:$F$1581=_xlfn.TEXTJOIN(" + ",TRUE,IF((TRIM(P377:S377)="")+(LOWER(TRIM(P377:S377))="(seleccione)"),"",PROPER(TRIM(P377:S377)))))*(CAT_Procesos!$D$2:$D$1581=IFERROR(VLOOKUP(N377&amp;"*",CAT_Procesos!$D:$D,1,FALSE),""))))=0,"Combinación no existente",IF(SUMPRODUCT(((CAT_Procesos!$E$2:$E$1581=O377)*(CAT_Procesos!$F$2:$F$1581=_xlfn.TEXTJOIN(" + ",TRUE,IF((TRIM(P377:S377)="")+(LOWER(TRIM(P377:S377))="(seleccione)"),"",PROPER(TRIM(P377:S377)))))*(CAT_Procesos!$D$2:$D$1581=IFERROR(VLOOKUP(N377&amp;"*",CAT_Procesos!$D:$D,1,FALSE),"")))*(CAT_Procesos!$G$2:$G$1581=INDEX(CAT_Procesos!$G$2:$G$1581,MATCH(1,(CAT_Procesos!$E$2:$E$1581=O377)*(CAT_Procesos!$F$2:$F$1581=_xlfn.TEXTJOIN(" + ",TRUE,IF((TRIM(P377:S377)="")+(LOWER(TRIM(P377:S377))="(seleccione)"),"",PROPER(TRIM(P377:S377)))))*(CAT_Procesos!$D$2:$D$1581=IFERROR(VLOOKUP(N377&amp;"*",CAT_Procesos!$D:$D,1,FALSE),"")),0))))=SUMPRODUCT(--((CAT_Procesos!$E$2:$E$1581=O377)*(CAT_Procesos!$F$2:$F$1581=_xlfn.TEXTJOIN(" + ",TRUE,IF((TRIM(P377:S377)="")+(LOWER(TRIM(P377:S377))="(seleccione)"),"",PROPER(TRIM(P377:S377)))))*(CAT_Procesos!$D$2:$D$1581=IFERROR(VLOOKUP(N377&amp;"*",CAT_Procesos!$D:$D,1,FALSE),"")))),INDEX(CAT_Procesos!$G$2:$G$1581,MATCH(1,(CAT_Procesos!$E$2:$E$1581=O377)*(CAT_Procesos!$F$2:$F$1581=_xlfn.TEXTJOIN(" + ",TRUE,IF((TRIM(P377:S377)="")+(LOWER(TRIM(P377:S377))="(seleccione)"),"",PROPER(TRIM(P377:S377)))))*(CAT_Procesos!$D$2:$D$1581=IFERROR(VLOOKUP(N377&amp;"*",CAT_Procesos!$D:$D,1,FALSE),"")),0)),"(seleccione)"))</f>
        <v>Combinación no existente</v>
      </c>
      <c r="V377" s="55" t="s">
        <v>73</v>
      </c>
      <c r="W377" s="56" t="s">
        <v>73</v>
      </c>
      <c r="X377" s="57" t="str">
        <f t="shared" si="20"/>
        <v/>
      </c>
      <c r="Y377" s="58" t="s">
        <v>73</v>
      </c>
      <c r="Z377" s="57" t="str">
        <f t="shared" si="21"/>
        <v/>
      </c>
      <c r="AA377" s="58" t="s">
        <v>73</v>
      </c>
      <c r="AB377" s="57" t="str">
        <f t="shared" si="22"/>
        <v/>
      </c>
      <c r="AC377" s="58" t="s">
        <v>73</v>
      </c>
      <c r="AD377" s="57" t="str">
        <f t="shared" si="23"/>
        <v/>
      </c>
      <c r="AE377" s="59"/>
      <c r="AF377" s="59"/>
      <c r="AG377" s="59"/>
      <c r="AH377" s="59"/>
      <c r="AI377" s="59" t="s">
        <v>73</v>
      </c>
      <c r="AJ377" s="59"/>
      <c r="AK377" s="59" t="s">
        <v>73</v>
      </c>
      <c r="AL377" s="59"/>
      <c r="AM377" s="59" t="s">
        <v>73</v>
      </c>
      <c r="AN377" s="59"/>
      <c r="AO377" s="59" t="s">
        <v>73</v>
      </c>
      <c r="AP377" s="59"/>
      <c r="AQ377" s="59" t="s">
        <v>73</v>
      </c>
      <c r="AR377" s="59"/>
      <c r="AS377" s="59" t="s">
        <v>72</v>
      </c>
      <c r="AT377" s="59"/>
      <c r="AU377" s="59"/>
      <c r="AV377" s="59"/>
      <c r="AW377" s="59"/>
      <c r="AX377" s="59"/>
      <c r="AY377" s="60" t="str">
        <f>IF('Cálculo MP'!K387="","",'Cálculo MP'!K387)</f>
        <v/>
      </c>
      <c r="AZ377" s="60" t="str">
        <f>IF('Cálculo MP'!L387="","",'Cálculo MP'!L387)</f>
        <v/>
      </c>
      <c r="BA377" s="60" t="str">
        <f>IF('Cálculo MP'!M387="","",'Cálculo MP'!M387)</f>
        <v/>
      </c>
      <c r="BB377" s="60" t="str">
        <f>IF('Cálculo MP'!N387="","",'Cálculo MP'!N387)</f>
        <v/>
      </c>
      <c r="BC377" s="60" t="str">
        <f>IF('Cálculo MP'!O387="","",'Cálculo MP'!O387)</f>
        <v/>
      </c>
      <c r="BD377" s="60" t="str">
        <f>IF('Cálculo MP'!P387="","",'Cálculo MP'!P387)</f>
        <v/>
      </c>
      <c r="BE377" s="60" t="str">
        <f>IF('Cálculo MP'!Q387="","",'Cálculo MP'!Q387)</f>
        <v/>
      </c>
      <c r="BF377" s="60" t="str">
        <f>IF('Cálculo MP'!R387="","",'Cálculo MP'!R387)</f>
        <v/>
      </c>
      <c r="BG377" s="60" t="str">
        <f>IF('Cálculo MP'!S387="","",'Cálculo MP'!S387)</f>
        <v/>
      </c>
      <c r="BH377" s="59"/>
      <c r="BI377" s="59"/>
      <c r="BJ377" s="59"/>
      <c r="BK377" s="59"/>
      <c r="BL377" s="59"/>
      <c r="BM377" s="59"/>
      <c r="BN377" s="59"/>
      <c r="BO377" s="59"/>
    </row>
    <row r="378" spans="1:67" ht="19.5" customHeight="1" x14ac:dyDescent="0.15">
      <c r="A378" s="123" t="s">
        <v>1856</v>
      </c>
      <c r="B378" s="122" t="s">
        <v>1854</v>
      </c>
      <c r="C378" s="49"/>
      <c r="D378" s="48" t="s">
        <v>73</v>
      </c>
      <c r="E378" s="49"/>
      <c r="F378" s="50"/>
      <c r="G378" s="62"/>
      <c r="H378" s="48" t="s">
        <v>72</v>
      </c>
      <c r="I378" s="52">
        <v>1</v>
      </c>
      <c r="J378" s="52"/>
      <c r="K378" s="52" t="s">
        <v>73</v>
      </c>
      <c r="L378" s="52" t="s">
        <v>74</v>
      </c>
      <c r="M378" s="53" t="s">
        <v>942</v>
      </c>
      <c r="N378" s="58" t="s">
        <v>73</v>
      </c>
      <c r="O378" s="48" t="s">
        <v>72</v>
      </c>
      <c r="P378" s="48" t="s">
        <v>73</v>
      </c>
      <c r="Q378" s="54" t="s">
        <v>73</v>
      </c>
      <c r="R378" s="55" t="s">
        <v>73</v>
      </c>
      <c r="S378" s="48" t="s">
        <v>73</v>
      </c>
      <c r="T378" s="130"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8" t="str" cm="1">
        <f t="array" ref="U378">IF(SUMPRODUCT(--((CAT_Procesos!$E$2:$E$1581=O378)*(CAT_Procesos!$F$2:$F$1581=_xlfn.TEXTJOIN(" + ",TRUE,IF((TRIM(P378:S378)="")+(LOWER(TRIM(P378:S378))="(seleccione)"),"",PROPER(TRIM(P378:S378)))))*(CAT_Procesos!$D$2:$D$1581=IFERROR(VLOOKUP(N378&amp;"*",CAT_Procesos!$D:$D,1,FALSE),""))))=0,"Combinación no existente",IF(SUMPRODUCT(((CAT_Procesos!$E$2:$E$1581=O378)*(CAT_Procesos!$F$2:$F$1581=_xlfn.TEXTJOIN(" + ",TRUE,IF((TRIM(P378:S378)="")+(LOWER(TRIM(P378:S378))="(seleccione)"),"",PROPER(TRIM(P378:S378)))))*(CAT_Procesos!$D$2:$D$1581=IFERROR(VLOOKUP(N378&amp;"*",CAT_Procesos!$D:$D,1,FALSE),"")))*(CAT_Procesos!$G$2:$G$1581=INDEX(CAT_Procesos!$G$2:$G$1581,MATCH(1,(CAT_Procesos!$E$2:$E$1581=O378)*(CAT_Procesos!$F$2:$F$1581=_xlfn.TEXTJOIN(" + ",TRUE,IF((TRIM(P378:S378)="")+(LOWER(TRIM(P378:S378))="(seleccione)"),"",PROPER(TRIM(P378:S378)))))*(CAT_Procesos!$D$2:$D$1581=IFERROR(VLOOKUP(N378&amp;"*",CAT_Procesos!$D:$D,1,FALSE),"")),0))))=SUMPRODUCT(--((CAT_Procesos!$E$2:$E$1581=O378)*(CAT_Procesos!$F$2:$F$1581=_xlfn.TEXTJOIN(" + ",TRUE,IF((TRIM(P378:S378)="")+(LOWER(TRIM(P378:S378))="(seleccione)"),"",PROPER(TRIM(P378:S378)))))*(CAT_Procesos!$D$2:$D$1581=IFERROR(VLOOKUP(N378&amp;"*",CAT_Procesos!$D:$D,1,FALSE),"")))),INDEX(CAT_Procesos!$G$2:$G$1581,MATCH(1,(CAT_Procesos!$E$2:$E$1581=O378)*(CAT_Procesos!$F$2:$F$1581=_xlfn.TEXTJOIN(" + ",TRUE,IF((TRIM(P378:S378)="")+(LOWER(TRIM(P378:S378))="(seleccione)"),"",PROPER(TRIM(P378:S378)))))*(CAT_Procesos!$D$2:$D$1581=IFERROR(VLOOKUP(N378&amp;"*",CAT_Procesos!$D:$D,1,FALSE),"")),0)),"(seleccione)"))</f>
        <v>Combinación no existente</v>
      </c>
      <c r="V378" s="55" t="s">
        <v>73</v>
      </c>
      <c r="W378" s="56" t="s">
        <v>73</v>
      </c>
      <c r="X378" s="57" t="str">
        <f t="shared" si="20"/>
        <v/>
      </c>
      <c r="Y378" s="58" t="s">
        <v>73</v>
      </c>
      <c r="Z378" s="57" t="str">
        <f t="shared" si="21"/>
        <v/>
      </c>
      <c r="AA378" s="58" t="s">
        <v>73</v>
      </c>
      <c r="AB378" s="57" t="str">
        <f t="shared" si="22"/>
        <v/>
      </c>
      <c r="AC378" s="58" t="s">
        <v>73</v>
      </c>
      <c r="AD378" s="57" t="str">
        <f t="shared" si="23"/>
        <v/>
      </c>
      <c r="AE378" s="59"/>
      <c r="AF378" s="59"/>
      <c r="AG378" s="59"/>
      <c r="AH378" s="59"/>
      <c r="AI378" s="59" t="s">
        <v>73</v>
      </c>
      <c r="AJ378" s="59"/>
      <c r="AK378" s="59" t="s">
        <v>73</v>
      </c>
      <c r="AL378" s="59"/>
      <c r="AM378" s="59" t="s">
        <v>73</v>
      </c>
      <c r="AN378" s="59"/>
      <c r="AO378" s="59" t="s">
        <v>73</v>
      </c>
      <c r="AP378" s="59"/>
      <c r="AQ378" s="59" t="s">
        <v>73</v>
      </c>
      <c r="AR378" s="59"/>
      <c r="AS378" s="59" t="s">
        <v>72</v>
      </c>
      <c r="AT378" s="59"/>
      <c r="AU378" s="59"/>
      <c r="AV378" s="59"/>
      <c r="AW378" s="59"/>
      <c r="AX378" s="59"/>
      <c r="AY378" s="60" t="str">
        <f>IF('Cálculo MP'!K388="","",'Cálculo MP'!K388)</f>
        <v/>
      </c>
      <c r="AZ378" s="60" t="str">
        <f>IF('Cálculo MP'!L388="","",'Cálculo MP'!L388)</f>
        <v/>
      </c>
      <c r="BA378" s="60" t="str">
        <f>IF('Cálculo MP'!M388="","",'Cálculo MP'!M388)</f>
        <v/>
      </c>
      <c r="BB378" s="60" t="str">
        <f>IF('Cálculo MP'!N388="","",'Cálculo MP'!N388)</f>
        <v/>
      </c>
      <c r="BC378" s="60" t="str">
        <f>IF('Cálculo MP'!O388="","",'Cálculo MP'!O388)</f>
        <v/>
      </c>
      <c r="BD378" s="60" t="str">
        <f>IF('Cálculo MP'!P388="","",'Cálculo MP'!P388)</f>
        <v/>
      </c>
      <c r="BE378" s="60" t="str">
        <f>IF('Cálculo MP'!Q388="","",'Cálculo MP'!Q388)</f>
        <v/>
      </c>
      <c r="BF378" s="60" t="str">
        <f>IF('Cálculo MP'!R388="","",'Cálculo MP'!R388)</f>
        <v/>
      </c>
      <c r="BG378" s="60" t="str">
        <f>IF('Cálculo MP'!S388="","",'Cálculo MP'!S388)</f>
        <v/>
      </c>
      <c r="BH378" s="59"/>
      <c r="BI378" s="59"/>
      <c r="BJ378" s="59"/>
      <c r="BK378" s="59"/>
      <c r="BL378" s="59"/>
      <c r="BM378" s="59"/>
      <c r="BN378" s="59"/>
      <c r="BO378" s="59"/>
    </row>
    <row r="379" spans="1:67" ht="19.5" customHeight="1" x14ac:dyDescent="0.15">
      <c r="A379" s="123" t="s">
        <v>1856</v>
      </c>
      <c r="B379" s="122" t="s">
        <v>1854</v>
      </c>
      <c r="C379" s="49"/>
      <c r="D379" s="48" t="s">
        <v>73</v>
      </c>
      <c r="E379" s="49"/>
      <c r="F379" s="50"/>
      <c r="G379" s="62"/>
      <c r="H379" s="48" t="s">
        <v>72</v>
      </c>
      <c r="I379" s="52">
        <v>1</v>
      </c>
      <c r="J379" s="52"/>
      <c r="K379" s="52" t="s">
        <v>73</v>
      </c>
      <c r="L379" s="52" t="s">
        <v>74</v>
      </c>
      <c r="M379" s="53" t="s">
        <v>942</v>
      </c>
      <c r="N379" s="58" t="s">
        <v>73</v>
      </c>
      <c r="O379" s="48" t="s">
        <v>72</v>
      </c>
      <c r="P379" s="48" t="s">
        <v>73</v>
      </c>
      <c r="Q379" s="54" t="s">
        <v>73</v>
      </c>
      <c r="R379" s="55" t="s">
        <v>73</v>
      </c>
      <c r="S379" s="48" t="s">
        <v>73</v>
      </c>
      <c r="T379" s="130"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8" t="str" cm="1">
        <f t="array" ref="U379">IF(SUMPRODUCT(--((CAT_Procesos!$E$2:$E$1581=O379)*(CAT_Procesos!$F$2:$F$1581=_xlfn.TEXTJOIN(" + ",TRUE,IF((TRIM(P379:S379)="")+(LOWER(TRIM(P379:S379))="(seleccione)"),"",PROPER(TRIM(P379:S379)))))*(CAT_Procesos!$D$2:$D$1581=IFERROR(VLOOKUP(N379&amp;"*",CAT_Procesos!$D:$D,1,FALSE),""))))=0,"Combinación no existente",IF(SUMPRODUCT(((CAT_Procesos!$E$2:$E$1581=O379)*(CAT_Procesos!$F$2:$F$1581=_xlfn.TEXTJOIN(" + ",TRUE,IF((TRIM(P379:S379)="")+(LOWER(TRIM(P379:S379))="(seleccione)"),"",PROPER(TRIM(P379:S379)))))*(CAT_Procesos!$D$2:$D$1581=IFERROR(VLOOKUP(N379&amp;"*",CAT_Procesos!$D:$D,1,FALSE),"")))*(CAT_Procesos!$G$2:$G$1581=INDEX(CAT_Procesos!$G$2:$G$1581,MATCH(1,(CAT_Procesos!$E$2:$E$1581=O379)*(CAT_Procesos!$F$2:$F$1581=_xlfn.TEXTJOIN(" + ",TRUE,IF((TRIM(P379:S379)="")+(LOWER(TRIM(P379:S379))="(seleccione)"),"",PROPER(TRIM(P379:S379)))))*(CAT_Procesos!$D$2:$D$1581=IFERROR(VLOOKUP(N379&amp;"*",CAT_Procesos!$D:$D,1,FALSE),"")),0))))=SUMPRODUCT(--((CAT_Procesos!$E$2:$E$1581=O379)*(CAT_Procesos!$F$2:$F$1581=_xlfn.TEXTJOIN(" + ",TRUE,IF((TRIM(P379:S379)="")+(LOWER(TRIM(P379:S379))="(seleccione)"),"",PROPER(TRIM(P379:S379)))))*(CAT_Procesos!$D$2:$D$1581=IFERROR(VLOOKUP(N379&amp;"*",CAT_Procesos!$D:$D,1,FALSE),"")))),INDEX(CAT_Procesos!$G$2:$G$1581,MATCH(1,(CAT_Procesos!$E$2:$E$1581=O379)*(CAT_Procesos!$F$2:$F$1581=_xlfn.TEXTJOIN(" + ",TRUE,IF((TRIM(P379:S379)="")+(LOWER(TRIM(P379:S379))="(seleccione)"),"",PROPER(TRIM(P379:S379)))))*(CAT_Procesos!$D$2:$D$1581=IFERROR(VLOOKUP(N379&amp;"*",CAT_Procesos!$D:$D,1,FALSE),"")),0)),"(seleccione)"))</f>
        <v>Combinación no existente</v>
      </c>
      <c r="V379" s="55" t="s">
        <v>73</v>
      </c>
      <c r="W379" s="56" t="s">
        <v>73</v>
      </c>
      <c r="X379" s="57" t="str">
        <f t="shared" si="20"/>
        <v/>
      </c>
      <c r="Y379" s="58" t="s">
        <v>73</v>
      </c>
      <c r="Z379" s="57" t="str">
        <f t="shared" si="21"/>
        <v/>
      </c>
      <c r="AA379" s="58" t="s">
        <v>73</v>
      </c>
      <c r="AB379" s="57" t="str">
        <f t="shared" si="22"/>
        <v/>
      </c>
      <c r="AC379" s="58" t="s">
        <v>73</v>
      </c>
      <c r="AD379" s="57" t="str">
        <f t="shared" si="23"/>
        <v/>
      </c>
      <c r="AE379" s="59"/>
      <c r="AF379" s="59"/>
      <c r="AG379" s="59"/>
      <c r="AH379" s="59"/>
      <c r="AI379" s="59" t="s">
        <v>73</v>
      </c>
      <c r="AJ379" s="59"/>
      <c r="AK379" s="59" t="s">
        <v>73</v>
      </c>
      <c r="AL379" s="59"/>
      <c r="AM379" s="59" t="s">
        <v>73</v>
      </c>
      <c r="AN379" s="59"/>
      <c r="AO379" s="59" t="s">
        <v>73</v>
      </c>
      <c r="AP379" s="59"/>
      <c r="AQ379" s="59" t="s">
        <v>73</v>
      </c>
      <c r="AR379" s="59"/>
      <c r="AS379" s="59" t="s">
        <v>72</v>
      </c>
      <c r="AT379" s="59"/>
      <c r="AU379" s="59"/>
      <c r="AV379" s="59"/>
      <c r="AW379" s="59"/>
      <c r="AX379" s="59"/>
      <c r="AY379" s="60" t="str">
        <f>IF('Cálculo MP'!K389="","",'Cálculo MP'!K389)</f>
        <v/>
      </c>
      <c r="AZ379" s="60" t="str">
        <f>IF('Cálculo MP'!L389="","",'Cálculo MP'!L389)</f>
        <v/>
      </c>
      <c r="BA379" s="60" t="str">
        <f>IF('Cálculo MP'!M389="","",'Cálculo MP'!M389)</f>
        <v/>
      </c>
      <c r="BB379" s="60" t="str">
        <f>IF('Cálculo MP'!N389="","",'Cálculo MP'!N389)</f>
        <v/>
      </c>
      <c r="BC379" s="60" t="str">
        <f>IF('Cálculo MP'!O389="","",'Cálculo MP'!O389)</f>
        <v/>
      </c>
      <c r="BD379" s="60" t="str">
        <f>IF('Cálculo MP'!P389="","",'Cálculo MP'!P389)</f>
        <v/>
      </c>
      <c r="BE379" s="60" t="str">
        <f>IF('Cálculo MP'!Q389="","",'Cálculo MP'!Q389)</f>
        <v/>
      </c>
      <c r="BF379" s="60" t="str">
        <f>IF('Cálculo MP'!R389="","",'Cálculo MP'!R389)</f>
        <v/>
      </c>
      <c r="BG379" s="60" t="str">
        <f>IF('Cálculo MP'!S389="","",'Cálculo MP'!S389)</f>
        <v/>
      </c>
      <c r="BH379" s="59"/>
      <c r="BI379" s="59"/>
      <c r="BJ379" s="59"/>
      <c r="BK379" s="59"/>
      <c r="BL379" s="59"/>
      <c r="BM379" s="59"/>
      <c r="BN379" s="59"/>
      <c r="BO379" s="59"/>
    </row>
    <row r="380" spans="1:67" ht="19.5" customHeight="1" x14ac:dyDescent="0.15">
      <c r="A380" s="123" t="s">
        <v>1856</v>
      </c>
      <c r="B380" s="122" t="s">
        <v>1854</v>
      </c>
      <c r="C380" s="49"/>
      <c r="D380" s="48" t="s">
        <v>73</v>
      </c>
      <c r="E380" s="49"/>
      <c r="F380" s="50"/>
      <c r="G380" s="62"/>
      <c r="H380" s="48" t="s">
        <v>72</v>
      </c>
      <c r="I380" s="52">
        <v>1</v>
      </c>
      <c r="J380" s="52"/>
      <c r="K380" s="52" t="s">
        <v>73</v>
      </c>
      <c r="L380" s="52" t="s">
        <v>74</v>
      </c>
      <c r="M380" s="53" t="s">
        <v>942</v>
      </c>
      <c r="N380" s="58" t="s">
        <v>73</v>
      </c>
      <c r="O380" s="48" t="s">
        <v>72</v>
      </c>
      <c r="P380" s="48" t="s">
        <v>73</v>
      </c>
      <c r="Q380" s="54" t="s">
        <v>73</v>
      </c>
      <c r="R380" s="55" t="s">
        <v>73</v>
      </c>
      <c r="S380" s="48" t="s">
        <v>73</v>
      </c>
      <c r="T380" s="130"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8" t="str" cm="1">
        <f t="array" ref="U380">IF(SUMPRODUCT(--((CAT_Procesos!$E$2:$E$1581=O380)*(CAT_Procesos!$F$2:$F$1581=_xlfn.TEXTJOIN(" + ",TRUE,IF((TRIM(P380:S380)="")+(LOWER(TRIM(P380:S380))="(seleccione)"),"",PROPER(TRIM(P380:S380)))))*(CAT_Procesos!$D$2:$D$1581=IFERROR(VLOOKUP(N380&amp;"*",CAT_Procesos!$D:$D,1,FALSE),""))))=0,"Combinación no existente",IF(SUMPRODUCT(((CAT_Procesos!$E$2:$E$1581=O380)*(CAT_Procesos!$F$2:$F$1581=_xlfn.TEXTJOIN(" + ",TRUE,IF((TRIM(P380:S380)="")+(LOWER(TRIM(P380:S380))="(seleccione)"),"",PROPER(TRIM(P380:S380)))))*(CAT_Procesos!$D$2:$D$1581=IFERROR(VLOOKUP(N380&amp;"*",CAT_Procesos!$D:$D,1,FALSE),"")))*(CAT_Procesos!$G$2:$G$1581=INDEX(CAT_Procesos!$G$2:$G$1581,MATCH(1,(CAT_Procesos!$E$2:$E$1581=O380)*(CAT_Procesos!$F$2:$F$1581=_xlfn.TEXTJOIN(" + ",TRUE,IF((TRIM(P380:S380)="")+(LOWER(TRIM(P380:S380))="(seleccione)"),"",PROPER(TRIM(P380:S380)))))*(CAT_Procesos!$D$2:$D$1581=IFERROR(VLOOKUP(N380&amp;"*",CAT_Procesos!$D:$D,1,FALSE),"")),0))))=SUMPRODUCT(--((CAT_Procesos!$E$2:$E$1581=O380)*(CAT_Procesos!$F$2:$F$1581=_xlfn.TEXTJOIN(" + ",TRUE,IF((TRIM(P380:S380)="")+(LOWER(TRIM(P380:S380))="(seleccione)"),"",PROPER(TRIM(P380:S380)))))*(CAT_Procesos!$D$2:$D$1581=IFERROR(VLOOKUP(N380&amp;"*",CAT_Procesos!$D:$D,1,FALSE),"")))),INDEX(CAT_Procesos!$G$2:$G$1581,MATCH(1,(CAT_Procesos!$E$2:$E$1581=O380)*(CAT_Procesos!$F$2:$F$1581=_xlfn.TEXTJOIN(" + ",TRUE,IF((TRIM(P380:S380)="")+(LOWER(TRIM(P380:S380))="(seleccione)"),"",PROPER(TRIM(P380:S380)))))*(CAT_Procesos!$D$2:$D$1581=IFERROR(VLOOKUP(N380&amp;"*",CAT_Procesos!$D:$D,1,FALSE),"")),0)),"(seleccione)"))</f>
        <v>Combinación no existente</v>
      </c>
      <c r="V380" s="55" t="s">
        <v>73</v>
      </c>
      <c r="W380" s="56" t="s">
        <v>73</v>
      </c>
      <c r="X380" s="57" t="str">
        <f t="shared" si="20"/>
        <v/>
      </c>
      <c r="Y380" s="58" t="s">
        <v>73</v>
      </c>
      <c r="Z380" s="57" t="str">
        <f t="shared" si="21"/>
        <v/>
      </c>
      <c r="AA380" s="58" t="s">
        <v>73</v>
      </c>
      <c r="AB380" s="57" t="str">
        <f t="shared" si="22"/>
        <v/>
      </c>
      <c r="AC380" s="58" t="s">
        <v>73</v>
      </c>
      <c r="AD380" s="57" t="str">
        <f t="shared" si="23"/>
        <v/>
      </c>
      <c r="AE380" s="59"/>
      <c r="AF380" s="59"/>
      <c r="AG380" s="59"/>
      <c r="AH380" s="59"/>
      <c r="AI380" s="59" t="s">
        <v>73</v>
      </c>
      <c r="AJ380" s="59"/>
      <c r="AK380" s="59" t="s">
        <v>73</v>
      </c>
      <c r="AL380" s="59"/>
      <c r="AM380" s="59" t="s">
        <v>73</v>
      </c>
      <c r="AN380" s="59"/>
      <c r="AO380" s="59" t="s">
        <v>73</v>
      </c>
      <c r="AP380" s="59"/>
      <c r="AQ380" s="59" t="s">
        <v>73</v>
      </c>
      <c r="AR380" s="59"/>
      <c r="AS380" s="59" t="s">
        <v>72</v>
      </c>
      <c r="AT380" s="59"/>
      <c r="AU380" s="59"/>
      <c r="AV380" s="59"/>
      <c r="AW380" s="59"/>
      <c r="AX380" s="59"/>
      <c r="AY380" s="60" t="str">
        <f>IF('Cálculo MP'!K390="","",'Cálculo MP'!K390)</f>
        <v/>
      </c>
      <c r="AZ380" s="60" t="str">
        <f>IF('Cálculo MP'!L390="","",'Cálculo MP'!L390)</f>
        <v/>
      </c>
      <c r="BA380" s="60" t="str">
        <f>IF('Cálculo MP'!M390="","",'Cálculo MP'!M390)</f>
        <v/>
      </c>
      <c r="BB380" s="60" t="str">
        <f>IF('Cálculo MP'!N390="","",'Cálculo MP'!N390)</f>
        <v/>
      </c>
      <c r="BC380" s="60" t="str">
        <f>IF('Cálculo MP'!O390="","",'Cálculo MP'!O390)</f>
        <v/>
      </c>
      <c r="BD380" s="60" t="str">
        <f>IF('Cálculo MP'!P390="","",'Cálculo MP'!P390)</f>
        <v/>
      </c>
      <c r="BE380" s="60" t="str">
        <f>IF('Cálculo MP'!Q390="","",'Cálculo MP'!Q390)</f>
        <v/>
      </c>
      <c r="BF380" s="60" t="str">
        <f>IF('Cálculo MP'!R390="","",'Cálculo MP'!R390)</f>
        <v/>
      </c>
      <c r="BG380" s="60" t="str">
        <f>IF('Cálculo MP'!S390="","",'Cálculo MP'!S390)</f>
        <v/>
      </c>
      <c r="BH380" s="59"/>
      <c r="BI380" s="59"/>
      <c r="BJ380" s="59"/>
      <c r="BK380" s="59"/>
      <c r="BL380" s="59"/>
      <c r="BM380" s="59"/>
      <c r="BN380" s="59"/>
      <c r="BO380" s="59"/>
    </row>
    <row r="381" spans="1:67" ht="19.5" customHeight="1" x14ac:dyDescent="0.15">
      <c r="A381" s="123" t="s">
        <v>1856</v>
      </c>
      <c r="B381" s="122" t="s">
        <v>1854</v>
      </c>
      <c r="C381" s="49"/>
      <c r="D381" s="48" t="s">
        <v>73</v>
      </c>
      <c r="E381" s="49"/>
      <c r="F381" s="50"/>
      <c r="G381" s="62"/>
      <c r="H381" s="48" t="s">
        <v>72</v>
      </c>
      <c r="I381" s="52">
        <v>1</v>
      </c>
      <c r="J381" s="52"/>
      <c r="K381" s="52" t="s">
        <v>73</v>
      </c>
      <c r="L381" s="52" t="s">
        <v>74</v>
      </c>
      <c r="M381" s="53" t="s">
        <v>942</v>
      </c>
      <c r="N381" s="58" t="s">
        <v>73</v>
      </c>
      <c r="O381" s="48" t="s">
        <v>72</v>
      </c>
      <c r="P381" s="48" t="s">
        <v>73</v>
      </c>
      <c r="Q381" s="54" t="s">
        <v>73</v>
      </c>
      <c r="R381" s="55" t="s">
        <v>73</v>
      </c>
      <c r="S381" s="48" t="s">
        <v>73</v>
      </c>
      <c r="T381" s="130"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8" t="str" cm="1">
        <f t="array" ref="U381">IF(SUMPRODUCT(--((CAT_Procesos!$E$2:$E$1581=O381)*(CAT_Procesos!$F$2:$F$1581=_xlfn.TEXTJOIN(" + ",TRUE,IF((TRIM(P381:S381)="")+(LOWER(TRIM(P381:S381))="(seleccione)"),"",PROPER(TRIM(P381:S381)))))*(CAT_Procesos!$D$2:$D$1581=IFERROR(VLOOKUP(N381&amp;"*",CAT_Procesos!$D:$D,1,FALSE),""))))=0,"Combinación no existente",IF(SUMPRODUCT(((CAT_Procesos!$E$2:$E$1581=O381)*(CAT_Procesos!$F$2:$F$1581=_xlfn.TEXTJOIN(" + ",TRUE,IF((TRIM(P381:S381)="")+(LOWER(TRIM(P381:S381))="(seleccione)"),"",PROPER(TRIM(P381:S381)))))*(CAT_Procesos!$D$2:$D$1581=IFERROR(VLOOKUP(N381&amp;"*",CAT_Procesos!$D:$D,1,FALSE),"")))*(CAT_Procesos!$G$2:$G$1581=INDEX(CAT_Procesos!$G$2:$G$1581,MATCH(1,(CAT_Procesos!$E$2:$E$1581=O381)*(CAT_Procesos!$F$2:$F$1581=_xlfn.TEXTJOIN(" + ",TRUE,IF((TRIM(P381:S381)="")+(LOWER(TRIM(P381:S381))="(seleccione)"),"",PROPER(TRIM(P381:S381)))))*(CAT_Procesos!$D$2:$D$1581=IFERROR(VLOOKUP(N381&amp;"*",CAT_Procesos!$D:$D,1,FALSE),"")),0))))=SUMPRODUCT(--((CAT_Procesos!$E$2:$E$1581=O381)*(CAT_Procesos!$F$2:$F$1581=_xlfn.TEXTJOIN(" + ",TRUE,IF((TRIM(P381:S381)="")+(LOWER(TRIM(P381:S381))="(seleccione)"),"",PROPER(TRIM(P381:S381)))))*(CAT_Procesos!$D$2:$D$1581=IFERROR(VLOOKUP(N381&amp;"*",CAT_Procesos!$D:$D,1,FALSE),"")))),INDEX(CAT_Procesos!$G$2:$G$1581,MATCH(1,(CAT_Procesos!$E$2:$E$1581=O381)*(CAT_Procesos!$F$2:$F$1581=_xlfn.TEXTJOIN(" + ",TRUE,IF((TRIM(P381:S381)="")+(LOWER(TRIM(P381:S381))="(seleccione)"),"",PROPER(TRIM(P381:S381)))))*(CAT_Procesos!$D$2:$D$1581=IFERROR(VLOOKUP(N381&amp;"*",CAT_Procesos!$D:$D,1,FALSE),"")),0)),"(seleccione)"))</f>
        <v>Combinación no existente</v>
      </c>
      <c r="V381" s="55" t="s">
        <v>73</v>
      </c>
      <c r="W381" s="56" t="s">
        <v>73</v>
      </c>
      <c r="X381" s="57" t="str">
        <f t="shared" si="20"/>
        <v/>
      </c>
      <c r="Y381" s="58" t="s">
        <v>73</v>
      </c>
      <c r="Z381" s="57" t="str">
        <f t="shared" si="21"/>
        <v/>
      </c>
      <c r="AA381" s="58" t="s">
        <v>73</v>
      </c>
      <c r="AB381" s="57" t="str">
        <f t="shared" si="22"/>
        <v/>
      </c>
      <c r="AC381" s="58" t="s">
        <v>73</v>
      </c>
      <c r="AD381" s="57" t="str">
        <f t="shared" si="23"/>
        <v/>
      </c>
      <c r="AE381" s="59"/>
      <c r="AF381" s="59"/>
      <c r="AG381" s="59"/>
      <c r="AH381" s="59"/>
      <c r="AI381" s="59" t="s">
        <v>73</v>
      </c>
      <c r="AJ381" s="59"/>
      <c r="AK381" s="59" t="s">
        <v>73</v>
      </c>
      <c r="AL381" s="59"/>
      <c r="AM381" s="59" t="s">
        <v>73</v>
      </c>
      <c r="AN381" s="59"/>
      <c r="AO381" s="59" t="s">
        <v>73</v>
      </c>
      <c r="AP381" s="59"/>
      <c r="AQ381" s="59" t="s">
        <v>73</v>
      </c>
      <c r="AR381" s="59"/>
      <c r="AS381" s="59" t="s">
        <v>72</v>
      </c>
      <c r="AT381" s="59"/>
      <c r="AU381" s="59"/>
      <c r="AV381" s="59"/>
      <c r="AW381" s="59"/>
      <c r="AX381" s="59"/>
      <c r="AY381" s="60" t="str">
        <f>IF('Cálculo MP'!K391="","",'Cálculo MP'!K391)</f>
        <v/>
      </c>
      <c r="AZ381" s="60" t="str">
        <f>IF('Cálculo MP'!L391="","",'Cálculo MP'!L391)</f>
        <v/>
      </c>
      <c r="BA381" s="60" t="str">
        <f>IF('Cálculo MP'!M391="","",'Cálculo MP'!M391)</f>
        <v/>
      </c>
      <c r="BB381" s="60" t="str">
        <f>IF('Cálculo MP'!N391="","",'Cálculo MP'!N391)</f>
        <v/>
      </c>
      <c r="BC381" s="60" t="str">
        <f>IF('Cálculo MP'!O391="","",'Cálculo MP'!O391)</f>
        <v/>
      </c>
      <c r="BD381" s="60" t="str">
        <f>IF('Cálculo MP'!P391="","",'Cálculo MP'!P391)</f>
        <v/>
      </c>
      <c r="BE381" s="60" t="str">
        <f>IF('Cálculo MP'!Q391="","",'Cálculo MP'!Q391)</f>
        <v/>
      </c>
      <c r="BF381" s="60" t="str">
        <f>IF('Cálculo MP'!R391="","",'Cálculo MP'!R391)</f>
        <v/>
      </c>
      <c r="BG381" s="60" t="str">
        <f>IF('Cálculo MP'!S391="","",'Cálculo MP'!S391)</f>
        <v/>
      </c>
      <c r="BH381" s="59"/>
      <c r="BI381" s="59"/>
      <c r="BJ381" s="59"/>
      <c r="BK381" s="59"/>
      <c r="BL381" s="59"/>
      <c r="BM381" s="59"/>
      <c r="BN381" s="59"/>
      <c r="BO381" s="59"/>
    </row>
    <row r="382" spans="1:67" ht="19.5" customHeight="1" x14ac:dyDescent="0.15">
      <c r="A382" s="123" t="s">
        <v>1856</v>
      </c>
      <c r="B382" s="122" t="s">
        <v>1854</v>
      </c>
      <c r="C382" s="49"/>
      <c r="D382" s="48" t="s">
        <v>73</v>
      </c>
      <c r="E382" s="49"/>
      <c r="F382" s="50"/>
      <c r="G382" s="62"/>
      <c r="H382" s="48" t="s">
        <v>72</v>
      </c>
      <c r="I382" s="52">
        <v>1</v>
      </c>
      <c r="J382" s="52"/>
      <c r="K382" s="52" t="s">
        <v>73</v>
      </c>
      <c r="L382" s="52" t="s">
        <v>74</v>
      </c>
      <c r="M382" s="53" t="s">
        <v>942</v>
      </c>
      <c r="N382" s="58" t="s">
        <v>73</v>
      </c>
      <c r="O382" s="48" t="s">
        <v>72</v>
      </c>
      <c r="P382" s="48" t="s">
        <v>73</v>
      </c>
      <c r="Q382" s="54" t="s">
        <v>73</v>
      </c>
      <c r="R382" s="55" t="s">
        <v>73</v>
      </c>
      <c r="S382" s="48" t="s">
        <v>73</v>
      </c>
      <c r="T382" s="130"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8" t="str" cm="1">
        <f t="array" ref="U382">IF(SUMPRODUCT(--((CAT_Procesos!$E$2:$E$1581=O382)*(CAT_Procesos!$F$2:$F$1581=_xlfn.TEXTJOIN(" + ",TRUE,IF((TRIM(P382:S382)="")+(LOWER(TRIM(P382:S382))="(seleccione)"),"",PROPER(TRIM(P382:S382)))))*(CAT_Procesos!$D$2:$D$1581=IFERROR(VLOOKUP(N382&amp;"*",CAT_Procesos!$D:$D,1,FALSE),""))))=0,"Combinación no existente",IF(SUMPRODUCT(((CAT_Procesos!$E$2:$E$1581=O382)*(CAT_Procesos!$F$2:$F$1581=_xlfn.TEXTJOIN(" + ",TRUE,IF((TRIM(P382:S382)="")+(LOWER(TRIM(P382:S382))="(seleccione)"),"",PROPER(TRIM(P382:S382)))))*(CAT_Procesos!$D$2:$D$1581=IFERROR(VLOOKUP(N382&amp;"*",CAT_Procesos!$D:$D,1,FALSE),"")))*(CAT_Procesos!$G$2:$G$1581=INDEX(CAT_Procesos!$G$2:$G$1581,MATCH(1,(CAT_Procesos!$E$2:$E$1581=O382)*(CAT_Procesos!$F$2:$F$1581=_xlfn.TEXTJOIN(" + ",TRUE,IF((TRIM(P382:S382)="")+(LOWER(TRIM(P382:S382))="(seleccione)"),"",PROPER(TRIM(P382:S382)))))*(CAT_Procesos!$D$2:$D$1581=IFERROR(VLOOKUP(N382&amp;"*",CAT_Procesos!$D:$D,1,FALSE),"")),0))))=SUMPRODUCT(--((CAT_Procesos!$E$2:$E$1581=O382)*(CAT_Procesos!$F$2:$F$1581=_xlfn.TEXTJOIN(" + ",TRUE,IF((TRIM(P382:S382)="")+(LOWER(TRIM(P382:S382))="(seleccione)"),"",PROPER(TRIM(P382:S382)))))*(CAT_Procesos!$D$2:$D$1581=IFERROR(VLOOKUP(N382&amp;"*",CAT_Procesos!$D:$D,1,FALSE),"")))),INDEX(CAT_Procesos!$G$2:$G$1581,MATCH(1,(CAT_Procesos!$E$2:$E$1581=O382)*(CAT_Procesos!$F$2:$F$1581=_xlfn.TEXTJOIN(" + ",TRUE,IF((TRIM(P382:S382)="")+(LOWER(TRIM(P382:S382))="(seleccione)"),"",PROPER(TRIM(P382:S382)))))*(CAT_Procesos!$D$2:$D$1581=IFERROR(VLOOKUP(N382&amp;"*",CAT_Procesos!$D:$D,1,FALSE),"")),0)),"(seleccione)"))</f>
        <v>Combinación no existente</v>
      </c>
      <c r="V382" s="55" t="s">
        <v>73</v>
      </c>
      <c r="W382" s="56" t="s">
        <v>73</v>
      </c>
      <c r="X382" s="57" t="str">
        <f t="shared" si="20"/>
        <v/>
      </c>
      <c r="Y382" s="58" t="s">
        <v>73</v>
      </c>
      <c r="Z382" s="57" t="str">
        <f t="shared" si="21"/>
        <v/>
      </c>
      <c r="AA382" s="58" t="s">
        <v>73</v>
      </c>
      <c r="AB382" s="57" t="str">
        <f t="shared" si="22"/>
        <v/>
      </c>
      <c r="AC382" s="58" t="s">
        <v>73</v>
      </c>
      <c r="AD382" s="57" t="str">
        <f t="shared" si="23"/>
        <v/>
      </c>
      <c r="AE382" s="59"/>
      <c r="AF382" s="59"/>
      <c r="AG382" s="59"/>
      <c r="AH382" s="59"/>
      <c r="AI382" s="59" t="s">
        <v>73</v>
      </c>
      <c r="AJ382" s="59"/>
      <c r="AK382" s="59" t="s">
        <v>73</v>
      </c>
      <c r="AL382" s="59"/>
      <c r="AM382" s="59" t="s">
        <v>73</v>
      </c>
      <c r="AN382" s="59"/>
      <c r="AO382" s="59" t="s">
        <v>73</v>
      </c>
      <c r="AP382" s="59"/>
      <c r="AQ382" s="59" t="s">
        <v>73</v>
      </c>
      <c r="AR382" s="59"/>
      <c r="AS382" s="59" t="s">
        <v>72</v>
      </c>
      <c r="AT382" s="59"/>
      <c r="AU382" s="59"/>
      <c r="AV382" s="59"/>
      <c r="AW382" s="59"/>
      <c r="AX382" s="59"/>
      <c r="AY382" s="60" t="str">
        <f>IF('Cálculo MP'!K392="","",'Cálculo MP'!K392)</f>
        <v/>
      </c>
      <c r="AZ382" s="60" t="str">
        <f>IF('Cálculo MP'!L392="","",'Cálculo MP'!L392)</f>
        <v/>
      </c>
      <c r="BA382" s="60" t="str">
        <f>IF('Cálculo MP'!M392="","",'Cálculo MP'!M392)</f>
        <v/>
      </c>
      <c r="BB382" s="60" t="str">
        <f>IF('Cálculo MP'!N392="","",'Cálculo MP'!N392)</f>
        <v/>
      </c>
      <c r="BC382" s="60" t="str">
        <f>IF('Cálculo MP'!O392="","",'Cálculo MP'!O392)</f>
        <v/>
      </c>
      <c r="BD382" s="60" t="str">
        <f>IF('Cálculo MP'!P392="","",'Cálculo MP'!P392)</f>
        <v/>
      </c>
      <c r="BE382" s="60" t="str">
        <f>IF('Cálculo MP'!Q392="","",'Cálculo MP'!Q392)</f>
        <v/>
      </c>
      <c r="BF382" s="60" t="str">
        <f>IF('Cálculo MP'!R392="","",'Cálculo MP'!R392)</f>
        <v/>
      </c>
      <c r="BG382" s="60" t="str">
        <f>IF('Cálculo MP'!S392="","",'Cálculo MP'!S392)</f>
        <v/>
      </c>
      <c r="BH382" s="59"/>
      <c r="BI382" s="59"/>
      <c r="BJ382" s="59"/>
      <c r="BK382" s="59"/>
      <c r="BL382" s="59"/>
      <c r="BM382" s="59"/>
      <c r="BN382" s="59"/>
      <c r="BO382" s="59"/>
    </row>
    <row r="383" spans="1:67" ht="19.5" customHeight="1" x14ac:dyDescent="0.15">
      <c r="A383" s="123" t="s">
        <v>1856</v>
      </c>
      <c r="B383" s="122" t="s">
        <v>1854</v>
      </c>
      <c r="C383" s="49"/>
      <c r="D383" s="48" t="s">
        <v>73</v>
      </c>
      <c r="E383" s="49"/>
      <c r="F383" s="50"/>
      <c r="G383" s="62"/>
      <c r="H383" s="48" t="s">
        <v>72</v>
      </c>
      <c r="I383" s="52">
        <v>1</v>
      </c>
      <c r="J383" s="52"/>
      <c r="K383" s="52" t="s">
        <v>73</v>
      </c>
      <c r="L383" s="52" t="s">
        <v>74</v>
      </c>
      <c r="M383" s="53" t="s">
        <v>942</v>
      </c>
      <c r="N383" s="58" t="s">
        <v>73</v>
      </c>
      <c r="O383" s="48" t="s">
        <v>72</v>
      </c>
      <c r="P383" s="48" t="s">
        <v>73</v>
      </c>
      <c r="Q383" s="54" t="s">
        <v>73</v>
      </c>
      <c r="R383" s="55" t="s">
        <v>73</v>
      </c>
      <c r="S383" s="48" t="s">
        <v>73</v>
      </c>
      <c r="T383" s="130"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8" t="str" cm="1">
        <f t="array" ref="U383">IF(SUMPRODUCT(--((CAT_Procesos!$E$2:$E$1581=O383)*(CAT_Procesos!$F$2:$F$1581=_xlfn.TEXTJOIN(" + ",TRUE,IF((TRIM(P383:S383)="")+(LOWER(TRIM(P383:S383))="(seleccione)"),"",PROPER(TRIM(P383:S383)))))*(CAT_Procesos!$D$2:$D$1581=IFERROR(VLOOKUP(N383&amp;"*",CAT_Procesos!$D:$D,1,FALSE),""))))=0,"Combinación no existente",IF(SUMPRODUCT(((CAT_Procesos!$E$2:$E$1581=O383)*(CAT_Procesos!$F$2:$F$1581=_xlfn.TEXTJOIN(" + ",TRUE,IF((TRIM(P383:S383)="")+(LOWER(TRIM(P383:S383))="(seleccione)"),"",PROPER(TRIM(P383:S383)))))*(CAT_Procesos!$D$2:$D$1581=IFERROR(VLOOKUP(N383&amp;"*",CAT_Procesos!$D:$D,1,FALSE),"")))*(CAT_Procesos!$G$2:$G$1581=INDEX(CAT_Procesos!$G$2:$G$1581,MATCH(1,(CAT_Procesos!$E$2:$E$1581=O383)*(CAT_Procesos!$F$2:$F$1581=_xlfn.TEXTJOIN(" + ",TRUE,IF((TRIM(P383:S383)="")+(LOWER(TRIM(P383:S383))="(seleccione)"),"",PROPER(TRIM(P383:S383)))))*(CAT_Procesos!$D$2:$D$1581=IFERROR(VLOOKUP(N383&amp;"*",CAT_Procesos!$D:$D,1,FALSE),"")),0))))=SUMPRODUCT(--((CAT_Procesos!$E$2:$E$1581=O383)*(CAT_Procesos!$F$2:$F$1581=_xlfn.TEXTJOIN(" + ",TRUE,IF((TRIM(P383:S383)="")+(LOWER(TRIM(P383:S383))="(seleccione)"),"",PROPER(TRIM(P383:S383)))))*(CAT_Procesos!$D$2:$D$1581=IFERROR(VLOOKUP(N383&amp;"*",CAT_Procesos!$D:$D,1,FALSE),"")))),INDEX(CAT_Procesos!$G$2:$G$1581,MATCH(1,(CAT_Procesos!$E$2:$E$1581=O383)*(CAT_Procesos!$F$2:$F$1581=_xlfn.TEXTJOIN(" + ",TRUE,IF((TRIM(P383:S383)="")+(LOWER(TRIM(P383:S383))="(seleccione)"),"",PROPER(TRIM(P383:S383)))))*(CAT_Procesos!$D$2:$D$1581=IFERROR(VLOOKUP(N383&amp;"*",CAT_Procesos!$D:$D,1,FALSE),"")),0)),"(seleccione)"))</f>
        <v>Combinación no existente</v>
      </c>
      <c r="V383" s="55" t="s">
        <v>73</v>
      </c>
      <c r="W383" s="56" t="s">
        <v>73</v>
      </c>
      <c r="X383" s="57" t="str">
        <f t="shared" si="20"/>
        <v/>
      </c>
      <c r="Y383" s="58" t="s">
        <v>73</v>
      </c>
      <c r="Z383" s="57" t="str">
        <f t="shared" si="21"/>
        <v/>
      </c>
      <c r="AA383" s="58" t="s">
        <v>73</v>
      </c>
      <c r="AB383" s="57" t="str">
        <f t="shared" si="22"/>
        <v/>
      </c>
      <c r="AC383" s="58" t="s">
        <v>73</v>
      </c>
      <c r="AD383" s="57" t="str">
        <f t="shared" si="23"/>
        <v/>
      </c>
      <c r="AE383" s="59"/>
      <c r="AF383" s="59"/>
      <c r="AG383" s="59"/>
      <c r="AH383" s="59"/>
      <c r="AI383" s="59" t="s">
        <v>73</v>
      </c>
      <c r="AJ383" s="59"/>
      <c r="AK383" s="59" t="s">
        <v>73</v>
      </c>
      <c r="AL383" s="59"/>
      <c r="AM383" s="59" t="s">
        <v>73</v>
      </c>
      <c r="AN383" s="59"/>
      <c r="AO383" s="59" t="s">
        <v>73</v>
      </c>
      <c r="AP383" s="59"/>
      <c r="AQ383" s="59" t="s">
        <v>73</v>
      </c>
      <c r="AR383" s="59"/>
      <c r="AS383" s="59" t="s">
        <v>72</v>
      </c>
      <c r="AT383" s="59"/>
      <c r="AU383" s="59"/>
      <c r="AV383" s="59"/>
      <c r="AW383" s="59"/>
      <c r="AX383" s="59"/>
      <c r="AY383" s="60" t="str">
        <f>IF('Cálculo MP'!K393="","",'Cálculo MP'!K393)</f>
        <v/>
      </c>
      <c r="AZ383" s="60" t="str">
        <f>IF('Cálculo MP'!L393="","",'Cálculo MP'!L393)</f>
        <v/>
      </c>
      <c r="BA383" s="60" t="str">
        <f>IF('Cálculo MP'!M393="","",'Cálculo MP'!M393)</f>
        <v/>
      </c>
      <c r="BB383" s="60" t="str">
        <f>IF('Cálculo MP'!N393="","",'Cálculo MP'!N393)</f>
        <v/>
      </c>
      <c r="BC383" s="60" t="str">
        <f>IF('Cálculo MP'!O393="","",'Cálculo MP'!O393)</f>
        <v/>
      </c>
      <c r="BD383" s="60" t="str">
        <f>IF('Cálculo MP'!P393="","",'Cálculo MP'!P393)</f>
        <v/>
      </c>
      <c r="BE383" s="60" t="str">
        <f>IF('Cálculo MP'!Q393="","",'Cálculo MP'!Q393)</f>
        <v/>
      </c>
      <c r="BF383" s="60" t="str">
        <f>IF('Cálculo MP'!R393="","",'Cálculo MP'!R393)</f>
        <v/>
      </c>
      <c r="BG383" s="60" t="str">
        <f>IF('Cálculo MP'!S393="","",'Cálculo MP'!S393)</f>
        <v/>
      </c>
      <c r="BH383" s="59"/>
      <c r="BI383" s="59"/>
      <c r="BJ383" s="59"/>
      <c r="BK383" s="59"/>
      <c r="BL383" s="59"/>
      <c r="BM383" s="59"/>
      <c r="BN383" s="59"/>
      <c r="BO383" s="59"/>
    </row>
    <row r="384" spans="1:67" ht="19.5" customHeight="1" x14ac:dyDescent="0.15">
      <c r="A384" s="123" t="s">
        <v>1856</v>
      </c>
      <c r="B384" s="122" t="s">
        <v>1854</v>
      </c>
      <c r="C384" s="49"/>
      <c r="D384" s="48" t="s">
        <v>73</v>
      </c>
      <c r="E384" s="49"/>
      <c r="F384" s="50"/>
      <c r="G384" s="62"/>
      <c r="H384" s="48" t="s">
        <v>72</v>
      </c>
      <c r="I384" s="52">
        <v>1</v>
      </c>
      <c r="J384" s="52"/>
      <c r="K384" s="52" t="s">
        <v>73</v>
      </c>
      <c r="L384" s="52" t="s">
        <v>74</v>
      </c>
      <c r="M384" s="53" t="s">
        <v>942</v>
      </c>
      <c r="N384" s="58" t="s">
        <v>73</v>
      </c>
      <c r="O384" s="48" t="s">
        <v>72</v>
      </c>
      <c r="P384" s="48" t="s">
        <v>73</v>
      </c>
      <c r="Q384" s="54" t="s">
        <v>73</v>
      </c>
      <c r="R384" s="55" t="s">
        <v>73</v>
      </c>
      <c r="S384" s="48" t="s">
        <v>73</v>
      </c>
      <c r="T384" s="130"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8" t="str" cm="1">
        <f t="array" ref="U384">IF(SUMPRODUCT(--((CAT_Procesos!$E$2:$E$1581=O384)*(CAT_Procesos!$F$2:$F$1581=_xlfn.TEXTJOIN(" + ",TRUE,IF((TRIM(P384:S384)="")+(LOWER(TRIM(P384:S384))="(seleccione)"),"",PROPER(TRIM(P384:S384)))))*(CAT_Procesos!$D$2:$D$1581=IFERROR(VLOOKUP(N384&amp;"*",CAT_Procesos!$D:$D,1,FALSE),""))))=0,"Combinación no existente",IF(SUMPRODUCT(((CAT_Procesos!$E$2:$E$1581=O384)*(CAT_Procesos!$F$2:$F$1581=_xlfn.TEXTJOIN(" + ",TRUE,IF((TRIM(P384:S384)="")+(LOWER(TRIM(P384:S384))="(seleccione)"),"",PROPER(TRIM(P384:S384)))))*(CAT_Procesos!$D$2:$D$1581=IFERROR(VLOOKUP(N384&amp;"*",CAT_Procesos!$D:$D,1,FALSE),"")))*(CAT_Procesos!$G$2:$G$1581=INDEX(CAT_Procesos!$G$2:$G$1581,MATCH(1,(CAT_Procesos!$E$2:$E$1581=O384)*(CAT_Procesos!$F$2:$F$1581=_xlfn.TEXTJOIN(" + ",TRUE,IF((TRIM(P384:S384)="")+(LOWER(TRIM(P384:S384))="(seleccione)"),"",PROPER(TRIM(P384:S384)))))*(CAT_Procesos!$D$2:$D$1581=IFERROR(VLOOKUP(N384&amp;"*",CAT_Procesos!$D:$D,1,FALSE),"")),0))))=SUMPRODUCT(--((CAT_Procesos!$E$2:$E$1581=O384)*(CAT_Procesos!$F$2:$F$1581=_xlfn.TEXTJOIN(" + ",TRUE,IF((TRIM(P384:S384)="")+(LOWER(TRIM(P384:S384))="(seleccione)"),"",PROPER(TRIM(P384:S384)))))*(CAT_Procesos!$D$2:$D$1581=IFERROR(VLOOKUP(N384&amp;"*",CAT_Procesos!$D:$D,1,FALSE),"")))),INDEX(CAT_Procesos!$G$2:$G$1581,MATCH(1,(CAT_Procesos!$E$2:$E$1581=O384)*(CAT_Procesos!$F$2:$F$1581=_xlfn.TEXTJOIN(" + ",TRUE,IF((TRIM(P384:S384)="")+(LOWER(TRIM(P384:S384))="(seleccione)"),"",PROPER(TRIM(P384:S384)))))*(CAT_Procesos!$D$2:$D$1581=IFERROR(VLOOKUP(N384&amp;"*",CAT_Procesos!$D:$D,1,FALSE),"")),0)),"(seleccione)"))</f>
        <v>Combinación no existente</v>
      </c>
      <c r="V384" s="55" t="s">
        <v>73</v>
      </c>
      <c r="W384" s="56" t="s">
        <v>73</v>
      </c>
      <c r="X384" s="57" t="str">
        <f t="shared" si="20"/>
        <v/>
      </c>
      <c r="Y384" s="58" t="s">
        <v>73</v>
      </c>
      <c r="Z384" s="57" t="str">
        <f t="shared" si="21"/>
        <v/>
      </c>
      <c r="AA384" s="58" t="s">
        <v>73</v>
      </c>
      <c r="AB384" s="57" t="str">
        <f t="shared" si="22"/>
        <v/>
      </c>
      <c r="AC384" s="58" t="s">
        <v>73</v>
      </c>
      <c r="AD384" s="57" t="str">
        <f t="shared" si="23"/>
        <v/>
      </c>
      <c r="AE384" s="59"/>
      <c r="AF384" s="59"/>
      <c r="AG384" s="59"/>
      <c r="AH384" s="59"/>
      <c r="AI384" s="59" t="s">
        <v>73</v>
      </c>
      <c r="AJ384" s="59"/>
      <c r="AK384" s="59" t="s">
        <v>73</v>
      </c>
      <c r="AL384" s="59"/>
      <c r="AM384" s="59" t="s">
        <v>73</v>
      </c>
      <c r="AN384" s="59"/>
      <c r="AO384" s="59" t="s">
        <v>73</v>
      </c>
      <c r="AP384" s="59"/>
      <c r="AQ384" s="59" t="s">
        <v>73</v>
      </c>
      <c r="AR384" s="59"/>
      <c r="AS384" s="59" t="s">
        <v>72</v>
      </c>
      <c r="AT384" s="59"/>
      <c r="AU384" s="59"/>
      <c r="AV384" s="59"/>
      <c r="AW384" s="59"/>
      <c r="AX384" s="59"/>
      <c r="AY384" s="60" t="str">
        <f>IF('Cálculo MP'!K394="","",'Cálculo MP'!K394)</f>
        <v/>
      </c>
      <c r="AZ384" s="60" t="str">
        <f>IF('Cálculo MP'!L394="","",'Cálculo MP'!L394)</f>
        <v/>
      </c>
      <c r="BA384" s="60" t="str">
        <f>IF('Cálculo MP'!M394="","",'Cálculo MP'!M394)</f>
        <v/>
      </c>
      <c r="BB384" s="60" t="str">
        <f>IF('Cálculo MP'!N394="","",'Cálculo MP'!N394)</f>
        <v/>
      </c>
      <c r="BC384" s="60" t="str">
        <f>IF('Cálculo MP'!O394="","",'Cálculo MP'!O394)</f>
        <v/>
      </c>
      <c r="BD384" s="60" t="str">
        <f>IF('Cálculo MP'!P394="","",'Cálculo MP'!P394)</f>
        <v/>
      </c>
      <c r="BE384" s="60" t="str">
        <f>IF('Cálculo MP'!Q394="","",'Cálculo MP'!Q394)</f>
        <v/>
      </c>
      <c r="BF384" s="60" t="str">
        <f>IF('Cálculo MP'!R394="","",'Cálculo MP'!R394)</f>
        <v/>
      </c>
      <c r="BG384" s="60" t="str">
        <f>IF('Cálculo MP'!S394="","",'Cálculo MP'!S394)</f>
        <v/>
      </c>
      <c r="BH384" s="59"/>
      <c r="BI384" s="59"/>
      <c r="BJ384" s="59"/>
      <c r="BK384" s="59"/>
      <c r="BL384" s="59"/>
      <c r="BM384" s="59"/>
      <c r="BN384" s="59"/>
      <c r="BO384" s="59"/>
    </row>
    <row r="385" spans="1:67" ht="19.5" customHeight="1" x14ac:dyDescent="0.15">
      <c r="A385" s="123" t="s">
        <v>1856</v>
      </c>
      <c r="B385" s="122" t="s">
        <v>1854</v>
      </c>
      <c r="C385" s="49"/>
      <c r="D385" s="48" t="s">
        <v>73</v>
      </c>
      <c r="E385" s="49"/>
      <c r="F385" s="50"/>
      <c r="G385" s="62"/>
      <c r="H385" s="48" t="s">
        <v>72</v>
      </c>
      <c r="I385" s="52">
        <v>1</v>
      </c>
      <c r="J385" s="52"/>
      <c r="K385" s="52" t="s">
        <v>73</v>
      </c>
      <c r="L385" s="52" t="s">
        <v>74</v>
      </c>
      <c r="M385" s="53" t="s">
        <v>942</v>
      </c>
      <c r="N385" s="58" t="s">
        <v>73</v>
      </c>
      <c r="O385" s="48" t="s">
        <v>72</v>
      </c>
      <c r="P385" s="48" t="s">
        <v>73</v>
      </c>
      <c r="Q385" s="54" t="s">
        <v>73</v>
      </c>
      <c r="R385" s="55" t="s">
        <v>73</v>
      </c>
      <c r="S385" s="48" t="s">
        <v>73</v>
      </c>
      <c r="T385" s="130"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8" t="str" cm="1">
        <f t="array" ref="U385">IF(SUMPRODUCT(--((CAT_Procesos!$E$2:$E$1581=O385)*(CAT_Procesos!$F$2:$F$1581=_xlfn.TEXTJOIN(" + ",TRUE,IF((TRIM(P385:S385)="")+(LOWER(TRIM(P385:S385))="(seleccione)"),"",PROPER(TRIM(P385:S385)))))*(CAT_Procesos!$D$2:$D$1581=IFERROR(VLOOKUP(N385&amp;"*",CAT_Procesos!$D:$D,1,FALSE),""))))=0,"Combinación no existente",IF(SUMPRODUCT(((CAT_Procesos!$E$2:$E$1581=O385)*(CAT_Procesos!$F$2:$F$1581=_xlfn.TEXTJOIN(" + ",TRUE,IF((TRIM(P385:S385)="")+(LOWER(TRIM(P385:S385))="(seleccione)"),"",PROPER(TRIM(P385:S385)))))*(CAT_Procesos!$D$2:$D$1581=IFERROR(VLOOKUP(N385&amp;"*",CAT_Procesos!$D:$D,1,FALSE),"")))*(CAT_Procesos!$G$2:$G$1581=INDEX(CAT_Procesos!$G$2:$G$1581,MATCH(1,(CAT_Procesos!$E$2:$E$1581=O385)*(CAT_Procesos!$F$2:$F$1581=_xlfn.TEXTJOIN(" + ",TRUE,IF((TRIM(P385:S385)="")+(LOWER(TRIM(P385:S385))="(seleccione)"),"",PROPER(TRIM(P385:S385)))))*(CAT_Procesos!$D$2:$D$1581=IFERROR(VLOOKUP(N385&amp;"*",CAT_Procesos!$D:$D,1,FALSE),"")),0))))=SUMPRODUCT(--((CAT_Procesos!$E$2:$E$1581=O385)*(CAT_Procesos!$F$2:$F$1581=_xlfn.TEXTJOIN(" + ",TRUE,IF((TRIM(P385:S385)="")+(LOWER(TRIM(P385:S385))="(seleccione)"),"",PROPER(TRIM(P385:S385)))))*(CAT_Procesos!$D$2:$D$1581=IFERROR(VLOOKUP(N385&amp;"*",CAT_Procesos!$D:$D,1,FALSE),"")))),INDEX(CAT_Procesos!$G$2:$G$1581,MATCH(1,(CAT_Procesos!$E$2:$E$1581=O385)*(CAT_Procesos!$F$2:$F$1581=_xlfn.TEXTJOIN(" + ",TRUE,IF((TRIM(P385:S385)="")+(LOWER(TRIM(P385:S385))="(seleccione)"),"",PROPER(TRIM(P385:S385)))))*(CAT_Procesos!$D$2:$D$1581=IFERROR(VLOOKUP(N385&amp;"*",CAT_Procesos!$D:$D,1,FALSE),"")),0)),"(seleccione)"))</f>
        <v>Combinación no existente</v>
      </c>
      <c r="V385" s="55" t="s">
        <v>73</v>
      </c>
      <c r="W385" s="56" t="s">
        <v>73</v>
      </c>
      <c r="X385" s="57" t="str">
        <f t="shared" si="20"/>
        <v/>
      </c>
      <c r="Y385" s="58" t="s">
        <v>73</v>
      </c>
      <c r="Z385" s="57" t="str">
        <f t="shared" si="21"/>
        <v/>
      </c>
      <c r="AA385" s="58" t="s">
        <v>73</v>
      </c>
      <c r="AB385" s="57" t="str">
        <f t="shared" si="22"/>
        <v/>
      </c>
      <c r="AC385" s="58" t="s">
        <v>73</v>
      </c>
      <c r="AD385" s="57" t="str">
        <f t="shared" si="23"/>
        <v/>
      </c>
      <c r="AE385" s="59"/>
      <c r="AF385" s="59"/>
      <c r="AG385" s="59"/>
      <c r="AH385" s="59"/>
      <c r="AI385" s="59" t="s">
        <v>73</v>
      </c>
      <c r="AJ385" s="59"/>
      <c r="AK385" s="59" t="s">
        <v>73</v>
      </c>
      <c r="AL385" s="59"/>
      <c r="AM385" s="59" t="s">
        <v>73</v>
      </c>
      <c r="AN385" s="59"/>
      <c r="AO385" s="59" t="s">
        <v>73</v>
      </c>
      <c r="AP385" s="59"/>
      <c r="AQ385" s="59" t="s">
        <v>73</v>
      </c>
      <c r="AR385" s="59"/>
      <c r="AS385" s="59" t="s">
        <v>72</v>
      </c>
      <c r="AT385" s="59"/>
      <c r="AU385" s="59"/>
      <c r="AV385" s="59"/>
      <c r="AW385" s="59"/>
      <c r="AX385" s="59"/>
      <c r="AY385" s="60" t="str">
        <f>IF('Cálculo MP'!K395="","",'Cálculo MP'!K395)</f>
        <v/>
      </c>
      <c r="AZ385" s="60" t="str">
        <f>IF('Cálculo MP'!L395="","",'Cálculo MP'!L395)</f>
        <v/>
      </c>
      <c r="BA385" s="60" t="str">
        <f>IF('Cálculo MP'!M395="","",'Cálculo MP'!M395)</f>
        <v/>
      </c>
      <c r="BB385" s="60" t="str">
        <f>IF('Cálculo MP'!N395="","",'Cálculo MP'!N395)</f>
        <v/>
      </c>
      <c r="BC385" s="60" t="str">
        <f>IF('Cálculo MP'!O395="","",'Cálculo MP'!O395)</f>
        <v/>
      </c>
      <c r="BD385" s="60" t="str">
        <f>IF('Cálculo MP'!P395="","",'Cálculo MP'!P395)</f>
        <v/>
      </c>
      <c r="BE385" s="60" t="str">
        <f>IF('Cálculo MP'!Q395="","",'Cálculo MP'!Q395)</f>
        <v/>
      </c>
      <c r="BF385" s="60" t="str">
        <f>IF('Cálculo MP'!R395="","",'Cálculo MP'!R395)</f>
        <v/>
      </c>
      <c r="BG385" s="60" t="str">
        <f>IF('Cálculo MP'!S395="","",'Cálculo MP'!S395)</f>
        <v/>
      </c>
      <c r="BH385" s="59"/>
      <c r="BI385" s="59"/>
      <c r="BJ385" s="59"/>
      <c r="BK385" s="59"/>
      <c r="BL385" s="59"/>
      <c r="BM385" s="59"/>
      <c r="BN385" s="59"/>
      <c r="BO385" s="59"/>
    </row>
    <row r="386" spans="1:67" ht="19.5" customHeight="1" x14ac:dyDescent="0.15">
      <c r="A386" s="123" t="s">
        <v>1856</v>
      </c>
      <c r="B386" s="122" t="s">
        <v>1854</v>
      </c>
      <c r="C386" s="49"/>
      <c r="D386" s="48" t="s">
        <v>73</v>
      </c>
      <c r="E386" s="49"/>
      <c r="F386" s="50"/>
      <c r="G386" s="62"/>
      <c r="H386" s="48" t="s">
        <v>72</v>
      </c>
      <c r="I386" s="52">
        <v>1</v>
      </c>
      <c r="J386" s="52"/>
      <c r="K386" s="52" t="s">
        <v>73</v>
      </c>
      <c r="L386" s="52" t="s">
        <v>74</v>
      </c>
      <c r="M386" s="53" t="s">
        <v>942</v>
      </c>
      <c r="N386" s="58" t="s">
        <v>73</v>
      </c>
      <c r="O386" s="48" t="s">
        <v>72</v>
      </c>
      <c r="P386" s="48" t="s">
        <v>73</v>
      </c>
      <c r="Q386" s="54" t="s">
        <v>73</v>
      </c>
      <c r="R386" s="55" t="s">
        <v>73</v>
      </c>
      <c r="S386" s="48" t="s">
        <v>73</v>
      </c>
      <c r="T386" s="130"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8" t="str" cm="1">
        <f t="array" ref="U386">IF(SUMPRODUCT(--((CAT_Procesos!$E$2:$E$1581=O386)*(CAT_Procesos!$F$2:$F$1581=_xlfn.TEXTJOIN(" + ",TRUE,IF((TRIM(P386:S386)="")+(LOWER(TRIM(P386:S386))="(seleccione)"),"",PROPER(TRIM(P386:S386)))))*(CAT_Procesos!$D$2:$D$1581=IFERROR(VLOOKUP(N386&amp;"*",CAT_Procesos!$D:$D,1,FALSE),""))))=0,"Combinación no existente",IF(SUMPRODUCT(((CAT_Procesos!$E$2:$E$1581=O386)*(CAT_Procesos!$F$2:$F$1581=_xlfn.TEXTJOIN(" + ",TRUE,IF((TRIM(P386:S386)="")+(LOWER(TRIM(P386:S386))="(seleccione)"),"",PROPER(TRIM(P386:S386)))))*(CAT_Procesos!$D$2:$D$1581=IFERROR(VLOOKUP(N386&amp;"*",CAT_Procesos!$D:$D,1,FALSE),"")))*(CAT_Procesos!$G$2:$G$1581=INDEX(CAT_Procesos!$G$2:$G$1581,MATCH(1,(CAT_Procesos!$E$2:$E$1581=O386)*(CAT_Procesos!$F$2:$F$1581=_xlfn.TEXTJOIN(" + ",TRUE,IF((TRIM(P386:S386)="")+(LOWER(TRIM(P386:S386))="(seleccione)"),"",PROPER(TRIM(P386:S386)))))*(CAT_Procesos!$D$2:$D$1581=IFERROR(VLOOKUP(N386&amp;"*",CAT_Procesos!$D:$D,1,FALSE),"")),0))))=SUMPRODUCT(--((CAT_Procesos!$E$2:$E$1581=O386)*(CAT_Procesos!$F$2:$F$1581=_xlfn.TEXTJOIN(" + ",TRUE,IF((TRIM(P386:S386)="")+(LOWER(TRIM(P386:S386))="(seleccione)"),"",PROPER(TRIM(P386:S386)))))*(CAT_Procesos!$D$2:$D$1581=IFERROR(VLOOKUP(N386&amp;"*",CAT_Procesos!$D:$D,1,FALSE),"")))),INDEX(CAT_Procesos!$G$2:$G$1581,MATCH(1,(CAT_Procesos!$E$2:$E$1581=O386)*(CAT_Procesos!$F$2:$F$1581=_xlfn.TEXTJOIN(" + ",TRUE,IF((TRIM(P386:S386)="")+(LOWER(TRIM(P386:S386))="(seleccione)"),"",PROPER(TRIM(P386:S386)))))*(CAT_Procesos!$D$2:$D$1581=IFERROR(VLOOKUP(N386&amp;"*",CAT_Procesos!$D:$D,1,FALSE),"")),0)),"(seleccione)"))</f>
        <v>Combinación no existente</v>
      </c>
      <c r="V386" s="55" t="s">
        <v>73</v>
      </c>
      <c r="W386" s="56" t="s">
        <v>73</v>
      </c>
      <c r="X386" s="57" t="str">
        <f t="shared" si="20"/>
        <v/>
      </c>
      <c r="Y386" s="58" t="s">
        <v>73</v>
      </c>
      <c r="Z386" s="57" t="str">
        <f t="shared" si="21"/>
        <v/>
      </c>
      <c r="AA386" s="58" t="s">
        <v>73</v>
      </c>
      <c r="AB386" s="57" t="str">
        <f t="shared" si="22"/>
        <v/>
      </c>
      <c r="AC386" s="58" t="s">
        <v>73</v>
      </c>
      <c r="AD386" s="57" t="str">
        <f t="shared" si="23"/>
        <v/>
      </c>
      <c r="AE386" s="59"/>
      <c r="AF386" s="59"/>
      <c r="AG386" s="59"/>
      <c r="AH386" s="59"/>
      <c r="AI386" s="59" t="s">
        <v>73</v>
      </c>
      <c r="AJ386" s="59"/>
      <c r="AK386" s="59" t="s">
        <v>73</v>
      </c>
      <c r="AL386" s="59"/>
      <c r="AM386" s="59" t="s">
        <v>73</v>
      </c>
      <c r="AN386" s="59"/>
      <c r="AO386" s="59" t="s">
        <v>73</v>
      </c>
      <c r="AP386" s="59"/>
      <c r="AQ386" s="59" t="s">
        <v>73</v>
      </c>
      <c r="AR386" s="59"/>
      <c r="AS386" s="59" t="s">
        <v>72</v>
      </c>
      <c r="AT386" s="59"/>
      <c r="AU386" s="59"/>
      <c r="AV386" s="59"/>
      <c r="AW386" s="59"/>
      <c r="AX386" s="59"/>
      <c r="AY386" s="60" t="str">
        <f>IF('Cálculo MP'!K396="","",'Cálculo MP'!K396)</f>
        <v/>
      </c>
      <c r="AZ386" s="60" t="str">
        <f>IF('Cálculo MP'!L396="","",'Cálculo MP'!L396)</f>
        <v/>
      </c>
      <c r="BA386" s="60" t="str">
        <f>IF('Cálculo MP'!M396="","",'Cálculo MP'!M396)</f>
        <v/>
      </c>
      <c r="BB386" s="60" t="str">
        <f>IF('Cálculo MP'!N396="","",'Cálculo MP'!N396)</f>
        <v/>
      </c>
      <c r="BC386" s="60" t="str">
        <f>IF('Cálculo MP'!O396="","",'Cálculo MP'!O396)</f>
        <v/>
      </c>
      <c r="BD386" s="60" t="str">
        <f>IF('Cálculo MP'!P396="","",'Cálculo MP'!P396)</f>
        <v/>
      </c>
      <c r="BE386" s="60" t="str">
        <f>IF('Cálculo MP'!Q396="","",'Cálculo MP'!Q396)</f>
        <v/>
      </c>
      <c r="BF386" s="60" t="str">
        <f>IF('Cálculo MP'!R396="","",'Cálculo MP'!R396)</f>
        <v/>
      </c>
      <c r="BG386" s="60" t="str">
        <f>IF('Cálculo MP'!S396="","",'Cálculo MP'!S396)</f>
        <v/>
      </c>
      <c r="BH386" s="59"/>
      <c r="BI386" s="59"/>
      <c r="BJ386" s="59"/>
      <c r="BK386" s="59"/>
      <c r="BL386" s="59"/>
      <c r="BM386" s="59"/>
      <c r="BN386" s="59"/>
      <c r="BO386" s="59"/>
    </row>
    <row r="387" spans="1:67" ht="19.5" customHeight="1" x14ac:dyDescent="0.15">
      <c r="A387" s="123" t="s">
        <v>1856</v>
      </c>
      <c r="B387" s="122" t="s">
        <v>1854</v>
      </c>
      <c r="C387" s="49"/>
      <c r="D387" s="48" t="s">
        <v>73</v>
      </c>
      <c r="E387" s="49"/>
      <c r="F387" s="50"/>
      <c r="G387" s="62"/>
      <c r="H387" s="48" t="s">
        <v>72</v>
      </c>
      <c r="I387" s="52">
        <v>1</v>
      </c>
      <c r="J387" s="52"/>
      <c r="K387" s="52" t="s">
        <v>73</v>
      </c>
      <c r="L387" s="52" t="s">
        <v>74</v>
      </c>
      <c r="M387" s="53" t="s">
        <v>942</v>
      </c>
      <c r="N387" s="58" t="s">
        <v>73</v>
      </c>
      <c r="O387" s="48" t="s">
        <v>72</v>
      </c>
      <c r="P387" s="48" t="s">
        <v>73</v>
      </c>
      <c r="Q387" s="54" t="s">
        <v>73</v>
      </c>
      <c r="R387" s="55" t="s">
        <v>73</v>
      </c>
      <c r="S387" s="48" t="s">
        <v>73</v>
      </c>
      <c r="T387" s="130"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8" t="str" cm="1">
        <f t="array" ref="U387">IF(SUMPRODUCT(--((CAT_Procesos!$E$2:$E$1581=O387)*(CAT_Procesos!$F$2:$F$1581=_xlfn.TEXTJOIN(" + ",TRUE,IF((TRIM(P387:S387)="")+(LOWER(TRIM(P387:S387))="(seleccione)"),"",PROPER(TRIM(P387:S387)))))*(CAT_Procesos!$D$2:$D$1581=IFERROR(VLOOKUP(N387&amp;"*",CAT_Procesos!$D:$D,1,FALSE),""))))=0,"Combinación no existente",IF(SUMPRODUCT(((CAT_Procesos!$E$2:$E$1581=O387)*(CAT_Procesos!$F$2:$F$1581=_xlfn.TEXTJOIN(" + ",TRUE,IF((TRIM(P387:S387)="")+(LOWER(TRIM(P387:S387))="(seleccione)"),"",PROPER(TRIM(P387:S387)))))*(CAT_Procesos!$D$2:$D$1581=IFERROR(VLOOKUP(N387&amp;"*",CAT_Procesos!$D:$D,1,FALSE),"")))*(CAT_Procesos!$G$2:$G$1581=INDEX(CAT_Procesos!$G$2:$G$1581,MATCH(1,(CAT_Procesos!$E$2:$E$1581=O387)*(CAT_Procesos!$F$2:$F$1581=_xlfn.TEXTJOIN(" + ",TRUE,IF((TRIM(P387:S387)="")+(LOWER(TRIM(P387:S387))="(seleccione)"),"",PROPER(TRIM(P387:S387)))))*(CAT_Procesos!$D$2:$D$1581=IFERROR(VLOOKUP(N387&amp;"*",CAT_Procesos!$D:$D,1,FALSE),"")),0))))=SUMPRODUCT(--((CAT_Procesos!$E$2:$E$1581=O387)*(CAT_Procesos!$F$2:$F$1581=_xlfn.TEXTJOIN(" + ",TRUE,IF((TRIM(P387:S387)="")+(LOWER(TRIM(P387:S387))="(seleccione)"),"",PROPER(TRIM(P387:S387)))))*(CAT_Procesos!$D$2:$D$1581=IFERROR(VLOOKUP(N387&amp;"*",CAT_Procesos!$D:$D,1,FALSE),"")))),INDEX(CAT_Procesos!$G$2:$G$1581,MATCH(1,(CAT_Procesos!$E$2:$E$1581=O387)*(CAT_Procesos!$F$2:$F$1581=_xlfn.TEXTJOIN(" + ",TRUE,IF((TRIM(P387:S387)="")+(LOWER(TRIM(P387:S387))="(seleccione)"),"",PROPER(TRIM(P387:S387)))))*(CAT_Procesos!$D$2:$D$1581=IFERROR(VLOOKUP(N387&amp;"*",CAT_Procesos!$D:$D,1,FALSE),"")),0)),"(seleccione)"))</f>
        <v>Combinación no existente</v>
      </c>
      <c r="V387" s="55" t="s">
        <v>73</v>
      </c>
      <c r="W387" s="56" t="s">
        <v>73</v>
      </c>
      <c r="X387" s="57" t="str">
        <f t="shared" si="20"/>
        <v/>
      </c>
      <c r="Y387" s="58" t="s">
        <v>73</v>
      </c>
      <c r="Z387" s="57" t="str">
        <f t="shared" si="21"/>
        <v/>
      </c>
      <c r="AA387" s="58" t="s">
        <v>73</v>
      </c>
      <c r="AB387" s="57" t="str">
        <f t="shared" si="22"/>
        <v/>
      </c>
      <c r="AC387" s="58" t="s">
        <v>73</v>
      </c>
      <c r="AD387" s="57" t="str">
        <f t="shared" si="23"/>
        <v/>
      </c>
      <c r="AE387" s="59"/>
      <c r="AF387" s="59"/>
      <c r="AG387" s="59"/>
      <c r="AH387" s="59"/>
      <c r="AI387" s="59" t="s">
        <v>73</v>
      </c>
      <c r="AJ387" s="59"/>
      <c r="AK387" s="59" t="s">
        <v>73</v>
      </c>
      <c r="AL387" s="59"/>
      <c r="AM387" s="59" t="s">
        <v>73</v>
      </c>
      <c r="AN387" s="59"/>
      <c r="AO387" s="59" t="s">
        <v>73</v>
      </c>
      <c r="AP387" s="59"/>
      <c r="AQ387" s="59" t="s">
        <v>73</v>
      </c>
      <c r="AR387" s="59"/>
      <c r="AS387" s="59" t="s">
        <v>72</v>
      </c>
      <c r="AT387" s="59"/>
      <c r="AU387" s="59"/>
      <c r="AV387" s="59"/>
      <c r="AW387" s="59"/>
      <c r="AX387" s="59"/>
      <c r="AY387" s="60" t="str">
        <f>IF('Cálculo MP'!K397="","",'Cálculo MP'!K397)</f>
        <v/>
      </c>
      <c r="AZ387" s="60" t="str">
        <f>IF('Cálculo MP'!L397="","",'Cálculo MP'!L397)</f>
        <v/>
      </c>
      <c r="BA387" s="60" t="str">
        <f>IF('Cálculo MP'!M397="","",'Cálculo MP'!M397)</f>
        <v/>
      </c>
      <c r="BB387" s="60" t="str">
        <f>IF('Cálculo MP'!N397="","",'Cálculo MP'!N397)</f>
        <v/>
      </c>
      <c r="BC387" s="60" t="str">
        <f>IF('Cálculo MP'!O397="","",'Cálculo MP'!O397)</f>
        <v/>
      </c>
      <c r="BD387" s="60" t="str">
        <f>IF('Cálculo MP'!P397="","",'Cálculo MP'!P397)</f>
        <v/>
      </c>
      <c r="BE387" s="60" t="str">
        <f>IF('Cálculo MP'!Q397="","",'Cálculo MP'!Q397)</f>
        <v/>
      </c>
      <c r="BF387" s="60" t="str">
        <f>IF('Cálculo MP'!R397="","",'Cálculo MP'!R397)</f>
        <v/>
      </c>
      <c r="BG387" s="60" t="str">
        <f>IF('Cálculo MP'!S397="","",'Cálculo MP'!S397)</f>
        <v/>
      </c>
      <c r="BH387" s="59"/>
      <c r="BI387" s="59"/>
      <c r="BJ387" s="59"/>
      <c r="BK387" s="59"/>
      <c r="BL387" s="59"/>
      <c r="BM387" s="59"/>
      <c r="BN387" s="59"/>
      <c r="BO387" s="59"/>
    </row>
    <row r="388" spans="1:67" ht="19.5" customHeight="1" x14ac:dyDescent="0.15">
      <c r="A388" s="123" t="s">
        <v>1856</v>
      </c>
      <c r="B388" s="122" t="s">
        <v>1854</v>
      </c>
      <c r="C388" s="49"/>
      <c r="D388" s="48" t="s">
        <v>73</v>
      </c>
      <c r="E388" s="49"/>
      <c r="F388" s="50"/>
      <c r="G388" s="62"/>
      <c r="H388" s="48" t="s">
        <v>72</v>
      </c>
      <c r="I388" s="52">
        <v>1</v>
      </c>
      <c r="J388" s="52"/>
      <c r="K388" s="52" t="s">
        <v>73</v>
      </c>
      <c r="L388" s="52" t="s">
        <v>74</v>
      </c>
      <c r="M388" s="53" t="s">
        <v>942</v>
      </c>
      <c r="N388" s="58" t="s">
        <v>73</v>
      </c>
      <c r="O388" s="48" t="s">
        <v>72</v>
      </c>
      <c r="P388" s="48" t="s">
        <v>73</v>
      </c>
      <c r="Q388" s="54" t="s">
        <v>73</v>
      </c>
      <c r="R388" s="55" t="s">
        <v>73</v>
      </c>
      <c r="S388" s="48" t="s">
        <v>73</v>
      </c>
      <c r="T388" s="130"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8" t="str" cm="1">
        <f t="array" ref="U388">IF(SUMPRODUCT(--((CAT_Procesos!$E$2:$E$1581=O388)*(CAT_Procesos!$F$2:$F$1581=_xlfn.TEXTJOIN(" + ",TRUE,IF((TRIM(P388:S388)="")+(LOWER(TRIM(P388:S388))="(seleccione)"),"",PROPER(TRIM(P388:S388)))))*(CAT_Procesos!$D$2:$D$1581=IFERROR(VLOOKUP(N388&amp;"*",CAT_Procesos!$D:$D,1,FALSE),""))))=0,"Combinación no existente",IF(SUMPRODUCT(((CAT_Procesos!$E$2:$E$1581=O388)*(CAT_Procesos!$F$2:$F$1581=_xlfn.TEXTJOIN(" + ",TRUE,IF((TRIM(P388:S388)="")+(LOWER(TRIM(P388:S388))="(seleccione)"),"",PROPER(TRIM(P388:S388)))))*(CAT_Procesos!$D$2:$D$1581=IFERROR(VLOOKUP(N388&amp;"*",CAT_Procesos!$D:$D,1,FALSE),"")))*(CAT_Procesos!$G$2:$G$1581=INDEX(CAT_Procesos!$G$2:$G$1581,MATCH(1,(CAT_Procesos!$E$2:$E$1581=O388)*(CAT_Procesos!$F$2:$F$1581=_xlfn.TEXTJOIN(" + ",TRUE,IF((TRIM(P388:S388)="")+(LOWER(TRIM(P388:S388))="(seleccione)"),"",PROPER(TRIM(P388:S388)))))*(CAT_Procesos!$D$2:$D$1581=IFERROR(VLOOKUP(N388&amp;"*",CAT_Procesos!$D:$D,1,FALSE),"")),0))))=SUMPRODUCT(--((CAT_Procesos!$E$2:$E$1581=O388)*(CAT_Procesos!$F$2:$F$1581=_xlfn.TEXTJOIN(" + ",TRUE,IF((TRIM(P388:S388)="")+(LOWER(TRIM(P388:S388))="(seleccione)"),"",PROPER(TRIM(P388:S388)))))*(CAT_Procesos!$D$2:$D$1581=IFERROR(VLOOKUP(N388&amp;"*",CAT_Procesos!$D:$D,1,FALSE),"")))),INDEX(CAT_Procesos!$G$2:$G$1581,MATCH(1,(CAT_Procesos!$E$2:$E$1581=O388)*(CAT_Procesos!$F$2:$F$1581=_xlfn.TEXTJOIN(" + ",TRUE,IF((TRIM(P388:S388)="")+(LOWER(TRIM(P388:S388))="(seleccione)"),"",PROPER(TRIM(P388:S388)))))*(CAT_Procesos!$D$2:$D$1581=IFERROR(VLOOKUP(N388&amp;"*",CAT_Procesos!$D:$D,1,FALSE),"")),0)),"(seleccione)"))</f>
        <v>Combinación no existente</v>
      </c>
      <c r="V388" s="55" t="s">
        <v>73</v>
      </c>
      <c r="W388" s="56" t="s">
        <v>73</v>
      </c>
      <c r="X388" s="57" t="str">
        <f t="shared" si="20"/>
        <v/>
      </c>
      <c r="Y388" s="58" t="s">
        <v>73</v>
      </c>
      <c r="Z388" s="57" t="str">
        <f t="shared" si="21"/>
        <v/>
      </c>
      <c r="AA388" s="58" t="s">
        <v>73</v>
      </c>
      <c r="AB388" s="57" t="str">
        <f t="shared" si="22"/>
        <v/>
      </c>
      <c r="AC388" s="58" t="s">
        <v>73</v>
      </c>
      <c r="AD388" s="57" t="str">
        <f t="shared" si="23"/>
        <v/>
      </c>
      <c r="AE388" s="59"/>
      <c r="AF388" s="59"/>
      <c r="AG388" s="59"/>
      <c r="AH388" s="59"/>
      <c r="AI388" s="59" t="s">
        <v>73</v>
      </c>
      <c r="AJ388" s="59"/>
      <c r="AK388" s="59" t="s">
        <v>73</v>
      </c>
      <c r="AL388" s="59"/>
      <c r="AM388" s="59" t="s">
        <v>73</v>
      </c>
      <c r="AN388" s="59"/>
      <c r="AO388" s="59" t="s">
        <v>73</v>
      </c>
      <c r="AP388" s="59"/>
      <c r="AQ388" s="59" t="s">
        <v>73</v>
      </c>
      <c r="AR388" s="59"/>
      <c r="AS388" s="59" t="s">
        <v>72</v>
      </c>
      <c r="AT388" s="59"/>
      <c r="AU388" s="59"/>
      <c r="AV388" s="59"/>
      <c r="AW388" s="59"/>
      <c r="AX388" s="59"/>
      <c r="AY388" s="60" t="str">
        <f>IF('Cálculo MP'!K398="","",'Cálculo MP'!K398)</f>
        <v/>
      </c>
      <c r="AZ388" s="60" t="str">
        <f>IF('Cálculo MP'!L398="","",'Cálculo MP'!L398)</f>
        <v/>
      </c>
      <c r="BA388" s="60" t="str">
        <f>IF('Cálculo MP'!M398="","",'Cálculo MP'!M398)</f>
        <v/>
      </c>
      <c r="BB388" s="60" t="str">
        <f>IF('Cálculo MP'!N398="","",'Cálculo MP'!N398)</f>
        <v/>
      </c>
      <c r="BC388" s="60" t="str">
        <f>IF('Cálculo MP'!O398="","",'Cálculo MP'!O398)</f>
        <v/>
      </c>
      <c r="BD388" s="60" t="str">
        <f>IF('Cálculo MP'!P398="","",'Cálculo MP'!P398)</f>
        <v/>
      </c>
      <c r="BE388" s="60" t="str">
        <f>IF('Cálculo MP'!Q398="","",'Cálculo MP'!Q398)</f>
        <v/>
      </c>
      <c r="BF388" s="60" t="str">
        <f>IF('Cálculo MP'!R398="","",'Cálculo MP'!R398)</f>
        <v/>
      </c>
      <c r="BG388" s="60" t="str">
        <f>IF('Cálculo MP'!S398="","",'Cálculo MP'!S398)</f>
        <v/>
      </c>
      <c r="BH388" s="59"/>
      <c r="BI388" s="59"/>
      <c r="BJ388" s="59"/>
      <c r="BK388" s="59"/>
      <c r="BL388" s="59"/>
      <c r="BM388" s="59"/>
      <c r="BN388" s="59"/>
      <c r="BO388" s="59"/>
    </row>
    <row r="389" spans="1:67" ht="19.5" customHeight="1" x14ac:dyDescent="0.15">
      <c r="A389" s="123" t="s">
        <v>1856</v>
      </c>
      <c r="B389" s="122" t="s">
        <v>1854</v>
      </c>
      <c r="C389" s="49"/>
      <c r="D389" s="48" t="s">
        <v>73</v>
      </c>
      <c r="E389" s="49"/>
      <c r="F389" s="50"/>
      <c r="G389" s="62"/>
      <c r="H389" s="48" t="s">
        <v>72</v>
      </c>
      <c r="I389" s="52">
        <v>1</v>
      </c>
      <c r="J389" s="52"/>
      <c r="K389" s="52" t="s">
        <v>73</v>
      </c>
      <c r="L389" s="52" t="s">
        <v>74</v>
      </c>
      <c r="M389" s="53" t="s">
        <v>942</v>
      </c>
      <c r="N389" s="58" t="s">
        <v>73</v>
      </c>
      <c r="O389" s="48" t="s">
        <v>72</v>
      </c>
      <c r="P389" s="48" t="s">
        <v>73</v>
      </c>
      <c r="Q389" s="54" t="s">
        <v>73</v>
      </c>
      <c r="R389" s="55" t="s">
        <v>73</v>
      </c>
      <c r="S389" s="48" t="s">
        <v>73</v>
      </c>
      <c r="T389" s="130"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8" t="str" cm="1">
        <f t="array" ref="U389">IF(SUMPRODUCT(--((CAT_Procesos!$E$2:$E$1581=O389)*(CAT_Procesos!$F$2:$F$1581=_xlfn.TEXTJOIN(" + ",TRUE,IF((TRIM(P389:S389)="")+(LOWER(TRIM(P389:S389))="(seleccione)"),"",PROPER(TRIM(P389:S389)))))*(CAT_Procesos!$D$2:$D$1581=IFERROR(VLOOKUP(N389&amp;"*",CAT_Procesos!$D:$D,1,FALSE),""))))=0,"Combinación no existente",IF(SUMPRODUCT(((CAT_Procesos!$E$2:$E$1581=O389)*(CAT_Procesos!$F$2:$F$1581=_xlfn.TEXTJOIN(" + ",TRUE,IF((TRIM(P389:S389)="")+(LOWER(TRIM(P389:S389))="(seleccione)"),"",PROPER(TRIM(P389:S389)))))*(CAT_Procesos!$D$2:$D$1581=IFERROR(VLOOKUP(N389&amp;"*",CAT_Procesos!$D:$D,1,FALSE),"")))*(CAT_Procesos!$G$2:$G$1581=INDEX(CAT_Procesos!$G$2:$G$1581,MATCH(1,(CAT_Procesos!$E$2:$E$1581=O389)*(CAT_Procesos!$F$2:$F$1581=_xlfn.TEXTJOIN(" + ",TRUE,IF((TRIM(P389:S389)="")+(LOWER(TRIM(P389:S389))="(seleccione)"),"",PROPER(TRIM(P389:S389)))))*(CAT_Procesos!$D$2:$D$1581=IFERROR(VLOOKUP(N389&amp;"*",CAT_Procesos!$D:$D,1,FALSE),"")),0))))=SUMPRODUCT(--((CAT_Procesos!$E$2:$E$1581=O389)*(CAT_Procesos!$F$2:$F$1581=_xlfn.TEXTJOIN(" + ",TRUE,IF((TRIM(P389:S389)="")+(LOWER(TRIM(P389:S389))="(seleccione)"),"",PROPER(TRIM(P389:S389)))))*(CAT_Procesos!$D$2:$D$1581=IFERROR(VLOOKUP(N389&amp;"*",CAT_Procesos!$D:$D,1,FALSE),"")))),INDEX(CAT_Procesos!$G$2:$G$1581,MATCH(1,(CAT_Procesos!$E$2:$E$1581=O389)*(CAT_Procesos!$F$2:$F$1581=_xlfn.TEXTJOIN(" + ",TRUE,IF((TRIM(P389:S389)="")+(LOWER(TRIM(P389:S389))="(seleccione)"),"",PROPER(TRIM(P389:S389)))))*(CAT_Procesos!$D$2:$D$1581=IFERROR(VLOOKUP(N389&amp;"*",CAT_Procesos!$D:$D,1,FALSE),"")),0)),"(seleccione)"))</f>
        <v>Combinación no existente</v>
      </c>
      <c r="V389" s="55" t="s">
        <v>73</v>
      </c>
      <c r="W389" s="56" t="s">
        <v>73</v>
      </c>
      <c r="X389" s="57" t="str">
        <f t="shared" si="20"/>
        <v/>
      </c>
      <c r="Y389" s="58" t="s">
        <v>73</v>
      </c>
      <c r="Z389" s="57" t="str">
        <f t="shared" si="21"/>
        <v/>
      </c>
      <c r="AA389" s="58" t="s">
        <v>73</v>
      </c>
      <c r="AB389" s="57" t="str">
        <f t="shared" si="22"/>
        <v/>
      </c>
      <c r="AC389" s="58" t="s">
        <v>73</v>
      </c>
      <c r="AD389" s="57" t="str">
        <f t="shared" si="23"/>
        <v/>
      </c>
      <c r="AE389" s="59"/>
      <c r="AF389" s="59"/>
      <c r="AG389" s="59"/>
      <c r="AH389" s="59"/>
      <c r="AI389" s="59" t="s">
        <v>73</v>
      </c>
      <c r="AJ389" s="59"/>
      <c r="AK389" s="59" t="s">
        <v>73</v>
      </c>
      <c r="AL389" s="59"/>
      <c r="AM389" s="59" t="s">
        <v>73</v>
      </c>
      <c r="AN389" s="59"/>
      <c r="AO389" s="59" t="s">
        <v>73</v>
      </c>
      <c r="AP389" s="59"/>
      <c r="AQ389" s="59" t="s">
        <v>73</v>
      </c>
      <c r="AR389" s="59"/>
      <c r="AS389" s="59" t="s">
        <v>72</v>
      </c>
      <c r="AT389" s="59"/>
      <c r="AU389" s="59"/>
      <c r="AV389" s="59"/>
      <c r="AW389" s="59"/>
      <c r="AX389" s="59"/>
      <c r="AY389" s="60" t="str">
        <f>IF('Cálculo MP'!K399="","",'Cálculo MP'!K399)</f>
        <v/>
      </c>
      <c r="AZ389" s="60" t="str">
        <f>IF('Cálculo MP'!L399="","",'Cálculo MP'!L399)</f>
        <v/>
      </c>
      <c r="BA389" s="60" t="str">
        <f>IF('Cálculo MP'!M399="","",'Cálculo MP'!M399)</f>
        <v/>
      </c>
      <c r="BB389" s="60" t="str">
        <f>IF('Cálculo MP'!N399="","",'Cálculo MP'!N399)</f>
        <v/>
      </c>
      <c r="BC389" s="60" t="str">
        <f>IF('Cálculo MP'!O399="","",'Cálculo MP'!O399)</f>
        <v/>
      </c>
      <c r="BD389" s="60" t="str">
        <f>IF('Cálculo MP'!P399="","",'Cálculo MP'!P399)</f>
        <v/>
      </c>
      <c r="BE389" s="60" t="str">
        <f>IF('Cálculo MP'!Q399="","",'Cálculo MP'!Q399)</f>
        <v/>
      </c>
      <c r="BF389" s="60" t="str">
        <f>IF('Cálculo MP'!R399="","",'Cálculo MP'!R399)</f>
        <v/>
      </c>
      <c r="BG389" s="60" t="str">
        <f>IF('Cálculo MP'!S399="","",'Cálculo MP'!S399)</f>
        <v/>
      </c>
      <c r="BH389" s="59"/>
      <c r="BI389" s="59"/>
      <c r="BJ389" s="59"/>
      <c r="BK389" s="59"/>
      <c r="BL389" s="59"/>
      <c r="BM389" s="59"/>
      <c r="BN389" s="59"/>
      <c r="BO389" s="59"/>
    </row>
    <row r="390" spans="1:67" ht="19.5" customHeight="1" x14ac:dyDescent="0.15">
      <c r="A390" s="123" t="s">
        <v>1856</v>
      </c>
      <c r="B390" s="122" t="s">
        <v>1854</v>
      </c>
      <c r="C390" s="49"/>
      <c r="D390" s="48" t="s">
        <v>73</v>
      </c>
      <c r="E390" s="49"/>
      <c r="F390" s="50"/>
      <c r="G390" s="62"/>
      <c r="H390" s="48" t="s">
        <v>72</v>
      </c>
      <c r="I390" s="52">
        <v>1</v>
      </c>
      <c r="J390" s="52"/>
      <c r="K390" s="52" t="s">
        <v>73</v>
      </c>
      <c r="L390" s="52" t="s">
        <v>74</v>
      </c>
      <c r="M390" s="53" t="s">
        <v>942</v>
      </c>
      <c r="N390" s="58" t="s">
        <v>73</v>
      </c>
      <c r="O390" s="48" t="s">
        <v>72</v>
      </c>
      <c r="P390" s="48" t="s">
        <v>73</v>
      </c>
      <c r="Q390" s="54" t="s">
        <v>73</v>
      </c>
      <c r="R390" s="55" t="s">
        <v>73</v>
      </c>
      <c r="S390" s="48" t="s">
        <v>73</v>
      </c>
      <c r="T390" s="130"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8" t="str" cm="1">
        <f t="array" ref="U390">IF(SUMPRODUCT(--((CAT_Procesos!$E$2:$E$1581=O390)*(CAT_Procesos!$F$2:$F$1581=_xlfn.TEXTJOIN(" + ",TRUE,IF((TRIM(P390:S390)="")+(LOWER(TRIM(P390:S390))="(seleccione)"),"",PROPER(TRIM(P390:S390)))))*(CAT_Procesos!$D$2:$D$1581=IFERROR(VLOOKUP(N390&amp;"*",CAT_Procesos!$D:$D,1,FALSE),""))))=0,"Combinación no existente",IF(SUMPRODUCT(((CAT_Procesos!$E$2:$E$1581=O390)*(CAT_Procesos!$F$2:$F$1581=_xlfn.TEXTJOIN(" + ",TRUE,IF((TRIM(P390:S390)="")+(LOWER(TRIM(P390:S390))="(seleccione)"),"",PROPER(TRIM(P390:S390)))))*(CAT_Procesos!$D$2:$D$1581=IFERROR(VLOOKUP(N390&amp;"*",CAT_Procesos!$D:$D,1,FALSE),"")))*(CAT_Procesos!$G$2:$G$1581=INDEX(CAT_Procesos!$G$2:$G$1581,MATCH(1,(CAT_Procesos!$E$2:$E$1581=O390)*(CAT_Procesos!$F$2:$F$1581=_xlfn.TEXTJOIN(" + ",TRUE,IF((TRIM(P390:S390)="")+(LOWER(TRIM(P390:S390))="(seleccione)"),"",PROPER(TRIM(P390:S390)))))*(CAT_Procesos!$D$2:$D$1581=IFERROR(VLOOKUP(N390&amp;"*",CAT_Procesos!$D:$D,1,FALSE),"")),0))))=SUMPRODUCT(--((CAT_Procesos!$E$2:$E$1581=O390)*(CAT_Procesos!$F$2:$F$1581=_xlfn.TEXTJOIN(" + ",TRUE,IF((TRIM(P390:S390)="")+(LOWER(TRIM(P390:S390))="(seleccione)"),"",PROPER(TRIM(P390:S390)))))*(CAT_Procesos!$D$2:$D$1581=IFERROR(VLOOKUP(N390&amp;"*",CAT_Procesos!$D:$D,1,FALSE),"")))),INDEX(CAT_Procesos!$G$2:$G$1581,MATCH(1,(CAT_Procesos!$E$2:$E$1581=O390)*(CAT_Procesos!$F$2:$F$1581=_xlfn.TEXTJOIN(" + ",TRUE,IF((TRIM(P390:S390)="")+(LOWER(TRIM(P390:S390))="(seleccione)"),"",PROPER(TRIM(P390:S390)))))*(CAT_Procesos!$D$2:$D$1581=IFERROR(VLOOKUP(N390&amp;"*",CAT_Procesos!$D:$D,1,FALSE),"")),0)),"(seleccione)"))</f>
        <v>Combinación no existente</v>
      </c>
      <c r="V390" s="55" t="s">
        <v>73</v>
      </c>
      <c r="W390" s="56" t="s">
        <v>73</v>
      </c>
      <c r="X390" s="57" t="str">
        <f t="shared" si="20"/>
        <v/>
      </c>
      <c r="Y390" s="58" t="s">
        <v>73</v>
      </c>
      <c r="Z390" s="57" t="str">
        <f t="shared" si="21"/>
        <v/>
      </c>
      <c r="AA390" s="58" t="s">
        <v>73</v>
      </c>
      <c r="AB390" s="57" t="str">
        <f t="shared" si="22"/>
        <v/>
      </c>
      <c r="AC390" s="58" t="s">
        <v>73</v>
      </c>
      <c r="AD390" s="57" t="str">
        <f t="shared" si="23"/>
        <v/>
      </c>
      <c r="AE390" s="59"/>
      <c r="AF390" s="59"/>
      <c r="AG390" s="59"/>
      <c r="AH390" s="59"/>
      <c r="AI390" s="59" t="s">
        <v>73</v>
      </c>
      <c r="AJ390" s="59"/>
      <c r="AK390" s="59" t="s">
        <v>73</v>
      </c>
      <c r="AL390" s="59"/>
      <c r="AM390" s="59" t="s">
        <v>73</v>
      </c>
      <c r="AN390" s="59"/>
      <c r="AO390" s="59" t="s">
        <v>73</v>
      </c>
      <c r="AP390" s="59"/>
      <c r="AQ390" s="59" t="s">
        <v>73</v>
      </c>
      <c r="AR390" s="59"/>
      <c r="AS390" s="59" t="s">
        <v>72</v>
      </c>
      <c r="AT390" s="59"/>
      <c r="AU390" s="59"/>
      <c r="AV390" s="59"/>
      <c r="AW390" s="59"/>
      <c r="AX390" s="59"/>
      <c r="AY390" s="60" t="str">
        <f>IF('Cálculo MP'!K400="","",'Cálculo MP'!K400)</f>
        <v/>
      </c>
      <c r="AZ390" s="60" t="str">
        <f>IF('Cálculo MP'!L400="","",'Cálculo MP'!L400)</f>
        <v/>
      </c>
      <c r="BA390" s="60" t="str">
        <f>IF('Cálculo MP'!M400="","",'Cálculo MP'!M400)</f>
        <v/>
      </c>
      <c r="BB390" s="60" t="str">
        <f>IF('Cálculo MP'!N400="","",'Cálculo MP'!N400)</f>
        <v/>
      </c>
      <c r="BC390" s="60" t="str">
        <f>IF('Cálculo MP'!O400="","",'Cálculo MP'!O400)</f>
        <v/>
      </c>
      <c r="BD390" s="60" t="str">
        <f>IF('Cálculo MP'!P400="","",'Cálculo MP'!P400)</f>
        <v/>
      </c>
      <c r="BE390" s="60" t="str">
        <f>IF('Cálculo MP'!Q400="","",'Cálculo MP'!Q400)</f>
        <v/>
      </c>
      <c r="BF390" s="60" t="str">
        <f>IF('Cálculo MP'!R400="","",'Cálculo MP'!R400)</f>
        <v/>
      </c>
      <c r="BG390" s="60" t="str">
        <f>IF('Cálculo MP'!S400="","",'Cálculo MP'!S400)</f>
        <v/>
      </c>
      <c r="BH390" s="59"/>
      <c r="BI390" s="59"/>
      <c r="BJ390" s="59"/>
      <c r="BK390" s="59"/>
      <c r="BL390" s="59"/>
      <c r="BM390" s="59"/>
      <c r="BN390" s="59"/>
      <c r="BO390" s="59"/>
    </row>
    <row r="391" spans="1:67" ht="19.5" customHeight="1" x14ac:dyDescent="0.15">
      <c r="A391" s="123" t="s">
        <v>1856</v>
      </c>
      <c r="B391" s="122" t="s">
        <v>1854</v>
      </c>
      <c r="C391" s="49"/>
      <c r="D391" s="48" t="s">
        <v>73</v>
      </c>
      <c r="E391" s="49"/>
      <c r="F391" s="50"/>
      <c r="G391" s="62"/>
      <c r="H391" s="48" t="s">
        <v>72</v>
      </c>
      <c r="I391" s="52">
        <v>1</v>
      </c>
      <c r="J391" s="52"/>
      <c r="K391" s="52" t="s">
        <v>73</v>
      </c>
      <c r="L391" s="52" t="s">
        <v>74</v>
      </c>
      <c r="M391" s="53" t="s">
        <v>942</v>
      </c>
      <c r="N391" s="58" t="s">
        <v>73</v>
      </c>
      <c r="O391" s="48" t="s">
        <v>72</v>
      </c>
      <c r="P391" s="48" t="s">
        <v>73</v>
      </c>
      <c r="Q391" s="54" t="s">
        <v>73</v>
      </c>
      <c r="R391" s="55" t="s">
        <v>73</v>
      </c>
      <c r="S391" s="48" t="s">
        <v>73</v>
      </c>
      <c r="T391" s="130"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8" t="str" cm="1">
        <f t="array" ref="U391">IF(SUMPRODUCT(--((CAT_Procesos!$E$2:$E$1581=O391)*(CAT_Procesos!$F$2:$F$1581=_xlfn.TEXTJOIN(" + ",TRUE,IF((TRIM(P391:S391)="")+(LOWER(TRIM(P391:S391))="(seleccione)"),"",PROPER(TRIM(P391:S391)))))*(CAT_Procesos!$D$2:$D$1581=IFERROR(VLOOKUP(N391&amp;"*",CAT_Procesos!$D:$D,1,FALSE),""))))=0,"Combinación no existente",IF(SUMPRODUCT(((CAT_Procesos!$E$2:$E$1581=O391)*(CAT_Procesos!$F$2:$F$1581=_xlfn.TEXTJOIN(" + ",TRUE,IF((TRIM(P391:S391)="")+(LOWER(TRIM(P391:S391))="(seleccione)"),"",PROPER(TRIM(P391:S391)))))*(CAT_Procesos!$D$2:$D$1581=IFERROR(VLOOKUP(N391&amp;"*",CAT_Procesos!$D:$D,1,FALSE),"")))*(CAT_Procesos!$G$2:$G$1581=INDEX(CAT_Procesos!$G$2:$G$1581,MATCH(1,(CAT_Procesos!$E$2:$E$1581=O391)*(CAT_Procesos!$F$2:$F$1581=_xlfn.TEXTJOIN(" + ",TRUE,IF((TRIM(P391:S391)="")+(LOWER(TRIM(P391:S391))="(seleccione)"),"",PROPER(TRIM(P391:S391)))))*(CAT_Procesos!$D$2:$D$1581=IFERROR(VLOOKUP(N391&amp;"*",CAT_Procesos!$D:$D,1,FALSE),"")),0))))=SUMPRODUCT(--((CAT_Procesos!$E$2:$E$1581=O391)*(CAT_Procesos!$F$2:$F$1581=_xlfn.TEXTJOIN(" + ",TRUE,IF((TRIM(P391:S391)="")+(LOWER(TRIM(P391:S391))="(seleccione)"),"",PROPER(TRIM(P391:S391)))))*(CAT_Procesos!$D$2:$D$1581=IFERROR(VLOOKUP(N391&amp;"*",CAT_Procesos!$D:$D,1,FALSE),"")))),INDEX(CAT_Procesos!$G$2:$G$1581,MATCH(1,(CAT_Procesos!$E$2:$E$1581=O391)*(CAT_Procesos!$F$2:$F$1581=_xlfn.TEXTJOIN(" + ",TRUE,IF((TRIM(P391:S391)="")+(LOWER(TRIM(P391:S391))="(seleccione)"),"",PROPER(TRIM(P391:S391)))))*(CAT_Procesos!$D$2:$D$1581=IFERROR(VLOOKUP(N391&amp;"*",CAT_Procesos!$D:$D,1,FALSE),"")),0)),"(seleccione)"))</f>
        <v>Combinación no existente</v>
      </c>
      <c r="V391" s="55" t="s">
        <v>73</v>
      </c>
      <c r="W391" s="56" t="s">
        <v>73</v>
      </c>
      <c r="X391" s="57" t="str">
        <f t="shared" si="20"/>
        <v/>
      </c>
      <c r="Y391" s="58" t="s">
        <v>73</v>
      </c>
      <c r="Z391" s="57" t="str">
        <f t="shared" si="21"/>
        <v/>
      </c>
      <c r="AA391" s="58" t="s">
        <v>73</v>
      </c>
      <c r="AB391" s="57" t="str">
        <f t="shared" si="22"/>
        <v/>
      </c>
      <c r="AC391" s="58" t="s">
        <v>73</v>
      </c>
      <c r="AD391" s="57" t="str">
        <f t="shared" si="23"/>
        <v/>
      </c>
      <c r="AE391" s="59"/>
      <c r="AF391" s="59"/>
      <c r="AG391" s="59"/>
      <c r="AH391" s="59"/>
      <c r="AI391" s="59" t="s">
        <v>73</v>
      </c>
      <c r="AJ391" s="59"/>
      <c r="AK391" s="59" t="s">
        <v>73</v>
      </c>
      <c r="AL391" s="59"/>
      <c r="AM391" s="59" t="s">
        <v>73</v>
      </c>
      <c r="AN391" s="59"/>
      <c r="AO391" s="59" t="s">
        <v>73</v>
      </c>
      <c r="AP391" s="59"/>
      <c r="AQ391" s="59" t="s">
        <v>73</v>
      </c>
      <c r="AR391" s="59"/>
      <c r="AS391" s="59" t="s">
        <v>72</v>
      </c>
      <c r="AT391" s="59"/>
      <c r="AU391" s="59"/>
      <c r="AV391" s="59"/>
      <c r="AW391" s="59"/>
      <c r="AX391" s="59"/>
      <c r="AY391" s="60" t="str">
        <f>IF('Cálculo MP'!K401="","",'Cálculo MP'!K401)</f>
        <v/>
      </c>
      <c r="AZ391" s="60" t="str">
        <f>IF('Cálculo MP'!L401="","",'Cálculo MP'!L401)</f>
        <v/>
      </c>
      <c r="BA391" s="60" t="str">
        <f>IF('Cálculo MP'!M401="","",'Cálculo MP'!M401)</f>
        <v/>
      </c>
      <c r="BB391" s="60" t="str">
        <f>IF('Cálculo MP'!N401="","",'Cálculo MP'!N401)</f>
        <v/>
      </c>
      <c r="BC391" s="60" t="str">
        <f>IF('Cálculo MP'!O401="","",'Cálculo MP'!O401)</f>
        <v/>
      </c>
      <c r="BD391" s="60" t="str">
        <f>IF('Cálculo MP'!P401="","",'Cálculo MP'!P401)</f>
        <v/>
      </c>
      <c r="BE391" s="60" t="str">
        <f>IF('Cálculo MP'!Q401="","",'Cálculo MP'!Q401)</f>
        <v/>
      </c>
      <c r="BF391" s="60" t="str">
        <f>IF('Cálculo MP'!R401="","",'Cálculo MP'!R401)</f>
        <v/>
      </c>
      <c r="BG391" s="60" t="str">
        <f>IF('Cálculo MP'!S401="","",'Cálculo MP'!S401)</f>
        <v/>
      </c>
      <c r="BH391" s="59"/>
      <c r="BI391" s="59"/>
      <c r="BJ391" s="59"/>
      <c r="BK391" s="59"/>
      <c r="BL391" s="59"/>
      <c r="BM391" s="59"/>
      <c r="BN391" s="59"/>
      <c r="BO391" s="59"/>
    </row>
    <row r="392" spans="1:67" ht="19.5" customHeight="1" x14ac:dyDescent="0.15">
      <c r="A392" s="123" t="s">
        <v>1856</v>
      </c>
      <c r="B392" s="122" t="s">
        <v>1854</v>
      </c>
      <c r="C392" s="49"/>
      <c r="D392" s="48" t="s">
        <v>73</v>
      </c>
      <c r="E392" s="49"/>
      <c r="F392" s="50"/>
      <c r="G392" s="62"/>
      <c r="H392" s="48" t="s">
        <v>72</v>
      </c>
      <c r="I392" s="52">
        <v>1</v>
      </c>
      <c r="J392" s="52"/>
      <c r="K392" s="52" t="s">
        <v>73</v>
      </c>
      <c r="L392" s="52" t="s">
        <v>74</v>
      </c>
      <c r="M392" s="53" t="s">
        <v>942</v>
      </c>
      <c r="N392" s="58" t="s">
        <v>73</v>
      </c>
      <c r="O392" s="48" t="s">
        <v>72</v>
      </c>
      <c r="P392" s="48" t="s">
        <v>73</v>
      </c>
      <c r="Q392" s="54" t="s">
        <v>73</v>
      </c>
      <c r="R392" s="55" t="s">
        <v>73</v>
      </c>
      <c r="S392" s="48" t="s">
        <v>73</v>
      </c>
      <c r="T392" s="130"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8" t="str" cm="1">
        <f t="array" ref="U392">IF(SUMPRODUCT(--((CAT_Procesos!$E$2:$E$1581=O392)*(CAT_Procesos!$F$2:$F$1581=_xlfn.TEXTJOIN(" + ",TRUE,IF((TRIM(P392:S392)="")+(LOWER(TRIM(P392:S392))="(seleccione)"),"",PROPER(TRIM(P392:S392)))))*(CAT_Procesos!$D$2:$D$1581=IFERROR(VLOOKUP(N392&amp;"*",CAT_Procesos!$D:$D,1,FALSE),""))))=0,"Combinación no existente",IF(SUMPRODUCT(((CAT_Procesos!$E$2:$E$1581=O392)*(CAT_Procesos!$F$2:$F$1581=_xlfn.TEXTJOIN(" + ",TRUE,IF((TRIM(P392:S392)="")+(LOWER(TRIM(P392:S392))="(seleccione)"),"",PROPER(TRIM(P392:S392)))))*(CAT_Procesos!$D$2:$D$1581=IFERROR(VLOOKUP(N392&amp;"*",CAT_Procesos!$D:$D,1,FALSE),"")))*(CAT_Procesos!$G$2:$G$1581=INDEX(CAT_Procesos!$G$2:$G$1581,MATCH(1,(CAT_Procesos!$E$2:$E$1581=O392)*(CAT_Procesos!$F$2:$F$1581=_xlfn.TEXTJOIN(" + ",TRUE,IF((TRIM(P392:S392)="")+(LOWER(TRIM(P392:S392))="(seleccione)"),"",PROPER(TRIM(P392:S392)))))*(CAT_Procesos!$D$2:$D$1581=IFERROR(VLOOKUP(N392&amp;"*",CAT_Procesos!$D:$D,1,FALSE),"")),0))))=SUMPRODUCT(--((CAT_Procesos!$E$2:$E$1581=O392)*(CAT_Procesos!$F$2:$F$1581=_xlfn.TEXTJOIN(" + ",TRUE,IF((TRIM(P392:S392)="")+(LOWER(TRIM(P392:S392))="(seleccione)"),"",PROPER(TRIM(P392:S392)))))*(CAT_Procesos!$D$2:$D$1581=IFERROR(VLOOKUP(N392&amp;"*",CAT_Procesos!$D:$D,1,FALSE),"")))),INDEX(CAT_Procesos!$G$2:$G$1581,MATCH(1,(CAT_Procesos!$E$2:$E$1581=O392)*(CAT_Procesos!$F$2:$F$1581=_xlfn.TEXTJOIN(" + ",TRUE,IF((TRIM(P392:S392)="")+(LOWER(TRIM(P392:S392))="(seleccione)"),"",PROPER(TRIM(P392:S392)))))*(CAT_Procesos!$D$2:$D$1581=IFERROR(VLOOKUP(N392&amp;"*",CAT_Procesos!$D:$D,1,FALSE),"")),0)),"(seleccione)"))</f>
        <v>Combinación no existente</v>
      </c>
      <c r="V392" s="55" t="s">
        <v>73</v>
      </c>
      <c r="W392" s="56" t="s">
        <v>73</v>
      </c>
      <c r="X392" s="57" t="str">
        <f t="shared" si="20"/>
        <v/>
      </c>
      <c r="Y392" s="58" t="s">
        <v>73</v>
      </c>
      <c r="Z392" s="57" t="str">
        <f t="shared" si="21"/>
        <v/>
      </c>
      <c r="AA392" s="58" t="s">
        <v>73</v>
      </c>
      <c r="AB392" s="57" t="str">
        <f t="shared" si="22"/>
        <v/>
      </c>
      <c r="AC392" s="58" t="s">
        <v>73</v>
      </c>
      <c r="AD392" s="57" t="str">
        <f t="shared" si="23"/>
        <v/>
      </c>
      <c r="AE392" s="59"/>
      <c r="AF392" s="59"/>
      <c r="AG392" s="59"/>
      <c r="AH392" s="59"/>
      <c r="AI392" s="59" t="s">
        <v>73</v>
      </c>
      <c r="AJ392" s="59"/>
      <c r="AK392" s="59" t="s">
        <v>73</v>
      </c>
      <c r="AL392" s="59"/>
      <c r="AM392" s="59" t="s">
        <v>73</v>
      </c>
      <c r="AN392" s="59"/>
      <c r="AO392" s="59" t="s">
        <v>73</v>
      </c>
      <c r="AP392" s="59"/>
      <c r="AQ392" s="59" t="s">
        <v>73</v>
      </c>
      <c r="AR392" s="59"/>
      <c r="AS392" s="59" t="s">
        <v>72</v>
      </c>
      <c r="AT392" s="59"/>
      <c r="AU392" s="59"/>
      <c r="AV392" s="59"/>
      <c r="AW392" s="59"/>
      <c r="AX392" s="59"/>
      <c r="AY392" s="60" t="str">
        <f>IF('Cálculo MP'!K402="","",'Cálculo MP'!K402)</f>
        <v/>
      </c>
      <c r="AZ392" s="60" t="str">
        <f>IF('Cálculo MP'!L402="","",'Cálculo MP'!L402)</f>
        <v/>
      </c>
      <c r="BA392" s="60" t="str">
        <f>IF('Cálculo MP'!M402="","",'Cálculo MP'!M402)</f>
        <v/>
      </c>
      <c r="BB392" s="60" t="str">
        <f>IF('Cálculo MP'!N402="","",'Cálculo MP'!N402)</f>
        <v/>
      </c>
      <c r="BC392" s="60" t="str">
        <f>IF('Cálculo MP'!O402="","",'Cálculo MP'!O402)</f>
        <v/>
      </c>
      <c r="BD392" s="60" t="str">
        <f>IF('Cálculo MP'!P402="","",'Cálculo MP'!P402)</f>
        <v/>
      </c>
      <c r="BE392" s="60" t="str">
        <f>IF('Cálculo MP'!Q402="","",'Cálculo MP'!Q402)</f>
        <v/>
      </c>
      <c r="BF392" s="60" t="str">
        <f>IF('Cálculo MP'!R402="","",'Cálculo MP'!R402)</f>
        <v/>
      </c>
      <c r="BG392" s="60" t="str">
        <f>IF('Cálculo MP'!S402="","",'Cálculo MP'!S402)</f>
        <v/>
      </c>
      <c r="BH392" s="59"/>
      <c r="BI392" s="59"/>
      <c r="BJ392" s="59"/>
      <c r="BK392" s="59"/>
      <c r="BL392" s="59"/>
      <c r="BM392" s="59"/>
      <c r="BN392" s="59"/>
      <c r="BO392" s="59"/>
    </row>
    <row r="393" spans="1:67" ht="19.5" customHeight="1" x14ac:dyDescent="0.15">
      <c r="A393" s="123" t="s">
        <v>1856</v>
      </c>
      <c r="B393" s="122" t="s">
        <v>1854</v>
      </c>
      <c r="C393" s="49"/>
      <c r="D393" s="48" t="s">
        <v>73</v>
      </c>
      <c r="E393" s="49"/>
      <c r="F393" s="50"/>
      <c r="G393" s="62"/>
      <c r="H393" s="48" t="s">
        <v>72</v>
      </c>
      <c r="I393" s="52">
        <v>1</v>
      </c>
      <c r="J393" s="52"/>
      <c r="K393" s="52" t="s">
        <v>73</v>
      </c>
      <c r="L393" s="52" t="s">
        <v>74</v>
      </c>
      <c r="M393" s="53" t="s">
        <v>942</v>
      </c>
      <c r="N393" s="58" t="s">
        <v>73</v>
      </c>
      <c r="O393" s="48" t="s">
        <v>72</v>
      </c>
      <c r="P393" s="48" t="s">
        <v>73</v>
      </c>
      <c r="Q393" s="54" t="s">
        <v>73</v>
      </c>
      <c r="R393" s="55" t="s">
        <v>73</v>
      </c>
      <c r="S393" s="48" t="s">
        <v>73</v>
      </c>
      <c r="T393" s="130"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8" t="str" cm="1">
        <f t="array" ref="U393">IF(SUMPRODUCT(--((CAT_Procesos!$E$2:$E$1581=O393)*(CAT_Procesos!$F$2:$F$1581=_xlfn.TEXTJOIN(" + ",TRUE,IF((TRIM(P393:S393)="")+(LOWER(TRIM(P393:S393))="(seleccione)"),"",PROPER(TRIM(P393:S393)))))*(CAT_Procesos!$D$2:$D$1581=IFERROR(VLOOKUP(N393&amp;"*",CAT_Procesos!$D:$D,1,FALSE),""))))=0,"Combinación no existente",IF(SUMPRODUCT(((CAT_Procesos!$E$2:$E$1581=O393)*(CAT_Procesos!$F$2:$F$1581=_xlfn.TEXTJOIN(" + ",TRUE,IF((TRIM(P393:S393)="")+(LOWER(TRIM(P393:S393))="(seleccione)"),"",PROPER(TRIM(P393:S393)))))*(CAT_Procesos!$D$2:$D$1581=IFERROR(VLOOKUP(N393&amp;"*",CAT_Procesos!$D:$D,1,FALSE),"")))*(CAT_Procesos!$G$2:$G$1581=INDEX(CAT_Procesos!$G$2:$G$1581,MATCH(1,(CAT_Procesos!$E$2:$E$1581=O393)*(CAT_Procesos!$F$2:$F$1581=_xlfn.TEXTJOIN(" + ",TRUE,IF((TRIM(P393:S393)="")+(LOWER(TRIM(P393:S393))="(seleccione)"),"",PROPER(TRIM(P393:S393)))))*(CAT_Procesos!$D$2:$D$1581=IFERROR(VLOOKUP(N393&amp;"*",CAT_Procesos!$D:$D,1,FALSE),"")),0))))=SUMPRODUCT(--((CAT_Procesos!$E$2:$E$1581=O393)*(CAT_Procesos!$F$2:$F$1581=_xlfn.TEXTJOIN(" + ",TRUE,IF((TRIM(P393:S393)="")+(LOWER(TRIM(P393:S393))="(seleccione)"),"",PROPER(TRIM(P393:S393)))))*(CAT_Procesos!$D$2:$D$1581=IFERROR(VLOOKUP(N393&amp;"*",CAT_Procesos!$D:$D,1,FALSE),"")))),INDEX(CAT_Procesos!$G$2:$G$1581,MATCH(1,(CAT_Procesos!$E$2:$E$1581=O393)*(CAT_Procesos!$F$2:$F$1581=_xlfn.TEXTJOIN(" + ",TRUE,IF((TRIM(P393:S393)="")+(LOWER(TRIM(P393:S393))="(seleccione)"),"",PROPER(TRIM(P393:S393)))))*(CAT_Procesos!$D$2:$D$1581=IFERROR(VLOOKUP(N393&amp;"*",CAT_Procesos!$D:$D,1,FALSE),"")),0)),"(seleccione)"))</f>
        <v>Combinación no existente</v>
      </c>
      <c r="V393" s="55" t="s">
        <v>73</v>
      </c>
      <c r="W393" s="56" t="s">
        <v>73</v>
      </c>
      <c r="X393" s="57" t="str">
        <f t="shared" ref="X393:X456" si="24">IFERROR(((VALUE(TRIM(LEFT(MID(W393,FIND("|",W393)+1,99),FIND("-",MID(W393,FIND("|",W393)+1,99))-1)))+VALUE(TRIM(SUBSTITUTE(SUBSTITUTE(SUBSTITUTE(SUBSTITUTE(SUBSTITUTE(MID(MID(W393,FIND("|",W393)+1,99),FIND("-",MID(W393,FIND("|",W393)+1,99))+1,20),"µm",""),"μm",""),"mils",""),"mil",""),"",""))))/2)*IF(ISNUMBER(SEARCH("mil",MID(W393,FIND("|",W393)+1,99))),25.4,1),"")</f>
        <v/>
      </c>
      <c r="Y393" s="58" t="s">
        <v>73</v>
      </c>
      <c r="Z393" s="57" t="str">
        <f t="shared" ref="Z393:Z456" si="25">IFERROR(((VALUE(TRIM(LEFT(MID(Y393,FIND("|",Y393)+1,99),FIND("-",MID(Y393,FIND("|",Y393)+1,99))-1)))+VALUE(TRIM(SUBSTITUTE(SUBSTITUTE(SUBSTITUTE(SUBSTITUTE(SUBSTITUTE(MID(MID(Y393,FIND("|",Y393)+1,99),FIND("-",MID(Y393,FIND("|",Y393)+1,99))+1,20),"µm",""),"μm",""),"mils",""),"mil",""),"",""))))/2)*IF(ISNUMBER(SEARCH("mil",MID(Y393,FIND("|",Y393)+1,99))),25.4,1),"")</f>
        <v/>
      </c>
      <c r="AA393" s="58" t="s">
        <v>73</v>
      </c>
      <c r="AB393" s="57"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8" t="s">
        <v>73</v>
      </c>
      <c r="AD393" s="57"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59"/>
      <c r="AF393" s="59"/>
      <c r="AG393" s="59"/>
      <c r="AH393" s="59"/>
      <c r="AI393" s="59" t="s">
        <v>73</v>
      </c>
      <c r="AJ393" s="59"/>
      <c r="AK393" s="59" t="s">
        <v>73</v>
      </c>
      <c r="AL393" s="59"/>
      <c r="AM393" s="59" t="s">
        <v>73</v>
      </c>
      <c r="AN393" s="59"/>
      <c r="AO393" s="59" t="s">
        <v>73</v>
      </c>
      <c r="AP393" s="59"/>
      <c r="AQ393" s="59" t="s">
        <v>73</v>
      </c>
      <c r="AR393" s="59"/>
      <c r="AS393" s="59" t="s">
        <v>72</v>
      </c>
      <c r="AT393" s="59"/>
      <c r="AU393" s="59"/>
      <c r="AV393" s="59"/>
      <c r="AW393" s="59"/>
      <c r="AX393" s="59"/>
      <c r="AY393" s="60" t="str">
        <f>IF('Cálculo MP'!K403="","",'Cálculo MP'!K403)</f>
        <v/>
      </c>
      <c r="AZ393" s="60" t="str">
        <f>IF('Cálculo MP'!L403="","",'Cálculo MP'!L403)</f>
        <v/>
      </c>
      <c r="BA393" s="60" t="str">
        <f>IF('Cálculo MP'!M403="","",'Cálculo MP'!M403)</f>
        <v/>
      </c>
      <c r="BB393" s="60" t="str">
        <f>IF('Cálculo MP'!N403="","",'Cálculo MP'!N403)</f>
        <v/>
      </c>
      <c r="BC393" s="60" t="str">
        <f>IF('Cálculo MP'!O403="","",'Cálculo MP'!O403)</f>
        <v/>
      </c>
      <c r="BD393" s="60" t="str">
        <f>IF('Cálculo MP'!P403="","",'Cálculo MP'!P403)</f>
        <v/>
      </c>
      <c r="BE393" s="60" t="str">
        <f>IF('Cálculo MP'!Q403="","",'Cálculo MP'!Q403)</f>
        <v/>
      </c>
      <c r="BF393" s="60" t="str">
        <f>IF('Cálculo MP'!R403="","",'Cálculo MP'!R403)</f>
        <v/>
      </c>
      <c r="BG393" s="60" t="str">
        <f>IF('Cálculo MP'!S403="","",'Cálculo MP'!S403)</f>
        <v/>
      </c>
      <c r="BH393" s="59"/>
      <c r="BI393" s="59"/>
      <c r="BJ393" s="59"/>
      <c r="BK393" s="59"/>
      <c r="BL393" s="59"/>
      <c r="BM393" s="59"/>
      <c r="BN393" s="59"/>
      <c r="BO393" s="59"/>
    </row>
    <row r="394" spans="1:67" ht="19.5" customHeight="1" x14ac:dyDescent="0.15">
      <c r="A394" s="123" t="s">
        <v>1856</v>
      </c>
      <c r="B394" s="122" t="s">
        <v>1854</v>
      </c>
      <c r="C394" s="49"/>
      <c r="D394" s="48" t="s">
        <v>73</v>
      </c>
      <c r="E394" s="49"/>
      <c r="F394" s="50"/>
      <c r="G394" s="62"/>
      <c r="H394" s="48" t="s">
        <v>72</v>
      </c>
      <c r="I394" s="52">
        <v>1</v>
      </c>
      <c r="J394" s="52"/>
      <c r="K394" s="52" t="s">
        <v>73</v>
      </c>
      <c r="L394" s="52" t="s">
        <v>74</v>
      </c>
      <c r="M394" s="53" t="s">
        <v>942</v>
      </c>
      <c r="N394" s="58" t="s">
        <v>73</v>
      </c>
      <c r="O394" s="48" t="s">
        <v>72</v>
      </c>
      <c r="P394" s="48" t="s">
        <v>73</v>
      </c>
      <c r="Q394" s="54" t="s">
        <v>73</v>
      </c>
      <c r="R394" s="55" t="s">
        <v>73</v>
      </c>
      <c r="S394" s="48" t="s">
        <v>73</v>
      </c>
      <c r="T394" s="130"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8" t="str" cm="1">
        <f t="array" ref="U394">IF(SUMPRODUCT(--((CAT_Procesos!$E$2:$E$1581=O394)*(CAT_Procesos!$F$2:$F$1581=_xlfn.TEXTJOIN(" + ",TRUE,IF((TRIM(P394:S394)="")+(LOWER(TRIM(P394:S394))="(seleccione)"),"",PROPER(TRIM(P394:S394)))))*(CAT_Procesos!$D$2:$D$1581=IFERROR(VLOOKUP(N394&amp;"*",CAT_Procesos!$D:$D,1,FALSE),""))))=0,"Combinación no existente",IF(SUMPRODUCT(((CAT_Procesos!$E$2:$E$1581=O394)*(CAT_Procesos!$F$2:$F$1581=_xlfn.TEXTJOIN(" + ",TRUE,IF((TRIM(P394:S394)="")+(LOWER(TRIM(P394:S394))="(seleccione)"),"",PROPER(TRIM(P394:S394)))))*(CAT_Procesos!$D$2:$D$1581=IFERROR(VLOOKUP(N394&amp;"*",CAT_Procesos!$D:$D,1,FALSE),"")))*(CAT_Procesos!$G$2:$G$1581=INDEX(CAT_Procesos!$G$2:$G$1581,MATCH(1,(CAT_Procesos!$E$2:$E$1581=O394)*(CAT_Procesos!$F$2:$F$1581=_xlfn.TEXTJOIN(" + ",TRUE,IF((TRIM(P394:S394)="")+(LOWER(TRIM(P394:S394))="(seleccione)"),"",PROPER(TRIM(P394:S394)))))*(CAT_Procesos!$D$2:$D$1581=IFERROR(VLOOKUP(N394&amp;"*",CAT_Procesos!$D:$D,1,FALSE),"")),0))))=SUMPRODUCT(--((CAT_Procesos!$E$2:$E$1581=O394)*(CAT_Procesos!$F$2:$F$1581=_xlfn.TEXTJOIN(" + ",TRUE,IF((TRIM(P394:S394)="")+(LOWER(TRIM(P394:S394))="(seleccione)"),"",PROPER(TRIM(P394:S394)))))*(CAT_Procesos!$D$2:$D$1581=IFERROR(VLOOKUP(N394&amp;"*",CAT_Procesos!$D:$D,1,FALSE),"")))),INDEX(CAT_Procesos!$G$2:$G$1581,MATCH(1,(CAT_Procesos!$E$2:$E$1581=O394)*(CAT_Procesos!$F$2:$F$1581=_xlfn.TEXTJOIN(" + ",TRUE,IF((TRIM(P394:S394)="")+(LOWER(TRIM(P394:S394))="(seleccione)"),"",PROPER(TRIM(P394:S394)))))*(CAT_Procesos!$D$2:$D$1581=IFERROR(VLOOKUP(N394&amp;"*",CAT_Procesos!$D:$D,1,FALSE),"")),0)),"(seleccione)"))</f>
        <v>Combinación no existente</v>
      </c>
      <c r="V394" s="55" t="s">
        <v>73</v>
      </c>
      <c r="W394" s="56" t="s">
        <v>73</v>
      </c>
      <c r="X394" s="57" t="str">
        <f t="shared" si="24"/>
        <v/>
      </c>
      <c r="Y394" s="58" t="s">
        <v>73</v>
      </c>
      <c r="Z394" s="57" t="str">
        <f t="shared" si="25"/>
        <v/>
      </c>
      <c r="AA394" s="58" t="s">
        <v>73</v>
      </c>
      <c r="AB394" s="57" t="str">
        <f t="shared" si="26"/>
        <v/>
      </c>
      <c r="AC394" s="58" t="s">
        <v>73</v>
      </c>
      <c r="AD394" s="57" t="str">
        <f t="shared" si="27"/>
        <v/>
      </c>
      <c r="AE394" s="59"/>
      <c r="AF394" s="59"/>
      <c r="AG394" s="59"/>
      <c r="AH394" s="59"/>
      <c r="AI394" s="59" t="s">
        <v>73</v>
      </c>
      <c r="AJ394" s="59"/>
      <c r="AK394" s="59" t="s">
        <v>73</v>
      </c>
      <c r="AL394" s="59"/>
      <c r="AM394" s="59" t="s">
        <v>73</v>
      </c>
      <c r="AN394" s="59"/>
      <c r="AO394" s="59" t="s">
        <v>73</v>
      </c>
      <c r="AP394" s="59"/>
      <c r="AQ394" s="59" t="s">
        <v>73</v>
      </c>
      <c r="AR394" s="59"/>
      <c r="AS394" s="59" t="s">
        <v>72</v>
      </c>
      <c r="AT394" s="59"/>
      <c r="AU394" s="59"/>
      <c r="AV394" s="59"/>
      <c r="AW394" s="59"/>
      <c r="AX394" s="59"/>
      <c r="AY394" s="60" t="str">
        <f>IF('Cálculo MP'!K404="","",'Cálculo MP'!K404)</f>
        <v/>
      </c>
      <c r="AZ394" s="60" t="str">
        <f>IF('Cálculo MP'!L404="","",'Cálculo MP'!L404)</f>
        <v/>
      </c>
      <c r="BA394" s="60" t="str">
        <f>IF('Cálculo MP'!M404="","",'Cálculo MP'!M404)</f>
        <v/>
      </c>
      <c r="BB394" s="60" t="str">
        <f>IF('Cálculo MP'!N404="","",'Cálculo MP'!N404)</f>
        <v/>
      </c>
      <c r="BC394" s="60" t="str">
        <f>IF('Cálculo MP'!O404="","",'Cálculo MP'!O404)</f>
        <v/>
      </c>
      <c r="BD394" s="60" t="str">
        <f>IF('Cálculo MP'!P404="","",'Cálculo MP'!P404)</f>
        <v/>
      </c>
      <c r="BE394" s="60" t="str">
        <f>IF('Cálculo MP'!Q404="","",'Cálculo MP'!Q404)</f>
        <v/>
      </c>
      <c r="BF394" s="60" t="str">
        <f>IF('Cálculo MP'!R404="","",'Cálculo MP'!R404)</f>
        <v/>
      </c>
      <c r="BG394" s="60" t="str">
        <f>IF('Cálculo MP'!S404="","",'Cálculo MP'!S404)</f>
        <v/>
      </c>
      <c r="BH394" s="59"/>
      <c r="BI394" s="59"/>
      <c r="BJ394" s="59"/>
      <c r="BK394" s="59"/>
      <c r="BL394" s="59"/>
      <c r="BM394" s="59"/>
      <c r="BN394" s="59"/>
      <c r="BO394" s="59"/>
    </row>
    <row r="395" spans="1:67" ht="19.5" customHeight="1" x14ac:dyDescent="0.15">
      <c r="A395" s="123" t="s">
        <v>1856</v>
      </c>
      <c r="B395" s="122" t="s">
        <v>1854</v>
      </c>
      <c r="C395" s="49"/>
      <c r="D395" s="48" t="s">
        <v>73</v>
      </c>
      <c r="E395" s="49"/>
      <c r="F395" s="50"/>
      <c r="G395" s="62"/>
      <c r="H395" s="48" t="s">
        <v>72</v>
      </c>
      <c r="I395" s="52">
        <v>1</v>
      </c>
      <c r="J395" s="52"/>
      <c r="K395" s="52" t="s">
        <v>73</v>
      </c>
      <c r="L395" s="52" t="s">
        <v>74</v>
      </c>
      <c r="M395" s="53" t="s">
        <v>942</v>
      </c>
      <c r="N395" s="58" t="s">
        <v>73</v>
      </c>
      <c r="O395" s="48" t="s">
        <v>72</v>
      </c>
      <c r="P395" s="48" t="s">
        <v>73</v>
      </c>
      <c r="Q395" s="54" t="s">
        <v>73</v>
      </c>
      <c r="R395" s="55" t="s">
        <v>73</v>
      </c>
      <c r="S395" s="48" t="s">
        <v>73</v>
      </c>
      <c r="T395" s="130"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8" t="str" cm="1">
        <f t="array" ref="U395">IF(SUMPRODUCT(--((CAT_Procesos!$E$2:$E$1581=O395)*(CAT_Procesos!$F$2:$F$1581=_xlfn.TEXTJOIN(" + ",TRUE,IF((TRIM(P395:S395)="")+(LOWER(TRIM(P395:S395))="(seleccione)"),"",PROPER(TRIM(P395:S395)))))*(CAT_Procesos!$D$2:$D$1581=IFERROR(VLOOKUP(N395&amp;"*",CAT_Procesos!$D:$D,1,FALSE),""))))=0,"Combinación no existente",IF(SUMPRODUCT(((CAT_Procesos!$E$2:$E$1581=O395)*(CAT_Procesos!$F$2:$F$1581=_xlfn.TEXTJOIN(" + ",TRUE,IF((TRIM(P395:S395)="")+(LOWER(TRIM(P395:S395))="(seleccione)"),"",PROPER(TRIM(P395:S395)))))*(CAT_Procesos!$D$2:$D$1581=IFERROR(VLOOKUP(N395&amp;"*",CAT_Procesos!$D:$D,1,FALSE),"")))*(CAT_Procesos!$G$2:$G$1581=INDEX(CAT_Procesos!$G$2:$G$1581,MATCH(1,(CAT_Procesos!$E$2:$E$1581=O395)*(CAT_Procesos!$F$2:$F$1581=_xlfn.TEXTJOIN(" + ",TRUE,IF((TRIM(P395:S395)="")+(LOWER(TRIM(P395:S395))="(seleccione)"),"",PROPER(TRIM(P395:S395)))))*(CAT_Procesos!$D$2:$D$1581=IFERROR(VLOOKUP(N395&amp;"*",CAT_Procesos!$D:$D,1,FALSE),"")),0))))=SUMPRODUCT(--((CAT_Procesos!$E$2:$E$1581=O395)*(CAT_Procesos!$F$2:$F$1581=_xlfn.TEXTJOIN(" + ",TRUE,IF((TRIM(P395:S395)="")+(LOWER(TRIM(P395:S395))="(seleccione)"),"",PROPER(TRIM(P395:S395)))))*(CAT_Procesos!$D$2:$D$1581=IFERROR(VLOOKUP(N395&amp;"*",CAT_Procesos!$D:$D,1,FALSE),"")))),INDEX(CAT_Procesos!$G$2:$G$1581,MATCH(1,(CAT_Procesos!$E$2:$E$1581=O395)*(CAT_Procesos!$F$2:$F$1581=_xlfn.TEXTJOIN(" + ",TRUE,IF((TRIM(P395:S395)="")+(LOWER(TRIM(P395:S395))="(seleccione)"),"",PROPER(TRIM(P395:S395)))))*(CAT_Procesos!$D$2:$D$1581=IFERROR(VLOOKUP(N395&amp;"*",CAT_Procesos!$D:$D,1,FALSE),"")),0)),"(seleccione)"))</f>
        <v>Combinación no existente</v>
      </c>
      <c r="V395" s="55" t="s">
        <v>73</v>
      </c>
      <c r="W395" s="56" t="s">
        <v>73</v>
      </c>
      <c r="X395" s="57" t="str">
        <f t="shared" si="24"/>
        <v/>
      </c>
      <c r="Y395" s="58" t="s">
        <v>73</v>
      </c>
      <c r="Z395" s="57" t="str">
        <f t="shared" si="25"/>
        <v/>
      </c>
      <c r="AA395" s="58" t="s">
        <v>73</v>
      </c>
      <c r="AB395" s="57" t="str">
        <f t="shared" si="26"/>
        <v/>
      </c>
      <c r="AC395" s="58" t="s">
        <v>73</v>
      </c>
      <c r="AD395" s="57" t="str">
        <f t="shared" si="27"/>
        <v/>
      </c>
      <c r="AE395" s="59"/>
      <c r="AF395" s="59"/>
      <c r="AG395" s="59"/>
      <c r="AH395" s="59"/>
      <c r="AI395" s="59" t="s">
        <v>73</v>
      </c>
      <c r="AJ395" s="59"/>
      <c r="AK395" s="59" t="s">
        <v>73</v>
      </c>
      <c r="AL395" s="59"/>
      <c r="AM395" s="59" t="s">
        <v>73</v>
      </c>
      <c r="AN395" s="59"/>
      <c r="AO395" s="59" t="s">
        <v>73</v>
      </c>
      <c r="AP395" s="59"/>
      <c r="AQ395" s="59" t="s">
        <v>73</v>
      </c>
      <c r="AR395" s="59"/>
      <c r="AS395" s="59" t="s">
        <v>72</v>
      </c>
      <c r="AT395" s="59"/>
      <c r="AU395" s="59"/>
      <c r="AV395" s="59"/>
      <c r="AW395" s="59"/>
      <c r="AX395" s="59"/>
      <c r="AY395" s="60" t="str">
        <f>IF('Cálculo MP'!K405="","",'Cálculo MP'!K405)</f>
        <v/>
      </c>
      <c r="AZ395" s="60" t="str">
        <f>IF('Cálculo MP'!L405="","",'Cálculo MP'!L405)</f>
        <v/>
      </c>
      <c r="BA395" s="60" t="str">
        <f>IF('Cálculo MP'!M405="","",'Cálculo MP'!M405)</f>
        <v/>
      </c>
      <c r="BB395" s="60" t="str">
        <f>IF('Cálculo MP'!N405="","",'Cálculo MP'!N405)</f>
        <v/>
      </c>
      <c r="BC395" s="60" t="str">
        <f>IF('Cálculo MP'!O405="","",'Cálculo MP'!O405)</f>
        <v/>
      </c>
      <c r="BD395" s="60" t="str">
        <f>IF('Cálculo MP'!P405="","",'Cálculo MP'!P405)</f>
        <v/>
      </c>
      <c r="BE395" s="60" t="str">
        <f>IF('Cálculo MP'!Q405="","",'Cálculo MP'!Q405)</f>
        <v/>
      </c>
      <c r="BF395" s="60" t="str">
        <f>IF('Cálculo MP'!R405="","",'Cálculo MP'!R405)</f>
        <v/>
      </c>
      <c r="BG395" s="60" t="str">
        <f>IF('Cálculo MP'!S405="","",'Cálculo MP'!S405)</f>
        <v/>
      </c>
      <c r="BH395" s="59"/>
      <c r="BI395" s="59"/>
      <c r="BJ395" s="59"/>
      <c r="BK395" s="59"/>
      <c r="BL395" s="59"/>
      <c r="BM395" s="59"/>
      <c r="BN395" s="59"/>
      <c r="BO395" s="59"/>
    </row>
    <row r="396" spans="1:67" ht="19.5" customHeight="1" x14ac:dyDescent="0.15">
      <c r="A396" s="123" t="s">
        <v>1856</v>
      </c>
      <c r="B396" s="122" t="s">
        <v>1854</v>
      </c>
      <c r="C396" s="49"/>
      <c r="D396" s="48" t="s">
        <v>73</v>
      </c>
      <c r="E396" s="49"/>
      <c r="F396" s="50"/>
      <c r="G396" s="62"/>
      <c r="H396" s="48" t="s">
        <v>72</v>
      </c>
      <c r="I396" s="52">
        <v>1</v>
      </c>
      <c r="J396" s="52"/>
      <c r="K396" s="52" t="s">
        <v>73</v>
      </c>
      <c r="L396" s="52" t="s">
        <v>74</v>
      </c>
      <c r="M396" s="53" t="s">
        <v>942</v>
      </c>
      <c r="N396" s="58" t="s">
        <v>73</v>
      </c>
      <c r="O396" s="48" t="s">
        <v>72</v>
      </c>
      <c r="P396" s="48" t="s">
        <v>73</v>
      </c>
      <c r="Q396" s="54" t="s">
        <v>73</v>
      </c>
      <c r="R396" s="55" t="s">
        <v>73</v>
      </c>
      <c r="S396" s="48" t="s">
        <v>73</v>
      </c>
      <c r="T396" s="130"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8" t="str" cm="1">
        <f t="array" ref="U396">IF(SUMPRODUCT(--((CAT_Procesos!$E$2:$E$1581=O396)*(CAT_Procesos!$F$2:$F$1581=_xlfn.TEXTJOIN(" + ",TRUE,IF((TRIM(P396:S396)="")+(LOWER(TRIM(P396:S396))="(seleccione)"),"",PROPER(TRIM(P396:S396)))))*(CAT_Procesos!$D$2:$D$1581=IFERROR(VLOOKUP(N396&amp;"*",CAT_Procesos!$D:$D,1,FALSE),""))))=0,"Combinación no existente",IF(SUMPRODUCT(((CAT_Procesos!$E$2:$E$1581=O396)*(CAT_Procesos!$F$2:$F$1581=_xlfn.TEXTJOIN(" + ",TRUE,IF((TRIM(P396:S396)="")+(LOWER(TRIM(P396:S396))="(seleccione)"),"",PROPER(TRIM(P396:S396)))))*(CAT_Procesos!$D$2:$D$1581=IFERROR(VLOOKUP(N396&amp;"*",CAT_Procesos!$D:$D,1,FALSE),"")))*(CAT_Procesos!$G$2:$G$1581=INDEX(CAT_Procesos!$G$2:$G$1581,MATCH(1,(CAT_Procesos!$E$2:$E$1581=O396)*(CAT_Procesos!$F$2:$F$1581=_xlfn.TEXTJOIN(" + ",TRUE,IF((TRIM(P396:S396)="")+(LOWER(TRIM(P396:S396))="(seleccione)"),"",PROPER(TRIM(P396:S396)))))*(CAT_Procesos!$D$2:$D$1581=IFERROR(VLOOKUP(N396&amp;"*",CAT_Procesos!$D:$D,1,FALSE),"")),0))))=SUMPRODUCT(--((CAT_Procesos!$E$2:$E$1581=O396)*(CAT_Procesos!$F$2:$F$1581=_xlfn.TEXTJOIN(" + ",TRUE,IF((TRIM(P396:S396)="")+(LOWER(TRIM(P396:S396))="(seleccione)"),"",PROPER(TRIM(P396:S396)))))*(CAT_Procesos!$D$2:$D$1581=IFERROR(VLOOKUP(N396&amp;"*",CAT_Procesos!$D:$D,1,FALSE),"")))),INDEX(CAT_Procesos!$G$2:$G$1581,MATCH(1,(CAT_Procesos!$E$2:$E$1581=O396)*(CAT_Procesos!$F$2:$F$1581=_xlfn.TEXTJOIN(" + ",TRUE,IF((TRIM(P396:S396)="")+(LOWER(TRIM(P396:S396))="(seleccione)"),"",PROPER(TRIM(P396:S396)))))*(CAT_Procesos!$D$2:$D$1581=IFERROR(VLOOKUP(N396&amp;"*",CAT_Procesos!$D:$D,1,FALSE),"")),0)),"(seleccione)"))</f>
        <v>Combinación no existente</v>
      </c>
      <c r="V396" s="55" t="s">
        <v>73</v>
      </c>
      <c r="W396" s="56" t="s">
        <v>73</v>
      </c>
      <c r="X396" s="57" t="str">
        <f t="shared" si="24"/>
        <v/>
      </c>
      <c r="Y396" s="58" t="s">
        <v>73</v>
      </c>
      <c r="Z396" s="57" t="str">
        <f t="shared" si="25"/>
        <v/>
      </c>
      <c r="AA396" s="58" t="s">
        <v>73</v>
      </c>
      <c r="AB396" s="57" t="str">
        <f t="shared" si="26"/>
        <v/>
      </c>
      <c r="AC396" s="58" t="s">
        <v>73</v>
      </c>
      <c r="AD396" s="57" t="str">
        <f t="shared" si="27"/>
        <v/>
      </c>
      <c r="AE396" s="59"/>
      <c r="AF396" s="59"/>
      <c r="AG396" s="59"/>
      <c r="AH396" s="59"/>
      <c r="AI396" s="59" t="s">
        <v>73</v>
      </c>
      <c r="AJ396" s="59"/>
      <c r="AK396" s="59" t="s">
        <v>73</v>
      </c>
      <c r="AL396" s="59"/>
      <c r="AM396" s="59" t="s">
        <v>73</v>
      </c>
      <c r="AN396" s="59"/>
      <c r="AO396" s="59" t="s">
        <v>73</v>
      </c>
      <c r="AP396" s="59"/>
      <c r="AQ396" s="59" t="s">
        <v>73</v>
      </c>
      <c r="AR396" s="59"/>
      <c r="AS396" s="59" t="s">
        <v>72</v>
      </c>
      <c r="AT396" s="59"/>
      <c r="AU396" s="59"/>
      <c r="AV396" s="59"/>
      <c r="AW396" s="59"/>
      <c r="AX396" s="59"/>
      <c r="AY396" s="60" t="str">
        <f>IF('Cálculo MP'!K406="","",'Cálculo MP'!K406)</f>
        <v/>
      </c>
      <c r="AZ396" s="60" t="str">
        <f>IF('Cálculo MP'!L406="","",'Cálculo MP'!L406)</f>
        <v/>
      </c>
      <c r="BA396" s="60" t="str">
        <f>IF('Cálculo MP'!M406="","",'Cálculo MP'!M406)</f>
        <v/>
      </c>
      <c r="BB396" s="60" t="str">
        <f>IF('Cálculo MP'!N406="","",'Cálculo MP'!N406)</f>
        <v/>
      </c>
      <c r="BC396" s="60" t="str">
        <f>IF('Cálculo MP'!O406="","",'Cálculo MP'!O406)</f>
        <v/>
      </c>
      <c r="BD396" s="60" t="str">
        <f>IF('Cálculo MP'!P406="","",'Cálculo MP'!P406)</f>
        <v/>
      </c>
      <c r="BE396" s="60" t="str">
        <f>IF('Cálculo MP'!Q406="","",'Cálculo MP'!Q406)</f>
        <v/>
      </c>
      <c r="BF396" s="60" t="str">
        <f>IF('Cálculo MP'!R406="","",'Cálculo MP'!R406)</f>
        <v/>
      </c>
      <c r="BG396" s="60" t="str">
        <f>IF('Cálculo MP'!S406="","",'Cálculo MP'!S406)</f>
        <v/>
      </c>
      <c r="BH396" s="59"/>
      <c r="BI396" s="59"/>
      <c r="BJ396" s="59"/>
      <c r="BK396" s="59"/>
      <c r="BL396" s="59"/>
      <c r="BM396" s="59"/>
      <c r="BN396" s="59"/>
      <c r="BO396" s="59"/>
    </row>
    <row r="397" spans="1:67" ht="19.5" customHeight="1" x14ac:dyDescent="0.15">
      <c r="A397" s="123" t="s">
        <v>1856</v>
      </c>
      <c r="B397" s="122" t="s">
        <v>1854</v>
      </c>
      <c r="C397" s="49"/>
      <c r="D397" s="48" t="s">
        <v>73</v>
      </c>
      <c r="E397" s="49"/>
      <c r="F397" s="50"/>
      <c r="G397" s="62"/>
      <c r="H397" s="48" t="s">
        <v>72</v>
      </c>
      <c r="I397" s="52">
        <v>1</v>
      </c>
      <c r="J397" s="52"/>
      <c r="K397" s="52" t="s">
        <v>73</v>
      </c>
      <c r="L397" s="52" t="s">
        <v>74</v>
      </c>
      <c r="M397" s="53" t="s">
        <v>942</v>
      </c>
      <c r="N397" s="58" t="s">
        <v>73</v>
      </c>
      <c r="O397" s="48" t="s">
        <v>72</v>
      </c>
      <c r="P397" s="48" t="s">
        <v>73</v>
      </c>
      <c r="Q397" s="54" t="s">
        <v>73</v>
      </c>
      <c r="R397" s="55" t="s">
        <v>73</v>
      </c>
      <c r="S397" s="48" t="s">
        <v>73</v>
      </c>
      <c r="T397" s="130"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8" t="str" cm="1">
        <f t="array" ref="U397">IF(SUMPRODUCT(--((CAT_Procesos!$E$2:$E$1581=O397)*(CAT_Procesos!$F$2:$F$1581=_xlfn.TEXTJOIN(" + ",TRUE,IF((TRIM(P397:S397)="")+(LOWER(TRIM(P397:S397))="(seleccione)"),"",PROPER(TRIM(P397:S397)))))*(CAT_Procesos!$D$2:$D$1581=IFERROR(VLOOKUP(N397&amp;"*",CAT_Procesos!$D:$D,1,FALSE),""))))=0,"Combinación no existente",IF(SUMPRODUCT(((CAT_Procesos!$E$2:$E$1581=O397)*(CAT_Procesos!$F$2:$F$1581=_xlfn.TEXTJOIN(" + ",TRUE,IF((TRIM(P397:S397)="")+(LOWER(TRIM(P397:S397))="(seleccione)"),"",PROPER(TRIM(P397:S397)))))*(CAT_Procesos!$D$2:$D$1581=IFERROR(VLOOKUP(N397&amp;"*",CAT_Procesos!$D:$D,1,FALSE),"")))*(CAT_Procesos!$G$2:$G$1581=INDEX(CAT_Procesos!$G$2:$G$1581,MATCH(1,(CAT_Procesos!$E$2:$E$1581=O397)*(CAT_Procesos!$F$2:$F$1581=_xlfn.TEXTJOIN(" + ",TRUE,IF((TRIM(P397:S397)="")+(LOWER(TRIM(P397:S397))="(seleccione)"),"",PROPER(TRIM(P397:S397)))))*(CAT_Procesos!$D$2:$D$1581=IFERROR(VLOOKUP(N397&amp;"*",CAT_Procesos!$D:$D,1,FALSE),"")),0))))=SUMPRODUCT(--((CAT_Procesos!$E$2:$E$1581=O397)*(CAT_Procesos!$F$2:$F$1581=_xlfn.TEXTJOIN(" + ",TRUE,IF((TRIM(P397:S397)="")+(LOWER(TRIM(P397:S397))="(seleccione)"),"",PROPER(TRIM(P397:S397)))))*(CAT_Procesos!$D$2:$D$1581=IFERROR(VLOOKUP(N397&amp;"*",CAT_Procesos!$D:$D,1,FALSE),"")))),INDEX(CAT_Procesos!$G$2:$G$1581,MATCH(1,(CAT_Procesos!$E$2:$E$1581=O397)*(CAT_Procesos!$F$2:$F$1581=_xlfn.TEXTJOIN(" + ",TRUE,IF((TRIM(P397:S397)="")+(LOWER(TRIM(P397:S397))="(seleccione)"),"",PROPER(TRIM(P397:S397)))))*(CAT_Procesos!$D$2:$D$1581=IFERROR(VLOOKUP(N397&amp;"*",CAT_Procesos!$D:$D,1,FALSE),"")),0)),"(seleccione)"))</f>
        <v>Combinación no existente</v>
      </c>
      <c r="V397" s="55" t="s">
        <v>73</v>
      </c>
      <c r="W397" s="56" t="s">
        <v>73</v>
      </c>
      <c r="X397" s="57" t="str">
        <f t="shared" si="24"/>
        <v/>
      </c>
      <c r="Y397" s="58" t="s">
        <v>73</v>
      </c>
      <c r="Z397" s="57" t="str">
        <f t="shared" si="25"/>
        <v/>
      </c>
      <c r="AA397" s="58" t="s">
        <v>73</v>
      </c>
      <c r="AB397" s="57" t="str">
        <f t="shared" si="26"/>
        <v/>
      </c>
      <c r="AC397" s="58" t="s">
        <v>73</v>
      </c>
      <c r="AD397" s="57" t="str">
        <f t="shared" si="27"/>
        <v/>
      </c>
      <c r="AE397" s="59"/>
      <c r="AF397" s="59"/>
      <c r="AG397" s="59"/>
      <c r="AH397" s="59"/>
      <c r="AI397" s="59" t="s">
        <v>73</v>
      </c>
      <c r="AJ397" s="59"/>
      <c r="AK397" s="59" t="s">
        <v>73</v>
      </c>
      <c r="AL397" s="59"/>
      <c r="AM397" s="59" t="s">
        <v>73</v>
      </c>
      <c r="AN397" s="59"/>
      <c r="AO397" s="59" t="s">
        <v>73</v>
      </c>
      <c r="AP397" s="59"/>
      <c r="AQ397" s="59" t="s">
        <v>73</v>
      </c>
      <c r="AR397" s="59"/>
      <c r="AS397" s="59" t="s">
        <v>72</v>
      </c>
      <c r="AT397" s="59"/>
      <c r="AU397" s="59"/>
      <c r="AV397" s="59"/>
      <c r="AW397" s="59"/>
      <c r="AX397" s="59"/>
      <c r="AY397" s="60" t="str">
        <f>IF('Cálculo MP'!K407="","",'Cálculo MP'!K407)</f>
        <v/>
      </c>
      <c r="AZ397" s="60" t="str">
        <f>IF('Cálculo MP'!L407="","",'Cálculo MP'!L407)</f>
        <v/>
      </c>
      <c r="BA397" s="60" t="str">
        <f>IF('Cálculo MP'!M407="","",'Cálculo MP'!M407)</f>
        <v/>
      </c>
      <c r="BB397" s="60" t="str">
        <f>IF('Cálculo MP'!N407="","",'Cálculo MP'!N407)</f>
        <v/>
      </c>
      <c r="BC397" s="60" t="str">
        <f>IF('Cálculo MP'!O407="","",'Cálculo MP'!O407)</f>
        <v/>
      </c>
      <c r="BD397" s="60" t="str">
        <f>IF('Cálculo MP'!P407="","",'Cálculo MP'!P407)</f>
        <v/>
      </c>
      <c r="BE397" s="60" t="str">
        <f>IF('Cálculo MP'!Q407="","",'Cálculo MP'!Q407)</f>
        <v/>
      </c>
      <c r="BF397" s="60" t="str">
        <f>IF('Cálculo MP'!R407="","",'Cálculo MP'!R407)</f>
        <v/>
      </c>
      <c r="BG397" s="60" t="str">
        <f>IF('Cálculo MP'!S407="","",'Cálculo MP'!S407)</f>
        <v/>
      </c>
      <c r="BH397" s="59"/>
      <c r="BI397" s="59"/>
      <c r="BJ397" s="59"/>
      <c r="BK397" s="59"/>
      <c r="BL397" s="59"/>
      <c r="BM397" s="59"/>
      <c r="BN397" s="59"/>
      <c r="BO397" s="59"/>
    </row>
    <row r="398" spans="1:67" ht="19.5" customHeight="1" x14ac:dyDescent="0.15">
      <c r="A398" s="123" t="s">
        <v>1856</v>
      </c>
      <c r="B398" s="122" t="s">
        <v>1854</v>
      </c>
      <c r="C398" s="49"/>
      <c r="D398" s="48" t="s">
        <v>73</v>
      </c>
      <c r="E398" s="49"/>
      <c r="F398" s="50"/>
      <c r="G398" s="62"/>
      <c r="H398" s="48" t="s">
        <v>72</v>
      </c>
      <c r="I398" s="52">
        <v>1</v>
      </c>
      <c r="J398" s="52"/>
      <c r="K398" s="52" t="s">
        <v>73</v>
      </c>
      <c r="L398" s="52" t="s">
        <v>74</v>
      </c>
      <c r="M398" s="53" t="s">
        <v>942</v>
      </c>
      <c r="N398" s="58" t="s">
        <v>73</v>
      </c>
      <c r="O398" s="48" t="s">
        <v>72</v>
      </c>
      <c r="P398" s="48" t="s">
        <v>73</v>
      </c>
      <c r="Q398" s="54" t="s">
        <v>73</v>
      </c>
      <c r="R398" s="55" t="s">
        <v>73</v>
      </c>
      <c r="S398" s="48" t="s">
        <v>73</v>
      </c>
      <c r="T398" s="130"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8" t="str" cm="1">
        <f t="array" ref="U398">IF(SUMPRODUCT(--((CAT_Procesos!$E$2:$E$1581=O398)*(CAT_Procesos!$F$2:$F$1581=_xlfn.TEXTJOIN(" + ",TRUE,IF((TRIM(P398:S398)="")+(LOWER(TRIM(P398:S398))="(seleccione)"),"",PROPER(TRIM(P398:S398)))))*(CAT_Procesos!$D$2:$D$1581=IFERROR(VLOOKUP(N398&amp;"*",CAT_Procesos!$D:$D,1,FALSE),""))))=0,"Combinación no existente",IF(SUMPRODUCT(((CAT_Procesos!$E$2:$E$1581=O398)*(CAT_Procesos!$F$2:$F$1581=_xlfn.TEXTJOIN(" + ",TRUE,IF((TRIM(P398:S398)="")+(LOWER(TRIM(P398:S398))="(seleccione)"),"",PROPER(TRIM(P398:S398)))))*(CAT_Procesos!$D$2:$D$1581=IFERROR(VLOOKUP(N398&amp;"*",CAT_Procesos!$D:$D,1,FALSE),"")))*(CAT_Procesos!$G$2:$G$1581=INDEX(CAT_Procesos!$G$2:$G$1581,MATCH(1,(CAT_Procesos!$E$2:$E$1581=O398)*(CAT_Procesos!$F$2:$F$1581=_xlfn.TEXTJOIN(" + ",TRUE,IF((TRIM(P398:S398)="")+(LOWER(TRIM(P398:S398))="(seleccione)"),"",PROPER(TRIM(P398:S398)))))*(CAT_Procesos!$D$2:$D$1581=IFERROR(VLOOKUP(N398&amp;"*",CAT_Procesos!$D:$D,1,FALSE),"")),0))))=SUMPRODUCT(--((CAT_Procesos!$E$2:$E$1581=O398)*(CAT_Procesos!$F$2:$F$1581=_xlfn.TEXTJOIN(" + ",TRUE,IF((TRIM(P398:S398)="")+(LOWER(TRIM(P398:S398))="(seleccione)"),"",PROPER(TRIM(P398:S398)))))*(CAT_Procesos!$D$2:$D$1581=IFERROR(VLOOKUP(N398&amp;"*",CAT_Procesos!$D:$D,1,FALSE),"")))),INDEX(CAT_Procesos!$G$2:$G$1581,MATCH(1,(CAT_Procesos!$E$2:$E$1581=O398)*(CAT_Procesos!$F$2:$F$1581=_xlfn.TEXTJOIN(" + ",TRUE,IF((TRIM(P398:S398)="")+(LOWER(TRIM(P398:S398))="(seleccione)"),"",PROPER(TRIM(P398:S398)))))*(CAT_Procesos!$D$2:$D$1581=IFERROR(VLOOKUP(N398&amp;"*",CAT_Procesos!$D:$D,1,FALSE),"")),0)),"(seleccione)"))</f>
        <v>Combinación no existente</v>
      </c>
      <c r="V398" s="55" t="s">
        <v>73</v>
      </c>
      <c r="W398" s="56" t="s">
        <v>73</v>
      </c>
      <c r="X398" s="57" t="str">
        <f t="shared" si="24"/>
        <v/>
      </c>
      <c r="Y398" s="58" t="s">
        <v>73</v>
      </c>
      <c r="Z398" s="57" t="str">
        <f t="shared" si="25"/>
        <v/>
      </c>
      <c r="AA398" s="58" t="s">
        <v>73</v>
      </c>
      <c r="AB398" s="57" t="str">
        <f t="shared" si="26"/>
        <v/>
      </c>
      <c r="AC398" s="58" t="s">
        <v>73</v>
      </c>
      <c r="AD398" s="57" t="str">
        <f t="shared" si="27"/>
        <v/>
      </c>
      <c r="AE398" s="59"/>
      <c r="AF398" s="59"/>
      <c r="AG398" s="59"/>
      <c r="AH398" s="59"/>
      <c r="AI398" s="59" t="s">
        <v>73</v>
      </c>
      <c r="AJ398" s="59"/>
      <c r="AK398" s="59" t="s">
        <v>73</v>
      </c>
      <c r="AL398" s="59"/>
      <c r="AM398" s="59" t="s">
        <v>73</v>
      </c>
      <c r="AN398" s="59"/>
      <c r="AO398" s="59" t="s">
        <v>73</v>
      </c>
      <c r="AP398" s="59"/>
      <c r="AQ398" s="59" t="s">
        <v>73</v>
      </c>
      <c r="AR398" s="59"/>
      <c r="AS398" s="59" t="s">
        <v>72</v>
      </c>
      <c r="AT398" s="59"/>
      <c r="AU398" s="59"/>
      <c r="AV398" s="59"/>
      <c r="AW398" s="59"/>
      <c r="AX398" s="59"/>
      <c r="AY398" s="60" t="str">
        <f>IF('Cálculo MP'!K408="","",'Cálculo MP'!K408)</f>
        <v/>
      </c>
      <c r="AZ398" s="60" t="str">
        <f>IF('Cálculo MP'!L408="","",'Cálculo MP'!L408)</f>
        <v/>
      </c>
      <c r="BA398" s="60" t="str">
        <f>IF('Cálculo MP'!M408="","",'Cálculo MP'!M408)</f>
        <v/>
      </c>
      <c r="BB398" s="60" t="str">
        <f>IF('Cálculo MP'!N408="","",'Cálculo MP'!N408)</f>
        <v/>
      </c>
      <c r="BC398" s="60" t="str">
        <f>IF('Cálculo MP'!O408="","",'Cálculo MP'!O408)</f>
        <v/>
      </c>
      <c r="BD398" s="60" t="str">
        <f>IF('Cálculo MP'!P408="","",'Cálculo MP'!P408)</f>
        <v/>
      </c>
      <c r="BE398" s="60" t="str">
        <f>IF('Cálculo MP'!Q408="","",'Cálculo MP'!Q408)</f>
        <v/>
      </c>
      <c r="BF398" s="60" t="str">
        <f>IF('Cálculo MP'!R408="","",'Cálculo MP'!R408)</f>
        <v/>
      </c>
      <c r="BG398" s="60" t="str">
        <f>IF('Cálculo MP'!S408="","",'Cálculo MP'!S408)</f>
        <v/>
      </c>
      <c r="BH398" s="59"/>
      <c r="BI398" s="59"/>
      <c r="BJ398" s="59"/>
      <c r="BK398" s="59"/>
      <c r="BL398" s="59"/>
      <c r="BM398" s="59"/>
      <c r="BN398" s="59"/>
      <c r="BO398" s="59"/>
    </row>
    <row r="399" spans="1:67" ht="19.5" customHeight="1" x14ac:dyDescent="0.15">
      <c r="A399" s="123" t="s">
        <v>1856</v>
      </c>
      <c r="B399" s="122" t="s">
        <v>1854</v>
      </c>
      <c r="C399" s="49"/>
      <c r="D399" s="48" t="s">
        <v>73</v>
      </c>
      <c r="E399" s="49"/>
      <c r="F399" s="50"/>
      <c r="G399" s="62"/>
      <c r="H399" s="48" t="s">
        <v>72</v>
      </c>
      <c r="I399" s="52">
        <v>1</v>
      </c>
      <c r="J399" s="52"/>
      <c r="K399" s="52" t="s">
        <v>73</v>
      </c>
      <c r="L399" s="52" t="s">
        <v>74</v>
      </c>
      <c r="M399" s="53" t="s">
        <v>942</v>
      </c>
      <c r="N399" s="58" t="s">
        <v>73</v>
      </c>
      <c r="O399" s="48" t="s">
        <v>72</v>
      </c>
      <c r="P399" s="48" t="s">
        <v>73</v>
      </c>
      <c r="Q399" s="54" t="s">
        <v>73</v>
      </c>
      <c r="R399" s="55" t="s">
        <v>73</v>
      </c>
      <c r="S399" s="48" t="s">
        <v>73</v>
      </c>
      <c r="T399" s="130"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8" t="str" cm="1">
        <f t="array" ref="U399">IF(SUMPRODUCT(--((CAT_Procesos!$E$2:$E$1581=O399)*(CAT_Procesos!$F$2:$F$1581=_xlfn.TEXTJOIN(" + ",TRUE,IF((TRIM(P399:S399)="")+(LOWER(TRIM(P399:S399))="(seleccione)"),"",PROPER(TRIM(P399:S399)))))*(CAT_Procesos!$D$2:$D$1581=IFERROR(VLOOKUP(N399&amp;"*",CAT_Procesos!$D:$D,1,FALSE),""))))=0,"Combinación no existente",IF(SUMPRODUCT(((CAT_Procesos!$E$2:$E$1581=O399)*(CAT_Procesos!$F$2:$F$1581=_xlfn.TEXTJOIN(" + ",TRUE,IF((TRIM(P399:S399)="")+(LOWER(TRIM(P399:S399))="(seleccione)"),"",PROPER(TRIM(P399:S399)))))*(CAT_Procesos!$D$2:$D$1581=IFERROR(VLOOKUP(N399&amp;"*",CAT_Procesos!$D:$D,1,FALSE),"")))*(CAT_Procesos!$G$2:$G$1581=INDEX(CAT_Procesos!$G$2:$G$1581,MATCH(1,(CAT_Procesos!$E$2:$E$1581=O399)*(CAT_Procesos!$F$2:$F$1581=_xlfn.TEXTJOIN(" + ",TRUE,IF((TRIM(P399:S399)="")+(LOWER(TRIM(P399:S399))="(seleccione)"),"",PROPER(TRIM(P399:S399)))))*(CAT_Procesos!$D$2:$D$1581=IFERROR(VLOOKUP(N399&amp;"*",CAT_Procesos!$D:$D,1,FALSE),"")),0))))=SUMPRODUCT(--((CAT_Procesos!$E$2:$E$1581=O399)*(CAT_Procesos!$F$2:$F$1581=_xlfn.TEXTJOIN(" + ",TRUE,IF((TRIM(P399:S399)="")+(LOWER(TRIM(P399:S399))="(seleccione)"),"",PROPER(TRIM(P399:S399)))))*(CAT_Procesos!$D$2:$D$1581=IFERROR(VLOOKUP(N399&amp;"*",CAT_Procesos!$D:$D,1,FALSE),"")))),INDEX(CAT_Procesos!$G$2:$G$1581,MATCH(1,(CAT_Procesos!$E$2:$E$1581=O399)*(CAT_Procesos!$F$2:$F$1581=_xlfn.TEXTJOIN(" + ",TRUE,IF((TRIM(P399:S399)="")+(LOWER(TRIM(P399:S399))="(seleccione)"),"",PROPER(TRIM(P399:S399)))))*(CAT_Procesos!$D$2:$D$1581=IFERROR(VLOOKUP(N399&amp;"*",CAT_Procesos!$D:$D,1,FALSE),"")),0)),"(seleccione)"))</f>
        <v>Combinación no existente</v>
      </c>
      <c r="V399" s="55" t="s">
        <v>73</v>
      </c>
      <c r="W399" s="56" t="s">
        <v>73</v>
      </c>
      <c r="X399" s="57" t="str">
        <f t="shared" si="24"/>
        <v/>
      </c>
      <c r="Y399" s="58" t="s">
        <v>73</v>
      </c>
      <c r="Z399" s="57" t="str">
        <f t="shared" si="25"/>
        <v/>
      </c>
      <c r="AA399" s="58" t="s">
        <v>73</v>
      </c>
      <c r="AB399" s="57" t="str">
        <f t="shared" si="26"/>
        <v/>
      </c>
      <c r="AC399" s="58" t="s">
        <v>73</v>
      </c>
      <c r="AD399" s="57" t="str">
        <f t="shared" si="27"/>
        <v/>
      </c>
      <c r="AE399" s="59"/>
      <c r="AF399" s="59"/>
      <c r="AG399" s="59"/>
      <c r="AH399" s="59"/>
      <c r="AI399" s="59" t="s">
        <v>73</v>
      </c>
      <c r="AJ399" s="59"/>
      <c r="AK399" s="59" t="s">
        <v>73</v>
      </c>
      <c r="AL399" s="59"/>
      <c r="AM399" s="59" t="s">
        <v>73</v>
      </c>
      <c r="AN399" s="59"/>
      <c r="AO399" s="59" t="s">
        <v>73</v>
      </c>
      <c r="AP399" s="59"/>
      <c r="AQ399" s="59" t="s">
        <v>73</v>
      </c>
      <c r="AR399" s="59"/>
      <c r="AS399" s="59" t="s">
        <v>72</v>
      </c>
      <c r="AT399" s="59"/>
      <c r="AU399" s="59"/>
      <c r="AV399" s="59"/>
      <c r="AW399" s="59"/>
      <c r="AX399" s="59"/>
      <c r="AY399" s="60" t="str">
        <f>IF('Cálculo MP'!K409="","",'Cálculo MP'!K409)</f>
        <v/>
      </c>
      <c r="AZ399" s="60" t="str">
        <f>IF('Cálculo MP'!L409="","",'Cálculo MP'!L409)</f>
        <v/>
      </c>
      <c r="BA399" s="60" t="str">
        <f>IF('Cálculo MP'!M409="","",'Cálculo MP'!M409)</f>
        <v/>
      </c>
      <c r="BB399" s="60" t="str">
        <f>IF('Cálculo MP'!N409="","",'Cálculo MP'!N409)</f>
        <v/>
      </c>
      <c r="BC399" s="60" t="str">
        <f>IF('Cálculo MP'!O409="","",'Cálculo MP'!O409)</f>
        <v/>
      </c>
      <c r="BD399" s="60" t="str">
        <f>IF('Cálculo MP'!P409="","",'Cálculo MP'!P409)</f>
        <v/>
      </c>
      <c r="BE399" s="60" t="str">
        <f>IF('Cálculo MP'!Q409="","",'Cálculo MP'!Q409)</f>
        <v/>
      </c>
      <c r="BF399" s="60" t="str">
        <f>IF('Cálculo MP'!R409="","",'Cálculo MP'!R409)</f>
        <v/>
      </c>
      <c r="BG399" s="60" t="str">
        <f>IF('Cálculo MP'!S409="","",'Cálculo MP'!S409)</f>
        <v/>
      </c>
      <c r="BH399" s="59"/>
      <c r="BI399" s="59"/>
      <c r="BJ399" s="59"/>
      <c r="BK399" s="59"/>
      <c r="BL399" s="59"/>
      <c r="BM399" s="59"/>
      <c r="BN399" s="59"/>
      <c r="BO399" s="59"/>
    </row>
    <row r="400" spans="1:67" ht="19.5" customHeight="1" x14ac:dyDescent="0.15">
      <c r="A400" s="123" t="s">
        <v>1856</v>
      </c>
      <c r="B400" s="122" t="s">
        <v>1854</v>
      </c>
      <c r="C400" s="49"/>
      <c r="D400" s="48" t="s">
        <v>73</v>
      </c>
      <c r="E400" s="49"/>
      <c r="F400" s="50"/>
      <c r="G400" s="62"/>
      <c r="H400" s="48" t="s">
        <v>72</v>
      </c>
      <c r="I400" s="52">
        <v>1</v>
      </c>
      <c r="J400" s="52"/>
      <c r="K400" s="52" t="s">
        <v>73</v>
      </c>
      <c r="L400" s="52" t="s">
        <v>74</v>
      </c>
      <c r="M400" s="53" t="s">
        <v>942</v>
      </c>
      <c r="N400" s="58" t="s">
        <v>73</v>
      </c>
      <c r="O400" s="48" t="s">
        <v>72</v>
      </c>
      <c r="P400" s="48" t="s">
        <v>73</v>
      </c>
      <c r="Q400" s="54" t="s">
        <v>73</v>
      </c>
      <c r="R400" s="55" t="s">
        <v>73</v>
      </c>
      <c r="S400" s="48" t="s">
        <v>73</v>
      </c>
      <c r="T400" s="130"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8" t="str" cm="1">
        <f t="array" ref="U400">IF(SUMPRODUCT(--((CAT_Procesos!$E$2:$E$1581=O400)*(CAT_Procesos!$F$2:$F$1581=_xlfn.TEXTJOIN(" + ",TRUE,IF((TRIM(P400:S400)="")+(LOWER(TRIM(P400:S400))="(seleccione)"),"",PROPER(TRIM(P400:S400)))))*(CAT_Procesos!$D$2:$D$1581=IFERROR(VLOOKUP(N400&amp;"*",CAT_Procesos!$D:$D,1,FALSE),""))))=0,"Combinación no existente",IF(SUMPRODUCT(((CAT_Procesos!$E$2:$E$1581=O400)*(CAT_Procesos!$F$2:$F$1581=_xlfn.TEXTJOIN(" + ",TRUE,IF((TRIM(P400:S400)="")+(LOWER(TRIM(P400:S400))="(seleccione)"),"",PROPER(TRIM(P400:S400)))))*(CAT_Procesos!$D$2:$D$1581=IFERROR(VLOOKUP(N400&amp;"*",CAT_Procesos!$D:$D,1,FALSE),"")))*(CAT_Procesos!$G$2:$G$1581=INDEX(CAT_Procesos!$G$2:$G$1581,MATCH(1,(CAT_Procesos!$E$2:$E$1581=O400)*(CAT_Procesos!$F$2:$F$1581=_xlfn.TEXTJOIN(" + ",TRUE,IF((TRIM(P400:S400)="")+(LOWER(TRIM(P400:S400))="(seleccione)"),"",PROPER(TRIM(P400:S400)))))*(CAT_Procesos!$D$2:$D$1581=IFERROR(VLOOKUP(N400&amp;"*",CAT_Procesos!$D:$D,1,FALSE),"")),0))))=SUMPRODUCT(--((CAT_Procesos!$E$2:$E$1581=O400)*(CAT_Procesos!$F$2:$F$1581=_xlfn.TEXTJOIN(" + ",TRUE,IF((TRIM(P400:S400)="")+(LOWER(TRIM(P400:S400))="(seleccione)"),"",PROPER(TRIM(P400:S400)))))*(CAT_Procesos!$D$2:$D$1581=IFERROR(VLOOKUP(N400&amp;"*",CAT_Procesos!$D:$D,1,FALSE),"")))),INDEX(CAT_Procesos!$G$2:$G$1581,MATCH(1,(CAT_Procesos!$E$2:$E$1581=O400)*(CAT_Procesos!$F$2:$F$1581=_xlfn.TEXTJOIN(" + ",TRUE,IF((TRIM(P400:S400)="")+(LOWER(TRIM(P400:S400))="(seleccione)"),"",PROPER(TRIM(P400:S400)))))*(CAT_Procesos!$D$2:$D$1581=IFERROR(VLOOKUP(N400&amp;"*",CAT_Procesos!$D:$D,1,FALSE),"")),0)),"(seleccione)"))</f>
        <v>Combinación no existente</v>
      </c>
      <c r="V400" s="55" t="s">
        <v>73</v>
      </c>
      <c r="W400" s="56" t="s">
        <v>73</v>
      </c>
      <c r="X400" s="57" t="str">
        <f t="shared" si="24"/>
        <v/>
      </c>
      <c r="Y400" s="58" t="s">
        <v>73</v>
      </c>
      <c r="Z400" s="57" t="str">
        <f t="shared" si="25"/>
        <v/>
      </c>
      <c r="AA400" s="58" t="s">
        <v>73</v>
      </c>
      <c r="AB400" s="57" t="str">
        <f t="shared" si="26"/>
        <v/>
      </c>
      <c r="AC400" s="58" t="s">
        <v>73</v>
      </c>
      <c r="AD400" s="57" t="str">
        <f t="shared" si="27"/>
        <v/>
      </c>
      <c r="AE400" s="59"/>
      <c r="AF400" s="59"/>
      <c r="AG400" s="59"/>
      <c r="AH400" s="59"/>
      <c r="AI400" s="59" t="s">
        <v>73</v>
      </c>
      <c r="AJ400" s="59"/>
      <c r="AK400" s="59" t="s">
        <v>73</v>
      </c>
      <c r="AL400" s="59"/>
      <c r="AM400" s="59" t="s">
        <v>73</v>
      </c>
      <c r="AN400" s="59"/>
      <c r="AO400" s="59" t="s">
        <v>73</v>
      </c>
      <c r="AP400" s="59"/>
      <c r="AQ400" s="59" t="s">
        <v>73</v>
      </c>
      <c r="AR400" s="59"/>
      <c r="AS400" s="59" t="s">
        <v>72</v>
      </c>
      <c r="AT400" s="59"/>
      <c r="AU400" s="59"/>
      <c r="AV400" s="59"/>
      <c r="AW400" s="59"/>
      <c r="AX400" s="59"/>
      <c r="AY400" s="60" t="str">
        <f>IF('Cálculo MP'!K410="","",'Cálculo MP'!K410)</f>
        <v/>
      </c>
      <c r="AZ400" s="60" t="str">
        <f>IF('Cálculo MP'!L410="","",'Cálculo MP'!L410)</f>
        <v/>
      </c>
      <c r="BA400" s="60" t="str">
        <f>IF('Cálculo MP'!M410="","",'Cálculo MP'!M410)</f>
        <v/>
      </c>
      <c r="BB400" s="60" t="str">
        <f>IF('Cálculo MP'!N410="","",'Cálculo MP'!N410)</f>
        <v/>
      </c>
      <c r="BC400" s="60" t="str">
        <f>IF('Cálculo MP'!O410="","",'Cálculo MP'!O410)</f>
        <v/>
      </c>
      <c r="BD400" s="60" t="str">
        <f>IF('Cálculo MP'!P410="","",'Cálculo MP'!P410)</f>
        <v/>
      </c>
      <c r="BE400" s="60" t="str">
        <f>IF('Cálculo MP'!Q410="","",'Cálculo MP'!Q410)</f>
        <v/>
      </c>
      <c r="BF400" s="60" t="str">
        <f>IF('Cálculo MP'!R410="","",'Cálculo MP'!R410)</f>
        <v/>
      </c>
      <c r="BG400" s="60" t="str">
        <f>IF('Cálculo MP'!S410="","",'Cálculo MP'!S410)</f>
        <v/>
      </c>
      <c r="BH400" s="59"/>
      <c r="BI400" s="59"/>
      <c r="BJ400" s="59"/>
      <c r="BK400" s="59"/>
      <c r="BL400" s="59"/>
      <c r="BM400" s="59"/>
      <c r="BN400" s="59"/>
      <c r="BO400" s="59"/>
    </row>
    <row r="401" spans="1:67" ht="19.5" customHeight="1" x14ac:dyDescent="0.15">
      <c r="A401" s="123" t="s">
        <v>1856</v>
      </c>
      <c r="B401" s="122" t="s">
        <v>1854</v>
      </c>
      <c r="C401" s="49"/>
      <c r="D401" s="48" t="s">
        <v>73</v>
      </c>
      <c r="E401" s="49"/>
      <c r="F401" s="50"/>
      <c r="G401" s="62"/>
      <c r="H401" s="48" t="s">
        <v>72</v>
      </c>
      <c r="I401" s="52">
        <v>1</v>
      </c>
      <c r="J401" s="52"/>
      <c r="K401" s="52" t="s">
        <v>73</v>
      </c>
      <c r="L401" s="52" t="s">
        <v>74</v>
      </c>
      <c r="M401" s="53" t="s">
        <v>942</v>
      </c>
      <c r="N401" s="58" t="s">
        <v>73</v>
      </c>
      <c r="O401" s="48" t="s">
        <v>72</v>
      </c>
      <c r="P401" s="48" t="s">
        <v>73</v>
      </c>
      <c r="Q401" s="54" t="s">
        <v>73</v>
      </c>
      <c r="R401" s="55" t="s">
        <v>73</v>
      </c>
      <c r="S401" s="48" t="s">
        <v>73</v>
      </c>
      <c r="T401" s="130"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8" t="str" cm="1">
        <f t="array" ref="U401">IF(SUMPRODUCT(--((CAT_Procesos!$E$2:$E$1581=O401)*(CAT_Procesos!$F$2:$F$1581=_xlfn.TEXTJOIN(" + ",TRUE,IF((TRIM(P401:S401)="")+(LOWER(TRIM(P401:S401))="(seleccione)"),"",PROPER(TRIM(P401:S401)))))*(CAT_Procesos!$D$2:$D$1581=IFERROR(VLOOKUP(N401&amp;"*",CAT_Procesos!$D:$D,1,FALSE),""))))=0,"Combinación no existente",IF(SUMPRODUCT(((CAT_Procesos!$E$2:$E$1581=O401)*(CAT_Procesos!$F$2:$F$1581=_xlfn.TEXTJOIN(" + ",TRUE,IF((TRIM(P401:S401)="")+(LOWER(TRIM(P401:S401))="(seleccione)"),"",PROPER(TRIM(P401:S401)))))*(CAT_Procesos!$D$2:$D$1581=IFERROR(VLOOKUP(N401&amp;"*",CAT_Procesos!$D:$D,1,FALSE),"")))*(CAT_Procesos!$G$2:$G$1581=INDEX(CAT_Procesos!$G$2:$G$1581,MATCH(1,(CAT_Procesos!$E$2:$E$1581=O401)*(CAT_Procesos!$F$2:$F$1581=_xlfn.TEXTJOIN(" + ",TRUE,IF((TRIM(P401:S401)="")+(LOWER(TRIM(P401:S401))="(seleccione)"),"",PROPER(TRIM(P401:S401)))))*(CAT_Procesos!$D$2:$D$1581=IFERROR(VLOOKUP(N401&amp;"*",CAT_Procesos!$D:$D,1,FALSE),"")),0))))=SUMPRODUCT(--((CAT_Procesos!$E$2:$E$1581=O401)*(CAT_Procesos!$F$2:$F$1581=_xlfn.TEXTJOIN(" + ",TRUE,IF((TRIM(P401:S401)="")+(LOWER(TRIM(P401:S401))="(seleccione)"),"",PROPER(TRIM(P401:S401)))))*(CAT_Procesos!$D$2:$D$1581=IFERROR(VLOOKUP(N401&amp;"*",CAT_Procesos!$D:$D,1,FALSE),"")))),INDEX(CAT_Procesos!$G$2:$G$1581,MATCH(1,(CAT_Procesos!$E$2:$E$1581=O401)*(CAT_Procesos!$F$2:$F$1581=_xlfn.TEXTJOIN(" + ",TRUE,IF((TRIM(P401:S401)="")+(LOWER(TRIM(P401:S401))="(seleccione)"),"",PROPER(TRIM(P401:S401)))))*(CAT_Procesos!$D$2:$D$1581=IFERROR(VLOOKUP(N401&amp;"*",CAT_Procesos!$D:$D,1,FALSE),"")),0)),"(seleccione)"))</f>
        <v>Combinación no existente</v>
      </c>
      <c r="V401" s="55" t="s">
        <v>73</v>
      </c>
      <c r="W401" s="56" t="s">
        <v>73</v>
      </c>
      <c r="X401" s="57" t="str">
        <f t="shared" si="24"/>
        <v/>
      </c>
      <c r="Y401" s="58" t="s">
        <v>73</v>
      </c>
      <c r="Z401" s="57" t="str">
        <f t="shared" si="25"/>
        <v/>
      </c>
      <c r="AA401" s="58" t="s">
        <v>73</v>
      </c>
      <c r="AB401" s="57" t="str">
        <f t="shared" si="26"/>
        <v/>
      </c>
      <c r="AC401" s="58" t="s">
        <v>73</v>
      </c>
      <c r="AD401" s="57" t="str">
        <f t="shared" si="27"/>
        <v/>
      </c>
      <c r="AE401" s="59"/>
      <c r="AF401" s="59"/>
      <c r="AG401" s="59"/>
      <c r="AH401" s="59"/>
      <c r="AI401" s="59" t="s">
        <v>73</v>
      </c>
      <c r="AJ401" s="59"/>
      <c r="AK401" s="59" t="s">
        <v>73</v>
      </c>
      <c r="AL401" s="59"/>
      <c r="AM401" s="59" t="s">
        <v>73</v>
      </c>
      <c r="AN401" s="59"/>
      <c r="AO401" s="59" t="s">
        <v>73</v>
      </c>
      <c r="AP401" s="59"/>
      <c r="AQ401" s="59" t="s">
        <v>73</v>
      </c>
      <c r="AR401" s="59"/>
      <c r="AS401" s="59" t="s">
        <v>72</v>
      </c>
      <c r="AT401" s="59"/>
      <c r="AU401" s="59"/>
      <c r="AV401" s="59"/>
      <c r="AW401" s="59"/>
      <c r="AX401" s="59"/>
      <c r="AY401" s="60" t="str">
        <f>IF('Cálculo MP'!K411="","",'Cálculo MP'!K411)</f>
        <v/>
      </c>
      <c r="AZ401" s="60" t="str">
        <f>IF('Cálculo MP'!L411="","",'Cálculo MP'!L411)</f>
        <v/>
      </c>
      <c r="BA401" s="60" t="str">
        <f>IF('Cálculo MP'!M411="","",'Cálculo MP'!M411)</f>
        <v/>
      </c>
      <c r="BB401" s="60" t="str">
        <f>IF('Cálculo MP'!N411="","",'Cálculo MP'!N411)</f>
        <v/>
      </c>
      <c r="BC401" s="60" t="str">
        <f>IF('Cálculo MP'!O411="","",'Cálculo MP'!O411)</f>
        <v/>
      </c>
      <c r="BD401" s="60" t="str">
        <f>IF('Cálculo MP'!P411="","",'Cálculo MP'!P411)</f>
        <v/>
      </c>
      <c r="BE401" s="60" t="str">
        <f>IF('Cálculo MP'!Q411="","",'Cálculo MP'!Q411)</f>
        <v/>
      </c>
      <c r="BF401" s="60" t="str">
        <f>IF('Cálculo MP'!R411="","",'Cálculo MP'!R411)</f>
        <v/>
      </c>
      <c r="BG401" s="60" t="str">
        <f>IF('Cálculo MP'!S411="","",'Cálculo MP'!S411)</f>
        <v/>
      </c>
      <c r="BH401" s="59"/>
      <c r="BI401" s="59"/>
      <c r="BJ401" s="59"/>
      <c r="BK401" s="59"/>
      <c r="BL401" s="59"/>
      <c r="BM401" s="59"/>
      <c r="BN401" s="59"/>
      <c r="BO401" s="59"/>
    </row>
    <row r="402" spans="1:67" ht="19.5" customHeight="1" x14ac:dyDescent="0.15">
      <c r="A402" s="123" t="s">
        <v>1856</v>
      </c>
      <c r="B402" s="122" t="s">
        <v>1854</v>
      </c>
      <c r="C402" s="49"/>
      <c r="D402" s="48" t="s">
        <v>73</v>
      </c>
      <c r="E402" s="49"/>
      <c r="F402" s="50"/>
      <c r="G402" s="62"/>
      <c r="H402" s="48" t="s">
        <v>72</v>
      </c>
      <c r="I402" s="52">
        <v>1</v>
      </c>
      <c r="J402" s="52"/>
      <c r="K402" s="52" t="s">
        <v>73</v>
      </c>
      <c r="L402" s="52" t="s">
        <v>74</v>
      </c>
      <c r="M402" s="53" t="s">
        <v>942</v>
      </c>
      <c r="N402" s="58" t="s">
        <v>73</v>
      </c>
      <c r="O402" s="48" t="s">
        <v>72</v>
      </c>
      <c r="P402" s="48" t="s">
        <v>73</v>
      </c>
      <c r="Q402" s="54" t="s">
        <v>73</v>
      </c>
      <c r="R402" s="55" t="s">
        <v>73</v>
      </c>
      <c r="S402" s="48" t="s">
        <v>73</v>
      </c>
      <c r="T402" s="130"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8" t="str" cm="1">
        <f t="array" ref="U402">IF(SUMPRODUCT(--((CAT_Procesos!$E$2:$E$1581=O402)*(CAT_Procesos!$F$2:$F$1581=_xlfn.TEXTJOIN(" + ",TRUE,IF((TRIM(P402:S402)="")+(LOWER(TRIM(P402:S402))="(seleccione)"),"",PROPER(TRIM(P402:S402)))))*(CAT_Procesos!$D$2:$D$1581=IFERROR(VLOOKUP(N402&amp;"*",CAT_Procesos!$D:$D,1,FALSE),""))))=0,"Combinación no existente",IF(SUMPRODUCT(((CAT_Procesos!$E$2:$E$1581=O402)*(CAT_Procesos!$F$2:$F$1581=_xlfn.TEXTJOIN(" + ",TRUE,IF((TRIM(P402:S402)="")+(LOWER(TRIM(P402:S402))="(seleccione)"),"",PROPER(TRIM(P402:S402)))))*(CAT_Procesos!$D$2:$D$1581=IFERROR(VLOOKUP(N402&amp;"*",CAT_Procesos!$D:$D,1,FALSE),"")))*(CAT_Procesos!$G$2:$G$1581=INDEX(CAT_Procesos!$G$2:$G$1581,MATCH(1,(CAT_Procesos!$E$2:$E$1581=O402)*(CAT_Procesos!$F$2:$F$1581=_xlfn.TEXTJOIN(" + ",TRUE,IF((TRIM(P402:S402)="")+(LOWER(TRIM(P402:S402))="(seleccione)"),"",PROPER(TRIM(P402:S402)))))*(CAT_Procesos!$D$2:$D$1581=IFERROR(VLOOKUP(N402&amp;"*",CAT_Procesos!$D:$D,1,FALSE),"")),0))))=SUMPRODUCT(--((CAT_Procesos!$E$2:$E$1581=O402)*(CAT_Procesos!$F$2:$F$1581=_xlfn.TEXTJOIN(" + ",TRUE,IF((TRIM(P402:S402)="")+(LOWER(TRIM(P402:S402))="(seleccione)"),"",PROPER(TRIM(P402:S402)))))*(CAT_Procesos!$D$2:$D$1581=IFERROR(VLOOKUP(N402&amp;"*",CAT_Procesos!$D:$D,1,FALSE),"")))),INDEX(CAT_Procesos!$G$2:$G$1581,MATCH(1,(CAT_Procesos!$E$2:$E$1581=O402)*(CAT_Procesos!$F$2:$F$1581=_xlfn.TEXTJOIN(" + ",TRUE,IF((TRIM(P402:S402)="")+(LOWER(TRIM(P402:S402))="(seleccione)"),"",PROPER(TRIM(P402:S402)))))*(CAT_Procesos!$D$2:$D$1581=IFERROR(VLOOKUP(N402&amp;"*",CAT_Procesos!$D:$D,1,FALSE),"")),0)),"(seleccione)"))</f>
        <v>Combinación no existente</v>
      </c>
      <c r="V402" s="55" t="s">
        <v>73</v>
      </c>
      <c r="W402" s="56" t="s">
        <v>73</v>
      </c>
      <c r="X402" s="57" t="str">
        <f t="shared" si="24"/>
        <v/>
      </c>
      <c r="Y402" s="58" t="s">
        <v>73</v>
      </c>
      <c r="Z402" s="57" t="str">
        <f t="shared" si="25"/>
        <v/>
      </c>
      <c r="AA402" s="58" t="s">
        <v>73</v>
      </c>
      <c r="AB402" s="57" t="str">
        <f t="shared" si="26"/>
        <v/>
      </c>
      <c r="AC402" s="58" t="s">
        <v>73</v>
      </c>
      <c r="AD402" s="57" t="str">
        <f t="shared" si="27"/>
        <v/>
      </c>
      <c r="AE402" s="59"/>
      <c r="AF402" s="59"/>
      <c r="AG402" s="59"/>
      <c r="AH402" s="59"/>
      <c r="AI402" s="59" t="s">
        <v>73</v>
      </c>
      <c r="AJ402" s="59"/>
      <c r="AK402" s="59" t="s">
        <v>73</v>
      </c>
      <c r="AL402" s="59"/>
      <c r="AM402" s="59" t="s">
        <v>73</v>
      </c>
      <c r="AN402" s="59"/>
      <c r="AO402" s="59" t="s">
        <v>73</v>
      </c>
      <c r="AP402" s="59"/>
      <c r="AQ402" s="59" t="s">
        <v>73</v>
      </c>
      <c r="AR402" s="59"/>
      <c r="AS402" s="59" t="s">
        <v>72</v>
      </c>
      <c r="AT402" s="59"/>
      <c r="AU402" s="59"/>
      <c r="AV402" s="59"/>
      <c r="AW402" s="59"/>
      <c r="AX402" s="59"/>
      <c r="AY402" s="60" t="str">
        <f>IF('Cálculo MP'!K412="","",'Cálculo MP'!K412)</f>
        <v/>
      </c>
      <c r="AZ402" s="60" t="str">
        <f>IF('Cálculo MP'!L412="","",'Cálculo MP'!L412)</f>
        <v/>
      </c>
      <c r="BA402" s="60" t="str">
        <f>IF('Cálculo MP'!M412="","",'Cálculo MP'!M412)</f>
        <v/>
      </c>
      <c r="BB402" s="60" t="str">
        <f>IF('Cálculo MP'!N412="","",'Cálculo MP'!N412)</f>
        <v/>
      </c>
      <c r="BC402" s="60" t="str">
        <f>IF('Cálculo MP'!O412="","",'Cálculo MP'!O412)</f>
        <v/>
      </c>
      <c r="BD402" s="60" t="str">
        <f>IF('Cálculo MP'!P412="","",'Cálculo MP'!P412)</f>
        <v/>
      </c>
      <c r="BE402" s="60" t="str">
        <f>IF('Cálculo MP'!Q412="","",'Cálculo MP'!Q412)</f>
        <v/>
      </c>
      <c r="BF402" s="60" t="str">
        <f>IF('Cálculo MP'!R412="","",'Cálculo MP'!R412)</f>
        <v/>
      </c>
      <c r="BG402" s="60" t="str">
        <f>IF('Cálculo MP'!S412="","",'Cálculo MP'!S412)</f>
        <v/>
      </c>
      <c r="BH402" s="59"/>
      <c r="BI402" s="59"/>
      <c r="BJ402" s="59"/>
      <c r="BK402" s="59"/>
      <c r="BL402" s="59"/>
      <c r="BM402" s="59"/>
      <c r="BN402" s="59"/>
      <c r="BO402" s="59"/>
    </row>
    <row r="403" spans="1:67" ht="19.5" customHeight="1" x14ac:dyDescent="0.15">
      <c r="A403" s="123" t="s">
        <v>1856</v>
      </c>
      <c r="B403" s="122" t="s">
        <v>1854</v>
      </c>
      <c r="C403" s="49"/>
      <c r="D403" s="48" t="s">
        <v>73</v>
      </c>
      <c r="E403" s="49"/>
      <c r="F403" s="50"/>
      <c r="G403" s="62"/>
      <c r="H403" s="48" t="s">
        <v>72</v>
      </c>
      <c r="I403" s="52">
        <v>1</v>
      </c>
      <c r="J403" s="52"/>
      <c r="K403" s="52" t="s">
        <v>73</v>
      </c>
      <c r="L403" s="52" t="s">
        <v>74</v>
      </c>
      <c r="M403" s="53" t="s">
        <v>942</v>
      </c>
      <c r="N403" s="58" t="s">
        <v>73</v>
      </c>
      <c r="O403" s="48" t="s">
        <v>72</v>
      </c>
      <c r="P403" s="48" t="s">
        <v>73</v>
      </c>
      <c r="Q403" s="54" t="s">
        <v>73</v>
      </c>
      <c r="R403" s="55" t="s">
        <v>73</v>
      </c>
      <c r="S403" s="48" t="s">
        <v>73</v>
      </c>
      <c r="T403" s="130"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8" t="str" cm="1">
        <f t="array" ref="U403">IF(SUMPRODUCT(--((CAT_Procesos!$E$2:$E$1581=O403)*(CAT_Procesos!$F$2:$F$1581=_xlfn.TEXTJOIN(" + ",TRUE,IF((TRIM(P403:S403)="")+(LOWER(TRIM(P403:S403))="(seleccione)"),"",PROPER(TRIM(P403:S403)))))*(CAT_Procesos!$D$2:$D$1581=IFERROR(VLOOKUP(N403&amp;"*",CAT_Procesos!$D:$D,1,FALSE),""))))=0,"Combinación no existente",IF(SUMPRODUCT(((CAT_Procesos!$E$2:$E$1581=O403)*(CAT_Procesos!$F$2:$F$1581=_xlfn.TEXTJOIN(" + ",TRUE,IF((TRIM(P403:S403)="")+(LOWER(TRIM(P403:S403))="(seleccione)"),"",PROPER(TRIM(P403:S403)))))*(CAT_Procesos!$D$2:$D$1581=IFERROR(VLOOKUP(N403&amp;"*",CAT_Procesos!$D:$D,1,FALSE),"")))*(CAT_Procesos!$G$2:$G$1581=INDEX(CAT_Procesos!$G$2:$G$1581,MATCH(1,(CAT_Procesos!$E$2:$E$1581=O403)*(CAT_Procesos!$F$2:$F$1581=_xlfn.TEXTJOIN(" + ",TRUE,IF((TRIM(P403:S403)="")+(LOWER(TRIM(P403:S403))="(seleccione)"),"",PROPER(TRIM(P403:S403)))))*(CAT_Procesos!$D$2:$D$1581=IFERROR(VLOOKUP(N403&amp;"*",CAT_Procesos!$D:$D,1,FALSE),"")),0))))=SUMPRODUCT(--((CAT_Procesos!$E$2:$E$1581=O403)*(CAT_Procesos!$F$2:$F$1581=_xlfn.TEXTJOIN(" + ",TRUE,IF((TRIM(P403:S403)="")+(LOWER(TRIM(P403:S403))="(seleccione)"),"",PROPER(TRIM(P403:S403)))))*(CAT_Procesos!$D$2:$D$1581=IFERROR(VLOOKUP(N403&amp;"*",CAT_Procesos!$D:$D,1,FALSE),"")))),INDEX(CAT_Procesos!$G$2:$G$1581,MATCH(1,(CAT_Procesos!$E$2:$E$1581=O403)*(CAT_Procesos!$F$2:$F$1581=_xlfn.TEXTJOIN(" + ",TRUE,IF((TRIM(P403:S403)="")+(LOWER(TRIM(P403:S403))="(seleccione)"),"",PROPER(TRIM(P403:S403)))))*(CAT_Procesos!$D$2:$D$1581=IFERROR(VLOOKUP(N403&amp;"*",CAT_Procesos!$D:$D,1,FALSE),"")),0)),"(seleccione)"))</f>
        <v>Combinación no existente</v>
      </c>
      <c r="V403" s="55" t="s">
        <v>73</v>
      </c>
      <c r="W403" s="56" t="s">
        <v>73</v>
      </c>
      <c r="X403" s="57" t="str">
        <f t="shared" si="24"/>
        <v/>
      </c>
      <c r="Y403" s="58" t="s">
        <v>73</v>
      </c>
      <c r="Z403" s="57" t="str">
        <f t="shared" si="25"/>
        <v/>
      </c>
      <c r="AA403" s="58" t="s">
        <v>73</v>
      </c>
      <c r="AB403" s="57" t="str">
        <f t="shared" si="26"/>
        <v/>
      </c>
      <c r="AC403" s="58" t="s">
        <v>73</v>
      </c>
      <c r="AD403" s="57" t="str">
        <f t="shared" si="27"/>
        <v/>
      </c>
      <c r="AE403" s="59"/>
      <c r="AF403" s="59"/>
      <c r="AG403" s="59"/>
      <c r="AH403" s="59"/>
      <c r="AI403" s="59" t="s">
        <v>73</v>
      </c>
      <c r="AJ403" s="59"/>
      <c r="AK403" s="59" t="s">
        <v>73</v>
      </c>
      <c r="AL403" s="59"/>
      <c r="AM403" s="59" t="s">
        <v>73</v>
      </c>
      <c r="AN403" s="59"/>
      <c r="AO403" s="59" t="s">
        <v>73</v>
      </c>
      <c r="AP403" s="59"/>
      <c r="AQ403" s="59" t="s">
        <v>73</v>
      </c>
      <c r="AR403" s="59"/>
      <c r="AS403" s="59" t="s">
        <v>72</v>
      </c>
      <c r="AT403" s="59"/>
      <c r="AU403" s="59"/>
      <c r="AV403" s="59"/>
      <c r="AW403" s="59"/>
      <c r="AX403" s="59"/>
      <c r="AY403" s="60" t="str">
        <f>IF('Cálculo MP'!K413="","",'Cálculo MP'!K413)</f>
        <v/>
      </c>
      <c r="AZ403" s="60" t="str">
        <f>IF('Cálculo MP'!L413="","",'Cálculo MP'!L413)</f>
        <v/>
      </c>
      <c r="BA403" s="60" t="str">
        <f>IF('Cálculo MP'!M413="","",'Cálculo MP'!M413)</f>
        <v/>
      </c>
      <c r="BB403" s="60" t="str">
        <f>IF('Cálculo MP'!N413="","",'Cálculo MP'!N413)</f>
        <v/>
      </c>
      <c r="BC403" s="60" t="str">
        <f>IF('Cálculo MP'!O413="","",'Cálculo MP'!O413)</f>
        <v/>
      </c>
      <c r="BD403" s="60" t="str">
        <f>IF('Cálculo MP'!P413="","",'Cálculo MP'!P413)</f>
        <v/>
      </c>
      <c r="BE403" s="60" t="str">
        <f>IF('Cálculo MP'!Q413="","",'Cálculo MP'!Q413)</f>
        <v/>
      </c>
      <c r="BF403" s="60" t="str">
        <f>IF('Cálculo MP'!R413="","",'Cálculo MP'!R413)</f>
        <v/>
      </c>
      <c r="BG403" s="60" t="str">
        <f>IF('Cálculo MP'!S413="","",'Cálculo MP'!S413)</f>
        <v/>
      </c>
      <c r="BH403" s="59"/>
      <c r="BI403" s="59"/>
      <c r="BJ403" s="59"/>
      <c r="BK403" s="59"/>
      <c r="BL403" s="59"/>
      <c r="BM403" s="59"/>
      <c r="BN403" s="59"/>
      <c r="BO403" s="59"/>
    </row>
    <row r="404" spans="1:67" ht="19.5" customHeight="1" x14ac:dyDescent="0.15">
      <c r="A404" s="123" t="s">
        <v>1856</v>
      </c>
      <c r="B404" s="122" t="s">
        <v>1854</v>
      </c>
      <c r="C404" s="49"/>
      <c r="D404" s="48" t="s">
        <v>73</v>
      </c>
      <c r="E404" s="49"/>
      <c r="F404" s="50"/>
      <c r="G404" s="62"/>
      <c r="H404" s="48" t="s">
        <v>72</v>
      </c>
      <c r="I404" s="52">
        <v>1</v>
      </c>
      <c r="J404" s="52"/>
      <c r="K404" s="52" t="s">
        <v>73</v>
      </c>
      <c r="L404" s="52" t="s">
        <v>74</v>
      </c>
      <c r="M404" s="53" t="s">
        <v>942</v>
      </c>
      <c r="N404" s="58" t="s">
        <v>73</v>
      </c>
      <c r="O404" s="48" t="s">
        <v>72</v>
      </c>
      <c r="P404" s="48" t="s">
        <v>73</v>
      </c>
      <c r="Q404" s="54" t="s">
        <v>73</v>
      </c>
      <c r="R404" s="55" t="s">
        <v>73</v>
      </c>
      <c r="S404" s="48" t="s">
        <v>73</v>
      </c>
      <c r="T404" s="130"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8" t="str" cm="1">
        <f t="array" ref="U404">IF(SUMPRODUCT(--((CAT_Procesos!$E$2:$E$1581=O404)*(CAT_Procesos!$F$2:$F$1581=_xlfn.TEXTJOIN(" + ",TRUE,IF((TRIM(P404:S404)="")+(LOWER(TRIM(P404:S404))="(seleccione)"),"",PROPER(TRIM(P404:S404)))))*(CAT_Procesos!$D$2:$D$1581=IFERROR(VLOOKUP(N404&amp;"*",CAT_Procesos!$D:$D,1,FALSE),""))))=0,"Combinación no existente",IF(SUMPRODUCT(((CAT_Procesos!$E$2:$E$1581=O404)*(CAT_Procesos!$F$2:$F$1581=_xlfn.TEXTJOIN(" + ",TRUE,IF((TRIM(P404:S404)="")+(LOWER(TRIM(P404:S404))="(seleccione)"),"",PROPER(TRIM(P404:S404)))))*(CAT_Procesos!$D$2:$D$1581=IFERROR(VLOOKUP(N404&amp;"*",CAT_Procesos!$D:$D,1,FALSE),"")))*(CAT_Procesos!$G$2:$G$1581=INDEX(CAT_Procesos!$G$2:$G$1581,MATCH(1,(CAT_Procesos!$E$2:$E$1581=O404)*(CAT_Procesos!$F$2:$F$1581=_xlfn.TEXTJOIN(" + ",TRUE,IF((TRIM(P404:S404)="")+(LOWER(TRIM(P404:S404))="(seleccione)"),"",PROPER(TRIM(P404:S404)))))*(CAT_Procesos!$D$2:$D$1581=IFERROR(VLOOKUP(N404&amp;"*",CAT_Procesos!$D:$D,1,FALSE),"")),0))))=SUMPRODUCT(--((CAT_Procesos!$E$2:$E$1581=O404)*(CAT_Procesos!$F$2:$F$1581=_xlfn.TEXTJOIN(" + ",TRUE,IF((TRIM(P404:S404)="")+(LOWER(TRIM(P404:S404))="(seleccione)"),"",PROPER(TRIM(P404:S404)))))*(CAT_Procesos!$D$2:$D$1581=IFERROR(VLOOKUP(N404&amp;"*",CAT_Procesos!$D:$D,1,FALSE),"")))),INDEX(CAT_Procesos!$G$2:$G$1581,MATCH(1,(CAT_Procesos!$E$2:$E$1581=O404)*(CAT_Procesos!$F$2:$F$1581=_xlfn.TEXTJOIN(" + ",TRUE,IF((TRIM(P404:S404)="")+(LOWER(TRIM(P404:S404))="(seleccione)"),"",PROPER(TRIM(P404:S404)))))*(CAT_Procesos!$D$2:$D$1581=IFERROR(VLOOKUP(N404&amp;"*",CAT_Procesos!$D:$D,1,FALSE),"")),0)),"(seleccione)"))</f>
        <v>Combinación no existente</v>
      </c>
      <c r="V404" s="55" t="s">
        <v>73</v>
      </c>
      <c r="W404" s="56" t="s">
        <v>73</v>
      </c>
      <c r="X404" s="57" t="str">
        <f t="shared" si="24"/>
        <v/>
      </c>
      <c r="Y404" s="58" t="s">
        <v>73</v>
      </c>
      <c r="Z404" s="57" t="str">
        <f t="shared" si="25"/>
        <v/>
      </c>
      <c r="AA404" s="58" t="s">
        <v>73</v>
      </c>
      <c r="AB404" s="57" t="str">
        <f t="shared" si="26"/>
        <v/>
      </c>
      <c r="AC404" s="58" t="s">
        <v>73</v>
      </c>
      <c r="AD404" s="57" t="str">
        <f t="shared" si="27"/>
        <v/>
      </c>
      <c r="AE404" s="59"/>
      <c r="AF404" s="59"/>
      <c r="AG404" s="59"/>
      <c r="AH404" s="59"/>
      <c r="AI404" s="59" t="s">
        <v>73</v>
      </c>
      <c r="AJ404" s="59"/>
      <c r="AK404" s="59" t="s">
        <v>73</v>
      </c>
      <c r="AL404" s="59"/>
      <c r="AM404" s="59" t="s">
        <v>73</v>
      </c>
      <c r="AN404" s="59"/>
      <c r="AO404" s="59" t="s">
        <v>73</v>
      </c>
      <c r="AP404" s="59"/>
      <c r="AQ404" s="59" t="s">
        <v>73</v>
      </c>
      <c r="AR404" s="59"/>
      <c r="AS404" s="59" t="s">
        <v>72</v>
      </c>
      <c r="AT404" s="59"/>
      <c r="AU404" s="59"/>
      <c r="AV404" s="59"/>
      <c r="AW404" s="59"/>
      <c r="AX404" s="59"/>
      <c r="AY404" s="60" t="str">
        <f>IF('Cálculo MP'!K414="","",'Cálculo MP'!K414)</f>
        <v/>
      </c>
      <c r="AZ404" s="60" t="str">
        <f>IF('Cálculo MP'!L414="","",'Cálculo MP'!L414)</f>
        <v/>
      </c>
      <c r="BA404" s="60" t="str">
        <f>IF('Cálculo MP'!M414="","",'Cálculo MP'!M414)</f>
        <v/>
      </c>
      <c r="BB404" s="60" t="str">
        <f>IF('Cálculo MP'!N414="","",'Cálculo MP'!N414)</f>
        <v/>
      </c>
      <c r="BC404" s="60" t="str">
        <f>IF('Cálculo MP'!O414="","",'Cálculo MP'!O414)</f>
        <v/>
      </c>
      <c r="BD404" s="60" t="str">
        <f>IF('Cálculo MP'!P414="","",'Cálculo MP'!P414)</f>
        <v/>
      </c>
      <c r="BE404" s="60" t="str">
        <f>IF('Cálculo MP'!Q414="","",'Cálculo MP'!Q414)</f>
        <v/>
      </c>
      <c r="BF404" s="60" t="str">
        <f>IF('Cálculo MP'!R414="","",'Cálculo MP'!R414)</f>
        <v/>
      </c>
      <c r="BG404" s="60" t="str">
        <f>IF('Cálculo MP'!S414="","",'Cálculo MP'!S414)</f>
        <v/>
      </c>
      <c r="BH404" s="59"/>
      <c r="BI404" s="59"/>
      <c r="BJ404" s="59"/>
      <c r="BK404" s="59"/>
      <c r="BL404" s="59"/>
      <c r="BM404" s="59"/>
      <c r="BN404" s="59"/>
      <c r="BO404" s="59"/>
    </row>
    <row r="405" spans="1:67" ht="19.5" customHeight="1" x14ac:dyDescent="0.15">
      <c r="A405" s="123" t="s">
        <v>1856</v>
      </c>
      <c r="B405" s="122" t="s">
        <v>1854</v>
      </c>
      <c r="C405" s="49"/>
      <c r="D405" s="48" t="s">
        <v>73</v>
      </c>
      <c r="E405" s="49"/>
      <c r="F405" s="50"/>
      <c r="G405" s="62"/>
      <c r="H405" s="48" t="s">
        <v>72</v>
      </c>
      <c r="I405" s="52">
        <v>1</v>
      </c>
      <c r="J405" s="52"/>
      <c r="K405" s="52" t="s">
        <v>73</v>
      </c>
      <c r="L405" s="52" t="s">
        <v>74</v>
      </c>
      <c r="M405" s="53" t="s">
        <v>942</v>
      </c>
      <c r="N405" s="58" t="s">
        <v>73</v>
      </c>
      <c r="O405" s="48" t="s">
        <v>72</v>
      </c>
      <c r="P405" s="48" t="s">
        <v>73</v>
      </c>
      <c r="Q405" s="54" t="s">
        <v>73</v>
      </c>
      <c r="R405" s="55" t="s">
        <v>73</v>
      </c>
      <c r="S405" s="48" t="s">
        <v>73</v>
      </c>
      <c r="T405" s="130"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8" t="str" cm="1">
        <f t="array" ref="U405">IF(SUMPRODUCT(--((CAT_Procesos!$E$2:$E$1581=O405)*(CAT_Procesos!$F$2:$F$1581=_xlfn.TEXTJOIN(" + ",TRUE,IF((TRIM(P405:S405)="")+(LOWER(TRIM(P405:S405))="(seleccione)"),"",PROPER(TRIM(P405:S405)))))*(CAT_Procesos!$D$2:$D$1581=IFERROR(VLOOKUP(N405&amp;"*",CAT_Procesos!$D:$D,1,FALSE),""))))=0,"Combinación no existente",IF(SUMPRODUCT(((CAT_Procesos!$E$2:$E$1581=O405)*(CAT_Procesos!$F$2:$F$1581=_xlfn.TEXTJOIN(" + ",TRUE,IF((TRIM(P405:S405)="")+(LOWER(TRIM(P405:S405))="(seleccione)"),"",PROPER(TRIM(P405:S405)))))*(CAT_Procesos!$D$2:$D$1581=IFERROR(VLOOKUP(N405&amp;"*",CAT_Procesos!$D:$D,1,FALSE),"")))*(CAT_Procesos!$G$2:$G$1581=INDEX(CAT_Procesos!$G$2:$G$1581,MATCH(1,(CAT_Procesos!$E$2:$E$1581=O405)*(CAT_Procesos!$F$2:$F$1581=_xlfn.TEXTJOIN(" + ",TRUE,IF((TRIM(P405:S405)="")+(LOWER(TRIM(P405:S405))="(seleccione)"),"",PROPER(TRIM(P405:S405)))))*(CAT_Procesos!$D$2:$D$1581=IFERROR(VLOOKUP(N405&amp;"*",CAT_Procesos!$D:$D,1,FALSE),"")),0))))=SUMPRODUCT(--((CAT_Procesos!$E$2:$E$1581=O405)*(CAT_Procesos!$F$2:$F$1581=_xlfn.TEXTJOIN(" + ",TRUE,IF((TRIM(P405:S405)="")+(LOWER(TRIM(P405:S405))="(seleccione)"),"",PROPER(TRIM(P405:S405)))))*(CAT_Procesos!$D$2:$D$1581=IFERROR(VLOOKUP(N405&amp;"*",CAT_Procesos!$D:$D,1,FALSE),"")))),INDEX(CAT_Procesos!$G$2:$G$1581,MATCH(1,(CAT_Procesos!$E$2:$E$1581=O405)*(CAT_Procesos!$F$2:$F$1581=_xlfn.TEXTJOIN(" + ",TRUE,IF((TRIM(P405:S405)="")+(LOWER(TRIM(P405:S405))="(seleccione)"),"",PROPER(TRIM(P405:S405)))))*(CAT_Procesos!$D$2:$D$1581=IFERROR(VLOOKUP(N405&amp;"*",CAT_Procesos!$D:$D,1,FALSE),"")),0)),"(seleccione)"))</f>
        <v>Combinación no existente</v>
      </c>
      <c r="V405" s="55" t="s">
        <v>73</v>
      </c>
      <c r="W405" s="56" t="s">
        <v>73</v>
      </c>
      <c r="X405" s="57" t="str">
        <f t="shared" si="24"/>
        <v/>
      </c>
      <c r="Y405" s="58" t="s">
        <v>73</v>
      </c>
      <c r="Z405" s="57" t="str">
        <f t="shared" si="25"/>
        <v/>
      </c>
      <c r="AA405" s="58" t="s">
        <v>73</v>
      </c>
      <c r="AB405" s="57" t="str">
        <f t="shared" si="26"/>
        <v/>
      </c>
      <c r="AC405" s="58" t="s">
        <v>73</v>
      </c>
      <c r="AD405" s="57" t="str">
        <f t="shared" si="27"/>
        <v/>
      </c>
      <c r="AE405" s="59"/>
      <c r="AF405" s="59"/>
      <c r="AG405" s="59"/>
      <c r="AH405" s="59"/>
      <c r="AI405" s="59" t="s">
        <v>73</v>
      </c>
      <c r="AJ405" s="59"/>
      <c r="AK405" s="59" t="s">
        <v>73</v>
      </c>
      <c r="AL405" s="59"/>
      <c r="AM405" s="59" t="s">
        <v>73</v>
      </c>
      <c r="AN405" s="59"/>
      <c r="AO405" s="59" t="s">
        <v>73</v>
      </c>
      <c r="AP405" s="59"/>
      <c r="AQ405" s="59" t="s">
        <v>73</v>
      </c>
      <c r="AR405" s="59"/>
      <c r="AS405" s="59" t="s">
        <v>72</v>
      </c>
      <c r="AT405" s="59"/>
      <c r="AU405" s="59"/>
      <c r="AV405" s="59"/>
      <c r="AW405" s="59"/>
      <c r="AX405" s="59"/>
      <c r="AY405" s="60" t="str">
        <f>IF('Cálculo MP'!K415="","",'Cálculo MP'!K415)</f>
        <v/>
      </c>
      <c r="AZ405" s="60" t="str">
        <f>IF('Cálculo MP'!L415="","",'Cálculo MP'!L415)</f>
        <v/>
      </c>
      <c r="BA405" s="60" t="str">
        <f>IF('Cálculo MP'!M415="","",'Cálculo MP'!M415)</f>
        <v/>
      </c>
      <c r="BB405" s="60" t="str">
        <f>IF('Cálculo MP'!N415="","",'Cálculo MP'!N415)</f>
        <v/>
      </c>
      <c r="BC405" s="60" t="str">
        <f>IF('Cálculo MP'!O415="","",'Cálculo MP'!O415)</f>
        <v/>
      </c>
      <c r="BD405" s="60" t="str">
        <f>IF('Cálculo MP'!P415="","",'Cálculo MP'!P415)</f>
        <v/>
      </c>
      <c r="BE405" s="60" t="str">
        <f>IF('Cálculo MP'!Q415="","",'Cálculo MP'!Q415)</f>
        <v/>
      </c>
      <c r="BF405" s="60" t="str">
        <f>IF('Cálculo MP'!R415="","",'Cálculo MP'!R415)</f>
        <v/>
      </c>
      <c r="BG405" s="60" t="str">
        <f>IF('Cálculo MP'!S415="","",'Cálculo MP'!S415)</f>
        <v/>
      </c>
      <c r="BH405" s="59"/>
      <c r="BI405" s="59"/>
      <c r="BJ405" s="59"/>
      <c r="BK405" s="59"/>
      <c r="BL405" s="59"/>
      <c r="BM405" s="59"/>
      <c r="BN405" s="59"/>
      <c r="BO405" s="59"/>
    </row>
    <row r="406" spans="1:67" ht="19.5" customHeight="1" x14ac:dyDescent="0.15">
      <c r="A406" s="123" t="s">
        <v>1856</v>
      </c>
      <c r="B406" s="122" t="s">
        <v>1854</v>
      </c>
      <c r="C406" s="49"/>
      <c r="D406" s="48" t="s">
        <v>73</v>
      </c>
      <c r="E406" s="49"/>
      <c r="F406" s="50"/>
      <c r="G406" s="62"/>
      <c r="H406" s="48" t="s">
        <v>72</v>
      </c>
      <c r="I406" s="52">
        <v>1</v>
      </c>
      <c r="J406" s="52"/>
      <c r="K406" s="52" t="s">
        <v>73</v>
      </c>
      <c r="L406" s="52" t="s">
        <v>74</v>
      </c>
      <c r="M406" s="53" t="s">
        <v>942</v>
      </c>
      <c r="N406" s="58" t="s">
        <v>73</v>
      </c>
      <c r="O406" s="48" t="s">
        <v>72</v>
      </c>
      <c r="P406" s="48" t="s">
        <v>73</v>
      </c>
      <c r="Q406" s="54" t="s">
        <v>73</v>
      </c>
      <c r="R406" s="55" t="s">
        <v>73</v>
      </c>
      <c r="S406" s="48" t="s">
        <v>73</v>
      </c>
      <c r="T406" s="130"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8" t="str" cm="1">
        <f t="array" ref="U406">IF(SUMPRODUCT(--((CAT_Procesos!$E$2:$E$1581=O406)*(CAT_Procesos!$F$2:$F$1581=_xlfn.TEXTJOIN(" + ",TRUE,IF((TRIM(P406:S406)="")+(LOWER(TRIM(P406:S406))="(seleccione)"),"",PROPER(TRIM(P406:S406)))))*(CAT_Procesos!$D$2:$D$1581=IFERROR(VLOOKUP(N406&amp;"*",CAT_Procesos!$D:$D,1,FALSE),""))))=0,"Combinación no existente",IF(SUMPRODUCT(((CAT_Procesos!$E$2:$E$1581=O406)*(CAT_Procesos!$F$2:$F$1581=_xlfn.TEXTJOIN(" + ",TRUE,IF((TRIM(P406:S406)="")+(LOWER(TRIM(P406:S406))="(seleccione)"),"",PROPER(TRIM(P406:S406)))))*(CAT_Procesos!$D$2:$D$1581=IFERROR(VLOOKUP(N406&amp;"*",CAT_Procesos!$D:$D,1,FALSE),"")))*(CAT_Procesos!$G$2:$G$1581=INDEX(CAT_Procesos!$G$2:$G$1581,MATCH(1,(CAT_Procesos!$E$2:$E$1581=O406)*(CAT_Procesos!$F$2:$F$1581=_xlfn.TEXTJOIN(" + ",TRUE,IF((TRIM(P406:S406)="")+(LOWER(TRIM(P406:S406))="(seleccione)"),"",PROPER(TRIM(P406:S406)))))*(CAT_Procesos!$D$2:$D$1581=IFERROR(VLOOKUP(N406&amp;"*",CAT_Procesos!$D:$D,1,FALSE),"")),0))))=SUMPRODUCT(--((CAT_Procesos!$E$2:$E$1581=O406)*(CAT_Procesos!$F$2:$F$1581=_xlfn.TEXTJOIN(" + ",TRUE,IF((TRIM(P406:S406)="")+(LOWER(TRIM(P406:S406))="(seleccione)"),"",PROPER(TRIM(P406:S406)))))*(CAT_Procesos!$D$2:$D$1581=IFERROR(VLOOKUP(N406&amp;"*",CAT_Procesos!$D:$D,1,FALSE),"")))),INDEX(CAT_Procesos!$G$2:$G$1581,MATCH(1,(CAT_Procesos!$E$2:$E$1581=O406)*(CAT_Procesos!$F$2:$F$1581=_xlfn.TEXTJOIN(" + ",TRUE,IF((TRIM(P406:S406)="")+(LOWER(TRIM(P406:S406))="(seleccione)"),"",PROPER(TRIM(P406:S406)))))*(CAT_Procesos!$D$2:$D$1581=IFERROR(VLOOKUP(N406&amp;"*",CAT_Procesos!$D:$D,1,FALSE),"")),0)),"(seleccione)"))</f>
        <v>Combinación no existente</v>
      </c>
      <c r="V406" s="55" t="s">
        <v>73</v>
      </c>
      <c r="W406" s="56" t="s">
        <v>73</v>
      </c>
      <c r="X406" s="57" t="str">
        <f t="shared" si="24"/>
        <v/>
      </c>
      <c r="Y406" s="58" t="s">
        <v>73</v>
      </c>
      <c r="Z406" s="57" t="str">
        <f t="shared" si="25"/>
        <v/>
      </c>
      <c r="AA406" s="58" t="s">
        <v>73</v>
      </c>
      <c r="AB406" s="57" t="str">
        <f t="shared" si="26"/>
        <v/>
      </c>
      <c r="AC406" s="58" t="s">
        <v>73</v>
      </c>
      <c r="AD406" s="57" t="str">
        <f t="shared" si="27"/>
        <v/>
      </c>
      <c r="AE406" s="59"/>
      <c r="AF406" s="59"/>
      <c r="AG406" s="59"/>
      <c r="AH406" s="59"/>
      <c r="AI406" s="59" t="s">
        <v>73</v>
      </c>
      <c r="AJ406" s="59"/>
      <c r="AK406" s="59" t="s">
        <v>73</v>
      </c>
      <c r="AL406" s="59"/>
      <c r="AM406" s="59" t="s">
        <v>73</v>
      </c>
      <c r="AN406" s="59"/>
      <c r="AO406" s="59" t="s">
        <v>73</v>
      </c>
      <c r="AP406" s="59"/>
      <c r="AQ406" s="59" t="s">
        <v>73</v>
      </c>
      <c r="AR406" s="59"/>
      <c r="AS406" s="59" t="s">
        <v>72</v>
      </c>
      <c r="AT406" s="59"/>
      <c r="AU406" s="59"/>
      <c r="AV406" s="59"/>
      <c r="AW406" s="59"/>
      <c r="AX406" s="59"/>
      <c r="AY406" s="60" t="str">
        <f>IF('Cálculo MP'!K416="","",'Cálculo MP'!K416)</f>
        <v/>
      </c>
      <c r="AZ406" s="60" t="str">
        <f>IF('Cálculo MP'!L416="","",'Cálculo MP'!L416)</f>
        <v/>
      </c>
      <c r="BA406" s="60" t="str">
        <f>IF('Cálculo MP'!M416="","",'Cálculo MP'!M416)</f>
        <v/>
      </c>
      <c r="BB406" s="60" t="str">
        <f>IF('Cálculo MP'!N416="","",'Cálculo MP'!N416)</f>
        <v/>
      </c>
      <c r="BC406" s="60" t="str">
        <f>IF('Cálculo MP'!O416="","",'Cálculo MP'!O416)</f>
        <v/>
      </c>
      <c r="BD406" s="60" t="str">
        <f>IF('Cálculo MP'!P416="","",'Cálculo MP'!P416)</f>
        <v/>
      </c>
      <c r="BE406" s="60" t="str">
        <f>IF('Cálculo MP'!Q416="","",'Cálculo MP'!Q416)</f>
        <v/>
      </c>
      <c r="BF406" s="60" t="str">
        <f>IF('Cálculo MP'!R416="","",'Cálculo MP'!R416)</f>
        <v/>
      </c>
      <c r="BG406" s="60" t="str">
        <f>IF('Cálculo MP'!S416="","",'Cálculo MP'!S416)</f>
        <v/>
      </c>
      <c r="BH406" s="59"/>
      <c r="BI406" s="59"/>
      <c r="BJ406" s="59"/>
      <c r="BK406" s="59"/>
      <c r="BL406" s="59"/>
      <c r="BM406" s="59"/>
      <c r="BN406" s="59"/>
      <c r="BO406" s="59"/>
    </row>
    <row r="407" spans="1:67" ht="19.5" customHeight="1" x14ac:dyDescent="0.15">
      <c r="A407" s="123" t="s">
        <v>1856</v>
      </c>
      <c r="B407" s="122" t="s">
        <v>1854</v>
      </c>
      <c r="C407" s="49"/>
      <c r="D407" s="48" t="s">
        <v>73</v>
      </c>
      <c r="E407" s="49"/>
      <c r="F407" s="50"/>
      <c r="G407" s="62"/>
      <c r="H407" s="48" t="s">
        <v>72</v>
      </c>
      <c r="I407" s="52">
        <v>1</v>
      </c>
      <c r="J407" s="52"/>
      <c r="K407" s="52" t="s">
        <v>73</v>
      </c>
      <c r="L407" s="52" t="s">
        <v>74</v>
      </c>
      <c r="M407" s="53" t="s">
        <v>942</v>
      </c>
      <c r="N407" s="58" t="s">
        <v>73</v>
      </c>
      <c r="O407" s="48" t="s">
        <v>72</v>
      </c>
      <c r="P407" s="48" t="s">
        <v>73</v>
      </c>
      <c r="Q407" s="54" t="s">
        <v>73</v>
      </c>
      <c r="R407" s="55" t="s">
        <v>73</v>
      </c>
      <c r="S407" s="48" t="s">
        <v>73</v>
      </c>
      <c r="T407" s="130"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8" t="str" cm="1">
        <f t="array" ref="U407">IF(SUMPRODUCT(--((CAT_Procesos!$E$2:$E$1581=O407)*(CAT_Procesos!$F$2:$F$1581=_xlfn.TEXTJOIN(" + ",TRUE,IF((TRIM(P407:S407)="")+(LOWER(TRIM(P407:S407))="(seleccione)"),"",PROPER(TRIM(P407:S407)))))*(CAT_Procesos!$D$2:$D$1581=IFERROR(VLOOKUP(N407&amp;"*",CAT_Procesos!$D:$D,1,FALSE),""))))=0,"Combinación no existente",IF(SUMPRODUCT(((CAT_Procesos!$E$2:$E$1581=O407)*(CAT_Procesos!$F$2:$F$1581=_xlfn.TEXTJOIN(" + ",TRUE,IF((TRIM(P407:S407)="")+(LOWER(TRIM(P407:S407))="(seleccione)"),"",PROPER(TRIM(P407:S407)))))*(CAT_Procesos!$D$2:$D$1581=IFERROR(VLOOKUP(N407&amp;"*",CAT_Procesos!$D:$D,1,FALSE),"")))*(CAT_Procesos!$G$2:$G$1581=INDEX(CAT_Procesos!$G$2:$G$1581,MATCH(1,(CAT_Procesos!$E$2:$E$1581=O407)*(CAT_Procesos!$F$2:$F$1581=_xlfn.TEXTJOIN(" + ",TRUE,IF((TRIM(P407:S407)="")+(LOWER(TRIM(P407:S407))="(seleccione)"),"",PROPER(TRIM(P407:S407)))))*(CAT_Procesos!$D$2:$D$1581=IFERROR(VLOOKUP(N407&amp;"*",CAT_Procesos!$D:$D,1,FALSE),"")),0))))=SUMPRODUCT(--((CAT_Procesos!$E$2:$E$1581=O407)*(CAT_Procesos!$F$2:$F$1581=_xlfn.TEXTJOIN(" + ",TRUE,IF((TRIM(P407:S407)="")+(LOWER(TRIM(P407:S407))="(seleccione)"),"",PROPER(TRIM(P407:S407)))))*(CAT_Procesos!$D$2:$D$1581=IFERROR(VLOOKUP(N407&amp;"*",CAT_Procesos!$D:$D,1,FALSE),"")))),INDEX(CAT_Procesos!$G$2:$G$1581,MATCH(1,(CAT_Procesos!$E$2:$E$1581=O407)*(CAT_Procesos!$F$2:$F$1581=_xlfn.TEXTJOIN(" + ",TRUE,IF((TRIM(P407:S407)="")+(LOWER(TRIM(P407:S407))="(seleccione)"),"",PROPER(TRIM(P407:S407)))))*(CAT_Procesos!$D$2:$D$1581=IFERROR(VLOOKUP(N407&amp;"*",CAT_Procesos!$D:$D,1,FALSE),"")),0)),"(seleccione)"))</f>
        <v>Combinación no existente</v>
      </c>
      <c r="V407" s="55" t="s">
        <v>73</v>
      </c>
      <c r="W407" s="56" t="s">
        <v>73</v>
      </c>
      <c r="X407" s="57" t="str">
        <f t="shared" si="24"/>
        <v/>
      </c>
      <c r="Y407" s="58" t="s">
        <v>73</v>
      </c>
      <c r="Z407" s="57" t="str">
        <f t="shared" si="25"/>
        <v/>
      </c>
      <c r="AA407" s="58" t="s">
        <v>73</v>
      </c>
      <c r="AB407" s="57" t="str">
        <f t="shared" si="26"/>
        <v/>
      </c>
      <c r="AC407" s="58" t="s">
        <v>73</v>
      </c>
      <c r="AD407" s="57" t="str">
        <f t="shared" si="27"/>
        <v/>
      </c>
      <c r="AE407" s="59"/>
      <c r="AF407" s="59"/>
      <c r="AG407" s="59"/>
      <c r="AH407" s="59"/>
      <c r="AI407" s="59" t="s">
        <v>73</v>
      </c>
      <c r="AJ407" s="59"/>
      <c r="AK407" s="59" t="s">
        <v>73</v>
      </c>
      <c r="AL407" s="59"/>
      <c r="AM407" s="59" t="s">
        <v>73</v>
      </c>
      <c r="AN407" s="59"/>
      <c r="AO407" s="59" t="s">
        <v>73</v>
      </c>
      <c r="AP407" s="59"/>
      <c r="AQ407" s="59" t="s">
        <v>73</v>
      </c>
      <c r="AR407" s="59"/>
      <c r="AS407" s="59" t="s">
        <v>72</v>
      </c>
      <c r="AT407" s="59"/>
      <c r="AU407" s="59"/>
      <c r="AV407" s="59"/>
      <c r="AW407" s="59"/>
      <c r="AX407" s="59"/>
      <c r="AY407" s="60" t="str">
        <f>IF('Cálculo MP'!K417="","",'Cálculo MP'!K417)</f>
        <v/>
      </c>
      <c r="AZ407" s="60" t="str">
        <f>IF('Cálculo MP'!L417="","",'Cálculo MP'!L417)</f>
        <v/>
      </c>
      <c r="BA407" s="60" t="str">
        <f>IF('Cálculo MP'!M417="","",'Cálculo MP'!M417)</f>
        <v/>
      </c>
      <c r="BB407" s="60" t="str">
        <f>IF('Cálculo MP'!N417="","",'Cálculo MP'!N417)</f>
        <v/>
      </c>
      <c r="BC407" s="60" t="str">
        <f>IF('Cálculo MP'!O417="","",'Cálculo MP'!O417)</f>
        <v/>
      </c>
      <c r="BD407" s="60" t="str">
        <f>IF('Cálculo MP'!P417="","",'Cálculo MP'!P417)</f>
        <v/>
      </c>
      <c r="BE407" s="60" t="str">
        <f>IF('Cálculo MP'!Q417="","",'Cálculo MP'!Q417)</f>
        <v/>
      </c>
      <c r="BF407" s="60" t="str">
        <f>IF('Cálculo MP'!R417="","",'Cálculo MP'!R417)</f>
        <v/>
      </c>
      <c r="BG407" s="60" t="str">
        <f>IF('Cálculo MP'!S417="","",'Cálculo MP'!S417)</f>
        <v/>
      </c>
      <c r="BH407" s="59"/>
      <c r="BI407" s="59"/>
      <c r="BJ407" s="59"/>
      <c r="BK407" s="59"/>
      <c r="BL407" s="59"/>
      <c r="BM407" s="59"/>
      <c r="BN407" s="59"/>
      <c r="BO407" s="59"/>
    </row>
    <row r="408" spans="1:67" ht="19.5" customHeight="1" x14ac:dyDescent="0.15">
      <c r="A408" s="123" t="s">
        <v>1856</v>
      </c>
      <c r="B408" s="122" t="s">
        <v>1854</v>
      </c>
      <c r="C408" s="49"/>
      <c r="D408" s="48" t="s">
        <v>73</v>
      </c>
      <c r="E408" s="49"/>
      <c r="F408" s="50"/>
      <c r="G408" s="62"/>
      <c r="H408" s="48" t="s">
        <v>72</v>
      </c>
      <c r="I408" s="52">
        <v>1</v>
      </c>
      <c r="J408" s="52"/>
      <c r="K408" s="52" t="s">
        <v>73</v>
      </c>
      <c r="L408" s="52" t="s">
        <v>74</v>
      </c>
      <c r="M408" s="53" t="s">
        <v>942</v>
      </c>
      <c r="N408" s="58" t="s">
        <v>73</v>
      </c>
      <c r="O408" s="48" t="s">
        <v>72</v>
      </c>
      <c r="P408" s="48" t="s">
        <v>73</v>
      </c>
      <c r="Q408" s="54" t="s">
        <v>73</v>
      </c>
      <c r="R408" s="55" t="s">
        <v>73</v>
      </c>
      <c r="S408" s="48" t="s">
        <v>73</v>
      </c>
      <c r="T408" s="130"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8" t="str" cm="1">
        <f t="array" ref="U408">IF(SUMPRODUCT(--((CAT_Procesos!$E$2:$E$1581=O408)*(CAT_Procesos!$F$2:$F$1581=_xlfn.TEXTJOIN(" + ",TRUE,IF((TRIM(P408:S408)="")+(LOWER(TRIM(P408:S408))="(seleccione)"),"",PROPER(TRIM(P408:S408)))))*(CAT_Procesos!$D$2:$D$1581=IFERROR(VLOOKUP(N408&amp;"*",CAT_Procesos!$D:$D,1,FALSE),""))))=0,"Combinación no existente",IF(SUMPRODUCT(((CAT_Procesos!$E$2:$E$1581=O408)*(CAT_Procesos!$F$2:$F$1581=_xlfn.TEXTJOIN(" + ",TRUE,IF((TRIM(P408:S408)="")+(LOWER(TRIM(P408:S408))="(seleccione)"),"",PROPER(TRIM(P408:S408)))))*(CAT_Procesos!$D$2:$D$1581=IFERROR(VLOOKUP(N408&amp;"*",CAT_Procesos!$D:$D,1,FALSE),"")))*(CAT_Procesos!$G$2:$G$1581=INDEX(CAT_Procesos!$G$2:$G$1581,MATCH(1,(CAT_Procesos!$E$2:$E$1581=O408)*(CAT_Procesos!$F$2:$F$1581=_xlfn.TEXTJOIN(" + ",TRUE,IF((TRIM(P408:S408)="")+(LOWER(TRIM(P408:S408))="(seleccione)"),"",PROPER(TRIM(P408:S408)))))*(CAT_Procesos!$D$2:$D$1581=IFERROR(VLOOKUP(N408&amp;"*",CAT_Procesos!$D:$D,1,FALSE),"")),0))))=SUMPRODUCT(--((CAT_Procesos!$E$2:$E$1581=O408)*(CAT_Procesos!$F$2:$F$1581=_xlfn.TEXTJOIN(" + ",TRUE,IF((TRIM(P408:S408)="")+(LOWER(TRIM(P408:S408))="(seleccione)"),"",PROPER(TRIM(P408:S408)))))*(CAT_Procesos!$D$2:$D$1581=IFERROR(VLOOKUP(N408&amp;"*",CAT_Procesos!$D:$D,1,FALSE),"")))),INDEX(CAT_Procesos!$G$2:$G$1581,MATCH(1,(CAT_Procesos!$E$2:$E$1581=O408)*(CAT_Procesos!$F$2:$F$1581=_xlfn.TEXTJOIN(" + ",TRUE,IF((TRIM(P408:S408)="")+(LOWER(TRIM(P408:S408))="(seleccione)"),"",PROPER(TRIM(P408:S408)))))*(CAT_Procesos!$D$2:$D$1581=IFERROR(VLOOKUP(N408&amp;"*",CAT_Procesos!$D:$D,1,FALSE),"")),0)),"(seleccione)"))</f>
        <v>Combinación no existente</v>
      </c>
      <c r="V408" s="55" t="s">
        <v>73</v>
      </c>
      <c r="W408" s="56" t="s">
        <v>73</v>
      </c>
      <c r="X408" s="57" t="str">
        <f t="shared" si="24"/>
        <v/>
      </c>
      <c r="Y408" s="58" t="s">
        <v>73</v>
      </c>
      <c r="Z408" s="57" t="str">
        <f t="shared" si="25"/>
        <v/>
      </c>
      <c r="AA408" s="58" t="s">
        <v>73</v>
      </c>
      <c r="AB408" s="57" t="str">
        <f t="shared" si="26"/>
        <v/>
      </c>
      <c r="AC408" s="58" t="s">
        <v>73</v>
      </c>
      <c r="AD408" s="57" t="str">
        <f t="shared" si="27"/>
        <v/>
      </c>
      <c r="AE408" s="59"/>
      <c r="AF408" s="59"/>
      <c r="AG408" s="59"/>
      <c r="AH408" s="59"/>
      <c r="AI408" s="59" t="s">
        <v>73</v>
      </c>
      <c r="AJ408" s="59"/>
      <c r="AK408" s="59" t="s">
        <v>73</v>
      </c>
      <c r="AL408" s="59"/>
      <c r="AM408" s="59" t="s">
        <v>73</v>
      </c>
      <c r="AN408" s="59"/>
      <c r="AO408" s="59" t="s">
        <v>73</v>
      </c>
      <c r="AP408" s="59"/>
      <c r="AQ408" s="59" t="s">
        <v>73</v>
      </c>
      <c r="AR408" s="59"/>
      <c r="AS408" s="59" t="s">
        <v>72</v>
      </c>
      <c r="AT408" s="59"/>
      <c r="AU408" s="59"/>
      <c r="AV408" s="59"/>
      <c r="AW408" s="59"/>
      <c r="AX408" s="59"/>
      <c r="AY408" s="60" t="str">
        <f>IF('Cálculo MP'!K418="","",'Cálculo MP'!K418)</f>
        <v/>
      </c>
      <c r="AZ408" s="60" t="str">
        <f>IF('Cálculo MP'!L418="","",'Cálculo MP'!L418)</f>
        <v/>
      </c>
      <c r="BA408" s="60" t="str">
        <f>IF('Cálculo MP'!M418="","",'Cálculo MP'!M418)</f>
        <v/>
      </c>
      <c r="BB408" s="60" t="str">
        <f>IF('Cálculo MP'!N418="","",'Cálculo MP'!N418)</f>
        <v/>
      </c>
      <c r="BC408" s="60" t="str">
        <f>IF('Cálculo MP'!O418="","",'Cálculo MP'!O418)</f>
        <v/>
      </c>
      <c r="BD408" s="60" t="str">
        <f>IF('Cálculo MP'!P418="","",'Cálculo MP'!P418)</f>
        <v/>
      </c>
      <c r="BE408" s="60" t="str">
        <f>IF('Cálculo MP'!Q418="","",'Cálculo MP'!Q418)</f>
        <v/>
      </c>
      <c r="BF408" s="60" t="str">
        <f>IF('Cálculo MP'!R418="","",'Cálculo MP'!R418)</f>
        <v/>
      </c>
      <c r="BG408" s="60" t="str">
        <f>IF('Cálculo MP'!S418="","",'Cálculo MP'!S418)</f>
        <v/>
      </c>
      <c r="BH408" s="59"/>
      <c r="BI408" s="59"/>
      <c r="BJ408" s="59"/>
      <c r="BK408" s="59"/>
      <c r="BL408" s="59"/>
      <c r="BM408" s="59"/>
      <c r="BN408" s="59"/>
      <c r="BO408" s="59"/>
    </row>
    <row r="409" spans="1:67" ht="19.5" customHeight="1" x14ac:dyDescent="0.15">
      <c r="A409" s="123" t="s">
        <v>1856</v>
      </c>
      <c r="B409" s="122" t="s">
        <v>1854</v>
      </c>
      <c r="C409" s="49"/>
      <c r="D409" s="48" t="s">
        <v>73</v>
      </c>
      <c r="E409" s="49"/>
      <c r="F409" s="50"/>
      <c r="G409" s="62"/>
      <c r="H409" s="48" t="s">
        <v>72</v>
      </c>
      <c r="I409" s="52">
        <v>1</v>
      </c>
      <c r="J409" s="52"/>
      <c r="K409" s="52" t="s">
        <v>73</v>
      </c>
      <c r="L409" s="52" t="s">
        <v>74</v>
      </c>
      <c r="M409" s="53" t="s">
        <v>942</v>
      </c>
      <c r="N409" s="58" t="s">
        <v>73</v>
      </c>
      <c r="O409" s="48" t="s">
        <v>72</v>
      </c>
      <c r="P409" s="48" t="s">
        <v>73</v>
      </c>
      <c r="Q409" s="54" t="s">
        <v>73</v>
      </c>
      <c r="R409" s="55" t="s">
        <v>73</v>
      </c>
      <c r="S409" s="48" t="s">
        <v>73</v>
      </c>
      <c r="T409" s="130"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8" t="str" cm="1">
        <f t="array" ref="U409">IF(SUMPRODUCT(--((CAT_Procesos!$E$2:$E$1581=O409)*(CAT_Procesos!$F$2:$F$1581=_xlfn.TEXTJOIN(" + ",TRUE,IF((TRIM(P409:S409)="")+(LOWER(TRIM(P409:S409))="(seleccione)"),"",PROPER(TRIM(P409:S409)))))*(CAT_Procesos!$D$2:$D$1581=IFERROR(VLOOKUP(N409&amp;"*",CAT_Procesos!$D:$D,1,FALSE),""))))=0,"Combinación no existente",IF(SUMPRODUCT(((CAT_Procesos!$E$2:$E$1581=O409)*(CAT_Procesos!$F$2:$F$1581=_xlfn.TEXTJOIN(" + ",TRUE,IF((TRIM(P409:S409)="")+(LOWER(TRIM(P409:S409))="(seleccione)"),"",PROPER(TRIM(P409:S409)))))*(CAT_Procesos!$D$2:$D$1581=IFERROR(VLOOKUP(N409&amp;"*",CAT_Procesos!$D:$D,1,FALSE),"")))*(CAT_Procesos!$G$2:$G$1581=INDEX(CAT_Procesos!$G$2:$G$1581,MATCH(1,(CAT_Procesos!$E$2:$E$1581=O409)*(CAT_Procesos!$F$2:$F$1581=_xlfn.TEXTJOIN(" + ",TRUE,IF((TRIM(P409:S409)="")+(LOWER(TRIM(P409:S409))="(seleccione)"),"",PROPER(TRIM(P409:S409)))))*(CAT_Procesos!$D$2:$D$1581=IFERROR(VLOOKUP(N409&amp;"*",CAT_Procesos!$D:$D,1,FALSE),"")),0))))=SUMPRODUCT(--((CAT_Procesos!$E$2:$E$1581=O409)*(CAT_Procesos!$F$2:$F$1581=_xlfn.TEXTJOIN(" + ",TRUE,IF((TRIM(P409:S409)="")+(LOWER(TRIM(P409:S409))="(seleccione)"),"",PROPER(TRIM(P409:S409)))))*(CAT_Procesos!$D$2:$D$1581=IFERROR(VLOOKUP(N409&amp;"*",CAT_Procesos!$D:$D,1,FALSE),"")))),INDEX(CAT_Procesos!$G$2:$G$1581,MATCH(1,(CAT_Procesos!$E$2:$E$1581=O409)*(CAT_Procesos!$F$2:$F$1581=_xlfn.TEXTJOIN(" + ",TRUE,IF((TRIM(P409:S409)="")+(LOWER(TRIM(P409:S409))="(seleccione)"),"",PROPER(TRIM(P409:S409)))))*(CAT_Procesos!$D$2:$D$1581=IFERROR(VLOOKUP(N409&amp;"*",CAT_Procesos!$D:$D,1,FALSE),"")),0)),"(seleccione)"))</f>
        <v>Combinación no existente</v>
      </c>
      <c r="V409" s="55" t="s">
        <v>73</v>
      </c>
      <c r="W409" s="56" t="s">
        <v>73</v>
      </c>
      <c r="X409" s="57" t="str">
        <f t="shared" si="24"/>
        <v/>
      </c>
      <c r="Y409" s="58" t="s">
        <v>73</v>
      </c>
      <c r="Z409" s="57" t="str">
        <f t="shared" si="25"/>
        <v/>
      </c>
      <c r="AA409" s="58" t="s">
        <v>73</v>
      </c>
      <c r="AB409" s="57" t="str">
        <f t="shared" si="26"/>
        <v/>
      </c>
      <c r="AC409" s="58" t="s">
        <v>73</v>
      </c>
      <c r="AD409" s="57" t="str">
        <f t="shared" si="27"/>
        <v/>
      </c>
      <c r="AE409" s="59"/>
      <c r="AF409" s="59"/>
      <c r="AG409" s="59"/>
      <c r="AH409" s="59"/>
      <c r="AI409" s="59" t="s">
        <v>73</v>
      </c>
      <c r="AJ409" s="59"/>
      <c r="AK409" s="59" t="s">
        <v>73</v>
      </c>
      <c r="AL409" s="59"/>
      <c r="AM409" s="59" t="s">
        <v>73</v>
      </c>
      <c r="AN409" s="59"/>
      <c r="AO409" s="59" t="s">
        <v>73</v>
      </c>
      <c r="AP409" s="59"/>
      <c r="AQ409" s="59" t="s">
        <v>73</v>
      </c>
      <c r="AR409" s="59"/>
      <c r="AS409" s="59" t="s">
        <v>72</v>
      </c>
      <c r="AT409" s="59"/>
      <c r="AU409" s="59"/>
      <c r="AV409" s="59"/>
      <c r="AW409" s="59"/>
      <c r="AX409" s="59"/>
      <c r="AY409" s="60" t="str">
        <f>IF('Cálculo MP'!K419="","",'Cálculo MP'!K419)</f>
        <v/>
      </c>
      <c r="AZ409" s="60" t="str">
        <f>IF('Cálculo MP'!L419="","",'Cálculo MP'!L419)</f>
        <v/>
      </c>
      <c r="BA409" s="60" t="str">
        <f>IF('Cálculo MP'!M419="","",'Cálculo MP'!M419)</f>
        <v/>
      </c>
      <c r="BB409" s="60" t="str">
        <f>IF('Cálculo MP'!N419="","",'Cálculo MP'!N419)</f>
        <v/>
      </c>
      <c r="BC409" s="60" t="str">
        <f>IF('Cálculo MP'!O419="","",'Cálculo MP'!O419)</f>
        <v/>
      </c>
      <c r="BD409" s="60" t="str">
        <f>IF('Cálculo MP'!P419="","",'Cálculo MP'!P419)</f>
        <v/>
      </c>
      <c r="BE409" s="60" t="str">
        <f>IF('Cálculo MP'!Q419="","",'Cálculo MP'!Q419)</f>
        <v/>
      </c>
      <c r="BF409" s="60" t="str">
        <f>IF('Cálculo MP'!R419="","",'Cálculo MP'!R419)</f>
        <v/>
      </c>
      <c r="BG409" s="60" t="str">
        <f>IF('Cálculo MP'!S419="","",'Cálculo MP'!S419)</f>
        <v/>
      </c>
      <c r="BH409" s="59"/>
      <c r="BI409" s="59"/>
      <c r="BJ409" s="59"/>
      <c r="BK409" s="59"/>
      <c r="BL409" s="59"/>
      <c r="BM409" s="59"/>
      <c r="BN409" s="59"/>
      <c r="BO409" s="59"/>
    </row>
    <row r="410" spans="1:67" ht="19.5" customHeight="1" x14ac:dyDescent="0.15">
      <c r="A410" s="123" t="s">
        <v>1856</v>
      </c>
      <c r="B410" s="122" t="s">
        <v>1854</v>
      </c>
      <c r="C410" s="49"/>
      <c r="D410" s="48" t="s">
        <v>73</v>
      </c>
      <c r="E410" s="49"/>
      <c r="F410" s="50"/>
      <c r="G410" s="62"/>
      <c r="H410" s="48" t="s">
        <v>72</v>
      </c>
      <c r="I410" s="52">
        <v>1</v>
      </c>
      <c r="J410" s="52"/>
      <c r="K410" s="52" t="s">
        <v>73</v>
      </c>
      <c r="L410" s="52" t="s">
        <v>74</v>
      </c>
      <c r="M410" s="53" t="s">
        <v>942</v>
      </c>
      <c r="N410" s="58" t="s">
        <v>73</v>
      </c>
      <c r="O410" s="48" t="s">
        <v>72</v>
      </c>
      <c r="P410" s="48" t="s">
        <v>73</v>
      </c>
      <c r="Q410" s="54" t="s">
        <v>73</v>
      </c>
      <c r="R410" s="55" t="s">
        <v>73</v>
      </c>
      <c r="S410" s="48" t="s">
        <v>73</v>
      </c>
      <c r="T410" s="130"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8" t="str" cm="1">
        <f t="array" ref="U410">IF(SUMPRODUCT(--((CAT_Procesos!$E$2:$E$1581=O410)*(CAT_Procesos!$F$2:$F$1581=_xlfn.TEXTJOIN(" + ",TRUE,IF((TRIM(P410:S410)="")+(LOWER(TRIM(P410:S410))="(seleccione)"),"",PROPER(TRIM(P410:S410)))))*(CAT_Procesos!$D$2:$D$1581=IFERROR(VLOOKUP(N410&amp;"*",CAT_Procesos!$D:$D,1,FALSE),""))))=0,"Combinación no existente",IF(SUMPRODUCT(((CAT_Procesos!$E$2:$E$1581=O410)*(CAT_Procesos!$F$2:$F$1581=_xlfn.TEXTJOIN(" + ",TRUE,IF((TRIM(P410:S410)="")+(LOWER(TRIM(P410:S410))="(seleccione)"),"",PROPER(TRIM(P410:S410)))))*(CAT_Procesos!$D$2:$D$1581=IFERROR(VLOOKUP(N410&amp;"*",CAT_Procesos!$D:$D,1,FALSE),"")))*(CAT_Procesos!$G$2:$G$1581=INDEX(CAT_Procesos!$G$2:$G$1581,MATCH(1,(CAT_Procesos!$E$2:$E$1581=O410)*(CAT_Procesos!$F$2:$F$1581=_xlfn.TEXTJOIN(" + ",TRUE,IF((TRIM(P410:S410)="")+(LOWER(TRIM(P410:S410))="(seleccione)"),"",PROPER(TRIM(P410:S410)))))*(CAT_Procesos!$D$2:$D$1581=IFERROR(VLOOKUP(N410&amp;"*",CAT_Procesos!$D:$D,1,FALSE),"")),0))))=SUMPRODUCT(--((CAT_Procesos!$E$2:$E$1581=O410)*(CAT_Procesos!$F$2:$F$1581=_xlfn.TEXTJOIN(" + ",TRUE,IF((TRIM(P410:S410)="")+(LOWER(TRIM(P410:S410))="(seleccione)"),"",PROPER(TRIM(P410:S410)))))*(CAT_Procesos!$D$2:$D$1581=IFERROR(VLOOKUP(N410&amp;"*",CAT_Procesos!$D:$D,1,FALSE),"")))),INDEX(CAT_Procesos!$G$2:$G$1581,MATCH(1,(CAT_Procesos!$E$2:$E$1581=O410)*(CAT_Procesos!$F$2:$F$1581=_xlfn.TEXTJOIN(" + ",TRUE,IF((TRIM(P410:S410)="")+(LOWER(TRIM(P410:S410))="(seleccione)"),"",PROPER(TRIM(P410:S410)))))*(CAT_Procesos!$D$2:$D$1581=IFERROR(VLOOKUP(N410&amp;"*",CAT_Procesos!$D:$D,1,FALSE),"")),0)),"(seleccione)"))</f>
        <v>Combinación no existente</v>
      </c>
      <c r="V410" s="55" t="s">
        <v>73</v>
      </c>
      <c r="W410" s="56" t="s">
        <v>73</v>
      </c>
      <c r="X410" s="57" t="str">
        <f t="shared" si="24"/>
        <v/>
      </c>
      <c r="Y410" s="58" t="s">
        <v>73</v>
      </c>
      <c r="Z410" s="57" t="str">
        <f t="shared" si="25"/>
        <v/>
      </c>
      <c r="AA410" s="58" t="s">
        <v>73</v>
      </c>
      <c r="AB410" s="57" t="str">
        <f t="shared" si="26"/>
        <v/>
      </c>
      <c r="AC410" s="58" t="s">
        <v>73</v>
      </c>
      <c r="AD410" s="57" t="str">
        <f t="shared" si="27"/>
        <v/>
      </c>
      <c r="AE410" s="59"/>
      <c r="AF410" s="59"/>
      <c r="AG410" s="59"/>
      <c r="AH410" s="59"/>
      <c r="AI410" s="59" t="s">
        <v>73</v>
      </c>
      <c r="AJ410" s="59"/>
      <c r="AK410" s="59" t="s">
        <v>73</v>
      </c>
      <c r="AL410" s="59"/>
      <c r="AM410" s="59" t="s">
        <v>73</v>
      </c>
      <c r="AN410" s="59"/>
      <c r="AO410" s="59" t="s">
        <v>73</v>
      </c>
      <c r="AP410" s="59"/>
      <c r="AQ410" s="59" t="s">
        <v>73</v>
      </c>
      <c r="AR410" s="59"/>
      <c r="AS410" s="59" t="s">
        <v>72</v>
      </c>
      <c r="AT410" s="59"/>
      <c r="AU410" s="59"/>
      <c r="AV410" s="59"/>
      <c r="AW410" s="59"/>
      <c r="AX410" s="59"/>
      <c r="AY410" s="60" t="str">
        <f>IF('Cálculo MP'!K420="","",'Cálculo MP'!K420)</f>
        <v/>
      </c>
      <c r="AZ410" s="60" t="str">
        <f>IF('Cálculo MP'!L420="","",'Cálculo MP'!L420)</f>
        <v/>
      </c>
      <c r="BA410" s="60" t="str">
        <f>IF('Cálculo MP'!M420="","",'Cálculo MP'!M420)</f>
        <v/>
      </c>
      <c r="BB410" s="60" t="str">
        <f>IF('Cálculo MP'!N420="","",'Cálculo MP'!N420)</f>
        <v/>
      </c>
      <c r="BC410" s="60" t="str">
        <f>IF('Cálculo MP'!O420="","",'Cálculo MP'!O420)</f>
        <v/>
      </c>
      <c r="BD410" s="60" t="str">
        <f>IF('Cálculo MP'!P420="","",'Cálculo MP'!P420)</f>
        <v/>
      </c>
      <c r="BE410" s="60" t="str">
        <f>IF('Cálculo MP'!Q420="","",'Cálculo MP'!Q420)</f>
        <v/>
      </c>
      <c r="BF410" s="60" t="str">
        <f>IF('Cálculo MP'!R420="","",'Cálculo MP'!R420)</f>
        <v/>
      </c>
      <c r="BG410" s="60" t="str">
        <f>IF('Cálculo MP'!S420="","",'Cálculo MP'!S420)</f>
        <v/>
      </c>
      <c r="BH410" s="59"/>
      <c r="BI410" s="59"/>
      <c r="BJ410" s="59"/>
      <c r="BK410" s="59"/>
      <c r="BL410" s="59"/>
      <c r="BM410" s="59"/>
      <c r="BN410" s="59"/>
      <c r="BO410" s="59"/>
    </row>
    <row r="411" spans="1:67" ht="19.5" customHeight="1" x14ac:dyDescent="0.15">
      <c r="A411" s="123" t="s">
        <v>1856</v>
      </c>
      <c r="B411" s="122" t="s">
        <v>1854</v>
      </c>
      <c r="C411" s="49"/>
      <c r="D411" s="48" t="s">
        <v>73</v>
      </c>
      <c r="E411" s="49"/>
      <c r="F411" s="50"/>
      <c r="G411" s="62"/>
      <c r="H411" s="48" t="s">
        <v>72</v>
      </c>
      <c r="I411" s="52">
        <v>1</v>
      </c>
      <c r="J411" s="52"/>
      <c r="K411" s="52" t="s">
        <v>73</v>
      </c>
      <c r="L411" s="52" t="s">
        <v>74</v>
      </c>
      <c r="M411" s="53" t="s">
        <v>942</v>
      </c>
      <c r="N411" s="58" t="s">
        <v>73</v>
      </c>
      <c r="O411" s="48" t="s">
        <v>72</v>
      </c>
      <c r="P411" s="48" t="s">
        <v>73</v>
      </c>
      <c r="Q411" s="54" t="s">
        <v>73</v>
      </c>
      <c r="R411" s="55" t="s">
        <v>73</v>
      </c>
      <c r="S411" s="48" t="s">
        <v>73</v>
      </c>
      <c r="T411" s="130"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8" t="str" cm="1">
        <f t="array" ref="U411">IF(SUMPRODUCT(--((CAT_Procesos!$E$2:$E$1581=O411)*(CAT_Procesos!$F$2:$F$1581=_xlfn.TEXTJOIN(" + ",TRUE,IF((TRIM(P411:S411)="")+(LOWER(TRIM(P411:S411))="(seleccione)"),"",PROPER(TRIM(P411:S411)))))*(CAT_Procesos!$D$2:$D$1581=IFERROR(VLOOKUP(N411&amp;"*",CAT_Procesos!$D:$D,1,FALSE),""))))=0,"Combinación no existente",IF(SUMPRODUCT(((CAT_Procesos!$E$2:$E$1581=O411)*(CAT_Procesos!$F$2:$F$1581=_xlfn.TEXTJOIN(" + ",TRUE,IF((TRIM(P411:S411)="")+(LOWER(TRIM(P411:S411))="(seleccione)"),"",PROPER(TRIM(P411:S411)))))*(CAT_Procesos!$D$2:$D$1581=IFERROR(VLOOKUP(N411&amp;"*",CAT_Procesos!$D:$D,1,FALSE),"")))*(CAT_Procesos!$G$2:$G$1581=INDEX(CAT_Procesos!$G$2:$G$1581,MATCH(1,(CAT_Procesos!$E$2:$E$1581=O411)*(CAT_Procesos!$F$2:$F$1581=_xlfn.TEXTJOIN(" + ",TRUE,IF((TRIM(P411:S411)="")+(LOWER(TRIM(P411:S411))="(seleccione)"),"",PROPER(TRIM(P411:S411)))))*(CAT_Procesos!$D$2:$D$1581=IFERROR(VLOOKUP(N411&amp;"*",CAT_Procesos!$D:$D,1,FALSE),"")),0))))=SUMPRODUCT(--((CAT_Procesos!$E$2:$E$1581=O411)*(CAT_Procesos!$F$2:$F$1581=_xlfn.TEXTJOIN(" + ",TRUE,IF((TRIM(P411:S411)="")+(LOWER(TRIM(P411:S411))="(seleccione)"),"",PROPER(TRIM(P411:S411)))))*(CAT_Procesos!$D$2:$D$1581=IFERROR(VLOOKUP(N411&amp;"*",CAT_Procesos!$D:$D,1,FALSE),"")))),INDEX(CAT_Procesos!$G$2:$G$1581,MATCH(1,(CAT_Procesos!$E$2:$E$1581=O411)*(CAT_Procesos!$F$2:$F$1581=_xlfn.TEXTJOIN(" + ",TRUE,IF((TRIM(P411:S411)="")+(LOWER(TRIM(P411:S411))="(seleccione)"),"",PROPER(TRIM(P411:S411)))))*(CAT_Procesos!$D$2:$D$1581=IFERROR(VLOOKUP(N411&amp;"*",CAT_Procesos!$D:$D,1,FALSE),"")),0)),"(seleccione)"))</f>
        <v>Combinación no existente</v>
      </c>
      <c r="V411" s="55" t="s">
        <v>73</v>
      </c>
      <c r="W411" s="56" t="s">
        <v>73</v>
      </c>
      <c r="X411" s="57" t="str">
        <f t="shared" si="24"/>
        <v/>
      </c>
      <c r="Y411" s="58" t="s">
        <v>73</v>
      </c>
      <c r="Z411" s="57" t="str">
        <f t="shared" si="25"/>
        <v/>
      </c>
      <c r="AA411" s="58" t="s">
        <v>73</v>
      </c>
      <c r="AB411" s="57" t="str">
        <f t="shared" si="26"/>
        <v/>
      </c>
      <c r="AC411" s="58" t="s">
        <v>73</v>
      </c>
      <c r="AD411" s="57" t="str">
        <f t="shared" si="27"/>
        <v/>
      </c>
      <c r="AE411" s="59"/>
      <c r="AF411" s="59"/>
      <c r="AG411" s="59"/>
      <c r="AH411" s="59"/>
      <c r="AI411" s="59" t="s">
        <v>73</v>
      </c>
      <c r="AJ411" s="59"/>
      <c r="AK411" s="59" t="s">
        <v>73</v>
      </c>
      <c r="AL411" s="59"/>
      <c r="AM411" s="59" t="s">
        <v>73</v>
      </c>
      <c r="AN411" s="59"/>
      <c r="AO411" s="59" t="s">
        <v>73</v>
      </c>
      <c r="AP411" s="59"/>
      <c r="AQ411" s="59" t="s">
        <v>73</v>
      </c>
      <c r="AR411" s="59"/>
      <c r="AS411" s="59" t="s">
        <v>72</v>
      </c>
      <c r="AT411" s="59"/>
      <c r="AU411" s="59"/>
      <c r="AV411" s="59"/>
      <c r="AW411" s="59"/>
      <c r="AX411" s="59"/>
      <c r="AY411" s="60" t="str">
        <f>IF('Cálculo MP'!K421="","",'Cálculo MP'!K421)</f>
        <v/>
      </c>
      <c r="AZ411" s="60" t="str">
        <f>IF('Cálculo MP'!L421="","",'Cálculo MP'!L421)</f>
        <v/>
      </c>
      <c r="BA411" s="60" t="str">
        <f>IF('Cálculo MP'!M421="","",'Cálculo MP'!M421)</f>
        <v/>
      </c>
      <c r="BB411" s="60" t="str">
        <f>IF('Cálculo MP'!N421="","",'Cálculo MP'!N421)</f>
        <v/>
      </c>
      <c r="BC411" s="60" t="str">
        <f>IF('Cálculo MP'!O421="","",'Cálculo MP'!O421)</f>
        <v/>
      </c>
      <c r="BD411" s="60" t="str">
        <f>IF('Cálculo MP'!P421="","",'Cálculo MP'!P421)</f>
        <v/>
      </c>
      <c r="BE411" s="60" t="str">
        <f>IF('Cálculo MP'!Q421="","",'Cálculo MP'!Q421)</f>
        <v/>
      </c>
      <c r="BF411" s="60" t="str">
        <f>IF('Cálculo MP'!R421="","",'Cálculo MP'!R421)</f>
        <v/>
      </c>
      <c r="BG411" s="60" t="str">
        <f>IF('Cálculo MP'!S421="","",'Cálculo MP'!S421)</f>
        <v/>
      </c>
      <c r="BH411" s="59"/>
      <c r="BI411" s="59"/>
      <c r="BJ411" s="59"/>
      <c r="BK411" s="59"/>
      <c r="BL411" s="59"/>
      <c r="BM411" s="59"/>
      <c r="BN411" s="59"/>
      <c r="BO411" s="59"/>
    </row>
    <row r="412" spans="1:67" ht="19.5" customHeight="1" x14ac:dyDescent="0.15">
      <c r="A412" s="123" t="s">
        <v>1856</v>
      </c>
      <c r="B412" s="122" t="s">
        <v>1854</v>
      </c>
      <c r="C412" s="49"/>
      <c r="D412" s="48" t="s">
        <v>73</v>
      </c>
      <c r="E412" s="49"/>
      <c r="F412" s="50"/>
      <c r="G412" s="62"/>
      <c r="H412" s="48" t="s">
        <v>72</v>
      </c>
      <c r="I412" s="52">
        <v>1</v>
      </c>
      <c r="J412" s="52"/>
      <c r="K412" s="52" t="s">
        <v>73</v>
      </c>
      <c r="L412" s="52" t="s">
        <v>74</v>
      </c>
      <c r="M412" s="53" t="s">
        <v>942</v>
      </c>
      <c r="N412" s="58" t="s">
        <v>73</v>
      </c>
      <c r="O412" s="48" t="s">
        <v>72</v>
      </c>
      <c r="P412" s="48" t="s">
        <v>73</v>
      </c>
      <c r="Q412" s="54" t="s">
        <v>73</v>
      </c>
      <c r="R412" s="55" t="s">
        <v>73</v>
      </c>
      <c r="S412" s="48" t="s">
        <v>73</v>
      </c>
      <c r="T412" s="130"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8" t="str" cm="1">
        <f t="array" ref="U412">IF(SUMPRODUCT(--((CAT_Procesos!$E$2:$E$1581=O412)*(CAT_Procesos!$F$2:$F$1581=_xlfn.TEXTJOIN(" + ",TRUE,IF((TRIM(P412:S412)="")+(LOWER(TRIM(P412:S412))="(seleccione)"),"",PROPER(TRIM(P412:S412)))))*(CAT_Procesos!$D$2:$D$1581=IFERROR(VLOOKUP(N412&amp;"*",CAT_Procesos!$D:$D,1,FALSE),""))))=0,"Combinación no existente",IF(SUMPRODUCT(((CAT_Procesos!$E$2:$E$1581=O412)*(CAT_Procesos!$F$2:$F$1581=_xlfn.TEXTJOIN(" + ",TRUE,IF((TRIM(P412:S412)="")+(LOWER(TRIM(P412:S412))="(seleccione)"),"",PROPER(TRIM(P412:S412)))))*(CAT_Procesos!$D$2:$D$1581=IFERROR(VLOOKUP(N412&amp;"*",CAT_Procesos!$D:$D,1,FALSE),"")))*(CAT_Procesos!$G$2:$G$1581=INDEX(CAT_Procesos!$G$2:$G$1581,MATCH(1,(CAT_Procesos!$E$2:$E$1581=O412)*(CAT_Procesos!$F$2:$F$1581=_xlfn.TEXTJOIN(" + ",TRUE,IF((TRIM(P412:S412)="")+(LOWER(TRIM(P412:S412))="(seleccione)"),"",PROPER(TRIM(P412:S412)))))*(CAT_Procesos!$D$2:$D$1581=IFERROR(VLOOKUP(N412&amp;"*",CAT_Procesos!$D:$D,1,FALSE),"")),0))))=SUMPRODUCT(--((CAT_Procesos!$E$2:$E$1581=O412)*(CAT_Procesos!$F$2:$F$1581=_xlfn.TEXTJOIN(" + ",TRUE,IF((TRIM(P412:S412)="")+(LOWER(TRIM(P412:S412))="(seleccione)"),"",PROPER(TRIM(P412:S412)))))*(CAT_Procesos!$D$2:$D$1581=IFERROR(VLOOKUP(N412&amp;"*",CAT_Procesos!$D:$D,1,FALSE),"")))),INDEX(CAT_Procesos!$G$2:$G$1581,MATCH(1,(CAT_Procesos!$E$2:$E$1581=O412)*(CAT_Procesos!$F$2:$F$1581=_xlfn.TEXTJOIN(" + ",TRUE,IF((TRIM(P412:S412)="")+(LOWER(TRIM(P412:S412))="(seleccione)"),"",PROPER(TRIM(P412:S412)))))*(CAT_Procesos!$D$2:$D$1581=IFERROR(VLOOKUP(N412&amp;"*",CAT_Procesos!$D:$D,1,FALSE),"")),0)),"(seleccione)"))</f>
        <v>Combinación no existente</v>
      </c>
      <c r="V412" s="55" t="s">
        <v>73</v>
      </c>
      <c r="W412" s="56" t="s">
        <v>73</v>
      </c>
      <c r="X412" s="57" t="str">
        <f t="shared" si="24"/>
        <v/>
      </c>
      <c r="Y412" s="58" t="s">
        <v>73</v>
      </c>
      <c r="Z412" s="57" t="str">
        <f t="shared" si="25"/>
        <v/>
      </c>
      <c r="AA412" s="58" t="s">
        <v>73</v>
      </c>
      <c r="AB412" s="57" t="str">
        <f t="shared" si="26"/>
        <v/>
      </c>
      <c r="AC412" s="58" t="s">
        <v>73</v>
      </c>
      <c r="AD412" s="57" t="str">
        <f t="shared" si="27"/>
        <v/>
      </c>
      <c r="AE412" s="59"/>
      <c r="AF412" s="59"/>
      <c r="AG412" s="59"/>
      <c r="AH412" s="59"/>
      <c r="AI412" s="59" t="s">
        <v>73</v>
      </c>
      <c r="AJ412" s="59"/>
      <c r="AK412" s="59" t="s">
        <v>73</v>
      </c>
      <c r="AL412" s="59"/>
      <c r="AM412" s="59" t="s">
        <v>73</v>
      </c>
      <c r="AN412" s="59"/>
      <c r="AO412" s="59" t="s">
        <v>73</v>
      </c>
      <c r="AP412" s="59"/>
      <c r="AQ412" s="59" t="s">
        <v>73</v>
      </c>
      <c r="AR412" s="59"/>
      <c r="AS412" s="59" t="s">
        <v>72</v>
      </c>
      <c r="AT412" s="59"/>
      <c r="AU412" s="59"/>
      <c r="AV412" s="59"/>
      <c r="AW412" s="59"/>
      <c r="AX412" s="59"/>
      <c r="AY412" s="60" t="str">
        <f>IF('Cálculo MP'!K422="","",'Cálculo MP'!K422)</f>
        <v/>
      </c>
      <c r="AZ412" s="60" t="str">
        <f>IF('Cálculo MP'!L422="","",'Cálculo MP'!L422)</f>
        <v/>
      </c>
      <c r="BA412" s="60" t="str">
        <f>IF('Cálculo MP'!M422="","",'Cálculo MP'!M422)</f>
        <v/>
      </c>
      <c r="BB412" s="60" t="str">
        <f>IF('Cálculo MP'!N422="","",'Cálculo MP'!N422)</f>
        <v/>
      </c>
      <c r="BC412" s="60" t="str">
        <f>IF('Cálculo MP'!O422="","",'Cálculo MP'!O422)</f>
        <v/>
      </c>
      <c r="BD412" s="60" t="str">
        <f>IF('Cálculo MP'!P422="","",'Cálculo MP'!P422)</f>
        <v/>
      </c>
      <c r="BE412" s="60" t="str">
        <f>IF('Cálculo MP'!Q422="","",'Cálculo MP'!Q422)</f>
        <v/>
      </c>
      <c r="BF412" s="60" t="str">
        <f>IF('Cálculo MP'!R422="","",'Cálculo MP'!R422)</f>
        <v/>
      </c>
      <c r="BG412" s="60" t="str">
        <f>IF('Cálculo MP'!S422="","",'Cálculo MP'!S422)</f>
        <v/>
      </c>
      <c r="BH412" s="59"/>
      <c r="BI412" s="59"/>
      <c r="BJ412" s="59"/>
      <c r="BK412" s="59"/>
      <c r="BL412" s="59"/>
      <c r="BM412" s="59"/>
      <c r="BN412" s="59"/>
      <c r="BO412" s="59"/>
    </row>
    <row r="413" spans="1:67" ht="19.5" customHeight="1" x14ac:dyDescent="0.15">
      <c r="A413" s="123" t="s">
        <v>1856</v>
      </c>
      <c r="B413" s="122" t="s">
        <v>1854</v>
      </c>
      <c r="C413" s="49"/>
      <c r="D413" s="48" t="s">
        <v>73</v>
      </c>
      <c r="E413" s="49"/>
      <c r="F413" s="50"/>
      <c r="G413" s="62"/>
      <c r="H413" s="48" t="s">
        <v>72</v>
      </c>
      <c r="I413" s="52">
        <v>1</v>
      </c>
      <c r="J413" s="52"/>
      <c r="K413" s="52" t="s">
        <v>73</v>
      </c>
      <c r="L413" s="52" t="s">
        <v>74</v>
      </c>
      <c r="M413" s="53" t="s">
        <v>942</v>
      </c>
      <c r="N413" s="58" t="s">
        <v>73</v>
      </c>
      <c r="O413" s="48" t="s">
        <v>72</v>
      </c>
      <c r="P413" s="48" t="s">
        <v>73</v>
      </c>
      <c r="Q413" s="54" t="s">
        <v>73</v>
      </c>
      <c r="R413" s="55" t="s">
        <v>73</v>
      </c>
      <c r="S413" s="48" t="s">
        <v>73</v>
      </c>
      <c r="T413" s="130"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8" t="str" cm="1">
        <f t="array" ref="U413">IF(SUMPRODUCT(--((CAT_Procesos!$E$2:$E$1581=O413)*(CAT_Procesos!$F$2:$F$1581=_xlfn.TEXTJOIN(" + ",TRUE,IF((TRIM(P413:S413)="")+(LOWER(TRIM(P413:S413))="(seleccione)"),"",PROPER(TRIM(P413:S413)))))*(CAT_Procesos!$D$2:$D$1581=IFERROR(VLOOKUP(N413&amp;"*",CAT_Procesos!$D:$D,1,FALSE),""))))=0,"Combinación no existente",IF(SUMPRODUCT(((CAT_Procesos!$E$2:$E$1581=O413)*(CAT_Procesos!$F$2:$F$1581=_xlfn.TEXTJOIN(" + ",TRUE,IF((TRIM(P413:S413)="")+(LOWER(TRIM(P413:S413))="(seleccione)"),"",PROPER(TRIM(P413:S413)))))*(CAT_Procesos!$D$2:$D$1581=IFERROR(VLOOKUP(N413&amp;"*",CAT_Procesos!$D:$D,1,FALSE),"")))*(CAT_Procesos!$G$2:$G$1581=INDEX(CAT_Procesos!$G$2:$G$1581,MATCH(1,(CAT_Procesos!$E$2:$E$1581=O413)*(CAT_Procesos!$F$2:$F$1581=_xlfn.TEXTJOIN(" + ",TRUE,IF((TRIM(P413:S413)="")+(LOWER(TRIM(P413:S413))="(seleccione)"),"",PROPER(TRIM(P413:S413)))))*(CAT_Procesos!$D$2:$D$1581=IFERROR(VLOOKUP(N413&amp;"*",CAT_Procesos!$D:$D,1,FALSE),"")),0))))=SUMPRODUCT(--((CAT_Procesos!$E$2:$E$1581=O413)*(CAT_Procesos!$F$2:$F$1581=_xlfn.TEXTJOIN(" + ",TRUE,IF((TRIM(P413:S413)="")+(LOWER(TRIM(P413:S413))="(seleccione)"),"",PROPER(TRIM(P413:S413)))))*(CAT_Procesos!$D$2:$D$1581=IFERROR(VLOOKUP(N413&amp;"*",CAT_Procesos!$D:$D,1,FALSE),"")))),INDEX(CAT_Procesos!$G$2:$G$1581,MATCH(1,(CAT_Procesos!$E$2:$E$1581=O413)*(CAT_Procesos!$F$2:$F$1581=_xlfn.TEXTJOIN(" + ",TRUE,IF((TRIM(P413:S413)="")+(LOWER(TRIM(P413:S413))="(seleccione)"),"",PROPER(TRIM(P413:S413)))))*(CAT_Procesos!$D$2:$D$1581=IFERROR(VLOOKUP(N413&amp;"*",CAT_Procesos!$D:$D,1,FALSE),"")),0)),"(seleccione)"))</f>
        <v>Combinación no existente</v>
      </c>
      <c r="V413" s="55" t="s">
        <v>73</v>
      </c>
      <c r="W413" s="56" t="s">
        <v>73</v>
      </c>
      <c r="X413" s="57" t="str">
        <f t="shared" si="24"/>
        <v/>
      </c>
      <c r="Y413" s="58" t="s">
        <v>73</v>
      </c>
      <c r="Z413" s="57" t="str">
        <f t="shared" si="25"/>
        <v/>
      </c>
      <c r="AA413" s="58" t="s">
        <v>73</v>
      </c>
      <c r="AB413" s="57" t="str">
        <f t="shared" si="26"/>
        <v/>
      </c>
      <c r="AC413" s="58" t="s">
        <v>73</v>
      </c>
      <c r="AD413" s="57" t="str">
        <f t="shared" si="27"/>
        <v/>
      </c>
      <c r="AE413" s="59"/>
      <c r="AF413" s="59"/>
      <c r="AG413" s="59"/>
      <c r="AH413" s="59"/>
      <c r="AI413" s="59" t="s">
        <v>73</v>
      </c>
      <c r="AJ413" s="59"/>
      <c r="AK413" s="59" t="s">
        <v>73</v>
      </c>
      <c r="AL413" s="59"/>
      <c r="AM413" s="59" t="s">
        <v>73</v>
      </c>
      <c r="AN413" s="59"/>
      <c r="AO413" s="59" t="s">
        <v>73</v>
      </c>
      <c r="AP413" s="59"/>
      <c r="AQ413" s="59" t="s">
        <v>73</v>
      </c>
      <c r="AR413" s="59"/>
      <c r="AS413" s="59" t="s">
        <v>72</v>
      </c>
      <c r="AT413" s="59"/>
      <c r="AU413" s="59"/>
      <c r="AV413" s="59"/>
      <c r="AW413" s="59"/>
      <c r="AX413" s="59"/>
      <c r="AY413" s="60" t="str">
        <f>IF('Cálculo MP'!K423="","",'Cálculo MP'!K423)</f>
        <v/>
      </c>
      <c r="AZ413" s="60" t="str">
        <f>IF('Cálculo MP'!L423="","",'Cálculo MP'!L423)</f>
        <v/>
      </c>
      <c r="BA413" s="60" t="str">
        <f>IF('Cálculo MP'!M423="","",'Cálculo MP'!M423)</f>
        <v/>
      </c>
      <c r="BB413" s="60" t="str">
        <f>IF('Cálculo MP'!N423="","",'Cálculo MP'!N423)</f>
        <v/>
      </c>
      <c r="BC413" s="60" t="str">
        <f>IF('Cálculo MP'!O423="","",'Cálculo MP'!O423)</f>
        <v/>
      </c>
      <c r="BD413" s="60" t="str">
        <f>IF('Cálculo MP'!P423="","",'Cálculo MP'!P423)</f>
        <v/>
      </c>
      <c r="BE413" s="60" t="str">
        <f>IF('Cálculo MP'!Q423="","",'Cálculo MP'!Q423)</f>
        <v/>
      </c>
      <c r="BF413" s="60" t="str">
        <f>IF('Cálculo MP'!R423="","",'Cálculo MP'!R423)</f>
        <v/>
      </c>
      <c r="BG413" s="60" t="str">
        <f>IF('Cálculo MP'!S423="","",'Cálculo MP'!S423)</f>
        <v/>
      </c>
      <c r="BH413" s="59"/>
      <c r="BI413" s="59"/>
      <c r="BJ413" s="59"/>
      <c r="BK413" s="59"/>
      <c r="BL413" s="59"/>
      <c r="BM413" s="59"/>
      <c r="BN413" s="59"/>
      <c r="BO413" s="59"/>
    </row>
    <row r="414" spans="1:67" ht="19.5" customHeight="1" x14ac:dyDescent="0.15">
      <c r="A414" s="123" t="s">
        <v>1856</v>
      </c>
      <c r="B414" s="122" t="s">
        <v>1854</v>
      </c>
      <c r="C414" s="49"/>
      <c r="D414" s="48" t="s">
        <v>73</v>
      </c>
      <c r="E414" s="49"/>
      <c r="F414" s="50"/>
      <c r="G414" s="62"/>
      <c r="H414" s="48" t="s">
        <v>72</v>
      </c>
      <c r="I414" s="52">
        <v>1</v>
      </c>
      <c r="J414" s="52"/>
      <c r="K414" s="52" t="s">
        <v>73</v>
      </c>
      <c r="L414" s="52" t="s">
        <v>74</v>
      </c>
      <c r="M414" s="53" t="s">
        <v>942</v>
      </c>
      <c r="N414" s="58" t="s">
        <v>73</v>
      </c>
      <c r="O414" s="48" t="s">
        <v>72</v>
      </c>
      <c r="P414" s="48" t="s">
        <v>73</v>
      </c>
      <c r="Q414" s="54" t="s">
        <v>73</v>
      </c>
      <c r="R414" s="55" t="s">
        <v>73</v>
      </c>
      <c r="S414" s="48" t="s">
        <v>73</v>
      </c>
      <c r="T414" s="130"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8" t="str" cm="1">
        <f t="array" ref="U414">IF(SUMPRODUCT(--((CAT_Procesos!$E$2:$E$1581=O414)*(CAT_Procesos!$F$2:$F$1581=_xlfn.TEXTJOIN(" + ",TRUE,IF((TRIM(P414:S414)="")+(LOWER(TRIM(P414:S414))="(seleccione)"),"",PROPER(TRIM(P414:S414)))))*(CAT_Procesos!$D$2:$D$1581=IFERROR(VLOOKUP(N414&amp;"*",CAT_Procesos!$D:$D,1,FALSE),""))))=0,"Combinación no existente",IF(SUMPRODUCT(((CAT_Procesos!$E$2:$E$1581=O414)*(CAT_Procesos!$F$2:$F$1581=_xlfn.TEXTJOIN(" + ",TRUE,IF((TRIM(P414:S414)="")+(LOWER(TRIM(P414:S414))="(seleccione)"),"",PROPER(TRIM(P414:S414)))))*(CAT_Procesos!$D$2:$D$1581=IFERROR(VLOOKUP(N414&amp;"*",CAT_Procesos!$D:$D,1,FALSE),"")))*(CAT_Procesos!$G$2:$G$1581=INDEX(CAT_Procesos!$G$2:$G$1581,MATCH(1,(CAT_Procesos!$E$2:$E$1581=O414)*(CAT_Procesos!$F$2:$F$1581=_xlfn.TEXTJOIN(" + ",TRUE,IF((TRIM(P414:S414)="")+(LOWER(TRIM(P414:S414))="(seleccione)"),"",PROPER(TRIM(P414:S414)))))*(CAT_Procesos!$D$2:$D$1581=IFERROR(VLOOKUP(N414&amp;"*",CAT_Procesos!$D:$D,1,FALSE),"")),0))))=SUMPRODUCT(--((CAT_Procesos!$E$2:$E$1581=O414)*(CAT_Procesos!$F$2:$F$1581=_xlfn.TEXTJOIN(" + ",TRUE,IF((TRIM(P414:S414)="")+(LOWER(TRIM(P414:S414))="(seleccione)"),"",PROPER(TRIM(P414:S414)))))*(CAT_Procesos!$D$2:$D$1581=IFERROR(VLOOKUP(N414&amp;"*",CAT_Procesos!$D:$D,1,FALSE),"")))),INDEX(CAT_Procesos!$G$2:$G$1581,MATCH(1,(CAT_Procesos!$E$2:$E$1581=O414)*(CAT_Procesos!$F$2:$F$1581=_xlfn.TEXTJOIN(" + ",TRUE,IF((TRIM(P414:S414)="")+(LOWER(TRIM(P414:S414))="(seleccione)"),"",PROPER(TRIM(P414:S414)))))*(CAT_Procesos!$D$2:$D$1581=IFERROR(VLOOKUP(N414&amp;"*",CAT_Procesos!$D:$D,1,FALSE),"")),0)),"(seleccione)"))</f>
        <v>Combinación no existente</v>
      </c>
      <c r="V414" s="55" t="s">
        <v>73</v>
      </c>
      <c r="W414" s="56" t="s">
        <v>73</v>
      </c>
      <c r="X414" s="57" t="str">
        <f t="shared" si="24"/>
        <v/>
      </c>
      <c r="Y414" s="58" t="s">
        <v>73</v>
      </c>
      <c r="Z414" s="57" t="str">
        <f t="shared" si="25"/>
        <v/>
      </c>
      <c r="AA414" s="58" t="s">
        <v>73</v>
      </c>
      <c r="AB414" s="57" t="str">
        <f t="shared" si="26"/>
        <v/>
      </c>
      <c r="AC414" s="58" t="s">
        <v>73</v>
      </c>
      <c r="AD414" s="57" t="str">
        <f t="shared" si="27"/>
        <v/>
      </c>
      <c r="AE414" s="59"/>
      <c r="AF414" s="59"/>
      <c r="AG414" s="59"/>
      <c r="AH414" s="59"/>
      <c r="AI414" s="59" t="s">
        <v>73</v>
      </c>
      <c r="AJ414" s="59"/>
      <c r="AK414" s="59" t="s">
        <v>73</v>
      </c>
      <c r="AL414" s="59"/>
      <c r="AM414" s="59" t="s">
        <v>73</v>
      </c>
      <c r="AN414" s="59"/>
      <c r="AO414" s="59" t="s">
        <v>73</v>
      </c>
      <c r="AP414" s="59"/>
      <c r="AQ414" s="59" t="s">
        <v>73</v>
      </c>
      <c r="AR414" s="59"/>
      <c r="AS414" s="59" t="s">
        <v>72</v>
      </c>
      <c r="AT414" s="59"/>
      <c r="AU414" s="59"/>
      <c r="AV414" s="59"/>
      <c r="AW414" s="59"/>
      <c r="AX414" s="59"/>
      <c r="AY414" s="60" t="str">
        <f>IF('Cálculo MP'!K424="","",'Cálculo MP'!K424)</f>
        <v/>
      </c>
      <c r="AZ414" s="60" t="str">
        <f>IF('Cálculo MP'!L424="","",'Cálculo MP'!L424)</f>
        <v/>
      </c>
      <c r="BA414" s="60" t="str">
        <f>IF('Cálculo MP'!M424="","",'Cálculo MP'!M424)</f>
        <v/>
      </c>
      <c r="BB414" s="60" t="str">
        <f>IF('Cálculo MP'!N424="","",'Cálculo MP'!N424)</f>
        <v/>
      </c>
      <c r="BC414" s="60" t="str">
        <f>IF('Cálculo MP'!O424="","",'Cálculo MP'!O424)</f>
        <v/>
      </c>
      <c r="BD414" s="60" t="str">
        <f>IF('Cálculo MP'!P424="","",'Cálculo MP'!P424)</f>
        <v/>
      </c>
      <c r="BE414" s="60" t="str">
        <f>IF('Cálculo MP'!Q424="","",'Cálculo MP'!Q424)</f>
        <v/>
      </c>
      <c r="BF414" s="60" t="str">
        <f>IF('Cálculo MP'!R424="","",'Cálculo MP'!R424)</f>
        <v/>
      </c>
      <c r="BG414" s="60" t="str">
        <f>IF('Cálculo MP'!S424="","",'Cálculo MP'!S424)</f>
        <v/>
      </c>
      <c r="BH414" s="59"/>
      <c r="BI414" s="59"/>
      <c r="BJ414" s="59"/>
      <c r="BK414" s="59"/>
      <c r="BL414" s="59"/>
      <c r="BM414" s="59"/>
      <c r="BN414" s="59"/>
      <c r="BO414" s="59"/>
    </row>
    <row r="415" spans="1:67" ht="19.5" customHeight="1" x14ac:dyDescent="0.15">
      <c r="A415" s="123" t="s">
        <v>1856</v>
      </c>
      <c r="B415" s="122" t="s">
        <v>1854</v>
      </c>
      <c r="C415" s="49"/>
      <c r="D415" s="48" t="s">
        <v>73</v>
      </c>
      <c r="E415" s="49"/>
      <c r="F415" s="50"/>
      <c r="G415" s="62"/>
      <c r="H415" s="48" t="s">
        <v>72</v>
      </c>
      <c r="I415" s="52">
        <v>1</v>
      </c>
      <c r="J415" s="52"/>
      <c r="K415" s="52" t="s">
        <v>73</v>
      </c>
      <c r="L415" s="52" t="s">
        <v>74</v>
      </c>
      <c r="M415" s="53" t="s">
        <v>942</v>
      </c>
      <c r="N415" s="58" t="s">
        <v>73</v>
      </c>
      <c r="O415" s="48" t="s">
        <v>72</v>
      </c>
      <c r="P415" s="48" t="s">
        <v>73</v>
      </c>
      <c r="Q415" s="54" t="s">
        <v>73</v>
      </c>
      <c r="R415" s="55" t="s">
        <v>73</v>
      </c>
      <c r="S415" s="48" t="s">
        <v>73</v>
      </c>
      <c r="T415" s="130"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8" t="str" cm="1">
        <f t="array" ref="U415">IF(SUMPRODUCT(--((CAT_Procesos!$E$2:$E$1581=O415)*(CAT_Procesos!$F$2:$F$1581=_xlfn.TEXTJOIN(" + ",TRUE,IF((TRIM(P415:S415)="")+(LOWER(TRIM(P415:S415))="(seleccione)"),"",PROPER(TRIM(P415:S415)))))*(CAT_Procesos!$D$2:$D$1581=IFERROR(VLOOKUP(N415&amp;"*",CAT_Procesos!$D:$D,1,FALSE),""))))=0,"Combinación no existente",IF(SUMPRODUCT(((CAT_Procesos!$E$2:$E$1581=O415)*(CAT_Procesos!$F$2:$F$1581=_xlfn.TEXTJOIN(" + ",TRUE,IF((TRIM(P415:S415)="")+(LOWER(TRIM(P415:S415))="(seleccione)"),"",PROPER(TRIM(P415:S415)))))*(CAT_Procesos!$D$2:$D$1581=IFERROR(VLOOKUP(N415&amp;"*",CAT_Procesos!$D:$D,1,FALSE),"")))*(CAT_Procesos!$G$2:$G$1581=INDEX(CAT_Procesos!$G$2:$G$1581,MATCH(1,(CAT_Procesos!$E$2:$E$1581=O415)*(CAT_Procesos!$F$2:$F$1581=_xlfn.TEXTJOIN(" + ",TRUE,IF((TRIM(P415:S415)="")+(LOWER(TRIM(P415:S415))="(seleccione)"),"",PROPER(TRIM(P415:S415)))))*(CAT_Procesos!$D$2:$D$1581=IFERROR(VLOOKUP(N415&amp;"*",CAT_Procesos!$D:$D,1,FALSE),"")),0))))=SUMPRODUCT(--((CAT_Procesos!$E$2:$E$1581=O415)*(CAT_Procesos!$F$2:$F$1581=_xlfn.TEXTJOIN(" + ",TRUE,IF((TRIM(P415:S415)="")+(LOWER(TRIM(P415:S415))="(seleccione)"),"",PROPER(TRIM(P415:S415)))))*(CAT_Procesos!$D$2:$D$1581=IFERROR(VLOOKUP(N415&amp;"*",CAT_Procesos!$D:$D,1,FALSE),"")))),INDEX(CAT_Procesos!$G$2:$G$1581,MATCH(1,(CAT_Procesos!$E$2:$E$1581=O415)*(CAT_Procesos!$F$2:$F$1581=_xlfn.TEXTJOIN(" + ",TRUE,IF((TRIM(P415:S415)="")+(LOWER(TRIM(P415:S415))="(seleccione)"),"",PROPER(TRIM(P415:S415)))))*(CAT_Procesos!$D$2:$D$1581=IFERROR(VLOOKUP(N415&amp;"*",CAT_Procesos!$D:$D,1,FALSE),"")),0)),"(seleccione)"))</f>
        <v>Combinación no existente</v>
      </c>
      <c r="V415" s="55" t="s">
        <v>73</v>
      </c>
      <c r="W415" s="56" t="s">
        <v>73</v>
      </c>
      <c r="X415" s="57" t="str">
        <f t="shared" si="24"/>
        <v/>
      </c>
      <c r="Y415" s="58" t="s">
        <v>73</v>
      </c>
      <c r="Z415" s="57" t="str">
        <f t="shared" si="25"/>
        <v/>
      </c>
      <c r="AA415" s="58" t="s">
        <v>73</v>
      </c>
      <c r="AB415" s="57" t="str">
        <f t="shared" si="26"/>
        <v/>
      </c>
      <c r="AC415" s="58" t="s">
        <v>73</v>
      </c>
      <c r="AD415" s="57" t="str">
        <f t="shared" si="27"/>
        <v/>
      </c>
      <c r="AE415" s="59"/>
      <c r="AF415" s="59"/>
      <c r="AG415" s="59"/>
      <c r="AH415" s="59"/>
      <c r="AI415" s="59" t="s">
        <v>73</v>
      </c>
      <c r="AJ415" s="59"/>
      <c r="AK415" s="59" t="s">
        <v>73</v>
      </c>
      <c r="AL415" s="59"/>
      <c r="AM415" s="59" t="s">
        <v>73</v>
      </c>
      <c r="AN415" s="59"/>
      <c r="AO415" s="59" t="s">
        <v>73</v>
      </c>
      <c r="AP415" s="59"/>
      <c r="AQ415" s="59" t="s">
        <v>73</v>
      </c>
      <c r="AR415" s="59"/>
      <c r="AS415" s="59" t="s">
        <v>72</v>
      </c>
      <c r="AT415" s="59"/>
      <c r="AU415" s="59"/>
      <c r="AV415" s="59"/>
      <c r="AW415" s="59"/>
      <c r="AX415" s="59"/>
      <c r="AY415" s="60" t="str">
        <f>IF('Cálculo MP'!K425="","",'Cálculo MP'!K425)</f>
        <v/>
      </c>
      <c r="AZ415" s="60" t="str">
        <f>IF('Cálculo MP'!L425="","",'Cálculo MP'!L425)</f>
        <v/>
      </c>
      <c r="BA415" s="60" t="str">
        <f>IF('Cálculo MP'!M425="","",'Cálculo MP'!M425)</f>
        <v/>
      </c>
      <c r="BB415" s="60" t="str">
        <f>IF('Cálculo MP'!N425="","",'Cálculo MP'!N425)</f>
        <v/>
      </c>
      <c r="BC415" s="60" t="str">
        <f>IF('Cálculo MP'!O425="","",'Cálculo MP'!O425)</f>
        <v/>
      </c>
      <c r="BD415" s="60" t="str">
        <f>IF('Cálculo MP'!P425="","",'Cálculo MP'!P425)</f>
        <v/>
      </c>
      <c r="BE415" s="60" t="str">
        <f>IF('Cálculo MP'!Q425="","",'Cálculo MP'!Q425)</f>
        <v/>
      </c>
      <c r="BF415" s="60" t="str">
        <f>IF('Cálculo MP'!R425="","",'Cálculo MP'!R425)</f>
        <v/>
      </c>
      <c r="BG415" s="60" t="str">
        <f>IF('Cálculo MP'!S425="","",'Cálculo MP'!S425)</f>
        <v/>
      </c>
      <c r="BH415" s="59"/>
      <c r="BI415" s="59"/>
      <c r="BJ415" s="59"/>
      <c r="BK415" s="59"/>
      <c r="BL415" s="59"/>
      <c r="BM415" s="59"/>
      <c r="BN415" s="59"/>
      <c r="BO415" s="59"/>
    </row>
    <row r="416" spans="1:67" ht="19.5" customHeight="1" x14ac:dyDescent="0.15">
      <c r="A416" s="123" t="s">
        <v>1856</v>
      </c>
      <c r="B416" s="122" t="s">
        <v>1854</v>
      </c>
      <c r="C416" s="49"/>
      <c r="D416" s="48" t="s">
        <v>73</v>
      </c>
      <c r="E416" s="49"/>
      <c r="F416" s="50"/>
      <c r="G416" s="62"/>
      <c r="H416" s="48" t="s">
        <v>72</v>
      </c>
      <c r="I416" s="52">
        <v>1</v>
      </c>
      <c r="J416" s="52"/>
      <c r="K416" s="52" t="s">
        <v>73</v>
      </c>
      <c r="L416" s="52" t="s">
        <v>74</v>
      </c>
      <c r="M416" s="53" t="s">
        <v>942</v>
      </c>
      <c r="N416" s="58" t="s">
        <v>73</v>
      </c>
      <c r="O416" s="48" t="s">
        <v>72</v>
      </c>
      <c r="P416" s="48" t="s">
        <v>73</v>
      </c>
      <c r="Q416" s="54" t="s">
        <v>73</v>
      </c>
      <c r="R416" s="55" t="s">
        <v>73</v>
      </c>
      <c r="S416" s="48" t="s">
        <v>73</v>
      </c>
      <c r="T416" s="130"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8" t="str" cm="1">
        <f t="array" ref="U416">IF(SUMPRODUCT(--((CAT_Procesos!$E$2:$E$1581=O416)*(CAT_Procesos!$F$2:$F$1581=_xlfn.TEXTJOIN(" + ",TRUE,IF((TRIM(P416:S416)="")+(LOWER(TRIM(P416:S416))="(seleccione)"),"",PROPER(TRIM(P416:S416)))))*(CAT_Procesos!$D$2:$D$1581=IFERROR(VLOOKUP(N416&amp;"*",CAT_Procesos!$D:$D,1,FALSE),""))))=0,"Combinación no existente",IF(SUMPRODUCT(((CAT_Procesos!$E$2:$E$1581=O416)*(CAT_Procesos!$F$2:$F$1581=_xlfn.TEXTJOIN(" + ",TRUE,IF((TRIM(P416:S416)="")+(LOWER(TRIM(P416:S416))="(seleccione)"),"",PROPER(TRIM(P416:S416)))))*(CAT_Procesos!$D$2:$D$1581=IFERROR(VLOOKUP(N416&amp;"*",CAT_Procesos!$D:$D,1,FALSE),"")))*(CAT_Procesos!$G$2:$G$1581=INDEX(CAT_Procesos!$G$2:$G$1581,MATCH(1,(CAT_Procesos!$E$2:$E$1581=O416)*(CAT_Procesos!$F$2:$F$1581=_xlfn.TEXTJOIN(" + ",TRUE,IF((TRIM(P416:S416)="")+(LOWER(TRIM(P416:S416))="(seleccione)"),"",PROPER(TRIM(P416:S416)))))*(CAT_Procesos!$D$2:$D$1581=IFERROR(VLOOKUP(N416&amp;"*",CAT_Procesos!$D:$D,1,FALSE),"")),0))))=SUMPRODUCT(--((CAT_Procesos!$E$2:$E$1581=O416)*(CAT_Procesos!$F$2:$F$1581=_xlfn.TEXTJOIN(" + ",TRUE,IF((TRIM(P416:S416)="")+(LOWER(TRIM(P416:S416))="(seleccione)"),"",PROPER(TRIM(P416:S416)))))*(CAT_Procesos!$D$2:$D$1581=IFERROR(VLOOKUP(N416&amp;"*",CAT_Procesos!$D:$D,1,FALSE),"")))),INDEX(CAT_Procesos!$G$2:$G$1581,MATCH(1,(CAT_Procesos!$E$2:$E$1581=O416)*(CAT_Procesos!$F$2:$F$1581=_xlfn.TEXTJOIN(" + ",TRUE,IF((TRIM(P416:S416)="")+(LOWER(TRIM(P416:S416))="(seleccione)"),"",PROPER(TRIM(P416:S416)))))*(CAT_Procesos!$D$2:$D$1581=IFERROR(VLOOKUP(N416&amp;"*",CAT_Procesos!$D:$D,1,FALSE),"")),0)),"(seleccione)"))</f>
        <v>Combinación no existente</v>
      </c>
      <c r="V416" s="55" t="s">
        <v>73</v>
      </c>
      <c r="W416" s="56" t="s">
        <v>73</v>
      </c>
      <c r="X416" s="57" t="str">
        <f t="shared" si="24"/>
        <v/>
      </c>
      <c r="Y416" s="58" t="s">
        <v>73</v>
      </c>
      <c r="Z416" s="57" t="str">
        <f t="shared" si="25"/>
        <v/>
      </c>
      <c r="AA416" s="58" t="s">
        <v>73</v>
      </c>
      <c r="AB416" s="57" t="str">
        <f t="shared" si="26"/>
        <v/>
      </c>
      <c r="AC416" s="58" t="s">
        <v>73</v>
      </c>
      <c r="AD416" s="57" t="str">
        <f t="shared" si="27"/>
        <v/>
      </c>
      <c r="AE416" s="59"/>
      <c r="AF416" s="59"/>
      <c r="AG416" s="59"/>
      <c r="AH416" s="59"/>
      <c r="AI416" s="59" t="s">
        <v>73</v>
      </c>
      <c r="AJ416" s="59"/>
      <c r="AK416" s="59" t="s">
        <v>73</v>
      </c>
      <c r="AL416" s="59"/>
      <c r="AM416" s="59" t="s">
        <v>73</v>
      </c>
      <c r="AN416" s="59"/>
      <c r="AO416" s="59" t="s">
        <v>73</v>
      </c>
      <c r="AP416" s="59"/>
      <c r="AQ416" s="59" t="s">
        <v>73</v>
      </c>
      <c r="AR416" s="59"/>
      <c r="AS416" s="59" t="s">
        <v>72</v>
      </c>
      <c r="AT416" s="59"/>
      <c r="AU416" s="59"/>
      <c r="AV416" s="59"/>
      <c r="AW416" s="59"/>
      <c r="AX416" s="59"/>
      <c r="AY416" s="60" t="str">
        <f>IF('Cálculo MP'!K426="","",'Cálculo MP'!K426)</f>
        <v/>
      </c>
      <c r="AZ416" s="60" t="str">
        <f>IF('Cálculo MP'!L426="","",'Cálculo MP'!L426)</f>
        <v/>
      </c>
      <c r="BA416" s="60" t="str">
        <f>IF('Cálculo MP'!M426="","",'Cálculo MP'!M426)</f>
        <v/>
      </c>
      <c r="BB416" s="60" t="str">
        <f>IF('Cálculo MP'!N426="","",'Cálculo MP'!N426)</f>
        <v/>
      </c>
      <c r="BC416" s="60" t="str">
        <f>IF('Cálculo MP'!O426="","",'Cálculo MP'!O426)</f>
        <v/>
      </c>
      <c r="BD416" s="60" t="str">
        <f>IF('Cálculo MP'!P426="","",'Cálculo MP'!P426)</f>
        <v/>
      </c>
      <c r="BE416" s="60" t="str">
        <f>IF('Cálculo MP'!Q426="","",'Cálculo MP'!Q426)</f>
        <v/>
      </c>
      <c r="BF416" s="60" t="str">
        <f>IF('Cálculo MP'!R426="","",'Cálculo MP'!R426)</f>
        <v/>
      </c>
      <c r="BG416" s="60" t="str">
        <f>IF('Cálculo MP'!S426="","",'Cálculo MP'!S426)</f>
        <v/>
      </c>
      <c r="BH416" s="59"/>
      <c r="BI416" s="59"/>
      <c r="BJ416" s="59"/>
      <c r="BK416" s="59"/>
      <c r="BL416" s="59"/>
      <c r="BM416" s="59"/>
      <c r="BN416" s="59"/>
      <c r="BO416" s="59"/>
    </row>
    <row r="417" spans="1:67" ht="19.5" customHeight="1" x14ac:dyDescent="0.15">
      <c r="A417" s="123" t="s">
        <v>1856</v>
      </c>
      <c r="B417" s="122" t="s">
        <v>1854</v>
      </c>
      <c r="C417" s="49"/>
      <c r="D417" s="48" t="s">
        <v>73</v>
      </c>
      <c r="E417" s="49"/>
      <c r="F417" s="50"/>
      <c r="G417" s="62"/>
      <c r="H417" s="48" t="s">
        <v>72</v>
      </c>
      <c r="I417" s="52">
        <v>1</v>
      </c>
      <c r="J417" s="52"/>
      <c r="K417" s="52" t="s">
        <v>73</v>
      </c>
      <c r="L417" s="52" t="s">
        <v>74</v>
      </c>
      <c r="M417" s="53" t="s">
        <v>942</v>
      </c>
      <c r="N417" s="58" t="s">
        <v>73</v>
      </c>
      <c r="O417" s="48" t="s">
        <v>72</v>
      </c>
      <c r="P417" s="48" t="s">
        <v>73</v>
      </c>
      <c r="Q417" s="54" t="s">
        <v>73</v>
      </c>
      <c r="R417" s="55" t="s">
        <v>73</v>
      </c>
      <c r="S417" s="48" t="s">
        <v>73</v>
      </c>
      <c r="T417" s="130"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8" t="str" cm="1">
        <f t="array" ref="U417">IF(SUMPRODUCT(--((CAT_Procesos!$E$2:$E$1581=O417)*(CAT_Procesos!$F$2:$F$1581=_xlfn.TEXTJOIN(" + ",TRUE,IF((TRIM(P417:S417)="")+(LOWER(TRIM(P417:S417))="(seleccione)"),"",PROPER(TRIM(P417:S417)))))*(CAT_Procesos!$D$2:$D$1581=IFERROR(VLOOKUP(N417&amp;"*",CAT_Procesos!$D:$D,1,FALSE),""))))=0,"Combinación no existente",IF(SUMPRODUCT(((CAT_Procesos!$E$2:$E$1581=O417)*(CAT_Procesos!$F$2:$F$1581=_xlfn.TEXTJOIN(" + ",TRUE,IF((TRIM(P417:S417)="")+(LOWER(TRIM(P417:S417))="(seleccione)"),"",PROPER(TRIM(P417:S417)))))*(CAT_Procesos!$D$2:$D$1581=IFERROR(VLOOKUP(N417&amp;"*",CAT_Procesos!$D:$D,1,FALSE),"")))*(CAT_Procesos!$G$2:$G$1581=INDEX(CAT_Procesos!$G$2:$G$1581,MATCH(1,(CAT_Procesos!$E$2:$E$1581=O417)*(CAT_Procesos!$F$2:$F$1581=_xlfn.TEXTJOIN(" + ",TRUE,IF((TRIM(P417:S417)="")+(LOWER(TRIM(P417:S417))="(seleccione)"),"",PROPER(TRIM(P417:S417)))))*(CAT_Procesos!$D$2:$D$1581=IFERROR(VLOOKUP(N417&amp;"*",CAT_Procesos!$D:$D,1,FALSE),"")),0))))=SUMPRODUCT(--((CAT_Procesos!$E$2:$E$1581=O417)*(CAT_Procesos!$F$2:$F$1581=_xlfn.TEXTJOIN(" + ",TRUE,IF((TRIM(P417:S417)="")+(LOWER(TRIM(P417:S417))="(seleccione)"),"",PROPER(TRIM(P417:S417)))))*(CAT_Procesos!$D$2:$D$1581=IFERROR(VLOOKUP(N417&amp;"*",CAT_Procesos!$D:$D,1,FALSE),"")))),INDEX(CAT_Procesos!$G$2:$G$1581,MATCH(1,(CAT_Procesos!$E$2:$E$1581=O417)*(CAT_Procesos!$F$2:$F$1581=_xlfn.TEXTJOIN(" + ",TRUE,IF((TRIM(P417:S417)="")+(LOWER(TRIM(P417:S417))="(seleccione)"),"",PROPER(TRIM(P417:S417)))))*(CAT_Procesos!$D$2:$D$1581=IFERROR(VLOOKUP(N417&amp;"*",CAT_Procesos!$D:$D,1,FALSE),"")),0)),"(seleccione)"))</f>
        <v>Combinación no existente</v>
      </c>
      <c r="V417" s="55" t="s">
        <v>73</v>
      </c>
      <c r="W417" s="56" t="s">
        <v>73</v>
      </c>
      <c r="X417" s="57" t="str">
        <f t="shared" si="24"/>
        <v/>
      </c>
      <c r="Y417" s="58" t="s">
        <v>73</v>
      </c>
      <c r="Z417" s="57" t="str">
        <f t="shared" si="25"/>
        <v/>
      </c>
      <c r="AA417" s="58" t="s">
        <v>73</v>
      </c>
      <c r="AB417" s="57" t="str">
        <f t="shared" si="26"/>
        <v/>
      </c>
      <c r="AC417" s="58" t="s">
        <v>73</v>
      </c>
      <c r="AD417" s="57" t="str">
        <f t="shared" si="27"/>
        <v/>
      </c>
      <c r="AE417" s="59"/>
      <c r="AF417" s="59"/>
      <c r="AG417" s="59"/>
      <c r="AH417" s="59"/>
      <c r="AI417" s="59" t="s">
        <v>73</v>
      </c>
      <c r="AJ417" s="59"/>
      <c r="AK417" s="59" t="s">
        <v>73</v>
      </c>
      <c r="AL417" s="59"/>
      <c r="AM417" s="59" t="s">
        <v>73</v>
      </c>
      <c r="AN417" s="59"/>
      <c r="AO417" s="59" t="s">
        <v>73</v>
      </c>
      <c r="AP417" s="59"/>
      <c r="AQ417" s="59" t="s">
        <v>73</v>
      </c>
      <c r="AR417" s="59"/>
      <c r="AS417" s="59" t="s">
        <v>72</v>
      </c>
      <c r="AT417" s="59"/>
      <c r="AU417" s="59"/>
      <c r="AV417" s="59"/>
      <c r="AW417" s="59"/>
      <c r="AX417" s="59"/>
      <c r="AY417" s="60" t="str">
        <f>IF('Cálculo MP'!K427="","",'Cálculo MP'!K427)</f>
        <v/>
      </c>
      <c r="AZ417" s="60" t="str">
        <f>IF('Cálculo MP'!L427="","",'Cálculo MP'!L427)</f>
        <v/>
      </c>
      <c r="BA417" s="60" t="str">
        <f>IF('Cálculo MP'!M427="","",'Cálculo MP'!M427)</f>
        <v/>
      </c>
      <c r="BB417" s="60" t="str">
        <f>IF('Cálculo MP'!N427="","",'Cálculo MP'!N427)</f>
        <v/>
      </c>
      <c r="BC417" s="60" t="str">
        <f>IF('Cálculo MP'!O427="","",'Cálculo MP'!O427)</f>
        <v/>
      </c>
      <c r="BD417" s="60" t="str">
        <f>IF('Cálculo MP'!P427="","",'Cálculo MP'!P427)</f>
        <v/>
      </c>
      <c r="BE417" s="60" t="str">
        <f>IF('Cálculo MP'!Q427="","",'Cálculo MP'!Q427)</f>
        <v/>
      </c>
      <c r="BF417" s="60" t="str">
        <f>IF('Cálculo MP'!R427="","",'Cálculo MP'!R427)</f>
        <v/>
      </c>
      <c r="BG417" s="60" t="str">
        <f>IF('Cálculo MP'!S427="","",'Cálculo MP'!S427)</f>
        <v/>
      </c>
      <c r="BH417" s="59"/>
      <c r="BI417" s="59"/>
      <c r="BJ417" s="59"/>
      <c r="BK417" s="59"/>
      <c r="BL417" s="59"/>
      <c r="BM417" s="59"/>
      <c r="BN417" s="59"/>
      <c r="BO417" s="59"/>
    </row>
    <row r="418" spans="1:67" ht="19.5" customHeight="1" x14ac:dyDescent="0.15">
      <c r="A418" s="123" t="s">
        <v>1856</v>
      </c>
      <c r="B418" s="122" t="s">
        <v>1854</v>
      </c>
      <c r="C418" s="49"/>
      <c r="D418" s="48" t="s">
        <v>73</v>
      </c>
      <c r="E418" s="49"/>
      <c r="F418" s="50"/>
      <c r="G418" s="62"/>
      <c r="H418" s="48" t="s">
        <v>72</v>
      </c>
      <c r="I418" s="52">
        <v>1</v>
      </c>
      <c r="J418" s="52"/>
      <c r="K418" s="52" t="s">
        <v>73</v>
      </c>
      <c r="L418" s="52" t="s">
        <v>74</v>
      </c>
      <c r="M418" s="53" t="s">
        <v>942</v>
      </c>
      <c r="N418" s="58" t="s">
        <v>73</v>
      </c>
      <c r="O418" s="48" t="s">
        <v>72</v>
      </c>
      <c r="P418" s="48" t="s">
        <v>73</v>
      </c>
      <c r="Q418" s="54" t="s">
        <v>73</v>
      </c>
      <c r="R418" s="55" t="s">
        <v>73</v>
      </c>
      <c r="S418" s="48" t="s">
        <v>73</v>
      </c>
      <c r="T418" s="130"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8" t="str" cm="1">
        <f t="array" ref="U418">IF(SUMPRODUCT(--((CAT_Procesos!$E$2:$E$1581=O418)*(CAT_Procesos!$F$2:$F$1581=_xlfn.TEXTJOIN(" + ",TRUE,IF((TRIM(P418:S418)="")+(LOWER(TRIM(P418:S418))="(seleccione)"),"",PROPER(TRIM(P418:S418)))))*(CAT_Procesos!$D$2:$D$1581=IFERROR(VLOOKUP(N418&amp;"*",CAT_Procesos!$D:$D,1,FALSE),""))))=0,"Combinación no existente",IF(SUMPRODUCT(((CAT_Procesos!$E$2:$E$1581=O418)*(CAT_Procesos!$F$2:$F$1581=_xlfn.TEXTJOIN(" + ",TRUE,IF((TRIM(P418:S418)="")+(LOWER(TRIM(P418:S418))="(seleccione)"),"",PROPER(TRIM(P418:S418)))))*(CAT_Procesos!$D$2:$D$1581=IFERROR(VLOOKUP(N418&amp;"*",CAT_Procesos!$D:$D,1,FALSE),"")))*(CAT_Procesos!$G$2:$G$1581=INDEX(CAT_Procesos!$G$2:$G$1581,MATCH(1,(CAT_Procesos!$E$2:$E$1581=O418)*(CAT_Procesos!$F$2:$F$1581=_xlfn.TEXTJOIN(" + ",TRUE,IF((TRIM(P418:S418)="")+(LOWER(TRIM(P418:S418))="(seleccione)"),"",PROPER(TRIM(P418:S418)))))*(CAT_Procesos!$D$2:$D$1581=IFERROR(VLOOKUP(N418&amp;"*",CAT_Procesos!$D:$D,1,FALSE),"")),0))))=SUMPRODUCT(--((CAT_Procesos!$E$2:$E$1581=O418)*(CAT_Procesos!$F$2:$F$1581=_xlfn.TEXTJOIN(" + ",TRUE,IF((TRIM(P418:S418)="")+(LOWER(TRIM(P418:S418))="(seleccione)"),"",PROPER(TRIM(P418:S418)))))*(CAT_Procesos!$D$2:$D$1581=IFERROR(VLOOKUP(N418&amp;"*",CAT_Procesos!$D:$D,1,FALSE),"")))),INDEX(CAT_Procesos!$G$2:$G$1581,MATCH(1,(CAT_Procesos!$E$2:$E$1581=O418)*(CAT_Procesos!$F$2:$F$1581=_xlfn.TEXTJOIN(" + ",TRUE,IF((TRIM(P418:S418)="")+(LOWER(TRIM(P418:S418))="(seleccione)"),"",PROPER(TRIM(P418:S418)))))*(CAT_Procesos!$D$2:$D$1581=IFERROR(VLOOKUP(N418&amp;"*",CAT_Procesos!$D:$D,1,FALSE),"")),0)),"(seleccione)"))</f>
        <v>Combinación no existente</v>
      </c>
      <c r="V418" s="55" t="s">
        <v>73</v>
      </c>
      <c r="W418" s="56" t="s">
        <v>73</v>
      </c>
      <c r="X418" s="57" t="str">
        <f t="shared" si="24"/>
        <v/>
      </c>
      <c r="Y418" s="58" t="s">
        <v>73</v>
      </c>
      <c r="Z418" s="57" t="str">
        <f t="shared" si="25"/>
        <v/>
      </c>
      <c r="AA418" s="58" t="s">
        <v>73</v>
      </c>
      <c r="AB418" s="57" t="str">
        <f t="shared" si="26"/>
        <v/>
      </c>
      <c r="AC418" s="58" t="s">
        <v>73</v>
      </c>
      <c r="AD418" s="57" t="str">
        <f t="shared" si="27"/>
        <v/>
      </c>
      <c r="AE418" s="59"/>
      <c r="AF418" s="59"/>
      <c r="AG418" s="59"/>
      <c r="AH418" s="59"/>
      <c r="AI418" s="59" t="s">
        <v>73</v>
      </c>
      <c r="AJ418" s="59"/>
      <c r="AK418" s="59" t="s">
        <v>73</v>
      </c>
      <c r="AL418" s="59"/>
      <c r="AM418" s="59" t="s">
        <v>73</v>
      </c>
      <c r="AN418" s="59"/>
      <c r="AO418" s="59" t="s">
        <v>73</v>
      </c>
      <c r="AP418" s="59"/>
      <c r="AQ418" s="59" t="s">
        <v>73</v>
      </c>
      <c r="AR418" s="59"/>
      <c r="AS418" s="59" t="s">
        <v>72</v>
      </c>
      <c r="AT418" s="59"/>
      <c r="AU418" s="59"/>
      <c r="AV418" s="59"/>
      <c r="AW418" s="59"/>
      <c r="AX418" s="59"/>
      <c r="AY418" s="60" t="str">
        <f>IF('Cálculo MP'!K428="","",'Cálculo MP'!K428)</f>
        <v/>
      </c>
      <c r="AZ418" s="60" t="str">
        <f>IF('Cálculo MP'!L428="","",'Cálculo MP'!L428)</f>
        <v/>
      </c>
      <c r="BA418" s="60" t="str">
        <f>IF('Cálculo MP'!M428="","",'Cálculo MP'!M428)</f>
        <v/>
      </c>
      <c r="BB418" s="60" t="str">
        <f>IF('Cálculo MP'!N428="","",'Cálculo MP'!N428)</f>
        <v/>
      </c>
      <c r="BC418" s="60" t="str">
        <f>IF('Cálculo MP'!O428="","",'Cálculo MP'!O428)</f>
        <v/>
      </c>
      <c r="BD418" s="60" t="str">
        <f>IF('Cálculo MP'!P428="","",'Cálculo MP'!P428)</f>
        <v/>
      </c>
      <c r="BE418" s="60" t="str">
        <f>IF('Cálculo MP'!Q428="","",'Cálculo MP'!Q428)</f>
        <v/>
      </c>
      <c r="BF418" s="60" t="str">
        <f>IF('Cálculo MP'!R428="","",'Cálculo MP'!R428)</f>
        <v/>
      </c>
      <c r="BG418" s="60" t="str">
        <f>IF('Cálculo MP'!S428="","",'Cálculo MP'!S428)</f>
        <v/>
      </c>
      <c r="BH418" s="59"/>
      <c r="BI418" s="59"/>
      <c r="BJ418" s="59"/>
      <c r="BK418" s="59"/>
      <c r="BL418" s="59"/>
      <c r="BM418" s="59"/>
      <c r="BN418" s="59"/>
      <c r="BO418" s="59"/>
    </row>
    <row r="419" spans="1:67" ht="19.5" customHeight="1" x14ac:dyDescent="0.15">
      <c r="A419" s="123" t="s">
        <v>1856</v>
      </c>
      <c r="B419" s="122" t="s">
        <v>1854</v>
      </c>
      <c r="C419" s="49"/>
      <c r="D419" s="48" t="s">
        <v>73</v>
      </c>
      <c r="E419" s="49"/>
      <c r="F419" s="50"/>
      <c r="G419" s="62"/>
      <c r="H419" s="48" t="s">
        <v>72</v>
      </c>
      <c r="I419" s="52">
        <v>1</v>
      </c>
      <c r="J419" s="52"/>
      <c r="K419" s="52" t="s">
        <v>73</v>
      </c>
      <c r="L419" s="52" t="s">
        <v>74</v>
      </c>
      <c r="M419" s="53" t="s">
        <v>942</v>
      </c>
      <c r="N419" s="58" t="s">
        <v>73</v>
      </c>
      <c r="O419" s="48" t="s">
        <v>72</v>
      </c>
      <c r="P419" s="48" t="s">
        <v>73</v>
      </c>
      <c r="Q419" s="54" t="s">
        <v>73</v>
      </c>
      <c r="R419" s="55" t="s">
        <v>73</v>
      </c>
      <c r="S419" s="48" t="s">
        <v>73</v>
      </c>
      <c r="T419" s="130"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8" t="str" cm="1">
        <f t="array" ref="U419">IF(SUMPRODUCT(--((CAT_Procesos!$E$2:$E$1581=O419)*(CAT_Procesos!$F$2:$F$1581=_xlfn.TEXTJOIN(" + ",TRUE,IF((TRIM(P419:S419)="")+(LOWER(TRIM(P419:S419))="(seleccione)"),"",PROPER(TRIM(P419:S419)))))*(CAT_Procesos!$D$2:$D$1581=IFERROR(VLOOKUP(N419&amp;"*",CAT_Procesos!$D:$D,1,FALSE),""))))=0,"Combinación no existente",IF(SUMPRODUCT(((CAT_Procesos!$E$2:$E$1581=O419)*(CAT_Procesos!$F$2:$F$1581=_xlfn.TEXTJOIN(" + ",TRUE,IF((TRIM(P419:S419)="")+(LOWER(TRIM(P419:S419))="(seleccione)"),"",PROPER(TRIM(P419:S419)))))*(CAT_Procesos!$D$2:$D$1581=IFERROR(VLOOKUP(N419&amp;"*",CAT_Procesos!$D:$D,1,FALSE),"")))*(CAT_Procesos!$G$2:$G$1581=INDEX(CAT_Procesos!$G$2:$G$1581,MATCH(1,(CAT_Procesos!$E$2:$E$1581=O419)*(CAT_Procesos!$F$2:$F$1581=_xlfn.TEXTJOIN(" + ",TRUE,IF((TRIM(P419:S419)="")+(LOWER(TRIM(P419:S419))="(seleccione)"),"",PROPER(TRIM(P419:S419)))))*(CAT_Procesos!$D$2:$D$1581=IFERROR(VLOOKUP(N419&amp;"*",CAT_Procesos!$D:$D,1,FALSE),"")),0))))=SUMPRODUCT(--((CAT_Procesos!$E$2:$E$1581=O419)*(CAT_Procesos!$F$2:$F$1581=_xlfn.TEXTJOIN(" + ",TRUE,IF((TRIM(P419:S419)="")+(LOWER(TRIM(P419:S419))="(seleccione)"),"",PROPER(TRIM(P419:S419)))))*(CAT_Procesos!$D$2:$D$1581=IFERROR(VLOOKUP(N419&amp;"*",CAT_Procesos!$D:$D,1,FALSE),"")))),INDEX(CAT_Procesos!$G$2:$G$1581,MATCH(1,(CAT_Procesos!$E$2:$E$1581=O419)*(CAT_Procesos!$F$2:$F$1581=_xlfn.TEXTJOIN(" + ",TRUE,IF((TRIM(P419:S419)="")+(LOWER(TRIM(P419:S419))="(seleccione)"),"",PROPER(TRIM(P419:S419)))))*(CAT_Procesos!$D$2:$D$1581=IFERROR(VLOOKUP(N419&amp;"*",CAT_Procesos!$D:$D,1,FALSE),"")),0)),"(seleccione)"))</f>
        <v>Combinación no existente</v>
      </c>
      <c r="V419" s="55" t="s">
        <v>73</v>
      </c>
      <c r="W419" s="56" t="s">
        <v>73</v>
      </c>
      <c r="X419" s="57" t="str">
        <f t="shared" si="24"/>
        <v/>
      </c>
      <c r="Y419" s="58" t="s">
        <v>73</v>
      </c>
      <c r="Z419" s="57" t="str">
        <f t="shared" si="25"/>
        <v/>
      </c>
      <c r="AA419" s="58" t="s">
        <v>73</v>
      </c>
      <c r="AB419" s="57" t="str">
        <f t="shared" si="26"/>
        <v/>
      </c>
      <c r="AC419" s="58" t="s">
        <v>73</v>
      </c>
      <c r="AD419" s="57" t="str">
        <f t="shared" si="27"/>
        <v/>
      </c>
      <c r="AE419" s="59"/>
      <c r="AF419" s="59"/>
      <c r="AG419" s="59"/>
      <c r="AH419" s="59"/>
      <c r="AI419" s="59" t="s">
        <v>73</v>
      </c>
      <c r="AJ419" s="59"/>
      <c r="AK419" s="59" t="s">
        <v>73</v>
      </c>
      <c r="AL419" s="59"/>
      <c r="AM419" s="59" t="s">
        <v>73</v>
      </c>
      <c r="AN419" s="59"/>
      <c r="AO419" s="59" t="s">
        <v>73</v>
      </c>
      <c r="AP419" s="59"/>
      <c r="AQ419" s="59" t="s">
        <v>73</v>
      </c>
      <c r="AR419" s="59"/>
      <c r="AS419" s="59" t="s">
        <v>72</v>
      </c>
      <c r="AT419" s="59"/>
      <c r="AU419" s="59"/>
      <c r="AV419" s="59"/>
      <c r="AW419" s="59"/>
      <c r="AX419" s="59"/>
      <c r="AY419" s="60" t="str">
        <f>IF('Cálculo MP'!K429="","",'Cálculo MP'!K429)</f>
        <v/>
      </c>
      <c r="AZ419" s="60" t="str">
        <f>IF('Cálculo MP'!L429="","",'Cálculo MP'!L429)</f>
        <v/>
      </c>
      <c r="BA419" s="60" t="str">
        <f>IF('Cálculo MP'!M429="","",'Cálculo MP'!M429)</f>
        <v/>
      </c>
      <c r="BB419" s="60" t="str">
        <f>IF('Cálculo MP'!N429="","",'Cálculo MP'!N429)</f>
        <v/>
      </c>
      <c r="BC419" s="60" t="str">
        <f>IF('Cálculo MP'!O429="","",'Cálculo MP'!O429)</f>
        <v/>
      </c>
      <c r="BD419" s="60" t="str">
        <f>IF('Cálculo MP'!P429="","",'Cálculo MP'!P429)</f>
        <v/>
      </c>
      <c r="BE419" s="60" t="str">
        <f>IF('Cálculo MP'!Q429="","",'Cálculo MP'!Q429)</f>
        <v/>
      </c>
      <c r="BF419" s="60" t="str">
        <f>IF('Cálculo MP'!R429="","",'Cálculo MP'!R429)</f>
        <v/>
      </c>
      <c r="BG419" s="60" t="str">
        <f>IF('Cálculo MP'!S429="","",'Cálculo MP'!S429)</f>
        <v/>
      </c>
      <c r="BH419" s="59"/>
      <c r="BI419" s="59"/>
      <c r="BJ419" s="59"/>
      <c r="BK419" s="59"/>
      <c r="BL419" s="59"/>
      <c r="BM419" s="59"/>
      <c r="BN419" s="59"/>
      <c r="BO419" s="59"/>
    </row>
    <row r="420" spans="1:67" ht="19.5" customHeight="1" x14ac:dyDescent="0.15">
      <c r="A420" s="123" t="s">
        <v>1856</v>
      </c>
      <c r="B420" s="122" t="s">
        <v>1854</v>
      </c>
      <c r="C420" s="49"/>
      <c r="D420" s="48" t="s">
        <v>73</v>
      </c>
      <c r="E420" s="49"/>
      <c r="F420" s="50"/>
      <c r="G420" s="62"/>
      <c r="H420" s="48" t="s">
        <v>72</v>
      </c>
      <c r="I420" s="52">
        <v>1</v>
      </c>
      <c r="J420" s="52"/>
      <c r="K420" s="52" t="s">
        <v>73</v>
      </c>
      <c r="L420" s="52" t="s">
        <v>74</v>
      </c>
      <c r="M420" s="53" t="s">
        <v>942</v>
      </c>
      <c r="N420" s="58" t="s">
        <v>73</v>
      </c>
      <c r="O420" s="48" t="s">
        <v>72</v>
      </c>
      <c r="P420" s="48" t="s">
        <v>73</v>
      </c>
      <c r="Q420" s="54" t="s">
        <v>73</v>
      </c>
      <c r="R420" s="55" t="s">
        <v>73</v>
      </c>
      <c r="S420" s="48" t="s">
        <v>73</v>
      </c>
      <c r="T420" s="130"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8" t="str" cm="1">
        <f t="array" ref="U420">IF(SUMPRODUCT(--((CAT_Procesos!$E$2:$E$1581=O420)*(CAT_Procesos!$F$2:$F$1581=_xlfn.TEXTJOIN(" + ",TRUE,IF((TRIM(P420:S420)="")+(LOWER(TRIM(P420:S420))="(seleccione)"),"",PROPER(TRIM(P420:S420)))))*(CAT_Procesos!$D$2:$D$1581=IFERROR(VLOOKUP(N420&amp;"*",CAT_Procesos!$D:$D,1,FALSE),""))))=0,"Combinación no existente",IF(SUMPRODUCT(((CAT_Procesos!$E$2:$E$1581=O420)*(CAT_Procesos!$F$2:$F$1581=_xlfn.TEXTJOIN(" + ",TRUE,IF((TRIM(P420:S420)="")+(LOWER(TRIM(P420:S420))="(seleccione)"),"",PROPER(TRIM(P420:S420)))))*(CAT_Procesos!$D$2:$D$1581=IFERROR(VLOOKUP(N420&amp;"*",CAT_Procesos!$D:$D,1,FALSE),"")))*(CAT_Procesos!$G$2:$G$1581=INDEX(CAT_Procesos!$G$2:$G$1581,MATCH(1,(CAT_Procesos!$E$2:$E$1581=O420)*(CAT_Procesos!$F$2:$F$1581=_xlfn.TEXTJOIN(" + ",TRUE,IF((TRIM(P420:S420)="")+(LOWER(TRIM(P420:S420))="(seleccione)"),"",PROPER(TRIM(P420:S420)))))*(CAT_Procesos!$D$2:$D$1581=IFERROR(VLOOKUP(N420&amp;"*",CAT_Procesos!$D:$D,1,FALSE),"")),0))))=SUMPRODUCT(--((CAT_Procesos!$E$2:$E$1581=O420)*(CAT_Procesos!$F$2:$F$1581=_xlfn.TEXTJOIN(" + ",TRUE,IF((TRIM(P420:S420)="")+(LOWER(TRIM(P420:S420))="(seleccione)"),"",PROPER(TRIM(P420:S420)))))*(CAT_Procesos!$D$2:$D$1581=IFERROR(VLOOKUP(N420&amp;"*",CAT_Procesos!$D:$D,1,FALSE),"")))),INDEX(CAT_Procesos!$G$2:$G$1581,MATCH(1,(CAT_Procesos!$E$2:$E$1581=O420)*(CAT_Procesos!$F$2:$F$1581=_xlfn.TEXTJOIN(" + ",TRUE,IF((TRIM(P420:S420)="")+(LOWER(TRIM(P420:S420))="(seleccione)"),"",PROPER(TRIM(P420:S420)))))*(CAT_Procesos!$D$2:$D$1581=IFERROR(VLOOKUP(N420&amp;"*",CAT_Procesos!$D:$D,1,FALSE),"")),0)),"(seleccione)"))</f>
        <v>Combinación no existente</v>
      </c>
      <c r="V420" s="55" t="s">
        <v>73</v>
      </c>
      <c r="W420" s="56" t="s">
        <v>73</v>
      </c>
      <c r="X420" s="57" t="str">
        <f t="shared" si="24"/>
        <v/>
      </c>
      <c r="Y420" s="58" t="s">
        <v>73</v>
      </c>
      <c r="Z420" s="57" t="str">
        <f t="shared" si="25"/>
        <v/>
      </c>
      <c r="AA420" s="58" t="s">
        <v>73</v>
      </c>
      <c r="AB420" s="57" t="str">
        <f t="shared" si="26"/>
        <v/>
      </c>
      <c r="AC420" s="58" t="s">
        <v>73</v>
      </c>
      <c r="AD420" s="57" t="str">
        <f t="shared" si="27"/>
        <v/>
      </c>
      <c r="AE420" s="59"/>
      <c r="AF420" s="59"/>
      <c r="AG420" s="59"/>
      <c r="AH420" s="59"/>
      <c r="AI420" s="59" t="s">
        <v>73</v>
      </c>
      <c r="AJ420" s="59"/>
      <c r="AK420" s="59" t="s">
        <v>73</v>
      </c>
      <c r="AL420" s="59"/>
      <c r="AM420" s="59" t="s">
        <v>73</v>
      </c>
      <c r="AN420" s="59"/>
      <c r="AO420" s="59" t="s">
        <v>73</v>
      </c>
      <c r="AP420" s="59"/>
      <c r="AQ420" s="59" t="s">
        <v>73</v>
      </c>
      <c r="AR420" s="59"/>
      <c r="AS420" s="59" t="s">
        <v>72</v>
      </c>
      <c r="AT420" s="59"/>
      <c r="AU420" s="59"/>
      <c r="AV420" s="59"/>
      <c r="AW420" s="59"/>
      <c r="AX420" s="59"/>
      <c r="AY420" s="60" t="str">
        <f>IF('Cálculo MP'!K430="","",'Cálculo MP'!K430)</f>
        <v/>
      </c>
      <c r="AZ420" s="60" t="str">
        <f>IF('Cálculo MP'!L430="","",'Cálculo MP'!L430)</f>
        <v/>
      </c>
      <c r="BA420" s="60" t="str">
        <f>IF('Cálculo MP'!M430="","",'Cálculo MP'!M430)</f>
        <v/>
      </c>
      <c r="BB420" s="60" t="str">
        <f>IF('Cálculo MP'!N430="","",'Cálculo MP'!N430)</f>
        <v/>
      </c>
      <c r="BC420" s="60" t="str">
        <f>IF('Cálculo MP'!O430="","",'Cálculo MP'!O430)</f>
        <v/>
      </c>
      <c r="BD420" s="60" t="str">
        <f>IF('Cálculo MP'!P430="","",'Cálculo MP'!P430)</f>
        <v/>
      </c>
      <c r="BE420" s="60" t="str">
        <f>IF('Cálculo MP'!Q430="","",'Cálculo MP'!Q430)</f>
        <v/>
      </c>
      <c r="BF420" s="60" t="str">
        <f>IF('Cálculo MP'!R430="","",'Cálculo MP'!R430)</f>
        <v/>
      </c>
      <c r="BG420" s="60" t="str">
        <f>IF('Cálculo MP'!S430="","",'Cálculo MP'!S430)</f>
        <v/>
      </c>
      <c r="BH420" s="59"/>
      <c r="BI420" s="59"/>
      <c r="BJ420" s="59"/>
      <c r="BK420" s="59"/>
      <c r="BL420" s="59"/>
      <c r="BM420" s="59"/>
      <c r="BN420" s="59"/>
      <c r="BO420" s="59"/>
    </row>
    <row r="421" spans="1:67" ht="19.5" customHeight="1" x14ac:dyDescent="0.15">
      <c r="A421" s="123" t="s">
        <v>1856</v>
      </c>
      <c r="B421" s="122" t="s">
        <v>1854</v>
      </c>
      <c r="C421" s="49"/>
      <c r="D421" s="48" t="s">
        <v>73</v>
      </c>
      <c r="E421" s="49"/>
      <c r="F421" s="50"/>
      <c r="G421" s="62"/>
      <c r="H421" s="48" t="s">
        <v>72</v>
      </c>
      <c r="I421" s="52">
        <v>1</v>
      </c>
      <c r="J421" s="52"/>
      <c r="K421" s="52" t="s">
        <v>73</v>
      </c>
      <c r="L421" s="52" t="s">
        <v>74</v>
      </c>
      <c r="M421" s="53" t="s">
        <v>942</v>
      </c>
      <c r="N421" s="58" t="s">
        <v>73</v>
      </c>
      <c r="O421" s="48" t="s">
        <v>72</v>
      </c>
      <c r="P421" s="48" t="s">
        <v>73</v>
      </c>
      <c r="Q421" s="54" t="s">
        <v>73</v>
      </c>
      <c r="R421" s="55" t="s">
        <v>73</v>
      </c>
      <c r="S421" s="48" t="s">
        <v>73</v>
      </c>
      <c r="T421" s="130"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8" t="str" cm="1">
        <f t="array" ref="U421">IF(SUMPRODUCT(--((CAT_Procesos!$E$2:$E$1581=O421)*(CAT_Procesos!$F$2:$F$1581=_xlfn.TEXTJOIN(" + ",TRUE,IF((TRIM(P421:S421)="")+(LOWER(TRIM(P421:S421))="(seleccione)"),"",PROPER(TRIM(P421:S421)))))*(CAT_Procesos!$D$2:$D$1581=IFERROR(VLOOKUP(N421&amp;"*",CAT_Procesos!$D:$D,1,FALSE),""))))=0,"Combinación no existente",IF(SUMPRODUCT(((CAT_Procesos!$E$2:$E$1581=O421)*(CAT_Procesos!$F$2:$F$1581=_xlfn.TEXTJOIN(" + ",TRUE,IF((TRIM(P421:S421)="")+(LOWER(TRIM(P421:S421))="(seleccione)"),"",PROPER(TRIM(P421:S421)))))*(CAT_Procesos!$D$2:$D$1581=IFERROR(VLOOKUP(N421&amp;"*",CAT_Procesos!$D:$D,1,FALSE),"")))*(CAT_Procesos!$G$2:$G$1581=INDEX(CAT_Procesos!$G$2:$G$1581,MATCH(1,(CAT_Procesos!$E$2:$E$1581=O421)*(CAT_Procesos!$F$2:$F$1581=_xlfn.TEXTJOIN(" + ",TRUE,IF((TRIM(P421:S421)="")+(LOWER(TRIM(P421:S421))="(seleccione)"),"",PROPER(TRIM(P421:S421)))))*(CAT_Procesos!$D$2:$D$1581=IFERROR(VLOOKUP(N421&amp;"*",CAT_Procesos!$D:$D,1,FALSE),"")),0))))=SUMPRODUCT(--((CAT_Procesos!$E$2:$E$1581=O421)*(CAT_Procesos!$F$2:$F$1581=_xlfn.TEXTJOIN(" + ",TRUE,IF((TRIM(P421:S421)="")+(LOWER(TRIM(P421:S421))="(seleccione)"),"",PROPER(TRIM(P421:S421)))))*(CAT_Procesos!$D$2:$D$1581=IFERROR(VLOOKUP(N421&amp;"*",CAT_Procesos!$D:$D,1,FALSE),"")))),INDEX(CAT_Procesos!$G$2:$G$1581,MATCH(1,(CAT_Procesos!$E$2:$E$1581=O421)*(CAT_Procesos!$F$2:$F$1581=_xlfn.TEXTJOIN(" + ",TRUE,IF((TRIM(P421:S421)="")+(LOWER(TRIM(P421:S421))="(seleccione)"),"",PROPER(TRIM(P421:S421)))))*(CAT_Procesos!$D$2:$D$1581=IFERROR(VLOOKUP(N421&amp;"*",CAT_Procesos!$D:$D,1,FALSE),"")),0)),"(seleccione)"))</f>
        <v>Combinación no existente</v>
      </c>
      <c r="V421" s="55" t="s">
        <v>73</v>
      </c>
      <c r="W421" s="56" t="s">
        <v>73</v>
      </c>
      <c r="X421" s="57" t="str">
        <f t="shared" si="24"/>
        <v/>
      </c>
      <c r="Y421" s="58" t="s">
        <v>73</v>
      </c>
      <c r="Z421" s="57" t="str">
        <f t="shared" si="25"/>
        <v/>
      </c>
      <c r="AA421" s="58" t="s">
        <v>73</v>
      </c>
      <c r="AB421" s="57" t="str">
        <f t="shared" si="26"/>
        <v/>
      </c>
      <c r="AC421" s="58" t="s">
        <v>73</v>
      </c>
      <c r="AD421" s="57" t="str">
        <f t="shared" si="27"/>
        <v/>
      </c>
      <c r="AE421" s="59"/>
      <c r="AF421" s="59"/>
      <c r="AG421" s="59"/>
      <c r="AH421" s="59"/>
      <c r="AI421" s="59" t="s">
        <v>73</v>
      </c>
      <c r="AJ421" s="59"/>
      <c r="AK421" s="59" t="s">
        <v>73</v>
      </c>
      <c r="AL421" s="59"/>
      <c r="AM421" s="59" t="s">
        <v>73</v>
      </c>
      <c r="AN421" s="59"/>
      <c r="AO421" s="59" t="s">
        <v>73</v>
      </c>
      <c r="AP421" s="59"/>
      <c r="AQ421" s="59" t="s">
        <v>73</v>
      </c>
      <c r="AR421" s="59"/>
      <c r="AS421" s="59" t="s">
        <v>72</v>
      </c>
      <c r="AT421" s="59"/>
      <c r="AU421" s="59"/>
      <c r="AV421" s="59"/>
      <c r="AW421" s="59"/>
      <c r="AX421" s="59"/>
      <c r="AY421" s="60" t="str">
        <f>IF('Cálculo MP'!K431="","",'Cálculo MP'!K431)</f>
        <v/>
      </c>
      <c r="AZ421" s="60" t="str">
        <f>IF('Cálculo MP'!L431="","",'Cálculo MP'!L431)</f>
        <v/>
      </c>
      <c r="BA421" s="60" t="str">
        <f>IF('Cálculo MP'!M431="","",'Cálculo MP'!M431)</f>
        <v/>
      </c>
      <c r="BB421" s="60" t="str">
        <f>IF('Cálculo MP'!N431="","",'Cálculo MP'!N431)</f>
        <v/>
      </c>
      <c r="BC421" s="60" t="str">
        <f>IF('Cálculo MP'!O431="","",'Cálculo MP'!O431)</f>
        <v/>
      </c>
      <c r="BD421" s="60" t="str">
        <f>IF('Cálculo MP'!P431="","",'Cálculo MP'!P431)</f>
        <v/>
      </c>
      <c r="BE421" s="60" t="str">
        <f>IF('Cálculo MP'!Q431="","",'Cálculo MP'!Q431)</f>
        <v/>
      </c>
      <c r="BF421" s="60" t="str">
        <f>IF('Cálculo MP'!R431="","",'Cálculo MP'!R431)</f>
        <v/>
      </c>
      <c r="BG421" s="60" t="str">
        <f>IF('Cálculo MP'!S431="","",'Cálculo MP'!S431)</f>
        <v/>
      </c>
      <c r="BH421" s="59"/>
      <c r="BI421" s="59"/>
      <c r="BJ421" s="59"/>
      <c r="BK421" s="59"/>
      <c r="BL421" s="59"/>
      <c r="BM421" s="59"/>
      <c r="BN421" s="59"/>
      <c r="BO421" s="59"/>
    </row>
    <row r="422" spans="1:67" ht="19.5" customHeight="1" x14ac:dyDescent="0.15">
      <c r="A422" s="123" t="s">
        <v>1856</v>
      </c>
      <c r="B422" s="122" t="s">
        <v>1854</v>
      </c>
      <c r="C422" s="49"/>
      <c r="D422" s="48" t="s">
        <v>73</v>
      </c>
      <c r="E422" s="49"/>
      <c r="F422" s="50"/>
      <c r="G422" s="62"/>
      <c r="H422" s="48" t="s">
        <v>72</v>
      </c>
      <c r="I422" s="52">
        <v>1</v>
      </c>
      <c r="J422" s="52"/>
      <c r="K422" s="52" t="s">
        <v>73</v>
      </c>
      <c r="L422" s="52" t="s">
        <v>74</v>
      </c>
      <c r="M422" s="53" t="s">
        <v>942</v>
      </c>
      <c r="N422" s="58" t="s">
        <v>73</v>
      </c>
      <c r="O422" s="48" t="s">
        <v>72</v>
      </c>
      <c r="P422" s="48" t="s">
        <v>73</v>
      </c>
      <c r="Q422" s="54" t="s">
        <v>73</v>
      </c>
      <c r="R422" s="55" t="s">
        <v>73</v>
      </c>
      <c r="S422" s="48" t="s">
        <v>73</v>
      </c>
      <c r="T422" s="130"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8" t="str" cm="1">
        <f t="array" ref="U422">IF(SUMPRODUCT(--((CAT_Procesos!$E$2:$E$1581=O422)*(CAT_Procesos!$F$2:$F$1581=_xlfn.TEXTJOIN(" + ",TRUE,IF((TRIM(P422:S422)="")+(LOWER(TRIM(P422:S422))="(seleccione)"),"",PROPER(TRIM(P422:S422)))))*(CAT_Procesos!$D$2:$D$1581=IFERROR(VLOOKUP(N422&amp;"*",CAT_Procesos!$D:$D,1,FALSE),""))))=0,"Combinación no existente",IF(SUMPRODUCT(((CAT_Procesos!$E$2:$E$1581=O422)*(CAT_Procesos!$F$2:$F$1581=_xlfn.TEXTJOIN(" + ",TRUE,IF((TRIM(P422:S422)="")+(LOWER(TRIM(P422:S422))="(seleccione)"),"",PROPER(TRIM(P422:S422)))))*(CAT_Procesos!$D$2:$D$1581=IFERROR(VLOOKUP(N422&amp;"*",CAT_Procesos!$D:$D,1,FALSE),"")))*(CAT_Procesos!$G$2:$G$1581=INDEX(CAT_Procesos!$G$2:$G$1581,MATCH(1,(CAT_Procesos!$E$2:$E$1581=O422)*(CAT_Procesos!$F$2:$F$1581=_xlfn.TEXTJOIN(" + ",TRUE,IF((TRIM(P422:S422)="")+(LOWER(TRIM(P422:S422))="(seleccione)"),"",PROPER(TRIM(P422:S422)))))*(CAT_Procesos!$D$2:$D$1581=IFERROR(VLOOKUP(N422&amp;"*",CAT_Procesos!$D:$D,1,FALSE),"")),0))))=SUMPRODUCT(--((CAT_Procesos!$E$2:$E$1581=O422)*(CAT_Procesos!$F$2:$F$1581=_xlfn.TEXTJOIN(" + ",TRUE,IF((TRIM(P422:S422)="")+(LOWER(TRIM(P422:S422))="(seleccione)"),"",PROPER(TRIM(P422:S422)))))*(CAT_Procesos!$D$2:$D$1581=IFERROR(VLOOKUP(N422&amp;"*",CAT_Procesos!$D:$D,1,FALSE),"")))),INDEX(CAT_Procesos!$G$2:$G$1581,MATCH(1,(CAT_Procesos!$E$2:$E$1581=O422)*(CAT_Procesos!$F$2:$F$1581=_xlfn.TEXTJOIN(" + ",TRUE,IF((TRIM(P422:S422)="")+(LOWER(TRIM(P422:S422))="(seleccione)"),"",PROPER(TRIM(P422:S422)))))*(CAT_Procesos!$D$2:$D$1581=IFERROR(VLOOKUP(N422&amp;"*",CAT_Procesos!$D:$D,1,FALSE),"")),0)),"(seleccione)"))</f>
        <v>Combinación no existente</v>
      </c>
      <c r="V422" s="55" t="s">
        <v>73</v>
      </c>
      <c r="W422" s="56" t="s">
        <v>73</v>
      </c>
      <c r="X422" s="57" t="str">
        <f t="shared" si="24"/>
        <v/>
      </c>
      <c r="Y422" s="58" t="s">
        <v>73</v>
      </c>
      <c r="Z422" s="57" t="str">
        <f t="shared" si="25"/>
        <v/>
      </c>
      <c r="AA422" s="58" t="s">
        <v>73</v>
      </c>
      <c r="AB422" s="57" t="str">
        <f t="shared" si="26"/>
        <v/>
      </c>
      <c r="AC422" s="58" t="s">
        <v>73</v>
      </c>
      <c r="AD422" s="57" t="str">
        <f t="shared" si="27"/>
        <v/>
      </c>
      <c r="AE422" s="59"/>
      <c r="AF422" s="59"/>
      <c r="AG422" s="59"/>
      <c r="AH422" s="59"/>
      <c r="AI422" s="59" t="s">
        <v>73</v>
      </c>
      <c r="AJ422" s="59"/>
      <c r="AK422" s="59" t="s">
        <v>73</v>
      </c>
      <c r="AL422" s="59"/>
      <c r="AM422" s="59" t="s">
        <v>73</v>
      </c>
      <c r="AN422" s="59"/>
      <c r="AO422" s="59" t="s">
        <v>73</v>
      </c>
      <c r="AP422" s="59"/>
      <c r="AQ422" s="59" t="s">
        <v>73</v>
      </c>
      <c r="AR422" s="59"/>
      <c r="AS422" s="59" t="s">
        <v>72</v>
      </c>
      <c r="AT422" s="59"/>
      <c r="AU422" s="59"/>
      <c r="AV422" s="59"/>
      <c r="AW422" s="59"/>
      <c r="AX422" s="59"/>
      <c r="AY422" s="60" t="str">
        <f>IF('Cálculo MP'!K432="","",'Cálculo MP'!K432)</f>
        <v/>
      </c>
      <c r="AZ422" s="60" t="str">
        <f>IF('Cálculo MP'!L432="","",'Cálculo MP'!L432)</f>
        <v/>
      </c>
      <c r="BA422" s="60" t="str">
        <f>IF('Cálculo MP'!M432="","",'Cálculo MP'!M432)</f>
        <v/>
      </c>
      <c r="BB422" s="60" t="str">
        <f>IF('Cálculo MP'!N432="","",'Cálculo MP'!N432)</f>
        <v/>
      </c>
      <c r="BC422" s="60" t="str">
        <f>IF('Cálculo MP'!O432="","",'Cálculo MP'!O432)</f>
        <v/>
      </c>
      <c r="BD422" s="60" t="str">
        <f>IF('Cálculo MP'!P432="","",'Cálculo MP'!P432)</f>
        <v/>
      </c>
      <c r="BE422" s="60" t="str">
        <f>IF('Cálculo MP'!Q432="","",'Cálculo MP'!Q432)</f>
        <v/>
      </c>
      <c r="BF422" s="60" t="str">
        <f>IF('Cálculo MP'!R432="","",'Cálculo MP'!R432)</f>
        <v/>
      </c>
      <c r="BG422" s="60" t="str">
        <f>IF('Cálculo MP'!S432="","",'Cálculo MP'!S432)</f>
        <v/>
      </c>
      <c r="BH422" s="59"/>
      <c r="BI422" s="59"/>
      <c r="BJ422" s="59"/>
      <c r="BK422" s="59"/>
      <c r="BL422" s="59"/>
      <c r="BM422" s="59"/>
      <c r="BN422" s="59"/>
      <c r="BO422" s="59"/>
    </row>
    <row r="423" spans="1:67" ht="19.5" customHeight="1" x14ac:dyDescent="0.15">
      <c r="A423" s="123" t="s">
        <v>1856</v>
      </c>
      <c r="B423" s="122" t="s">
        <v>1854</v>
      </c>
      <c r="C423" s="49"/>
      <c r="D423" s="48" t="s">
        <v>73</v>
      </c>
      <c r="E423" s="49"/>
      <c r="F423" s="50"/>
      <c r="G423" s="62"/>
      <c r="H423" s="48" t="s">
        <v>72</v>
      </c>
      <c r="I423" s="52">
        <v>1</v>
      </c>
      <c r="J423" s="52"/>
      <c r="K423" s="52" t="s">
        <v>73</v>
      </c>
      <c r="L423" s="52" t="s">
        <v>74</v>
      </c>
      <c r="M423" s="53" t="s">
        <v>942</v>
      </c>
      <c r="N423" s="58" t="s">
        <v>73</v>
      </c>
      <c r="O423" s="48" t="s">
        <v>72</v>
      </c>
      <c r="P423" s="48" t="s">
        <v>73</v>
      </c>
      <c r="Q423" s="54" t="s">
        <v>73</v>
      </c>
      <c r="R423" s="55" t="s">
        <v>73</v>
      </c>
      <c r="S423" s="48" t="s">
        <v>73</v>
      </c>
      <c r="T423" s="130"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8" t="str" cm="1">
        <f t="array" ref="U423">IF(SUMPRODUCT(--((CAT_Procesos!$E$2:$E$1581=O423)*(CAT_Procesos!$F$2:$F$1581=_xlfn.TEXTJOIN(" + ",TRUE,IF((TRIM(P423:S423)="")+(LOWER(TRIM(P423:S423))="(seleccione)"),"",PROPER(TRIM(P423:S423)))))*(CAT_Procesos!$D$2:$D$1581=IFERROR(VLOOKUP(N423&amp;"*",CAT_Procesos!$D:$D,1,FALSE),""))))=0,"Combinación no existente",IF(SUMPRODUCT(((CAT_Procesos!$E$2:$E$1581=O423)*(CAT_Procesos!$F$2:$F$1581=_xlfn.TEXTJOIN(" + ",TRUE,IF((TRIM(P423:S423)="")+(LOWER(TRIM(P423:S423))="(seleccione)"),"",PROPER(TRIM(P423:S423)))))*(CAT_Procesos!$D$2:$D$1581=IFERROR(VLOOKUP(N423&amp;"*",CAT_Procesos!$D:$D,1,FALSE),"")))*(CAT_Procesos!$G$2:$G$1581=INDEX(CAT_Procesos!$G$2:$G$1581,MATCH(1,(CAT_Procesos!$E$2:$E$1581=O423)*(CAT_Procesos!$F$2:$F$1581=_xlfn.TEXTJOIN(" + ",TRUE,IF((TRIM(P423:S423)="")+(LOWER(TRIM(P423:S423))="(seleccione)"),"",PROPER(TRIM(P423:S423)))))*(CAT_Procesos!$D$2:$D$1581=IFERROR(VLOOKUP(N423&amp;"*",CAT_Procesos!$D:$D,1,FALSE),"")),0))))=SUMPRODUCT(--((CAT_Procesos!$E$2:$E$1581=O423)*(CAT_Procesos!$F$2:$F$1581=_xlfn.TEXTJOIN(" + ",TRUE,IF((TRIM(P423:S423)="")+(LOWER(TRIM(P423:S423))="(seleccione)"),"",PROPER(TRIM(P423:S423)))))*(CAT_Procesos!$D$2:$D$1581=IFERROR(VLOOKUP(N423&amp;"*",CAT_Procesos!$D:$D,1,FALSE),"")))),INDEX(CAT_Procesos!$G$2:$G$1581,MATCH(1,(CAT_Procesos!$E$2:$E$1581=O423)*(CAT_Procesos!$F$2:$F$1581=_xlfn.TEXTJOIN(" + ",TRUE,IF((TRIM(P423:S423)="")+(LOWER(TRIM(P423:S423))="(seleccione)"),"",PROPER(TRIM(P423:S423)))))*(CAT_Procesos!$D$2:$D$1581=IFERROR(VLOOKUP(N423&amp;"*",CAT_Procesos!$D:$D,1,FALSE),"")),0)),"(seleccione)"))</f>
        <v>Combinación no existente</v>
      </c>
      <c r="V423" s="55" t="s">
        <v>73</v>
      </c>
      <c r="W423" s="56" t="s">
        <v>73</v>
      </c>
      <c r="X423" s="57" t="str">
        <f t="shared" si="24"/>
        <v/>
      </c>
      <c r="Y423" s="58" t="s">
        <v>73</v>
      </c>
      <c r="Z423" s="57" t="str">
        <f t="shared" si="25"/>
        <v/>
      </c>
      <c r="AA423" s="58" t="s">
        <v>73</v>
      </c>
      <c r="AB423" s="57" t="str">
        <f t="shared" si="26"/>
        <v/>
      </c>
      <c r="AC423" s="58" t="s">
        <v>73</v>
      </c>
      <c r="AD423" s="57" t="str">
        <f t="shared" si="27"/>
        <v/>
      </c>
      <c r="AE423" s="59"/>
      <c r="AF423" s="59"/>
      <c r="AG423" s="59"/>
      <c r="AH423" s="59"/>
      <c r="AI423" s="59" t="s">
        <v>73</v>
      </c>
      <c r="AJ423" s="59"/>
      <c r="AK423" s="59" t="s">
        <v>73</v>
      </c>
      <c r="AL423" s="59"/>
      <c r="AM423" s="59" t="s">
        <v>73</v>
      </c>
      <c r="AN423" s="59"/>
      <c r="AO423" s="59" t="s">
        <v>73</v>
      </c>
      <c r="AP423" s="59"/>
      <c r="AQ423" s="59" t="s">
        <v>73</v>
      </c>
      <c r="AR423" s="59"/>
      <c r="AS423" s="59" t="s">
        <v>72</v>
      </c>
      <c r="AT423" s="59"/>
      <c r="AU423" s="59"/>
      <c r="AV423" s="59"/>
      <c r="AW423" s="59"/>
      <c r="AX423" s="59"/>
      <c r="AY423" s="60" t="str">
        <f>IF('Cálculo MP'!K433="","",'Cálculo MP'!K433)</f>
        <v/>
      </c>
      <c r="AZ423" s="60" t="str">
        <f>IF('Cálculo MP'!L433="","",'Cálculo MP'!L433)</f>
        <v/>
      </c>
      <c r="BA423" s="60" t="str">
        <f>IF('Cálculo MP'!M433="","",'Cálculo MP'!M433)</f>
        <v/>
      </c>
      <c r="BB423" s="60" t="str">
        <f>IF('Cálculo MP'!N433="","",'Cálculo MP'!N433)</f>
        <v/>
      </c>
      <c r="BC423" s="60" t="str">
        <f>IF('Cálculo MP'!O433="","",'Cálculo MP'!O433)</f>
        <v/>
      </c>
      <c r="BD423" s="60" t="str">
        <f>IF('Cálculo MP'!P433="","",'Cálculo MP'!P433)</f>
        <v/>
      </c>
      <c r="BE423" s="60" t="str">
        <f>IF('Cálculo MP'!Q433="","",'Cálculo MP'!Q433)</f>
        <v/>
      </c>
      <c r="BF423" s="60" t="str">
        <f>IF('Cálculo MP'!R433="","",'Cálculo MP'!R433)</f>
        <v/>
      </c>
      <c r="BG423" s="60" t="str">
        <f>IF('Cálculo MP'!S433="","",'Cálculo MP'!S433)</f>
        <v/>
      </c>
      <c r="BH423" s="59"/>
      <c r="BI423" s="59"/>
      <c r="BJ423" s="59"/>
      <c r="BK423" s="59"/>
      <c r="BL423" s="59"/>
      <c r="BM423" s="59"/>
      <c r="BN423" s="59"/>
      <c r="BO423" s="59"/>
    </row>
    <row r="424" spans="1:67" ht="19.5" customHeight="1" x14ac:dyDescent="0.15">
      <c r="A424" s="123" t="s">
        <v>1856</v>
      </c>
      <c r="B424" s="122" t="s">
        <v>1854</v>
      </c>
      <c r="C424" s="49"/>
      <c r="D424" s="48" t="s">
        <v>73</v>
      </c>
      <c r="E424" s="49"/>
      <c r="F424" s="50"/>
      <c r="G424" s="62"/>
      <c r="H424" s="48" t="s">
        <v>72</v>
      </c>
      <c r="I424" s="52">
        <v>1</v>
      </c>
      <c r="J424" s="52"/>
      <c r="K424" s="52" t="s">
        <v>73</v>
      </c>
      <c r="L424" s="52" t="s">
        <v>74</v>
      </c>
      <c r="M424" s="53" t="s">
        <v>942</v>
      </c>
      <c r="N424" s="58" t="s">
        <v>73</v>
      </c>
      <c r="O424" s="48" t="s">
        <v>72</v>
      </c>
      <c r="P424" s="48" t="s">
        <v>73</v>
      </c>
      <c r="Q424" s="54" t="s">
        <v>73</v>
      </c>
      <c r="R424" s="55" t="s">
        <v>73</v>
      </c>
      <c r="S424" s="48" t="s">
        <v>73</v>
      </c>
      <c r="T424" s="130"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8" t="str" cm="1">
        <f t="array" ref="U424">IF(SUMPRODUCT(--((CAT_Procesos!$E$2:$E$1581=O424)*(CAT_Procesos!$F$2:$F$1581=_xlfn.TEXTJOIN(" + ",TRUE,IF((TRIM(P424:S424)="")+(LOWER(TRIM(P424:S424))="(seleccione)"),"",PROPER(TRIM(P424:S424)))))*(CAT_Procesos!$D$2:$D$1581=IFERROR(VLOOKUP(N424&amp;"*",CAT_Procesos!$D:$D,1,FALSE),""))))=0,"Combinación no existente",IF(SUMPRODUCT(((CAT_Procesos!$E$2:$E$1581=O424)*(CAT_Procesos!$F$2:$F$1581=_xlfn.TEXTJOIN(" + ",TRUE,IF((TRIM(P424:S424)="")+(LOWER(TRIM(P424:S424))="(seleccione)"),"",PROPER(TRIM(P424:S424)))))*(CAT_Procesos!$D$2:$D$1581=IFERROR(VLOOKUP(N424&amp;"*",CAT_Procesos!$D:$D,1,FALSE),"")))*(CAT_Procesos!$G$2:$G$1581=INDEX(CAT_Procesos!$G$2:$G$1581,MATCH(1,(CAT_Procesos!$E$2:$E$1581=O424)*(CAT_Procesos!$F$2:$F$1581=_xlfn.TEXTJOIN(" + ",TRUE,IF((TRIM(P424:S424)="")+(LOWER(TRIM(P424:S424))="(seleccione)"),"",PROPER(TRIM(P424:S424)))))*(CAT_Procesos!$D$2:$D$1581=IFERROR(VLOOKUP(N424&amp;"*",CAT_Procesos!$D:$D,1,FALSE),"")),0))))=SUMPRODUCT(--((CAT_Procesos!$E$2:$E$1581=O424)*(CAT_Procesos!$F$2:$F$1581=_xlfn.TEXTJOIN(" + ",TRUE,IF((TRIM(P424:S424)="")+(LOWER(TRIM(P424:S424))="(seleccione)"),"",PROPER(TRIM(P424:S424)))))*(CAT_Procesos!$D$2:$D$1581=IFERROR(VLOOKUP(N424&amp;"*",CAT_Procesos!$D:$D,1,FALSE),"")))),INDEX(CAT_Procesos!$G$2:$G$1581,MATCH(1,(CAT_Procesos!$E$2:$E$1581=O424)*(CAT_Procesos!$F$2:$F$1581=_xlfn.TEXTJOIN(" + ",TRUE,IF((TRIM(P424:S424)="")+(LOWER(TRIM(P424:S424))="(seleccione)"),"",PROPER(TRIM(P424:S424)))))*(CAT_Procesos!$D$2:$D$1581=IFERROR(VLOOKUP(N424&amp;"*",CAT_Procesos!$D:$D,1,FALSE),"")),0)),"(seleccione)"))</f>
        <v>Combinación no existente</v>
      </c>
      <c r="V424" s="55" t="s">
        <v>73</v>
      </c>
      <c r="W424" s="56" t="s">
        <v>73</v>
      </c>
      <c r="X424" s="57" t="str">
        <f t="shared" si="24"/>
        <v/>
      </c>
      <c r="Y424" s="58" t="s">
        <v>73</v>
      </c>
      <c r="Z424" s="57" t="str">
        <f t="shared" si="25"/>
        <v/>
      </c>
      <c r="AA424" s="58" t="s">
        <v>73</v>
      </c>
      <c r="AB424" s="57" t="str">
        <f t="shared" si="26"/>
        <v/>
      </c>
      <c r="AC424" s="58" t="s">
        <v>73</v>
      </c>
      <c r="AD424" s="57" t="str">
        <f t="shared" si="27"/>
        <v/>
      </c>
      <c r="AE424" s="59"/>
      <c r="AF424" s="59"/>
      <c r="AG424" s="59"/>
      <c r="AH424" s="59"/>
      <c r="AI424" s="59" t="s">
        <v>73</v>
      </c>
      <c r="AJ424" s="59"/>
      <c r="AK424" s="59" t="s">
        <v>73</v>
      </c>
      <c r="AL424" s="59"/>
      <c r="AM424" s="59" t="s">
        <v>73</v>
      </c>
      <c r="AN424" s="59"/>
      <c r="AO424" s="59" t="s">
        <v>73</v>
      </c>
      <c r="AP424" s="59"/>
      <c r="AQ424" s="59" t="s">
        <v>73</v>
      </c>
      <c r="AR424" s="59"/>
      <c r="AS424" s="59" t="s">
        <v>72</v>
      </c>
      <c r="AT424" s="59"/>
      <c r="AU424" s="59"/>
      <c r="AV424" s="59"/>
      <c r="AW424" s="59"/>
      <c r="AX424" s="59"/>
      <c r="AY424" s="60" t="str">
        <f>IF('Cálculo MP'!K434="","",'Cálculo MP'!K434)</f>
        <v/>
      </c>
      <c r="AZ424" s="60" t="str">
        <f>IF('Cálculo MP'!L434="","",'Cálculo MP'!L434)</f>
        <v/>
      </c>
      <c r="BA424" s="60" t="str">
        <f>IF('Cálculo MP'!M434="","",'Cálculo MP'!M434)</f>
        <v/>
      </c>
      <c r="BB424" s="60" t="str">
        <f>IF('Cálculo MP'!N434="","",'Cálculo MP'!N434)</f>
        <v/>
      </c>
      <c r="BC424" s="60" t="str">
        <f>IF('Cálculo MP'!O434="","",'Cálculo MP'!O434)</f>
        <v/>
      </c>
      <c r="BD424" s="60" t="str">
        <f>IF('Cálculo MP'!P434="","",'Cálculo MP'!P434)</f>
        <v/>
      </c>
      <c r="BE424" s="60" t="str">
        <f>IF('Cálculo MP'!Q434="","",'Cálculo MP'!Q434)</f>
        <v/>
      </c>
      <c r="BF424" s="60" t="str">
        <f>IF('Cálculo MP'!R434="","",'Cálculo MP'!R434)</f>
        <v/>
      </c>
      <c r="BG424" s="60" t="str">
        <f>IF('Cálculo MP'!S434="","",'Cálculo MP'!S434)</f>
        <v/>
      </c>
      <c r="BH424" s="59"/>
      <c r="BI424" s="59"/>
      <c r="BJ424" s="59"/>
      <c r="BK424" s="59"/>
      <c r="BL424" s="59"/>
      <c r="BM424" s="59"/>
      <c r="BN424" s="59"/>
      <c r="BO424" s="59"/>
    </row>
    <row r="425" spans="1:67" ht="19.5" customHeight="1" x14ac:dyDescent="0.15">
      <c r="A425" s="123" t="s">
        <v>1856</v>
      </c>
      <c r="B425" s="122" t="s">
        <v>1854</v>
      </c>
      <c r="C425" s="49"/>
      <c r="D425" s="48" t="s">
        <v>73</v>
      </c>
      <c r="E425" s="49"/>
      <c r="F425" s="50"/>
      <c r="G425" s="62"/>
      <c r="H425" s="48" t="s">
        <v>72</v>
      </c>
      <c r="I425" s="52">
        <v>1</v>
      </c>
      <c r="J425" s="52"/>
      <c r="K425" s="52" t="s">
        <v>73</v>
      </c>
      <c r="L425" s="52" t="s">
        <v>74</v>
      </c>
      <c r="M425" s="53" t="s">
        <v>942</v>
      </c>
      <c r="N425" s="58" t="s">
        <v>73</v>
      </c>
      <c r="O425" s="48" t="s">
        <v>72</v>
      </c>
      <c r="P425" s="48" t="s">
        <v>73</v>
      </c>
      <c r="Q425" s="54" t="s">
        <v>73</v>
      </c>
      <c r="R425" s="55" t="s">
        <v>73</v>
      </c>
      <c r="S425" s="48" t="s">
        <v>73</v>
      </c>
      <c r="T425" s="130"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8" t="str" cm="1">
        <f t="array" ref="U425">IF(SUMPRODUCT(--((CAT_Procesos!$E$2:$E$1581=O425)*(CAT_Procesos!$F$2:$F$1581=_xlfn.TEXTJOIN(" + ",TRUE,IF((TRIM(P425:S425)="")+(LOWER(TRIM(P425:S425))="(seleccione)"),"",PROPER(TRIM(P425:S425)))))*(CAT_Procesos!$D$2:$D$1581=IFERROR(VLOOKUP(N425&amp;"*",CAT_Procesos!$D:$D,1,FALSE),""))))=0,"Combinación no existente",IF(SUMPRODUCT(((CAT_Procesos!$E$2:$E$1581=O425)*(CAT_Procesos!$F$2:$F$1581=_xlfn.TEXTJOIN(" + ",TRUE,IF((TRIM(P425:S425)="")+(LOWER(TRIM(P425:S425))="(seleccione)"),"",PROPER(TRIM(P425:S425)))))*(CAT_Procesos!$D$2:$D$1581=IFERROR(VLOOKUP(N425&amp;"*",CAT_Procesos!$D:$D,1,FALSE),"")))*(CAT_Procesos!$G$2:$G$1581=INDEX(CAT_Procesos!$G$2:$G$1581,MATCH(1,(CAT_Procesos!$E$2:$E$1581=O425)*(CAT_Procesos!$F$2:$F$1581=_xlfn.TEXTJOIN(" + ",TRUE,IF((TRIM(P425:S425)="")+(LOWER(TRIM(P425:S425))="(seleccione)"),"",PROPER(TRIM(P425:S425)))))*(CAT_Procesos!$D$2:$D$1581=IFERROR(VLOOKUP(N425&amp;"*",CAT_Procesos!$D:$D,1,FALSE),"")),0))))=SUMPRODUCT(--((CAT_Procesos!$E$2:$E$1581=O425)*(CAT_Procesos!$F$2:$F$1581=_xlfn.TEXTJOIN(" + ",TRUE,IF((TRIM(P425:S425)="")+(LOWER(TRIM(P425:S425))="(seleccione)"),"",PROPER(TRIM(P425:S425)))))*(CAT_Procesos!$D$2:$D$1581=IFERROR(VLOOKUP(N425&amp;"*",CAT_Procesos!$D:$D,1,FALSE),"")))),INDEX(CAT_Procesos!$G$2:$G$1581,MATCH(1,(CAT_Procesos!$E$2:$E$1581=O425)*(CAT_Procesos!$F$2:$F$1581=_xlfn.TEXTJOIN(" + ",TRUE,IF((TRIM(P425:S425)="")+(LOWER(TRIM(P425:S425))="(seleccione)"),"",PROPER(TRIM(P425:S425)))))*(CAT_Procesos!$D$2:$D$1581=IFERROR(VLOOKUP(N425&amp;"*",CAT_Procesos!$D:$D,1,FALSE),"")),0)),"(seleccione)"))</f>
        <v>Combinación no existente</v>
      </c>
      <c r="V425" s="55" t="s">
        <v>73</v>
      </c>
      <c r="W425" s="56" t="s">
        <v>73</v>
      </c>
      <c r="X425" s="57" t="str">
        <f t="shared" si="24"/>
        <v/>
      </c>
      <c r="Y425" s="58" t="s">
        <v>73</v>
      </c>
      <c r="Z425" s="57" t="str">
        <f t="shared" si="25"/>
        <v/>
      </c>
      <c r="AA425" s="58" t="s">
        <v>73</v>
      </c>
      <c r="AB425" s="57" t="str">
        <f t="shared" si="26"/>
        <v/>
      </c>
      <c r="AC425" s="58" t="s">
        <v>73</v>
      </c>
      <c r="AD425" s="57" t="str">
        <f t="shared" si="27"/>
        <v/>
      </c>
      <c r="AE425" s="59"/>
      <c r="AF425" s="59"/>
      <c r="AG425" s="59"/>
      <c r="AH425" s="59"/>
      <c r="AI425" s="59" t="s">
        <v>73</v>
      </c>
      <c r="AJ425" s="59"/>
      <c r="AK425" s="59" t="s">
        <v>73</v>
      </c>
      <c r="AL425" s="59"/>
      <c r="AM425" s="59" t="s">
        <v>73</v>
      </c>
      <c r="AN425" s="59"/>
      <c r="AO425" s="59" t="s">
        <v>73</v>
      </c>
      <c r="AP425" s="59"/>
      <c r="AQ425" s="59" t="s">
        <v>73</v>
      </c>
      <c r="AR425" s="59"/>
      <c r="AS425" s="59" t="s">
        <v>72</v>
      </c>
      <c r="AT425" s="59"/>
      <c r="AU425" s="59"/>
      <c r="AV425" s="59"/>
      <c r="AW425" s="59"/>
      <c r="AX425" s="59"/>
      <c r="AY425" s="60" t="str">
        <f>IF('Cálculo MP'!K435="","",'Cálculo MP'!K435)</f>
        <v/>
      </c>
      <c r="AZ425" s="60" t="str">
        <f>IF('Cálculo MP'!L435="","",'Cálculo MP'!L435)</f>
        <v/>
      </c>
      <c r="BA425" s="60" t="str">
        <f>IF('Cálculo MP'!M435="","",'Cálculo MP'!M435)</f>
        <v/>
      </c>
      <c r="BB425" s="60" t="str">
        <f>IF('Cálculo MP'!N435="","",'Cálculo MP'!N435)</f>
        <v/>
      </c>
      <c r="BC425" s="60" t="str">
        <f>IF('Cálculo MP'!O435="","",'Cálculo MP'!O435)</f>
        <v/>
      </c>
      <c r="BD425" s="60" t="str">
        <f>IF('Cálculo MP'!P435="","",'Cálculo MP'!P435)</f>
        <v/>
      </c>
      <c r="BE425" s="60" t="str">
        <f>IF('Cálculo MP'!Q435="","",'Cálculo MP'!Q435)</f>
        <v/>
      </c>
      <c r="BF425" s="60" t="str">
        <f>IF('Cálculo MP'!R435="","",'Cálculo MP'!R435)</f>
        <v/>
      </c>
      <c r="BG425" s="60" t="str">
        <f>IF('Cálculo MP'!S435="","",'Cálculo MP'!S435)</f>
        <v/>
      </c>
      <c r="BH425" s="59"/>
      <c r="BI425" s="59"/>
      <c r="BJ425" s="59"/>
      <c r="BK425" s="59"/>
      <c r="BL425" s="59"/>
      <c r="BM425" s="59"/>
      <c r="BN425" s="59"/>
      <c r="BO425" s="59"/>
    </row>
    <row r="426" spans="1:67" ht="19.5" customHeight="1" x14ac:dyDescent="0.15">
      <c r="A426" s="123" t="s">
        <v>1856</v>
      </c>
      <c r="B426" s="122" t="s">
        <v>1854</v>
      </c>
      <c r="C426" s="49"/>
      <c r="D426" s="48" t="s">
        <v>73</v>
      </c>
      <c r="E426" s="49"/>
      <c r="F426" s="50"/>
      <c r="G426" s="62"/>
      <c r="H426" s="48" t="s">
        <v>72</v>
      </c>
      <c r="I426" s="52">
        <v>1</v>
      </c>
      <c r="J426" s="52"/>
      <c r="K426" s="52" t="s">
        <v>73</v>
      </c>
      <c r="L426" s="52" t="s">
        <v>74</v>
      </c>
      <c r="M426" s="53" t="s">
        <v>942</v>
      </c>
      <c r="N426" s="58" t="s">
        <v>73</v>
      </c>
      <c r="O426" s="48" t="s">
        <v>72</v>
      </c>
      <c r="P426" s="48" t="s">
        <v>73</v>
      </c>
      <c r="Q426" s="54" t="s">
        <v>73</v>
      </c>
      <c r="R426" s="55" t="s">
        <v>73</v>
      </c>
      <c r="S426" s="48" t="s">
        <v>73</v>
      </c>
      <c r="T426" s="130"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8" t="str" cm="1">
        <f t="array" ref="U426">IF(SUMPRODUCT(--((CAT_Procesos!$E$2:$E$1581=O426)*(CAT_Procesos!$F$2:$F$1581=_xlfn.TEXTJOIN(" + ",TRUE,IF((TRIM(P426:S426)="")+(LOWER(TRIM(P426:S426))="(seleccione)"),"",PROPER(TRIM(P426:S426)))))*(CAT_Procesos!$D$2:$D$1581=IFERROR(VLOOKUP(N426&amp;"*",CAT_Procesos!$D:$D,1,FALSE),""))))=0,"Combinación no existente",IF(SUMPRODUCT(((CAT_Procesos!$E$2:$E$1581=O426)*(CAT_Procesos!$F$2:$F$1581=_xlfn.TEXTJOIN(" + ",TRUE,IF((TRIM(P426:S426)="")+(LOWER(TRIM(P426:S426))="(seleccione)"),"",PROPER(TRIM(P426:S426)))))*(CAT_Procesos!$D$2:$D$1581=IFERROR(VLOOKUP(N426&amp;"*",CAT_Procesos!$D:$D,1,FALSE),"")))*(CAT_Procesos!$G$2:$G$1581=INDEX(CAT_Procesos!$G$2:$G$1581,MATCH(1,(CAT_Procesos!$E$2:$E$1581=O426)*(CAT_Procesos!$F$2:$F$1581=_xlfn.TEXTJOIN(" + ",TRUE,IF((TRIM(P426:S426)="")+(LOWER(TRIM(P426:S426))="(seleccione)"),"",PROPER(TRIM(P426:S426)))))*(CAT_Procesos!$D$2:$D$1581=IFERROR(VLOOKUP(N426&amp;"*",CAT_Procesos!$D:$D,1,FALSE),"")),0))))=SUMPRODUCT(--((CAT_Procesos!$E$2:$E$1581=O426)*(CAT_Procesos!$F$2:$F$1581=_xlfn.TEXTJOIN(" + ",TRUE,IF((TRIM(P426:S426)="")+(LOWER(TRIM(P426:S426))="(seleccione)"),"",PROPER(TRIM(P426:S426)))))*(CAT_Procesos!$D$2:$D$1581=IFERROR(VLOOKUP(N426&amp;"*",CAT_Procesos!$D:$D,1,FALSE),"")))),INDEX(CAT_Procesos!$G$2:$G$1581,MATCH(1,(CAT_Procesos!$E$2:$E$1581=O426)*(CAT_Procesos!$F$2:$F$1581=_xlfn.TEXTJOIN(" + ",TRUE,IF((TRIM(P426:S426)="")+(LOWER(TRIM(P426:S426))="(seleccione)"),"",PROPER(TRIM(P426:S426)))))*(CAT_Procesos!$D$2:$D$1581=IFERROR(VLOOKUP(N426&amp;"*",CAT_Procesos!$D:$D,1,FALSE),"")),0)),"(seleccione)"))</f>
        <v>Combinación no existente</v>
      </c>
      <c r="V426" s="55" t="s">
        <v>73</v>
      </c>
      <c r="W426" s="56" t="s">
        <v>73</v>
      </c>
      <c r="X426" s="57" t="str">
        <f t="shared" si="24"/>
        <v/>
      </c>
      <c r="Y426" s="58" t="s">
        <v>73</v>
      </c>
      <c r="Z426" s="57" t="str">
        <f t="shared" si="25"/>
        <v/>
      </c>
      <c r="AA426" s="58" t="s">
        <v>73</v>
      </c>
      <c r="AB426" s="57" t="str">
        <f t="shared" si="26"/>
        <v/>
      </c>
      <c r="AC426" s="58" t="s">
        <v>73</v>
      </c>
      <c r="AD426" s="57" t="str">
        <f t="shared" si="27"/>
        <v/>
      </c>
      <c r="AE426" s="59"/>
      <c r="AF426" s="59"/>
      <c r="AG426" s="59"/>
      <c r="AH426" s="59"/>
      <c r="AI426" s="59" t="s">
        <v>73</v>
      </c>
      <c r="AJ426" s="59"/>
      <c r="AK426" s="59" t="s">
        <v>73</v>
      </c>
      <c r="AL426" s="59"/>
      <c r="AM426" s="59" t="s">
        <v>73</v>
      </c>
      <c r="AN426" s="59"/>
      <c r="AO426" s="59" t="s">
        <v>73</v>
      </c>
      <c r="AP426" s="59"/>
      <c r="AQ426" s="59" t="s">
        <v>73</v>
      </c>
      <c r="AR426" s="59"/>
      <c r="AS426" s="59" t="s">
        <v>72</v>
      </c>
      <c r="AT426" s="59"/>
      <c r="AU426" s="59"/>
      <c r="AV426" s="59"/>
      <c r="AW426" s="59"/>
      <c r="AX426" s="59"/>
      <c r="AY426" s="60" t="str">
        <f>IF('Cálculo MP'!K436="","",'Cálculo MP'!K436)</f>
        <v/>
      </c>
      <c r="AZ426" s="60" t="str">
        <f>IF('Cálculo MP'!L436="","",'Cálculo MP'!L436)</f>
        <v/>
      </c>
      <c r="BA426" s="60" t="str">
        <f>IF('Cálculo MP'!M436="","",'Cálculo MP'!M436)</f>
        <v/>
      </c>
      <c r="BB426" s="60" t="str">
        <f>IF('Cálculo MP'!N436="","",'Cálculo MP'!N436)</f>
        <v/>
      </c>
      <c r="BC426" s="60" t="str">
        <f>IF('Cálculo MP'!O436="","",'Cálculo MP'!O436)</f>
        <v/>
      </c>
      <c r="BD426" s="60" t="str">
        <f>IF('Cálculo MP'!P436="","",'Cálculo MP'!P436)</f>
        <v/>
      </c>
      <c r="BE426" s="60" t="str">
        <f>IF('Cálculo MP'!Q436="","",'Cálculo MP'!Q436)</f>
        <v/>
      </c>
      <c r="BF426" s="60" t="str">
        <f>IF('Cálculo MP'!R436="","",'Cálculo MP'!R436)</f>
        <v/>
      </c>
      <c r="BG426" s="60" t="str">
        <f>IF('Cálculo MP'!S436="","",'Cálculo MP'!S436)</f>
        <v/>
      </c>
      <c r="BH426" s="59"/>
      <c r="BI426" s="59"/>
      <c r="BJ426" s="59"/>
      <c r="BK426" s="59"/>
      <c r="BL426" s="59"/>
      <c r="BM426" s="59"/>
      <c r="BN426" s="59"/>
      <c r="BO426" s="59"/>
    </row>
    <row r="427" spans="1:67" ht="19.5" customHeight="1" x14ac:dyDescent="0.15">
      <c r="A427" s="123" t="s">
        <v>1856</v>
      </c>
      <c r="B427" s="122" t="s">
        <v>1854</v>
      </c>
      <c r="C427" s="49"/>
      <c r="D427" s="48" t="s">
        <v>73</v>
      </c>
      <c r="E427" s="49"/>
      <c r="F427" s="50"/>
      <c r="G427" s="62"/>
      <c r="H427" s="48" t="s">
        <v>72</v>
      </c>
      <c r="I427" s="52">
        <v>1</v>
      </c>
      <c r="J427" s="52"/>
      <c r="K427" s="52" t="s">
        <v>73</v>
      </c>
      <c r="L427" s="52" t="s">
        <v>74</v>
      </c>
      <c r="M427" s="53" t="s">
        <v>942</v>
      </c>
      <c r="N427" s="58" t="s">
        <v>73</v>
      </c>
      <c r="O427" s="48" t="s">
        <v>72</v>
      </c>
      <c r="P427" s="48" t="s">
        <v>73</v>
      </c>
      <c r="Q427" s="54" t="s">
        <v>73</v>
      </c>
      <c r="R427" s="55" t="s">
        <v>73</v>
      </c>
      <c r="S427" s="48" t="s">
        <v>73</v>
      </c>
      <c r="T427" s="130"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8" t="str" cm="1">
        <f t="array" ref="U427">IF(SUMPRODUCT(--((CAT_Procesos!$E$2:$E$1581=O427)*(CAT_Procesos!$F$2:$F$1581=_xlfn.TEXTJOIN(" + ",TRUE,IF((TRIM(P427:S427)="")+(LOWER(TRIM(P427:S427))="(seleccione)"),"",PROPER(TRIM(P427:S427)))))*(CAT_Procesos!$D$2:$D$1581=IFERROR(VLOOKUP(N427&amp;"*",CAT_Procesos!$D:$D,1,FALSE),""))))=0,"Combinación no existente",IF(SUMPRODUCT(((CAT_Procesos!$E$2:$E$1581=O427)*(CAT_Procesos!$F$2:$F$1581=_xlfn.TEXTJOIN(" + ",TRUE,IF((TRIM(P427:S427)="")+(LOWER(TRIM(P427:S427))="(seleccione)"),"",PROPER(TRIM(P427:S427)))))*(CAT_Procesos!$D$2:$D$1581=IFERROR(VLOOKUP(N427&amp;"*",CAT_Procesos!$D:$D,1,FALSE),"")))*(CAT_Procesos!$G$2:$G$1581=INDEX(CAT_Procesos!$G$2:$G$1581,MATCH(1,(CAT_Procesos!$E$2:$E$1581=O427)*(CAT_Procesos!$F$2:$F$1581=_xlfn.TEXTJOIN(" + ",TRUE,IF((TRIM(P427:S427)="")+(LOWER(TRIM(P427:S427))="(seleccione)"),"",PROPER(TRIM(P427:S427)))))*(CAT_Procesos!$D$2:$D$1581=IFERROR(VLOOKUP(N427&amp;"*",CAT_Procesos!$D:$D,1,FALSE),"")),0))))=SUMPRODUCT(--((CAT_Procesos!$E$2:$E$1581=O427)*(CAT_Procesos!$F$2:$F$1581=_xlfn.TEXTJOIN(" + ",TRUE,IF((TRIM(P427:S427)="")+(LOWER(TRIM(P427:S427))="(seleccione)"),"",PROPER(TRIM(P427:S427)))))*(CAT_Procesos!$D$2:$D$1581=IFERROR(VLOOKUP(N427&amp;"*",CAT_Procesos!$D:$D,1,FALSE),"")))),INDEX(CAT_Procesos!$G$2:$G$1581,MATCH(1,(CAT_Procesos!$E$2:$E$1581=O427)*(CAT_Procesos!$F$2:$F$1581=_xlfn.TEXTJOIN(" + ",TRUE,IF((TRIM(P427:S427)="")+(LOWER(TRIM(P427:S427))="(seleccione)"),"",PROPER(TRIM(P427:S427)))))*(CAT_Procesos!$D$2:$D$1581=IFERROR(VLOOKUP(N427&amp;"*",CAT_Procesos!$D:$D,1,FALSE),"")),0)),"(seleccione)"))</f>
        <v>Combinación no existente</v>
      </c>
      <c r="V427" s="55" t="s">
        <v>73</v>
      </c>
      <c r="W427" s="56" t="s">
        <v>73</v>
      </c>
      <c r="X427" s="57" t="str">
        <f t="shared" si="24"/>
        <v/>
      </c>
      <c r="Y427" s="58" t="s">
        <v>73</v>
      </c>
      <c r="Z427" s="57" t="str">
        <f t="shared" si="25"/>
        <v/>
      </c>
      <c r="AA427" s="58" t="s">
        <v>73</v>
      </c>
      <c r="AB427" s="57" t="str">
        <f t="shared" si="26"/>
        <v/>
      </c>
      <c r="AC427" s="58" t="s">
        <v>73</v>
      </c>
      <c r="AD427" s="57" t="str">
        <f t="shared" si="27"/>
        <v/>
      </c>
      <c r="AE427" s="59"/>
      <c r="AF427" s="59"/>
      <c r="AG427" s="59"/>
      <c r="AH427" s="59"/>
      <c r="AI427" s="59" t="s">
        <v>73</v>
      </c>
      <c r="AJ427" s="59"/>
      <c r="AK427" s="59" t="s">
        <v>73</v>
      </c>
      <c r="AL427" s="59"/>
      <c r="AM427" s="59" t="s">
        <v>73</v>
      </c>
      <c r="AN427" s="59"/>
      <c r="AO427" s="59" t="s">
        <v>73</v>
      </c>
      <c r="AP427" s="59"/>
      <c r="AQ427" s="59" t="s">
        <v>73</v>
      </c>
      <c r="AR427" s="59"/>
      <c r="AS427" s="59" t="s">
        <v>72</v>
      </c>
      <c r="AT427" s="59"/>
      <c r="AU427" s="59"/>
      <c r="AV427" s="59"/>
      <c r="AW427" s="59"/>
      <c r="AX427" s="59"/>
      <c r="AY427" s="60" t="str">
        <f>IF('Cálculo MP'!K437="","",'Cálculo MP'!K437)</f>
        <v/>
      </c>
      <c r="AZ427" s="60" t="str">
        <f>IF('Cálculo MP'!L437="","",'Cálculo MP'!L437)</f>
        <v/>
      </c>
      <c r="BA427" s="60" t="str">
        <f>IF('Cálculo MP'!M437="","",'Cálculo MP'!M437)</f>
        <v/>
      </c>
      <c r="BB427" s="60" t="str">
        <f>IF('Cálculo MP'!N437="","",'Cálculo MP'!N437)</f>
        <v/>
      </c>
      <c r="BC427" s="60" t="str">
        <f>IF('Cálculo MP'!O437="","",'Cálculo MP'!O437)</f>
        <v/>
      </c>
      <c r="BD427" s="60" t="str">
        <f>IF('Cálculo MP'!P437="","",'Cálculo MP'!P437)</f>
        <v/>
      </c>
      <c r="BE427" s="60" t="str">
        <f>IF('Cálculo MP'!Q437="","",'Cálculo MP'!Q437)</f>
        <v/>
      </c>
      <c r="BF427" s="60" t="str">
        <f>IF('Cálculo MP'!R437="","",'Cálculo MP'!R437)</f>
        <v/>
      </c>
      <c r="BG427" s="60" t="str">
        <f>IF('Cálculo MP'!S437="","",'Cálculo MP'!S437)</f>
        <v/>
      </c>
      <c r="BH427" s="59"/>
      <c r="BI427" s="59"/>
      <c r="BJ427" s="59"/>
      <c r="BK427" s="59"/>
      <c r="BL427" s="59"/>
      <c r="BM427" s="59"/>
      <c r="BN427" s="59"/>
      <c r="BO427" s="59"/>
    </row>
    <row r="428" spans="1:67" ht="19.5" customHeight="1" x14ac:dyDescent="0.15">
      <c r="A428" s="123" t="s">
        <v>1856</v>
      </c>
      <c r="B428" s="122" t="s">
        <v>1854</v>
      </c>
      <c r="C428" s="49"/>
      <c r="D428" s="48" t="s">
        <v>73</v>
      </c>
      <c r="E428" s="49"/>
      <c r="F428" s="50"/>
      <c r="G428" s="62"/>
      <c r="H428" s="48" t="s">
        <v>72</v>
      </c>
      <c r="I428" s="52">
        <v>1</v>
      </c>
      <c r="J428" s="52"/>
      <c r="K428" s="52" t="s">
        <v>73</v>
      </c>
      <c r="L428" s="52" t="s">
        <v>74</v>
      </c>
      <c r="M428" s="53" t="s">
        <v>942</v>
      </c>
      <c r="N428" s="58" t="s">
        <v>73</v>
      </c>
      <c r="O428" s="48" t="s">
        <v>72</v>
      </c>
      <c r="P428" s="48" t="s">
        <v>73</v>
      </c>
      <c r="Q428" s="54" t="s">
        <v>73</v>
      </c>
      <c r="R428" s="55" t="s">
        <v>73</v>
      </c>
      <c r="S428" s="48" t="s">
        <v>73</v>
      </c>
      <c r="T428" s="130"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8" t="str" cm="1">
        <f t="array" ref="U428">IF(SUMPRODUCT(--((CAT_Procesos!$E$2:$E$1581=O428)*(CAT_Procesos!$F$2:$F$1581=_xlfn.TEXTJOIN(" + ",TRUE,IF((TRIM(P428:S428)="")+(LOWER(TRIM(P428:S428))="(seleccione)"),"",PROPER(TRIM(P428:S428)))))*(CAT_Procesos!$D$2:$D$1581=IFERROR(VLOOKUP(N428&amp;"*",CAT_Procesos!$D:$D,1,FALSE),""))))=0,"Combinación no existente",IF(SUMPRODUCT(((CAT_Procesos!$E$2:$E$1581=O428)*(CAT_Procesos!$F$2:$F$1581=_xlfn.TEXTJOIN(" + ",TRUE,IF((TRIM(P428:S428)="")+(LOWER(TRIM(P428:S428))="(seleccione)"),"",PROPER(TRIM(P428:S428)))))*(CAT_Procesos!$D$2:$D$1581=IFERROR(VLOOKUP(N428&amp;"*",CAT_Procesos!$D:$D,1,FALSE),"")))*(CAT_Procesos!$G$2:$G$1581=INDEX(CAT_Procesos!$G$2:$G$1581,MATCH(1,(CAT_Procesos!$E$2:$E$1581=O428)*(CAT_Procesos!$F$2:$F$1581=_xlfn.TEXTJOIN(" + ",TRUE,IF((TRIM(P428:S428)="")+(LOWER(TRIM(P428:S428))="(seleccione)"),"",PROPER(TRIM(P428:S428)))))*(CAT_Procesos!$D$2:$D$1581=IFERROR(VLOOKUP(N428&amp;"*",CAT_Procesos!$D:$D,1,FALSE),"")),0))))=SUMPRODUCT(--((CAT_Procesos!$E$2:$E$1581=O428)*(CAT_Procesos!$F$2:$F$1581=_xlfn.TEXTJOIN(" + ",TRUE,IF((TRIM(P428:S428)="")+(LOWER(TRIM(P428:S428))="(seleccione)"),"",PROPER(TRIM(P428:S428)))))*(CAT_Procesos!$D$2:$D$1581=IFERROR(VLOOKUP(N428&amp;"*",CAT_Procesos!$D:$D,1,FALSE),"")))),INDEX(CAT_Procesos!$G$2:$G$1581,MATCH(1,(CAT_Procesos!$E$2:$E$1581=O428)*(CAT_Procesos!$F$2:$F$1581=_xlfn.TEXTJOIN(" + ",TRUE,IF((TRIM(P428:S428)="")+(LOWER(TRIM(P428:S428))="(seleccione)"),"",PROPER(TRIM(P428:S428)))))*(CAT_Procesos!$D$2:$D$1581=IFERROR(VLOOKUP(N428&amp;"*",CAT_Procesos!$D:$D,1,FALSE),"")),0)),"(seleccione)"))</f>
        <v>Combinación no existente</v>
      </c>
      <c r="V428" s="55" t="s">
        <v>73</v>
      </c>
      <c r="W428" s="56" t="s">
        <v>73</v>
      </c>
      <c r="X428" s="57" t="str">
        <f t="shared" si="24"/>
        <v/>
      </c>
      <c r="Y428" s="58" t="s">
        <v>73</v>
      </c>
      <c r="Z428" s="57" t="str">
        <f t="shared" si="25"/>
        <v/>
      </c>
      <c r="AA428" s="58" t="s">
        <v>73</v>
      </c>
      <c r="AB428" s="57" t="str">
        <f t="shared" si="26"/>
        <v/>
      </c>
      <c r="AC428" s="58" t="s">
        <v>73</v>
      </c>
      <c r="AD428" s="57" t="str">
        <f t="shared" si="27"/>
        <v/>
      </c>
      <c r="AE428" s="59"/>
      <c r="AF428" s="59"/>
      <c r="AG428" s="59"/>
      <c r="AH428" s="59"/>
      <c r="AI428" s="59" t="s">
        <v>73</v>
      </c>
      <c r="AJ428" s="59"/>
      <c r="AK428" s="59" t="s">
        <v>73</v>
      </c>
      <c r="AL428" s="59"/>
      <c r="AM428" s="59" t="s">
        <v>73</v>
      </c>
      <c r="AN428" s="59"/>
      <c r="AO428" s="59" t="s">
        <v>73</v>
      </c>
      <c r="AP428" s="59"/>
      <c r="AQ428" s="59" t="s">
        <v>73</v>
      </c>
      <c r="AR428" s="59"/>
      <c r="AS428" s="59" t="s">
        <v>72</v>
      </c>
      <c r="AT428" s="59"/>
      <c r="AU428" s="59"/>
      <c r="AV428" s="59"/>
      <c r="AW428" s="59"/>
      <c r="AX428" s="59"/>
      <c r="AY428" s="60" t="str">
        <f>IF('Cálculo MP'!K438="","",'Cálculo MP'!K438)</f>
        <v/>
      </c>
      <c r="AZ428" s="60" t="str">
        <f>IF('Cálculo MP'!L438="","",'Cálculo MP'!L438)</f>
        <v/>
      </c>
      <c r="BA428" s="60" t="str">
        <f>IF('Cálculo MP'!M438="","",'Cálculo MP'!M438)</f>
        <v/>
      </c>
      <c r="BB428" s="60" t="str">
        <f>IF('Cálculo MP'!N438="","",'Cálculo MP'!N438)</f>
        <v/>
      </c>
      <c r="BC428" s="60" t="str">
        <f>IF('Cálculo MP'!O438="","",'Cálculo MP'!O438)</f>
        <v/>
      </c>
      <c r="BD428" s="60" t="str">
        <f>IF('Cálculo MP'!P438="","",'Cálculo MP'!P438)</f>
        <v/>
      </c>
      <c r="BE428" s="60" t="str">
        <f>IF('Cálculo MP'!Q438="","",'Cálculo MP'!Q438)</f>
        <v/>
      </c>
      <c r="BF428" s="60" t="str">
        <f>IF('Cálculo MP'!R438="","",'Cálculo MP'!R438)</f>
        <v/>
      </c>
      <c r="BG428" s="60" t="str">
        <f>IF('Cálculo MP'!S438="","",'Cálculo MP'!S438)</f>
        <v/>
      </c>
      <c r="BH428" s="59"/>
      <c r="BI428" s="59"/>
      <c r="BJ428" s="59"/>
      <c r="BK428" s="59"/>
      <c r="BL428" s="59"/>
      <c r="BM428" s="59"/>
      <c r="BN428" s="59"/>
      <c r="BO428" s="59"/>
    </row>
    <row r="429" spans="1:67" ht="19.5" customHeight="1" x14ac:dyDescent="0.15">
      <c r="A429" s="123" t="s">
        <v>1856</v>
      </c>
      <c r="B429" s="122" t="s">
        <v>1854</v>
      </c>
      <c r="C429" s="49"/>
      <c r="D429" s="48" t="s">
        <v>73</v>
      </c>
      <c r="E429" s="49"/>
      <c r="F429" s="50"/>
      <c r="G429" s="62"/>
      <c r="H429" s="48" t="s">
        <v>72</v>
      </c>
      <c r="I429" s="52">
        <v>1</v>
      </c>
      <c r="J429" s="52"/>
      <c r="K429" s="52" t="s">
        <v>73</v>
      </c>
      <c r="L429" s="52" t="s">
        <v>74</v>
      </c>
      <c r="M429" s="53" t="s">
        <v>942</v>
      </c>
      <c r="N429" s="58" t="s">
        <v>73</v>
      </c>
      <c r="O429" s="48" t="s">
        <v>72</v>
      </c>
      <c r="P429" s="48" t="s">
        <v>73</v>
      </c>
      <c r="Q429" s="54" t="s">
        <v>73</v>
      </c>
      <c r="R429" s="55" t="s">
        <v>73</v>
      </c>
      <c r="S429" s="48" t="s">
        <v>73</v>
      </c>
      <c r="T429" s="130"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8" t="str" cm="1">
        <f t="array" ref="U429">IF(SUMPRODUCT(--((CAT_Procesos!$E$2:$E$1581=O429)*(CAT_Procesos!$F$2:$F$1581=_xlfn.TEXTJOIN(" + ",TRUE,IF((TRIM(P429:S429)="")+(LOWER(TRIM(P429:S429))="(seleccione)"),"",PROPER(TRIM(P429:S429)))))*(CAT_Procesos!$D$2:$D$1581=IFERROR(VLOOKUP(N429&amp;"*",CAT_Procesos!$D:$D,1,FALSE),""))))=0,"Combinación no existente",IF(SUMPRODUCT(((CAT_Procesos!$E$2:$E$1581=O429)*(CAT_Procesos!$F$2:$F$1581=_xlfn.TEXTJOIN(" + ",TRUE,IF((TRIM(P429:S429)="")+(LOWER(TRIM(P429:S429))="(seleccione)"),"",PROPER(TRIM(P429:S429)))))*(CAT_Procesos!$D$2:$D$1581=IFERROR(VLOOKUP(N429&amp;"*",CAT_Procesos!$D:$D,1,FALSE),"")))*(CAT_Procesos!$G$2:$G$1581=INDEX(CAT_Procesos!$G$2:$G$1581,MATCH(1,(CAT_Procesos!$E$2:$E$1581=O429)*(CAT_Procesos!$F$2:$F$1581=_xlfn.TEXTJOIN(" + ",TRUE,IF((TRIM(P429:S429)="")+(LOWER(TRIM(P429:S429))="(seleccione)"),"",PROPER(TRIM(P429:S429)))))*(CAT_Procesos!$D$2:$D$1581=IFERROR(VLOOKUP(N429&amp;"*",CAT_Procesos!$D:$D,1,FALSE),"")),0))))=SUMPRODUCT(--((CAT_Procesos!$E$2:$E$1581=O429)*(CAT_Procesos!$F$2:$F$1581=_xlfn.TEXTJOIN(" + ",TRUE,IF((TRIM(P429:S429)="")+(LOWER(TRIM(P429:S429))="(seleccione)"),"",PROPER(TRIM(P429:S429)))))*(CAT_Procesos!$D$2:$D$1581=IFERROR(VLOOKUP(N429&amp;"*",CAT_Procesos!$D:$D,1,FALSE),"")))),INDEX(CAT_Procesos!$G$2:$G$1581,MATCH(1,(CAT_Procesos!$E$2:$E$1581=O429)*(CAT_Procesos!$F$2:$F$1581=_xlfn.TEXTJOIN(" + ",TRUE,IF((TRIM(P429:S429)="")+(LOWER(TRIM(P429:S429))="(seleccione)"),"",PROPER(TRIM(P429:S429)))))*(CAT_Procesos!$D$2:$D$1581=IFERROR(VLOOKUP(N429&amp;"*",CAT_Procesos!$D:$D,1,FALSE),"")),0)),"(seleccione)"))</f>
        <v>Combinación no existente</v>
      </c>
      <c r="V429" s="55" t="s">
        <v>73</v>
      </c>
      <c r="W429" s="56" t="s">
        <v>73</v>
      </c>
      <c r="X429" s="57" t="str">
        <f t="shared" si="24"/>
        <v/>
      </c>
      <c r="Y429" s="58" t="s">
        <v>73</v>
      </c>
      <c r="Z429" s="57" t="str">
        <f t="shared" si="25"/>
        <v/>
      </c>
      <c r="AA429" s="58" t="s">
        <v>73</v>
      </c>
      <c r="AB429" s="57" t="str">
        <f t="shared" si="26"/>
        <v/>
      </c>
      <c r="AC429" s="58" t="s">
        <v>73</v>
      </c>
      <c r="AD429" s="57" t="str">
        <f t="shared" si="27"/>
        <v/>
      </c>
      <c r="AE429" s="59"/>
      <c r="AF429" s="59"/>
      <c r="AG429" s="59"/>
      <c r="AH429" s="59"/>
      <c r="AI429" s="59" t="s">
        <v>73</v>
      </c>
      <c r="AJ429" s="59"/>
      <c r="AK429" s="59" t="s">
        <v>73</v>
      </c>
      <c r="AL429" s="59"/>
      <c r="AM429" s="59" t="s">
        <v>73</v>
      </c>
      <c r="AN429" s="59"/>
      <c r="AO429" s="59" t="s">
        <v>73</v>
      </c>
      <c r="AP429" s="59"/>
      <c r="AQ429" s="59" t="s">
        <v>73</v>
      </c>
      <c r="AR429" s="59"/>
      <c r="AS429" s="59" t="s">
        <v>72</v>
      </c>
      <c r="AT429" s="59"/>
      <c r="AU429" s="59"/>
      <c r="AV429" s="59"/>
      <c r="AW429" s="59"/>
      <c r="AX429" s="59"/>
      <c r="AY429" s="60" t="str">
        <f>IF('Cálculo MP'!K439="","",'Cálculo MP'!K439)</f>
        <v/>
      </c>
      <c r="AZ429" s="60" t="str">
        <f>IF('Cálculo MP'!L439="","",'Cálculo MP'!L439)</f>
        <v/>
      </c>
      <c r="BA429" s="60" t="str">
        <f>IF('Cálculo MP'!M439="","",'Cálculo MP'!M439)</f>
        <v/>
      </c>
      <c r="BB429" s="60" t="str">
        <f>IF('Cálculo MP'!N439="","",'Cálculo MP'!N439)</f>
        <v/>
      </c>
      <c r="BC429" s="60" t="str">
        <f>IF('Cálculo MP'!O439="","",'Cálculo MP'!O439)</f>
        <v/>
      </c>
      <c r="BD429" s="60" t="str">
        <f>IF('Cálculo MP'!P439="","",'Cálculo MP'!P439)</f>
        <v/>
      </c>
      <c r="BE429" s="60" t="str">
        <f>IF('Cálculo MP'!Q439="","",'Cálculo MP'!Q439)</f>
        <v/>
      </c>
      <c r="BF429" s="60" t="str">
        <f>IF('Cálculo MP'!R439="","",'Cálculo MP'!R439)</f>
        <v/>
      </c>
      <c r="BG429" s="60" t="str">
        <f>IF('Cálculo MP'!S439="","",'Cálculo MP'!S439)</f>
        <v/>
      </c>
      <c r="BH429" s="59"/>
      <c r="BI429" s="59"/>
      <c r="BJ429" s="59"/>
      <c r="BK429" s="59"/>
      <c r="BL429" s="59"/>
      <c r="BM429" s="59"/>
      <c r="BN429" s="59"/>
      <c r="BO429" s="59"/>
    </row>
    <row r="430" spans="1:67" ht="19.5" customHeight="1" x14ac:dyDescent="0.15">
      <c r="A430" s="123" t="s">
        <v>1856</v>
      </c>
      <c r="B430" s="122" t="s">
        <v>1854</v>
      </c>
      <c r="C430" s="49"/>
      <c r="D430" s="48" t="s">
        <v>73</v>
      </c>
      <c r="E430" s="49"/>
      <c r="F430" s="50"/>
      <c r="G430" s="62"/>
      <c r="H430" s="48" t="s">
        <v>72</v>
      </c>
      <c r="I430" s="52">
        <v>1</v>
      </c>
      <c r="J430" s="52"/>
      <c r="K430" s="52" t="s">
        <v>73</v>
      </c>
      <c r="L430" s="52" t="s">
        <v>74</v>
      </c>
      <c r="M430" s="53" t="s">
        <v>942</v>
      </c>
      <c r="N430" s="58" t="s">
        <v>73</v>
      </c>
      <c r="O430" s="48" t="s">
        <v>72</v>
      </c>
      <c r="P430" s="48" t="s">
        <v>73</v>
      </c>
      <c r="Q430" s="54" t="s">
        <v>73</v>
      </c>
      <c r="R430" s="55" t="s">
        <v>73</v>
      </c>
      <c r="S430" s="48" t="s">
        <v>73</v>
      </c>
      <c r="T430" s="130"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8" t="str" cm="1">
        <f t="array" ref="U430">IF(SUMPRODUCT(--((CAT_Procesos!$E$2:$E$1581=O430)*(CAT_Procesos!$F$2:$F$1581=_xlfn.TEXTJOIN(" + ",TRUE,IF((TRIM(P430:S430)="")+(LOWER(TRIM(P430:S430))="(seleccione)"),"",PROPER(TRIM(P430:S430)))))*(CAT_Procesos!$D$2:$D$1581=IFERROR(VLOOKUP(N430&amp;"*",CAT_Procesos!$D:$D,1,FALSE),""))))=0,"Combinación no existente",IF(SUMPRODUCT(((CAT_Procesos!$E$2:$E$1581=O430)*(CAT_Procesos!$F$2:$F$1581=_xlfn.TEXTJOIN(" + ",TRUE,IF((TRIM(P430:S430)="")+(LOWER(TRIM(P430:S430))="(seleccione)"),"",PROPER(TRIM(P430:S430)))))*(CAT_Procesos!$D$2:$D$1581=IFERROR(VLOOKUP(N430&amp;"*",CAT_Procesos!$D:$D,1,FALSE),"")))*(CAT_Procesos!$G$2:$G$1581=INDEX(CAT_Procesos!$G$2:$G$1581,MATCH(1,(CAT_Procesos!$E$2:$E$1581=O430)*(CAT_Procesos!$F$2:$F$1581=_xlfn.TEXTJOIN(" + ",TRUE,IF((TRIM(P430:S430)="")+(LOWER(TRIM(P430:S430))="(seleccione)"),"",PROPER(TRIM(P430:S430)))))*(CAT_Procesos!$D$2:$D$1581=IFERROR(VLOOKUP(N430&amp;"*",CAT_Procesos!$D:$D,1,FALSE),"")),0))))=SUMPRODUCT(--((CAT_Procesos!$E$2:$E$1581=O430)*(CAT_Procesos!$F$2:$F$1581=_xlfn.TEXTJOIN(" + ",TRUE,IF((TRIM(P430:S430)="")+(LOWER(TRIM(P430:S430))="(seleccione)"),"",PROPER(TRIM(P430:S430)))))*(CAT_Procesos!$D$2:$D$1581=IFERROR(VLOOKUP(N430&amp;"*",CAT_Procesos!$D:$D,1,FALSE),"")))),INDEX(CAT_Procesos!$G$2:$G$1581,MATCH(1,(CAT_Procesos!$E$2:$E$1581=O430)*(CAT_Procesos!$F$2:$F$1581=_xlfn.TEXTJOIN(" + ",TRUE,IF((TRIM(P430:S430)="")+(LOWER(TRIM(P430:S430))="(seleccione)"),"",PROPER(TRIM(P430:S430)))))*(CAT_Procesos!$D$2:$D$1581=IFERROR(VLOOKUP(N430&amp;"*",CAT_Procesos!$D:$D,1,FALSE),"")),0)),"(seleccione)"))</f>
        <v>Combinación no existente</v>
      </c>
      <c r="V430" s="55" t="s">
        <v>73</v>
      </c>
      <c r="W430" s="56" t="s">
        <v>73</v>
      </c>
      <c r="X430" s="57" t="str">
        <f t="shared" si="24"/>
        <v/>
      </c>
      <c r="Y430" s="58" t="s">
        <v>73</v>
      </c>
      <c r="Z430" s="57" t="str">
        <f t="shared" si="25"/>
        <v/>
      </c>
      <c r="AA430" s="58" t="s">
        <v>73</v>
      </c>
      <c r="AB430" s="57" t="str">
        <f t="shared" si="26"/>
        <v/>
      </c>
      <c r="AC430" s="58" t="s">
        <v>73</v>
      </c>
      <c r="AD430" s="57" t="str">
        <f t="shared" si="27"/>
        <v/>
      </c>
      <c r="AE430" s="59"/>
      <c r="AF430" s="59"/>
      <c r="AG430" s="59"/>
      <c r="AH430" s="59"/>
      <c r="AI430" s="59" t="s">
        <v>73</v>
      </c>
      <c r="AJ430" s="59"/>
      <c r="AK430" s="59" t="s">
        <v>73</v>
      </c>
      <c r="AL430" s="59"/>
      <c r="AM430" s="59" t="s">
        <v>73</v>
      </c>
      <c r="AN430" s="59"/>
      <c r="AO430" s="59" t="s">
        <v>73</v>
      </c>
      <c r="AP430" s="59"/>
      <c r="AQ430" s="59" t="s">
        <v>73</v>
      </c>
      <c r="AR430" s="59"/>
      <c r="AS430" s="59" t="s">
        <v>72</v>
      </c>
      <c r="AT430" s="59"/>
      <c r="AU430" s="59"/>
      <c r="AV430" s="59"/>
      <c r="AW430" s="59"/>
      <c r="AX430" s="59"/>
      <c r="AY430" s="60" t="str">
        <f>IF('Cálculo MP'!K440="","",'Cálculo MP'!K440)</f>
        <v/>
      </c>
      <c r="AZ430" s="60" t="str">
        <f>IF('Cálculo MP'!L440="","",'Cálculo MP'!L440)</f>
        <v/>
      </c>
      <c r="BA430" s="60" t="str">
        <f>IF('Cálculo MP'!M440="","",'Cálculo MP'!M440)</f>
        <v/>
      </c>
      <c r="BB430" s="60" t="str">
        <f>IF('Cálculo MP'!N440="","",'Cálculo MP'!N440)</f>
        <v/>
      </c>
      <c r="BC430" s="60" t="str">
        <f>IF('Cálculo MP'!O440="","",'Cálculo MP'!O440)</f>
        <v/>
      </c>
      <c r="BD430" s="60" t="str">
        <f>IF('Cálculo MP'!P440="","",'Cálculo MP'!P440)</f>
        <v/>
      </c>
      <c r="BE430" s="60" t="str">
        <f>IF('Cálculo MP'!Q440="","",'Cálculo MP'!Q440)</f>
        <v/>
      </c>
      <c r="BF430" s="60" t="str">
        <f>IF('Cálculo MP'!R440="","",'Cálculo MP'!R440)</f>
        <v/>
      </c>
      <c r="BG430" s="60" t="str">
        <f>IF('Cálculo MP'!S440="","",'Cálculo MP'!S440)</f>
        <v/>
      </c>
      <c r="BH430" s="59"/>
      <c r="BI430" s="59"/>
      <c r="BJ430" s="59"/>
      <c r="BK430" s="59"/>
      <c r="BL430" s="59"/>
      <c r="BM430" s="59"/>
      <c r="BN430" s="59"/>
      <c r="BO430" s="59"/>
    </row>
    <row r="431" spans="1:67" ht="19.5" customHeight="1" x14ac:dyDescent="0.15">
      <c r="A431" s="123" t="s">
        <v>1856</v>
      </c>
      <c r="B431" s="122" t="s">
        <v>1854</v>
      </c>
      <c r="C431" s="49"/>
      <c r="D431" s="48" t="s">
        <v>73</v>
      </c>
      <c r="E431" s="49"/>
      <c r="F431" s="50"/>
      <c r="G431" s="62"/>
      <c r="H431" s="48" t="s">
        <v>72</v>
      </c>
      <c r="I431" s="52">
        <v>1</v>
      </c>
      <c r="J431" s="52"/>
      <c r="K431" s="52" t="s">
        <v>73</v>
      </c>
      <c r="L431" s="52" t="s">
        <v>74</v>
      </c>
      <c r="M431" s="53" t="s">
        <v>942</v>
      </c>
      <c r="N431" s="58" t="s">
        <v>73</v>
      </c>
      <c r="O431" s="48" t="s">
        <v>72</v>
      </c>
      <c r="P431" s="48" t="s">
        <v>73</v>
      </c>
      <c r="Q431" s="54" t="s">
        <v>73</v>
      </c>
      <c r="R431" s="55" t="s">
        <v>73</v>
      </c>
      <c r="S431" s="48" t="s">
        <v>73</v>
      </c>
      <c r="T431" s="130"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8" t="str" cm="1">
        <f t="array" ref="U431">IF(SUMPRODUCT(--((CAT_Procesos!$E$2:$E$1581=O431)*(CAT_Procesos!$F$2:$F$1581=_xlfn.TEXTJOIN(" + ",TRUE,IF((TRIM(P431:S431)="")+(LOWER(TRIM(P431:S431))="(seleccione)"),"",PROPER(TRIM(P431:S431)))))*(CAT_Procesos!$D$2:$D$1581=IFERROR(VLOOKUP(N431&amp;"*",CAT_Procesos!$D:$D,1,FALSE),""))))=0,"Combinación no existente",IF(SUMPRODUCT(((CAT_Procesos!$E$2:$E$1581=O431)*(CAT_Procesos!$F$2:$F$1581=_xlfn.TEXTJOIN(" + ",TRUE,IF((TRIM(P431:S431)="")+(LOWER(TRIM(P431:S431))="(seleccione)"),"",PROPER(TRIM(P431:S431)))))*(CAT_Procesos!$D$2:$D$1581=IFERROR(VLOOKUP(N431&amp;"*",CAT_Procesos!$D:$D,1,FALSE),"")))*(CAT_Procesos!$G$2:$G$1581=INDEX(CAT_Procesos!$G$2:$G$1581,MATCH(1,(CAT_Procesos!$E$2:$E$1581=O431)*(CAT_Procesos!$F$2:$F$1581=_xlfn.TEXTJOIN(" + ",TRUE,IF((TRIM(P431:S431)="")+(LOWER(TRIM(P431:S431))="(seleccione)"),"",PROPER(TRIM(P431:S431)))))*(CAT_Procesos!$D$2:$D$1581=IFERROR(VLOOKUP(N431&amp;"*",CAT_Procesos!$D:$D,1,FALSE),"")),0))))=SUMPRODUCT(--((CAT_Procesos!$E$2:$E$1581=O431)*(CAT_Procesos!$F$2:$F$1581=_xlfn.TEXTJOIN(" + ",TRUE,IF((TRIM(P431:S431)="")+(LOWER(TRIM(P431:S431))="(seleccione)"),"",PROPER(TRIM(P431:S431)))))*(CAT_Procesos!$D$2:$D$1581=IFERROR(VLOOKUP(N431&amp;"*",CAT_Procesos!$D:$D,1,FALSE),"")))),INDEX(CAT_Procesos!$G$2:$G$1581,MATCH(1,(CAT_Procesos!$E$2:$E$1581=O431)*(CAT_Procesos!$F$2:$F$1581=_xlfn.TEXTJOIN(" + ",TRUE,IF((TRIM(P431:S431)="")+(LOWER(TRIM(P431:S431))="(seleccione)"),"",PROPER(TRIM(P431:S431)))))*(CAT_Procesos!$D$2:$D$1581=IFERROR(VLOOKUP(N431&amp;"*",CAT_Procesos!$D:$D,1,FALSE),"")),0)),"(seleccione)"))</f>
        <v>Combinación no existente</v>
      </c>
      <c r="V431" s="55" t="s">
        <v>73</v>
      </c>
      <c r="W431" s="56" t="s">
        <v>73</v>
      </c>
      <c r="X431" s="57" t="str">
        <f t="shared" si="24"/>
        <v/>
      </c>
      <c r="Y431" s="58" t="s">
        <v>73</v>
      </c>
      <c r="Z431" s="57" t="str">
        <f t="shared" si="25"/>
        <v/>
      </c>
      <c r="AA431" s="58" t="s">
        <v>73</v>
      </c>
      <c r="AB431" s="57" t="str">
        <f t="shared" si="26"/>
        <v/>
      </c>
      <c r="AC431" s="58" t="s">
        <v>73</v>
      </c>
      <c r="AD431" s="57" t="str">
        <f t="shared" si="27"/>
        <v/>
      </c>
      <c r="AE431" s="59"/>
      <c r="AF431" s="59"/>
      <c r="AG431" s="59"/>
      <c r="AH431" s="59"/>
      <c r="AI431" s="59" t="s">
        <v>73</v>
      </c>
      <c r="AJ431" s="59"/>
      <c r="AK431" s="59" t="s">
        <v>73</v>
      </c>
      <c r="AL431" s="59"/>
      <c r="AM431" s="59" t="s">
        <v>73</v>
      </c>
      <c r="AN431" s="59"/>
      <c r="AO431" s="59" t="s">
        <v>73</v>
      </c>
      <c r="AP431" s="59"/>
      <c r="AQ431" s="59" t="s">
        <v>73</v>
      </c>
      <c r="AR431" s="59"/>
      <c r="AS431" s="59" t="s">
        <v>72</v>
      </c>
      <c r="AT431" s="59"/>
      <c r="AU431" s="59"/>
      <c r="AV431" s="59"/>
      <c r="AW431" s="59"/>
      <c r="AX431" s="59"/>
      <c r="AY431" s="60" t="str">
        <f>IF('Cálculo MP'!K441="","",'Cálculo MP'!K441)</f>
        <v/>
      </c>
      <c r="AZ431" s="60" t="str">
        <f>IF('Cálculo MP'!L441="","",'Cálculo MP'!L441)</f>
        <v/>
      </c>
      <c r="BA431" s="60" t="str">
        <f>IF('Cálculo MP'!M441="","",'Cálculo MP'!M441)</f>
        <v/>
      </c>
      <c r="BB431" s="60" t="str">
        <f>IF('Cálculo MP'!N441="","",'Cálculo MP'!N441)</f>
        <v/>
      </c>
      <c r="BC431" s="60" t="str">
        <f>IF('Cálculo MP'!O441="","",'Cálculo MP'!O441)</f>
        <v/>
      </c>
      <c r="BD431" s="60" t="str">
        <f>IF('Cálculo MP'!P441="","",'Cálculo MP'!P441)</f>
        <v/>
      </c>
      <c r="BE431" s="60" t="str">
        <f>IF('Cálculo MP'!Q441="","",'Cálculo MP'!Q441)</f>
        <v/>
      </c>
      <c r="BF431" s="60" t="str">
        <f>IF('Cálculo MP'!R441="","",'Cálculo MP'!R441)</f>
        <v/>
      </c>
      <c r="BG431" s="60" t="str">
        <f>IF('Cálculo MP'!S441="","",'Cálculo MP'!S441)</f>
        <v/>
      </c>
      <c r="BH431" s="59"/>
      <c r="BI431" s="59"/>
      <c r="BJ431" s="59"/>
      <c r="BK431" s="59"/>
      <c r="BL431" s="59"/>
      <c r="BM431" s="59"/>
      <c r="BN431" s="59"/>
      <c r="BO431" s="59"/>
    </row>
    <row r="432" spans="1:67" ht="19.5" customHeight="1" x14ac:dyDescent="0.15">
      <c r="A432" s="123" t="s">
        <v>1856</v>
      </c>
      <c r="B432" s="122" t="s">
        <v>1854</v>
      </c>
      <c r="C432" s="49"/>
      <c r="D432" s="48" t="s">
        <v>73</v>
      </c>
      <c r="E432" s="49"/>
      <c r="F432" s="50"/>
      <c r="G432" s="62"/>
      <c r="H432" s="48" t="s">
        <v>72</v>
      </c>
      <c r="I432" s="52">
        <v>1</v>
      </c>
      <c r="J432" s="52"/>
      <c r="K432" s="52" t="s">
        <v>73</v>
      </c>
      <c r="L432" s="52" t="s">
        <v>74</v>
      </c>
      <c r="M432" s="53" t="s">
        <v>942</v>
      </c>
      <c r="N432" s="58" t="s">
        <v>73</v>
      </c>
      <c r="O432" s="48" t="s">
        <v>72</v>
      </c>
      <c r="P432" s="48" t="s">
        <v>73</v>
      </c>
      <c r="Q432" s="54" t="s">
        <v>73</v>
      </c>
      <c r="R432" s="55" t="s">
        <v>73</v>
      </c>
      <c r="S432" s="48" t="s">
        <v>73</v>
      </c>
      <c r="T432" s="130"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8" t="str" cm="1">
        <f t="array" ref="U432">IF(SUMPRODUCT(--((CAT_Procesos!$E$2:$E$1581=O432)*(CAT_Procesos!$F$2:$F$1581=_xlfn.TEXTJOIN(" + ",TRUE,IF((TRIM(P432:S432)="")+(LOWER(TRIM(P432:S432))="(seleccione)"),"",PROPER(TRIM(P432:S432)))))*(CAT_Procesos!$D$2:$D$1581=IFERROR(VLOOKUP(N432&amp;"*",CAT_Procesos!$D:$D,1,FALSE),""))))=0,"Combinación no existente",IF(SUMPRODUCT(((CAT_Procesos!$E$2:$E$1581=O432)*(CAT_Procesos!$F$2:$F$1581=_xlfn.TEXTJOIN(" + ",TRUE,IF((TRIM(P432:S432)="")+(LOWER(TRIM(P432:S432))="(seleccione)"),"",PROPER(TRIM(P432:S432)))))*(CAT_Procesos!$D$2:$D$1581=IFERROR(VLOOKUP(N432&amp;"*",CAT_Procesos!$D:$D,1,FALSE),"")))*(CAT_Procesos!$G$2:$G$1581=INDEX(CAT_Procesos!$G$2:$G$1581,MATCH(1,(CAT_Procesos!$E$2:$E$1581=O432)*(CAT_Procesos!$F$2:$F$1581=_xlfn.TEXTJOIN(" + ",TRUE,IF((TRIM(P432:S432)="")+(LOWER(TRIM(P432:S432))="(seleccione)"),"",PROPER(TRIM(P432:S432)))))*(CAT_Procesos!$D$2:$D$1581=IFERROR(VLOOKUP(N432&amp;"*",CAT_Procesos!$D:$D,1,FALSE),"")),0))))=SUMPRODUCT(--((CAT_Procesos!$E$2:$E$1581=O432)*(CAT_Procesos!$F$2:$F$1581=_xlfn.TEXTJOIN(" + ",TRUE,IF((TRIM(P432:S432)="")+(LOWER(TRIM(P432:S432))="(seleccione)"),"",PROPER(TRIM(P432:S432)))))*(CAT_Procesos!$D$2:$D$1581=IFERROR(VLOOKUP(N432&amp;"*",CAT_Procesos!$D:$D,1,FALSE),"")))),INDEX(CAT_Procesos!$G$2:$G$1581,MATCH(1,(CAT_Procesos!$E$2:$E$1581=O432)*(CAT_Procesos!$F$2:$F$1581=_xlfn.TEXTJOIN(" + ",TRUE,IF((TRIM(P432:S432)="")+(LOWER(TRIM(P432:S432))="(seleccione)"),"",PROPER(TRIM(P432:S432)))))*(CAT_Procesos!$D$2:$D$1581=IFERROR(VLOOKUP(N432&amp;"*",CAT_Procesos!$D:$D,1,FALSE),"")),0)),"(seleccione)"))</f>
        <v>Combinación no existente</v>
      </c>
      <c r="V432" s="55" t="s">
        <v>73</v>
      </c>
      <c r="W432" s="56" t="s">
        <v>73</v>
      </c>
      <c r="X432" s="57" t="str">
        <f t="shared" si="24"/>
        <v/>
      </c>
      <c r="Y432" s="58" t="s">
        <v>73</v>
      </c>
      <c r="Z432" s="57" t="str">
        <f t="shared" si="25"/>
        <v/>
      </c>
      <c r="AA432" s="58" t="s">
        <v>73</v>
      </c>
      <c r="AB432" s="57" t="str">
        <f t="shared" si="26"/>
        <v/>
      </c>
      <c r="AC432" s="58" t="s">
        <v>73</v>
      </c>
      <c r="AD432" s="57" t="str">
        <f t="shared" si="27"/>
        <v/>
      </c>
      <c r="AE432" s="59"/>
      <c r="AF432" s="59"/>
      <c r="AG432" s="59"/>
      <c r="AH432" s="59"/>
      <c r="AI432" s="59" t="s">
        <v>73</v>
      </c>
      <c r="AJ432" s="59"/>
      <c r="AK432" s="59" t="s">
        <v>73</v>
      </c>
      <c r="AL432" s="59"/>
      <c r="AM432" s="59" t="s">
        <v>73</v>
      </c>
      <c r="AN432" s="59"/>
      <c r="AO432" s="59" t="s">
        <v>73</v>
      </c>
      <c r="AP432" s="59"/>
      <c r="AQ432" s="59" t="s">
        <v>73</v>
      </c>
      <c r="AR432" s="59"/>
      <c r="AS432" s="59" t="s">
        <v>72</v>
      </c>
      <c r="AT432" s="59"/>
      <c r="AU432" s="59"/>
      <c r="AV432" s="59"/>
      <c r="AW432" s="59"/>
      <c r="AX432" s="59"/>
      <c r="AY432" s="60" t="str">
        <f>IF('Cálculo MP'!K442="","",'Cálculo MP'!K442)</f>
        <v/>
      </c>
      <c r="AZ432" s="60" t="str">
        <f>IF('Cálculo MP'!L442="","",'Cálculo MP'!L442)</f>
        <v/>
      </c>
      <c r="BA432" s="60" t="str">
        <f>IF('Cálculo MP'!M442="","",'Cálculo MP'!M442)</f>
        <v/>
      </c>
      <c r="BB432" s="60" t="str">
        <f>IF('Cálculo MP'!N442="","",'Cálculo MP'!N442)</f>
        <v/>
      </c>
      <c r="BC432" s="60" t="str">
        <f>IF('Cálculo MP'!O442="","",'Cálculo MP'!O442)</f>
        <v/>
      </c>
      <c r="BD432" s="60" t="str">
        <f>IF('Cálculo MP'!P442="","",'Cálculo MP'!P442)</f>
        <v/>
      </c>
      <c r="BE432" s="60" t="str">
        <f>IF('Cálculo MP'!Q442="","",'Cálculo MP'!Q442)</f>
        <v/>
      </c>
      <c r="BF432" s="60" t="str">
        <f>IF('Cálculo MP'!R442="","",'Cálculo MP'!R442)</f>
        <v/>
      </c>
      <c r="BG432" s="60" t="str">
        <f>IF('Cálculo MP'!S442="","",'Cálculo MP'!S442)</f>
        <v/>
      </c>
      <c r="BH432" s="59"/>
      <c r="BI432" s="59"/>
      <c r="BJ432" s="59"/>
      <c r="BK432" s="59"/>
      <c r="BL432" s="59"/>
      <c r="BM432" s="59"/>
      <c r="BN432" s="59"/>
      <c r="BO432" s="59"/>
    </row>
    <row r="433" spans="1:67" ht="19.5" customHeight="1" x14ac:dyDescent="0.15">
      <c r="A433" s="123" t="s">
        <v>1856</v>
      </c>
      <c r="B433" s="122" t="s">
        <v>1854</v>
      </c>
      <c r="C433" s="49"/>
      <c r="D433" s="48" t="s">
        <v>73</v>
      </c>
      <c r="E433" s="49"/>
      <c r="F433" s="50"/>
      <c r="G433" s="62"/>
      <c r="H433" s="48" t="s">
        <v>72</v>
      </c>
      <c r="I433" s="52">
        <v>1</v>
      </c>
      <c r="J433" s="52"/>
      <c r="K433" s="52" t="s">
        <v>73</v>
      </c>
      <c r="L433" s="52" t="s">
        <v>74</v>
      </c>
      <c r="M433" s="53" t="s">
        <v>942</v>
      </c>
      <c r="N433" s="58" t="s">
        <v>73</v>
      </c>
      <c r="O433" s="48" t="s">
        <v>72</v>
      </c>
      <c r="P433" s="48" t="s">
        <v>73</v>
      </c>
      <c r="Q433" s="54" t="s">
        <v>73</v>
      </c>
      <c r="R433" s="55" t="s">
        <v>73</v>
      </c>
      <c r="S433" s="48" t="s">
        <v>73</v>
      </c>
      <c r="T433" s="130"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8" t="str" cm="1">
        <f t="array" ref="U433">IF(SUMPRODUCT(--((CAT_Procesos!$E$2:$E$1581=O433)*(CAT_Procesos!$F$2:$F$1581=_xlfn.TEXTJOIN(" + ",TRUE,IF((TRIM(P433:S433)="")+(LOWER(TRIM(P433:S433))="(seleccione)"),"",PROPER(TRIM(P433:S433)))))*(CAT_Procesos!$D$2:$D$1581=IFERROR(VLOOKUP(N433&amp;"*",CAT_Procesos!$D:$D,1,FALSE),""))))=0,"Combinación no existente",IF(SUMPRODUCT(((CAT_Procesos!$E$2:$E$1581=O433)*(CAT_Procesos!$F$2:$F$1581=_xlfn.TEXTJOIN(" + ",TRUE,IF((TRIM(P433:S433)="")+(LOWER(TRIM(P433:S433))="(seleccione)"),"",PROPER(TRIM(P433:S433)))))*(CAT_Procesos!$D$2:$D$1581=IFERROR(VLOOKUP(N433&amp;"*",CAT_Procesos!$D:$D,1,FALSE),"")))*(CAT_Procesos!$G$2:$G$1581=INDEX(CAT_Procesos!$G$2:$G$1581,MATCH(1,(CAT_Procesos!$E$2:$E$1581=O433)*(CAT_Procesos!$F$2:$F$1581=_xlfn.TEXTJOIN(" + ",TRUE,IF((TRIM(P433:S433)="")+(LOWER(TRIM(P433:S433))="(seleccione)"),"",PROPER(TRIM(P433:S433)))))*(CAT_Procesos!$D$2:$D$1581=IFERROR(VLOOKUP(N433&amp;"*",CAT_Procesos!$D:$D,1,FALSE),"")),0))))=SUMPRODUCT(--((CAT_Procesos!$E$2:$E$1581=O433)*(CAT_Procesos!$F$2:$F$1581=_xlfn.TEXTJOIN(" + ",TRUE,IF((TRIM(P433:S433)="")+(LOWER(TRIM(P433:S433))="(seleccione)"),"",PROPER(TRIM(P433:S433)))))*(CAT_Procesos!$D$2:$D$1581=IFERROR(VLOOKUP(N433&amp;"*",CAT_Procesos!$D:$D,1,FALSE),"")))),INDEX(CAT_Procesos!$G$2:$G$1581,MATCH(1,(CAT_Procesos!$E$2:$E$1581=O433)*(CAT_Procesos!$F$2:$F$1581=_xlfn.TEXTJOIN(" + ",TRUE,IF((TRIM(P433:S433)="")+(LOWER(TRIM(P433:S433))="(seleccione)"),"",PROPER(TRIM(P433:S433)))))*(CAT_Procesos!$D$2:$D$1581=IFERROR(VLOOKUP(N433&amp;"*",CAT_Procesos!$D:$D,1,FALSE),"")),0)),"(seleccione)"))</f>
        <v>Combinación no existente</v>
      </c>
      <c r="V433" s="55" t="s">
        <v>73</v>
      </c>
      <c r="W433" s="56" t="s">
        <v>73</v>
      </c>
      <c r="X433" s="57" t="str">
        <f t="shared" si="24"/>
        <v/>
      </c>
      <c r="Y433" s="58" t="s">
        <v>73</v>
      </c>
      <c r="Z433" s="57" t="str">
        <f t="shared" si="25"/>
        <v/>
      </c>
      <c r="AA433" s="58" t="s">
        <v>73</v>
      </c>
      <c r="AB433" s="57" t="str">
        <f t="shared" si="26"/>
        <v/>
      </c>
      <c r="AC433" s="58" t="s">
        <v>73</v>
      </c>
      <c r="AD433" s="57" t="str">
        <f t="shared" si="27"/>
        <v/>
      </c>
      <c r="AE433" s="59"/>
      <c r="AF433" s="59"/>
      <c r="AG433" s="59"/>
      <c r="AH433" s="59"/>
      <c r="AI433" s="59" t="s">
        <v>73</v>
      </c>
      <c r="AJ433" s="59"/>
      <c r="AK433" s="59" t="s">
        <v>73</v>
      </c>
      <c r="AL433" s="59"/>
      <c r="AM433" s="59" t="s">
        <v>73</v>
      </c>
      <c r="AN433" s="59"/>
      <c r="AO433" s="59" t="s">
        <v>73</v>
      </c>
      <c r="AP433" s="59"/>
      <c r="AQ433" s="59" t="s">
        <v>73</v>
      </c>
      <c r="AR433" s="59"/>
      <c r="AS433" s="59" t="s">
        <v>72</v>
      </c>
      <c r="AT433" s="59"/>
      <c r="AU433" s="59"/>
      <c r="AV433" s="59"/>
      <c r="AW433" s="59"/>
      <c r="AX433" s="59"/>
      <c r="AY433" s="60" t="str">
        <f>IF('Cálculo MP'!K443="","",'Cálculo MP'!K443)</f>
        <v/>
      </c>
      <c r="AZ433" s="60" t="str">
        <f>IF('Cálculo MP'!L443="","",'Cálculo MP'!L443)</f>
        <v/>
      </c>
      <c r="BA433" s="60" t="str">
        <f>IF('Cálculo MP'!M443="","",'Cálculo MP'!M443)</f>
        <v/>
      </c>
      <c r="BB433" s="60" t="str">
        <f>IF('Cálculo MP'!N443="","",'Cálculo MP'!N443)</f>
        <v/>
      </c>
      <c r="BC433" s="60" t="str">
        <f>IF('Cálculo MP'!O443="","",'Cálculo MP'!O443)</f>
        <v/>
      </c>
      <c r="BD433" s="60" t="str">
        <f>IF('Cálculo MP'!P443="","",'Cálculo MP'!P443)</f>
        <v/>
      </c>
      <c r="BE433" s="60" t="str">
        <f>IF('Cálculo MP'!Q443="","",'Cálculo MP'!Q443)</f>
        <v/>
      </c>
      <c r="BF433" s="60" t="str">
        <f>IF('Cálculo MP'!R443="","",'Cálculo MP'!R443)</f>
        <v/>
      </c>
      <c r="BG433" s="60" t="str">
        <f>IF('Cálculo MP'!S443="","",'Cálculo MP'!S443)</f>
        <v/>
      </c>
      <c r="BH433" s="59"/>
      <c r="BI433" s="59"/>
      <c r="BJ433" s="59"/>
      <c r="BK433" s="59"/>
      <c r="BL433" s="59"/>
      <c r="BM433" s="59"/>
      <c r="BN433" s="59"/>
      <c r="BO433" s="59"/>
    </row>
    <row r="434" spans="1:67" ht="19.5" customHeight="1" x14ac:dyDescent="0.15">
      <c r="A434" s="123" t="s">
        <v>1856</v>
      </c>
      <c r="B434" s="122" t="s">
        <v>1854</v>
      </c>
      <c r="C434" s="49"/>
      <c r="D434" s="48" t="s">
        <v>73</v>
      </c>
      <c r="E434" s="49"/>
      <c r="F434" s="50"/>
      <c r="G434" s="62"/>
      <c r="H434" s="48" t="s">
        <v>72</v>
      </c>
      <c r="I434" s="52">
        <v>1</v>
      </c>
      <c r="J434" s="52"/>
      <c r="K434" s="52" t="s">
        <v>73</v>
      </c>
      <c r="L434" s="52" t="s">
        <v>74</v>
      </c>
      <c r="M434" s="53" t="s">
        <v>942</v>
      </c>
      <c r="N434" s="58" t="s">
        <v>73</v>
      </c>
      <c r="O434" s="48" t="s">
        <v>72</v>
      </c>
      <c r="P434" s="48" t="s">
        <v>73</v>
      </c>
      <c r="Q434" s="54" t="s">
        <v>73</v>
      </c>
      <c r="R434" s="55" t="s">
        <v>73</v>
      </c>
      <c r="S434" s="48" t="s">
        <v>73</v>
      </c>
      <c r="T434" s="130"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8" t="str" cm="1">
        <f t="array" ref="U434">IF(SUMPRODUCT(--((CAT_Procesos!$E$2:$E$1581=O434)*(CAT_Procesos!$F$2:$F$1581=_xlfn.TEXTJOIN(" + ",TRUE,IF((TRIM(P434:S434)="")+(LOWER(TRIM(P434:S434))="(seleccione)"),"",PROPER(TRIM(P434:S434)))))*(CAT_Procesos!$D$2:$D$1581=IFERROR(VLOOKUP(N434&amp;"*",CAT_Procesos!$D:$D,1,FALSE),""))))=0,"Combinación no existente",IF(SUMPRODUCT(((CAT_Procesos!$E$2:$E$1581=O434)*(CAT_Procesos!$F$2:$F$1581=_xlfn.TEXTJOIN(" + ",TRUE,IF((TRIM(P434:S434)="")+(LOWER(TRIM(P434:S434))="(seleccione)"),"",PROPER(TRIM(P434:S434)))))*(CAT_Procesos!$D$2:$D$1581=IFERROR(VLOOKUP(N434&amp;"*",CAT_Procesos!$D:$D,1,FALSE),"")))*(CAT_Procesos!$G$2:$G$1581=INDEX(CAT_Procesos!$G$2:$G$1581,MATCH(1,(CAT_Procesos!$E$2:$E$1581=O434)*(CAT_Procesos!$F$2:$F$1581=_xlfn.TEXTJOIN(" + ",TRUE,IF((TRIM(P434:S434)="")+(LOWER(TRIM(P434:S434))="(seleccione)"),"",PROPER(TRIM(P434:S434)))))*(CAT_Procesos!$D$2:$D$1581=IFERROR(VLOOKUP(N434&amp;"*",CAT_Procesos!$D:$D,1,FALSE),"")),0))))=SUMPRODUCT(--((CAT_Procesos!$E$2:$E$1581=O434)*(CAT_Procesos!$F$2:$F$1581=_xlfn.TEXTJOIN(" + ",TRUE,IF((TRIM(P434:S434)="")+(LOWER(TRIM(P434:S434))="(seleccione)"),"",PROPER(TRIM(P434:S434)))))*(CAT_Procesos!$D$2:$D$1581=IFERROR(VLOOKUP(N434&amp;"*",CAT_Procesos!$D:$D,1,FALSE),"")))),INDEX(CAT_Procesos!$G$2:$G$1581,MATCH(1,(CAT_Procesos!$E$2:$E$1581=O434)*(CAT_Procesos!$F$2:$F$1581=_xlfn.TEXTJOIN(" + ",TRUE,IF((TRIM(P434:S434)="")+(LOWER(TRIM(P434:S434))="(seleccione)"),"",PROPER(TRIM(P434:S434)))))*(CAT_Procesos!$D$2:$D$1581=IFERROR(VLOOKUP(N434&amp;"*",CAT_Procesos!$D:$D,1,FALSE),"")),0)),"(seleccione)"))</f>
        <v>Combinación no existente</v>
      </c>
      <c r="V434" s="55" t="s">
        <v>73</v>
      </c>
      <c r="W434" s="56" t="s">
        <v>73</v>
      </c>
      <c r="X434" s="57" t="str">
        <f t="shared" si="24"/>
        <v/>
      </c>
      <c r="Y434" s="58" t="s">
        <v>73</v>
      </c>
      <c r="Z434" s="57" t="str">
        <f t="shared" si="25"/>
        <v/>
      </c>
      <c r="AA434" s="58" t="s">
        <v>73</v>
      </c>
      <c r="AB434" s="57" t="str">
        <f t="shared" si="26"/>
        <v/>
      </c>
      <c r="AC434" s="58" t="s">
        <v>73</v>
      </c>
      <c r="AD434" s="57" t="str">
        <f t="shared" si="27"/>
        <v/>
      </c>
      <c r="AE434" s="59"/>
      <c r="AF434" s="59"/>
      <c r="AG434" s="59"/>
      <c r="AH434" s="59"/>
      <c r="AI434" s="59" t="s">
        <v>73</v>
      </c>
      <c r="AJ434" s="59"/>
      <c r="AK434" s="59" t="s">
        <v>73</v>
      </c>
      <c r="AL434" s="59"/>
      <c r="AM434" s="59" t="s">
        <v>73</v>
      </c>
      <c r="AN434" s="59"/>
      <c r="AO434" s="59" t="s">
        <v>73</v>
      </c>
      <c r="AP434" s="59"/>
      <c r="AQ434" s="59" t="s">
        <v>73</v>
      </c>
      <c r="AR434" s="59"/>
      <c r="AS434" s="59" t="s">
        <v>72</v>
      </c>
      <c r="AT434" s="59"/>
      <c r="AU434" s="59"/>
      <c r="AV434" s="59"/>
      <c r="AW434" s="59"/>
      <c r="AX434" s="59"/>
      <c r="AY434" s="60" t="str">
        <f>IF('Cálculo MP'!K444="","",'Cálculo MP'!K444)</f>
        <v/>
      </c>
      <c r="AZ434" s="60" t="str">
        <f>IF('Cálculo MP'!L444="","",'Cálculo MP'!L444)</f>
        <v/>
      </c>
      <c r="BA434" s="60" t="str">
        <f>IF('Cálculo MP'!M444="","",'Cálculo MP'!M444)</f>
        <v/>
      </c>
      <c r="BB434" s="60" t="str">
        <f>IF('Cálculo MP'!N444="","",'Cálculo MP'!N444)</f>
        <v/>
      </c>
      <c r="BC434" s="60" t="str">
        <f>IF('Cálculo MP'!O444="","",'Cálculo MP'!O444)</f>
        <v/>
      </c>
      <c r="BD434" s="60" t="str">
        <f>IF('Cálculo MP'!P444="","",'Cálculo MP'!P444)</f>
        <v/>
      </c>
      <c r="BE434" s="60" t="str">
        <f>IF('Cálculo MP'!Q444="","",'Cálculo MP'!Q444)</f>
        <v/>
      </c>
      <c r="BF434" s="60" t="str">
        <f>IF('Cálculo MP'!R444="","",'Cálculo MP'!R444)</f>
        <v/>
      </c>
      <c r="BG434" s="60" t="str">
        <f>IF('Cálculo MP'!S444="","",'Cálculo MP'!S444)</f>
        <v/>
      </c>
      <c r="BH434" s="59"/>
      <c r="BI434" s="59"/>
      <c r="BJ434" s="59"/>
      <c r="BK434" s="59"/>
      <c r="BL434" s="59"/>
      <c r="BM434" s="59"/>
      <c r="BN434" s="59"/>
      <c r="BO434" s="59"/>
    </row>
    <row r="435" spans="1:67" ht="19.5" customHeight="1" x14ac:dyDescent="0.15">
      <c r="A435" s="123" t="s">
        <v>1856</v>
      </c>
      <c r="B435" s="122" t="s">
        <v>1854</v>
      </c>
      <c r="C435" s="49"/>
      <c r="D435" s="48" t="s">
        <v>73</v>
      </c>
      <c r="E435" s="49"/>
      <c r="F435" s="50"/>
      <c r="G435" s="62"/>
      <c r="H435" s="48" t="s">
        <v>72</v>
      </c>
      <c r="I435" s="52">
        <v>1</v>
      </c>
      <c r="J435" s="52"/>
      <c r="K435" s="52" t="s">
        <v>73</v>
      </c>
      <c r="L435" s="52" t="s">
        <v>74</v>
      </c>
      <c r="M435" s="53" t="s">
        <v>942</v>
      </c>
      <c r="N435" s="58" t="s">
        <v>73</v>
      </c>
      <c r="O435" s="48" t="s">
        <v>72</v>
      </c>
      <c r="P435" s="48" t="s">
        <v>73</v>
      </c>
      <c r="Q435" s="54" t="s">
        <v>73</v>
      </c>
      <c r="R435" s="55" t="s">
        <v>73</v>
      </c>
      <c r="S435" s="48" t="s">
        <v>73</v>
      </c>
      <c r="T435" s="130"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8" t="str" cm="1">
        <f t="array" ref="U435">IF(SUMPRODUCT(--((CAT_Procesos!$E$2:$E$1581=O435)*(CAT_Procesos!$F$2:$F$1581=_xlfn.TEXTJOIN(" + ",TRUE,IF((TRIM(P435:S435)="")+(LOWER(TRIM(P435:S435))="(seleccione)"),"",PROPER(TRIM(P435:S435)))))*(CAT_Procesos!$D$2:$D$1581=IFERROR(VLOOKUP(N435&amp;"*",CAT_Procesos!$D:$D,1,FALSE),""))))=0,"Combinación no existente",IF(SUMPRODUCT(((CAT_Procesos!$E$2:$E$1581=O435)*(CAT_Procesos!$F$2:$F$1581=_xlfn.TEXTJOIN(" + ",TRUE,IF((TRIM(P435:S435)="")+(LOWER(TRIM(P435:S435))="(seleccione)"),"",PROPER(TRIM(P435:S435)))))*(CAT_Procesos!$D$2:$D$1581=IFERROR(VLOOKUP(N435&amp;"*",CAT_Procesos!$D:$D,1,FALSE),"")))*(CAT_Procesos!$G$2:$G$1581=INDEX(CAT_Procesos!$G$2:$G$1581,MATCH(1,(CAT_Procesos!$E$2:$E$1581=O435)*(CAT_Procesos!$F$2:$F$1581=_xlfn.TEXTJOIN(" + ",TRUE,IF((TRIM(P435:S435)="")+(LOWER(TRIM(P435:S435))="(seleccione)"),"",PROPER(TRIM(P435:S435)))))*(CAT_Procesos!$D$2:$D$1581=IFERROR(VLOOKUP(N435&amp;"*",CAT_Procesos!$D:$D,1,FALSE),"")),0))))=SUMPRODUCT(--((CAT_Procesos!$E$2:$E$1581=O435)*(CAT_Procesos!$F$2:$F$1581=_xlfn.TEXTJOIN(" + ",TRUE,IF((TRIM(P435:S435)="")+(LOWER(TRIM(P435:S435))="(seleccione)"),"",PROPER(TRIM(P435:S435)))))*(CAT_Procesos!$D$2:$D$1581=IFERROR(VLOOKUP(N435&amp;"*",CAT_Procesos!$D:$D,1,FALSE),"")))),INDEX(CAT_Procesos!$G$2:$G$1581,MATCH(1,(CAT_Procesos!$E$2:$E$1581=O435)*(CAT_Procesos!$F$2:$F$1581=_xlfn.TEXTJOIN(" + ",TRUE,IF((TRIM(P435:S435)="")+(LOWER(TRIM(P435:S435))="(seleccione)"),"",PROPER(TRIM(P435:S435)))))*(CAT_Procesos!$D$2:$D$1581=IFERROR(VLOOKUP(N435&amp;"*",CAT_Procesos!$D:$D,1,FALSE),"")),0)),"(seleccione)"))</f>
        <v>Combinación no existente</v>
      </c>
      <c r="V435" s="55" t="s">
        <v>73</v>
      </c>
      <c r="W435" s="56" t="s">
        <v>73</v>
      </c>
      <c r="X435" s="57" t="str">
        <f t="shared" si="24"/>
        <v/>
      </c>
      <c r="Y435" s="58" t="s">
        <v>73</v>
      </c>
      <c r="Z435" s="57" t="str">
        <f t="shared" si="25"/>
        <v/>
      </c>
      <c r="AA435" s="58" t="s">
        <v>73</v>
      </c>
      <c r="AB435" s="57" t="str">
        <f t="shared" si="26"/>
        <v/>
      </c>
      <c r="AC435" s="58" t="s">
        <v>73</v>
      </c>
      <c r="AD435" s="57" t="str">
        <f t="shared" si="27"/>
        <v/>
      </c>
      <c r="AE435" s="59"/>
      <c r="AF435" s="59"/>
      <c r="AG435" s="59"/>
      <c r="AH435" s="59"/>
      <c r="AI435" s="59" t="s">
        <v>73</v>
      </c>
      <c r="AJ435" s="59"/>
      <c r="AK435" s="59" t="s">
        <v>73</v>
      </c>
      <c r="AL435" s="59"/>
      <c r="AM435" s="59" t="s">
        <v>73</v>
      </c>
      <c r="AN435" s="59"/>
      <c r="AO435" s="59" t="s">
        <v>73</v>
      </c>
      <c r="AP435" s="59"/>
      <c r="AQ435" s="59" t="s">
        <v>73</v>
      </c>
      <c r="AR435" s="59"/>
      <c r="AS435" s="59" t="s">
        <v>72</v>
      </c>
      <c r="AT435" s="59"/>
      <c r="AU435" s="59"/>
      <c r="AV435" s="59"/>
      <c r="AW435" s="59"/>
      <c r="AX435" s="59"/>
      <c r="AY435" s="60" t="str">
        <f>IF('Cálculo MP'!K445="","",'Cálculo MP'!K445)</f>
        <v/>
      </c>
      <c r="AZ435" s="60" t="str">
        <f>IF('Cálculo MP'!L445="","",'Cálculo MP'!L445)</f>
        <v/>
      </c>
      <c r="BA435" s="60" t="str">
        <f>IF('Cálculo MP'!M445="","",'Cálculo MP'!M445)</f>
        <v/>
      </c>
      <c r="BB435" s="60" t="str">
        <f>IF('Cálculo MP'!N445="","",'Cálculo MP'!N445)</f>
        <v/>
      </c>
      <c r="BC435" s="60" t="str">
        <f>IF('Cálculo MP'!O445="","",'Cálculo MP'!O445)</f>
        <v/>
      </c>
      <c r="BD435" s="60" t="str">
        <f>IF('Cálculo MP'!P445="","",'Cálculo MP'!P445)</f>
        <v/>
      </c>
      <c r="BE435" s="60" t="str">
        <f>IF('Cálculo MP'!Q445="","",'Cálculo MP'!Q445)</f>
        <v/>
      </c>
      <c r="BF435" s="60" t="str">
        <f>IF('Cálculo MP'!R445="","",'Cálculo MP'!R445)</f>
        <v/>
      </c>
      <c r="BG435" s="60" t="str">
        <f>IF('Cálculo MP'!S445="","",'Cálculo MP'!S445)</f>
        <v/>
      </c>
      <c r="BH435" s="59"/>
      <c r="BI435" s="59"/>
      <c r="BJ435" s="59"/>
      <c r="BK435" s="59"/>
      <c r="BL435" s="59"/>
      <c r="BM435" s="59"/>
      <c r="BN435" s="59"/>
      <c r="BO435" s="59"/>
    </row>
    <row r="436" spans="1:67" ht="19.5" customHeight="1" x14ac:dyDescent="0.15">
      <c r="A436" s="123" t="s">
        <v>1856</v>
      </c>
      <c r="B436" s="122" t="s">
        <v>1854</v>
      </c>
      <c r="C436" s="49"/>
      <c r="D436" s="48" t="s">
        <v>73</v>
      </c>
      <c r="E436" s="49"/>
      <c r="F436" s="50"/>
      <c r="G436" s="62"/>
      <c r="H436" s="48" t="s">
        <v>72</v>
      </c>
      <c r="I436" s="52">
        <v>1</v>
      </c>
      <c r="J436" s="52"/>
      <c r="K436" s="52" t="s">
        <v>73</v>
      </c>
      <c r="L436" s="52" t="s">
        <v>74</v>
      </c>
      <c r="M436" s="53" t="s">
        <v>942</v>
      </c>
      <c r="N436" s="58" t="s">
        <v>73</v>
      </c>
      <c r="O436" s="48" t="s">
        <v>72</v>
      </c>
      <c r="P436" s="48" t="s">
        <v>73</v>
      </c>
      <c r="Q436" s="54" t="s">
        <v>73</v>
      </c>
      <c r="R436" s="55" t="s">
        <v>73</v>
      </c>
      <c r="S436" s="48" t="s">
        <v>73</v>
      </c>
      <c r="T436" s="130"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8" t="str" cm="1">
        <f t="array" ref="U436">IF(SUMPRODUCT(--((CAT_Procesos!$E$2:$E$1581=O436)*(CAT_Procesos!$F$2:$F$1581=_xlfn.TEXTJOIN(" + ",TRUE,IF((TRIM(P436:S436)="")+(LOWER(TRIM(P436:S436))="(seleccione)"),"",PROPER(TRIM(P436:S436)))))*(CAT_Procesos!$D$2:$D$1581=IFERROR(VLOOKUP(N436&amp;"*",CAT_Procesos!$D:$D,1,FALSE),""))))=0,"Combinación no existente",IF(SUMPRODUCT(((CAT_Procesos!$E$2:$E$1581=O436)*(CAT_Procesos!$F$2:$F$1581=_xlfn.TEXTJOIN(" + ",TRUE,IF((TRIM(P436:S436)="")+(LOWER(TRIM(P436:S436))="(seleccione)"),"",PROPER(TRIM(P436:S436)))))*(CAT_Procesos!$D$2:$D$1581=IFERROR(VLOOKUP(N436&amp;"*",CAT_Procesos!$D:$D,1,FALSE),"")))*(CAT_Procesos!$G$2:$G$1581=INDEX(CAT_Procesos!$G$2:$G$1581,MATCH(1,(CAT_Procesos!$E$2:$E$1581=O436)*(CAT_Procesos!$F$2:$F$1581=_xlfn.TEXTJOIN(" + ",TRUE,IF((TRIM(P436:S436)="")+(LOWER(TRIM(P436:S436))="(seleccione)"),"",PROPER(TRIM(P436:S436)))))*(CAT_Procesos!$D$2:$D$1581=IFERROR(VLOOKUP(N436&amp;"*",CAT_Procesos!$D:$D,1,FALSE),"")),0))))=SUMPRODUCT(--((CAT_Procesos!$E$2:$E$1581=O436)*(CAT_Procesos!$F$2:$F$1581=_xlfn.TEXTJOIN(" + ",TRUE,IF((TRIM(P436:S436)="")+(LOWER(TRIM(P436:S436))="(seleccione)"),"",PROPER(TRIM(P436:S436)))))*(CAT_Procesos!$D$2:$D$1581=IFERROR(VLOOKUP(N436&amp;"*",CAT_Procesos!$D:$D,1,FALSE),"")))),INDEX(CAT_Procesos!$G$2:$G$1581,MATCH(1,(CAT_Procesos!$E$2:$E$1581=O436)*(CAT_Procesos!$F$2:$F$1581=_xlfn.TEXTJOIN(" + ",TRUE,IF((TRIM(P436:S436)="")+(LOWER(TRIM(P436:S436))="(seleccione)"),"",PROPER(TRIM(P436:S436)))))*(CAT_Procesos!$D$2:$D$1581=IFERROR(VLOOKUP(N436&amp;"*",CAT_Procesos!$D:$D,1,FALSE),"")),0)),"(seleccione)"))</f>
        <v>Combinación no existente</v>
      </c>
      <c r="V436" s="55" t="s">
        <v>73</v>
      </c>
      <c r="W436" s="56" t="s">
        <v>73</v>
      </c>
      <c r="X436" s="57" t="str">
        <f t="shared" si="24"/>
        <v/>
      </c>
      <c r="Y436" s="58" t="s">
        <v>73</v>
      </c>
      <c r="Z436" s="57" t="str">
        <f t="shared" si="25"/>
        <v/>
      </c>
      <c r="AA436" s="58" t="s">
        <v>73</v>
      </c>
      <c r="AB436" s="57" t="str">
        <f t="shared" si="26"/>
        <v/>
      </c>
      <c r="AC436" s="58" t="s">
        <v>73</v>
      </c>
      <c r="AD436" s="57" t="str">
        <f t="shared" si="27"/>
        <v/>
      </c>
      <c r="AE436" s="59"/>
      <c r="AF436" s="59"/>
      <c r="AG436" s="59"/>
      <c r="AH436" s="59"/>
      <c r="AI436" s="59" t="s">
        <v>73</v>
      </c>
      <c r="AJ436" s="59"/>
      <c r="AK436" s="59" t="s">
        <v>73</v>
      </c>
      <c r="AL436" s="59"/>
      <c r="AM436" s="59" t="s">
        <v>73</v>
      </c>
      <c r="AN436" s="59"/>
      <c r="AO436" s="59" t="s">
        <v>73</v>
      </c>
      <c r="AP436" s="59"/>
      <c r="AQ436" s="59" t="s">
        <v>73</v>
      </c>
      <c r="AR436" s="59"/>
      <c r="AS436" s="59" t="s">
        <v>72</v>
      </c>
      <c r="AT436" s="59"/>
      <c r="AU436" s="59"/>
      <c r="AV436" s="59"/>
      <c r="AW436" s="59"/>
      <c r="AX436" s="59"/>
      <c r="AY436" s="60" t="str">
        <f>IF('Cálculo MP'!K446="","",'Cálculo MP'!K446)</f>
        <v/>
      </c>
      <c r="AZ436" s="60" t="str">
        <f>IF('Cálculo MP'!L446="","",'Cálculo MP'!L446)</f>
        <v/>
      </c>
      <c r="BA436" s="60" t="str">
        <f>IF('Cálculo MP'!M446="","",'Cálculo MP'!M446)</f>
        <v/>
      </c>
      <c r="BB436" s="60" t="str">
        <f>IF('Cálculo MP'!N446="","",'Cálculo MP'!N446)</f>
        <v/>
      </c>
      <c r="BC436" s="60" t="str">
        <f>IF('Cálculo MP'!O446="","",'Cálculo MP'!O446)</f>
        <v/>
      </c>
      <c r="BD436" s="60" t="str">
        <f>IF('Cálculo MP'!P446="","",'Cálculo MP'!P446)</f>
        <v/>
      </c>
      <c r="BE436" s="60" t="str">
        <f>IF('Cálculo MP'!Q446="","",'Cálculo MP'!Q446)</f>
        <v/>
      </c>
      <c r="BF436" s="60" t="str">
        <f>IF('Cálculo MP'!R446="","",'Cálculo MP'!R446)</f>
        <v/>
      </c>
      <c r="BG436" s="60" t="str">
        <f>IF('Cálculo MP'!S446="","",'Cálculo MP'!S446)</f>
        <v/>
      </c>
      <c r="BH436" s="59"/>
      <c r="BI436" s="59"/>
      <c r="BJ436" s="59"/>
      <c r="BK436" s="59"/>
      <c r="BL436" s="59"/>
      <c r="BM436" s="59"/>
      <c r="BN436" s="59"/>
      <c r="BO436" s="59"/>
    </row>
    <row r="437" spans="1:67" ht="19.5" customHeight="1" x14ac:dyDescent="0.15">
      <c r="A437" s="123" t="s">
        <v>1856</v>
      </c>
      <c r="B437" s="122" t="s">
        <v>1854</v>
      </c>
      <c r="C437" s="49"/>
      <c r="D437" s="48" t="s">
        <v>73</v>
      </c>
      <c r="E437" s="49"/>
      <c r="F437" s="50"/>
      <c r="G437" s="62"/>
      <c r="H437" s="48" t="s">
        <v>72</v>
      </c>
      <c r="I437" s="52">
        <v>1</v>
      </c>
      <c r="J437" s="52"/>
      <c r="K437" s="52" t="s">
        <v>73</v>
      </c>
      <c r="L437" s="52" t="s">
        <v>74</v>
      </c>
      <c r="M437" s="53" t="s">
        <v>942</v>
      </c>
      <c r="N437" s="58" t="s">
        <v>73</v>
      </c>
      <c r="O437" s="48" t="s">
        <v>72</v>
      </c>
      <c r="P437" s="48" t="s">
        <v>73</v>
      </c>
      <c r="Q437" s="54" t="s">
        <v>73</v>
      </c>
      <c r="R437" s="55" t="s">
        <v>73</v>
      </c>
      <c r="S437" s="48" t="s">
        <v>73</v>
      </c>
      <c r="T437" s="130"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8" t="str" cm="1">
        <f t="array" ref="U437">IF(SUMPRODUCT(--((CAT_Procesos!$E$2:$E$1581=O437)*(CAT_Procesos!$F$2:$F$1581=_xlfn.TEXTJOIN(" + ",TRUE,IF((TRIM(P437:S437)="")+(LOWER(TRIM(P437:S437))="(seleccione)"),"",PROPER(TRIM(P437:S437)))))*(CAT_Procesos!$D$2:$D$1581=IFERROR(VLOOKUP(N437&amp;"*",CAT_Procesos!$D:$D,1,FALSE),""))))=0,"Combinación no existente",IF(SUMPRODUCT(((CAT_Procesos!$E$2:$E$1581=O437)*(CAT_Procesos!$F$2:$F$1581=_xlfn.TEXTJOIN(" + ",TRUE,IF((TRIM(P437:S437)="")+(LOWER(TRIM(P437:S437))="(seleccione)"),"",PROPER(TRIM(P437:S437)))))*(CAT_Procesos!$D$2:$D$1581=IFERROR(VLOOKUP(N437&amp;"*",CAT_Procesos!$D:$D,1,FALSE),"")))*(CAT_Procesos!$G$2:$G$1581=INDEX(CAT_Procesos!$G$2:$G$1581,MATCH(1,(CAT_Procesos!$E$2:$E$1581=O437)*(CAT_Procesos!$F$2:$F$1581=_xlfn.TEXTJOIN(" + ",TRUE,IF((TRIM(P437:S437)="")+(LOWER(TRIM(P437:S437))="(seleccione)"),"",PROPER(TRIM(P437:S437)))))*(CAT_Procesos!$D$2:$D$1581=IFERROR(VLOOKUP(N437&amp;"*",CAT_Procesos!$D:$D,1,FALSE),"")),0))))=SUMPRODUCT(--((CAT_Procesos!$E$2:$E$1581=O437)*(CAT_Procesos!$F$2:$F$1581=_xlfn.TEXTJOIN(" + ",TRUE,IF((TRIM(P437:S437)="")+(LOWER(TRIM(P437:S437))="(seleccione)"),"",PROPER(TRIM(P437:S437)))))*(CAT_Procesos!$D$2:$D$1581=IFERROR(VLOOKUP(N437&amp;"*",CAT_Procesos!$D:$D,1,FALSE),"")))),INDEX(CAT_Procesos!$G$2:$G$1581,MATCH(1,(CAT_Procesos!$E$2:$E$1581=O437)*(CAT_Procesos!$F$2:$F$1581=_xlfn.TEXTJOIN(" + ",TRUE,IF((TRIM(P437:S437)="")+(LOWER(TRIM(P437:S437))="(seleccione)"),"",PROPER(TRIM(P437:S437)))))*(CAT_Procesos!$D$2:$D$1581=IFERROR(VLOOKUP(N437&amp;"*",CAT_Procesos!$D:$D,1,FALSE),"")),0)),"(seleccione)"))</f>
        <v>Combinación no existente</v>
      </c>
      <c r="V437" s="55" t="s">
        <v>73</v>
      </c>
      <c r="W437" s="56" t="s">
        <v>73</v>
      </c>
      <c r="X437" s="57" t="str">
        <f t="shared" si="24"/>
        <v/>
      </c>
      <c r="Y437" s="58" t="s">
        <v>73</v>
      </c>
      <c r="Z437" s="57" t="str">
        <f t="shared" si="25"/>
        <v/>
      </c>
      <c r="AA437" s="58" t="s">
        <v>73</v>
      </c>
      <c r="AB437" s="57" t="str">
        <f t="shared" si="26"/>
        <v/>
      </c>
      <c r="AC437" s="58" t="s">
        <v>73</v>
      </c>
      <c r="AD437" s="57" t="str">
        <f t="shared" si="27"/>
        <v/>
      </c>
      <c r="AE437" s="59"/>
      <c r="AF437" s="59"/>
      <c r="AG437" s="59"/>
      <c r="AH437" s="59"/>
      <c r="AI437" s="59" t="s">
        <v>73</v>
      </c>
      <c r="AJ437" s="59"/>
      <c r="AK437" s="59" t="s">
        <v>73</v>
      </c>
      <c r="AL437" s="59"/>
      <c r="AM437" s="59" t="s">
        <v>73</v>
      </c>
      <c r="AN437" s="59"/>
      <c r="AO437" s="59" t="s">
        <v>73</v>
      </c>
      <c r="AP437" s="59"/>
      <c r="AQ437" s="59" t="s">
        <v>73</v>
      </c>
      <c r="AR437" s="59"/>
      <c r="AS437" s="59" t="s">
        <v>72</v>
      </c>
      <c r="AT437" s="59"/>
      <c r="AU437" s="59"/>
      <c r="AV437" s="59"/>
      <c r="AW437" s="59"/>
      <c r="AX437" s="59"/>
      <c r="AY437" s="60" t="str">
        <f>IF('Cálculo MP'!K447="","",'Cálculo MP'!K447)</f>
        <v/>
      </c>
      <c r="AZ437" s="60" t="str">
        <f>IF('Cálculo MP'!L447="","",'Cálculo MP'!L447)</f>
        <v/>
      </c>
      <c r="BA437" s="60" t="str">
        <f>IF('Cálculo MP'!M447="","",'Cálculo MP'!M447)</f>
        <v/>
      </c>
      <c r="BB437" s="60" t="str">
        <f>IF('Cálculo MP'!N447="","",'Cálculo MP'!N447)</f>
        <v/>
      </c>
      <c r="BC437" s="60" t="str">
        <f>IF('Cálculo MP'!O447="","",'Cálculo MP'!O447)</f>
        <v/>
      </c>
      <c r="BD437" s="60" t="str">
        <f>IF('Cálculo MP'!P447="","",'Cálculo MP'!P447)</f>
        <v/>
      </c>
      <c r="BE437" s="60" t="str">
        <f>IF('Cálculo MP'!Q447="","",'Cálculo MP'!Q447)</f>
        <v/>
      </c>
      <c r="BF437" s="60" t="str">
        <f>IF('Cálculo MP'!R447="","",'Cálculo MP'!R447)</f>
        <v/>
      </c>
      <c r="BG437" s="60" t="str">
        <f>IF('Cálculo MP'!S447="","",'Cálculo MP'!S447)</f>
        <v/>
      </c>
      <c r="BH437" s="59"/>
      <c r="BI437" s="59"/>
      <c r="BJ437" s="59"/>
      <c r="BK437" s="59"/>
      <c r="BL437" s="59"/>
      <c r="BM437" s="59"/>
      <c r="BN437" s="59"/>
      <c r="BO437" s="59"/>
    </row>
    <row r="438" spans="1:67" ht="19.5" customHeight="1" x14ac:dyDescent="0.15">
      <c r="A438" s="123" t="s">
        <v>1856</v>
      </c>
      <c r="B438" s="122" t="s">
        <v>1854</v>
      </c>
      <c r="C438" s="49"/>
      <c r="D438" s="48" t="s">
        <v>73</v>
      </c>
      <c r="E438" s="49"/>
      <c r="F438" s="50"/>
      <c r="G438" s="62"/>
      <c r="H438" s="48" t="s">
        <v>72</v>
      </c>
      <c r="I438" s="52">
        <v>1</v>
      </c>
      <c r="J438" s="52"/>
      <c r="K438" s="52" t="s">
        <v>73</v>
      </c>
      <c r="L438" s="52" t="s">
        <v>74</v>
      </c>
      <c r="M438" s="53" t="s">
        <v>942</v>
      </c>
      <c r="N438" s="58" t="s">
        <v>73</v>
      </c>
      <c r="O438" s="48" t="s">
        <v>72</v>
      </c>
      <c r="P438" s="48" t="s">
        <v>73</v>
      </c>
      <c r="Q438" s="54" t="s">
        <v>73</v>
      </c>
      <c r="R438" s="55" t="s">
        <v>73</v>
      </c>
      <c r="S438" s="48" t="s">
        <v>73</v>
      </c>
      <c r="T438" s="130"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8" t="str" cm="1">
        <f t="array" ref="U438">IF(SUMPRODUCT(--((CAT_Procesos!$E$2:$E$1581=O438)*(CAT_Procesos!$F$2:$F$1581=_xlfn.TEXTJOIN(" + ",TRUE,IF((TRIM(P438:S438)="")+(LOWER(TRIM(P438:S438))="(seleccione)"),"",PROPER(TRIM(P438:S438)))))*(CAT_Procesos!$D$2:$D$1581=IFERROR(VLOOKUP(N438&amp;"*",CAT_Procesos!$D:$D,1,FALSE),""))))=0,"Combinación no existente",IF(SUMPRODUCT(((CAT_Procesos!$E$2:$E$1581=O438)*(CAT_Procesos!$F$2:$F$1581=_xlfn.TEXTJOIN(" + ",TRUE,IF((TRIM(P438:S438)="")+(LOWER(TRIM(P438:S438))="(seleccione)"),"",PROPER(TRIM(P438:S438)))))*(CAT_Procesos!$D$2:$D$1581=IFERROR(VLOOKUP(N438&amp;"*",CAT_Procesos!$D:$D,1,FALSE),"")))*(CAT_Procesos!$G$2:$G$1581=INDEX(CAT_Procesos!$G$2:$G$1581,MATCH(1,(CAT_Procesos!$E$2:$E$1581=O438)*(CAT_Procesos!$F$2:$F$1581=_xlfn.TEXTJOIN(" + ",TRUE,IF((TRIM(P438:S438)="")+(LOWER(TRIM(P438:S438))="(seleccione)"),"",PROPER(TRIM(P438:S438)))))*(CAT_Procesos!$D$2:$D$1581=IFERROR(VLOOKUP(N438&amp;"*",CAT_Procesos!$D:$D,1,FALSE),"")),0))))=SUMPRODUCT(--((CAT_Procesos!$E$2:$E$1581=O438)*(CAT_Procesos!$F$2:$F$1581=_xlfn.TEXTJOIN(" + ",TRUE,IF((TRIM(P438:S438)="")+(LOWER(TRIM(P438:S438))="(seleccione)"),"",PROPER(TRIM(P438:S438)))))*(CAT_Procesos!$D$2:$D$1581=IFERROR(VLOOKUP(N438&amp;"*",CAT_Procesos!$D:$D,1,FALSE),"")))),INDEX(CAT_Procesos!$G$2:$G$1581,MATCH(1,(CAT_Procesos!$E$2:$E$1581=O438)*(CAT_Procesos!$F$2:$F$1581=_xlfn.TEXTJOIN(" + ",TRUE,IF((TRIM(P438:S438)="")+(LOWER(TRIM(P438:S438))="(seleccione)"),"",PROPER(TRIM(P438:S438)))))*(CAT_Procesos!$D$2:$D$1581=IFERROR(VLOOKUP(N438&amp;"*",CAT_Procesos!$D:$D,1,FALSE),"")),0)),"(seleccione)"))</f>
        <v>Combinación no existente</v>
      </c>
      <c r="V438" s="55" t="s">
        <v>73</v>
      </c>
      <c r="W438" s="56" t="s">
        <v>73</v>
      </c>
      <c r="X438" s="57" t="str">
        <f t="shared" si="24"/>
        <v/>
      </c>
      <c r="Y438" s="58" t="s">
        <v>73</v>
      </c>
      <c r="Z438" s="57" t="str">
        <f t="shared" si="25"/>
        <v/>
      </c>
      <c r="AA438" s="58" t="s">
        <v>73</v>
      </c>
      <c r="AB438" s="57" t="str">
        <f t="shared" si="26"/>
        <v/>
      </c>
      <c r="AC438" s="58" t="s">
        <v>73</v>
      </c>
      <c r="AD438" s="57" t="str">
        <f t="shared" si="27"/>
        <v/>
      </c>
      <c r="AE438" s="59"/>
      <c r="AF438" s="59"/>
      <c r="AG438" s="59"/>
      <c r="AH438" s="59"/>
      <c r="AI438" s="59" t="s">
        <v>73</v>
      </c>
      <c r="AJ438" s="59"/>
      <c r="AK438" s="59" t="s">
        <v>73</v>
      </c>
      <c r="AL438" s="59"/>
      <c r="AM438" s="59" t="s">
        <v>73</v>
      </c>
      <c r="AN438" s="59"/>
      <c r="AO438" s="59" t="s">
        <v>73</v>
      </c>
      <c r="AP438" s="59"/>
      <c r="AQ438" s="59" t="s">
        <v>73</v>
      </c>
      <c r="AR438" s="59"/>
      <c r="AS438" s="59" t="s">
        <v>72</v>
      </c>
      <c r="AT438" s="59"/>
      <c r="AU438" s="59"/>
      <c r="AV438" s="59"/>
      <c r="AW438" s="59"/>
      <c r="AX438" s="59"/>
      <c r="AY438" s="60" t="str">
        <f>IF('Cálculo MP'!K448="","",'Cálculo MP'!K448)</f>
        <v/>
      </c>
      <c r="AZ438" s="60" t="str">
        <f>IF('Cálculo MP'!L448="","",'Cálculo MP'!L448)</f>
        <v/>
      </c>
      <c r="BA438" s="60" t="str">
        <f>IF('Cálculo MP'!M448="","",'Cálculo MP'!M448)</f>
        <v/>
      </c>
      <c r="BB438" s="60" t="str">
        <f>IF('Cálculo MP'!N448="","",'Cálculo MP'!N448)</f>
        <v/>
      </c>
      <c r="BC438" s="60" t="str">
        <f>IF('Cálculo MP'!O448="","",'Cálculo MP'!O448)</f>
        <v/>
      </c>
      <c r="BD438" s="60" t="str">
        <f>IF('Cálculo MP'!P448="","",'Cálculo MP'!P448)</f>
        <v/>
      </c>
      <c r="BE438" s="60" t="str">
        <f>IF('Cálculo MP'!Q448="","",'Cálculo MP'!Q448)</f>
        <v/>
      </c>
      <c r="BF438" s="60" t="str">
        <f>IF('Cálculo MP'!R448="","",'Cálculo MP'!R448)</f>
        <v/>
      </c>
      <c r="BG438" s="60" t="str">
        <f>IF('Cálculo MP'!S448="","",'Cálculo MP'!S448)</f>
        <v/>
      </c>
      <c r="BH438" s="59"/>
      <c r="BI438" s="59"/>
      <c r="BJ438" s="59"/>
      <c r="BK438" s="59"/>
      <c r="BL438" s="59"/>
      <c r="BM438" s="59"/>
      <c r="BN438" s="59"/>
      <c r="BO438" s="59"/>
    </row>
    <row r="439" spans="1:67" ht="19.5" customHeight="1" x14ac:dyDescent="0.15">
      <c r="A439" s="123" t="s">
        <v>1856</v>
      </c>
      <c r="B439" s="122" t="s">
        <v>1854</v>
      </c>
      <c r="C439" s="49"/>
      <c r="D439" s="48" t="s">
        <v>73</v>
      </c>
      <c r="E439" s="49"/>
      <c r="F439" s="50"/>
      <c r="G439" s="62"/>
      <c r="H439" s="48" t="s">
        <v>72</v>
      </c>
      <c r="I439" s="52">
        <v>1</v>
      </c>
      <c r="J439" s="52"/>
      <c r="K439" s="52" t="s">
        <v>73</v>
      </c>
      <c r="L439" s="52" t="s">
        <v>74</v>
      </c>
      <c r="M439" s="53" t="s">
        <v>942</v>
      </c>
      <c r="N439" s="58" t="s">
        <v>73</v>
      </c>
      <c r="O439" s="48" t="s">
        <v>72</v>
      </c>
      <c r="P439" s="48" t="s">
        <v>73</v>
      </c>
      <c r="Q439" s="54" t="s">
        <v>73</v>
      </c>
      <c r="R439" s="55" t="s">
        <v>73</v>
      </c>
      <c r="S439" s="48" t="s">
        <v>73</v>
      </c>
      <c r="T439" s="130"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8" t="str" cm="1">
        <f t="array" ref="U439">IF(SUMPRODUCT(--((CAT_Procesos!$E$2:$E$1581=O439)*(CAT_Procesos!$F$2:$F$1581=_xlfn.TEXTJOIN(" + ",TRUE,IF((TRIM(P439:S439)="")+(LOWER(TRIM(P439:S439))="(seleccione)"),"",PROPER(TRIM(P439:S439)))))*(CAT_Procesos!$D$2:$D$1581=IFERROR(VLOOKUP(N439&amp;"*",CAT_Procesos!$D:$D,1,FALSE),""))))=0,"Combinación no existente",IF(SUMPRODUCT(((CAT_Procesos!$E$2:$E$1581=O439)*(CAT_Procesos!$F$2:$F$1581=_xlfn.TEXTJOIN(" + ",TRUE,IF((TRIM(P439:S439)="")+(LOWER(TRIM(P439:S439))="(seleccione)"),"",PROPER(TRIM(P439:S439)))))*(CAT_Procesos!$D$2:$D$1581=IFERROR(VLOOKUP(N439&amp;"*",CAT_Procesos!$D:$D,1,FALSE),"")))*(CAT_Procesos!$G$2:$G$1581=INDEX(CAT_Procesos!$G$2:$G$1581,MATCH(1,(CAT_Procesos!$E$2:$E$1581=O439)*(CAT_Procesos!$F$2:$F$1581=_xlfn.TEXTJOIN(" + ",TRUE,IF((TRIM(P439:S439)="")+(LOWER(TRIM(P439:S439))="(seleccione)"),"",PROPER(TRIM(P439:S439)))))*(CAT_Procesos!$D$2:$D$1581=IFERROR(VLOOKUP(N439&amp;"*",CAT_Procesos!$D:$D,1,FALSE),"")),0))))=SUMPRODUCT(--((CAT_Procesos!$E$2:$E$1581=O439)*(CAT_Procesos!$F$2:$F$1581=_xlfn.TEXTJOIN(" + ",TRUE,IF((TRIM(P439:S439)="")+(LOWER(TRIM(P439:S439))="(seleccione)"),"",PROPER(TRIM(P439:S439)))))*(CAT_Procesos!$D$2:$D$1581=IFERROR(VLOOKUP(N439&amp;"*",CAT_Procesos!$D:$D,1,FALSE),"")))),INDEX(CAT_Procesos!$G$2:$G$1581,MATCH(1,(CAT_Procesos!$E$2:$E$1581=O439)*(CAT_Procesos!$F$2:$F$1581=_xlfn.TEXTJOIN(" + ",TRUE,IF((TRIM(P439:S439)="")+(LOWER(TRIM(P439:S439))="(seleccione)"),"",PROPER(TRIM(P439:S439)))))*(CAT_Procesos!$D$2:$D$1581=IFERROR(VLOOKUP(N439&amp;"*",CAT_Procesos!$D:$D,1,FALSE),"")),0)),"(seleccione)"))</f>
        <v>Combinación no existente</v>
      </c>
      <c r="V439" s="55" t="s">
        <v>73</v>
      </c>
      <c r="W439" s="56" t="s">
        <v>73</v>
      </c>
      <c r="X439" s="57" t="str">
        <f t="shared" si="24"/>
        <v/>
      </c>
      <c r="Y439" s="58" t="s">
        <v>73</v>
      </c>
      <c r="Z439" s="57" t="str">
        <f t="shared" si="25"/>
        <v/>
      </c>
      <c r="AA439" s="58" t="s">
        <v>73</v>
      </c>
      <c r="AB439" s="57" t="str">
        <f t="shared" si="26"/>
        <v/>
      </c>
      <c r="AC439" s="58" t="s">
        <v>73</v>
      </c>
      <c r="AD439" s="57" t="str">
        <f t="shared" si="27"/>
        <v/>
      </c>
      <c r="AE439" s="59"/>
      <c r="AF439" s="59"/>
      <c r="AG439" s="59"/>
      <c r="AH439" s="59"/>
      <c r="AI439" s="59" t="s">
        <v>73</v>
      </c>
      <c r="AJ439" s="59"/>
      <c r="AK439" s="59" t="s">
        <v>73</v>
      </c>
      <c r="AL439" s="59"/>
      <c r="AM439" s="59" t="s">
        <v>73</v>
      </c>
      <c r="AN439" s="59"/>
      <c r="AO439" s="59" t="s">
        <v>73</v>
      </c>
      <c r="AP439" s="59"/>
      <c r="AQ439" s="59" t="s">
        <v>73</v>
      </c>
      <c r="AR439" s="59"/>
      <c r="AS439" s="59" t="s">
        <v>72</v>
      </c>
      <c r="AT439" s="59"/>
      <c r="AU439" s="59"/>
      <c r="AV439" s="59"/>
      <c r="AW439" s="59"/>
      <c r="AX439" s="59"/>
      <c r="AY439" s="60" t="str">
        <f>IF('Cálculo MP'!K449="","",'Cálculo MP'!K449)</f>
        <v/>
      </c>
      <c r="AZ439" s="60" t="str">
        <f>IF('Cálculo MP'!L449="","",'Cálculo MP'!L449)</f>
        <v/>
      </c>
      <c r="BA439" s="60" t="str">
        <f>IF('Cálculo MP'!M449="","",'Cálculo MP'!M449)</f>
        <v/>
      </c>
      <c r="BB439" s="60" t="str">
        <f>IF('Cálculo MP'!N449="","",'Cálculo MP'!N449)</f>
        <v/>
      </c>
      <c r="BC439" s="60" t="str">
        <f>IF('Cálculo MP'!O449="","",'Cálculo MP'!O449)</f>
        <v/>
      </c>
      <c r="BD439" s="60" t="str">
        <f>IF('Cálculo MP'!P449="","",'Cálculo MP'!P449)</f>
        <v/>
      </c>
      <c r="BE439" s="60" t="str">
        <f>IF('Cálculo MP'!Q449="","",'Cálculo MP'!Q449)</f>
        <v/>
      </c>
      <c r="BF439" s="60" t="str">
        <f>IF('Cálculo MP'!R449="","",'Cálculo MP'!R449)</f>
        <v/>
      </c>
      <c r="BG439" s="60" t="str">
        <f>IF('Cálculo MP'!S449="","",'Cálculo MP'!S449)</f>
        <v/>
      </c>
      <c r="BH439" s="59"/>
      <c r="BI439" s="59"/>
      <c r="BJ439" s="59"/>
      <c r="BK439" s="59"/>
      <c r="BL439" s="59"/>
      <c r="BM439" s="59"/>
      <c r="BN439" s="59"/>
      <c r="BO439" s="59"/>
    </row>
    <row r="440" spans="1:67" ht="19.5" customHeight="1" x14ac:dyDescent="0.15">
      <c r="A440" s="123" t="s">
        <v>1856</v>
      </c>
      <c r="B440" s="122" t="s">
        <v>1854</v>
      </c>
      <c r="C440" s="49"/>
      <c r="D440" s="48" t="s">
        <v>73</v>
      </c>
      <c r="E440" s="49"/>
      <c r="F440" s="50"/>
      <c r="G440" s="62"/>
      <c r="H440" s="48" t="s">
        <v>72</v>
      </c>
      <c r="I440" s="52">
        <v>1</v>
      </c>
      <c r="J440" s="52"/>
      <c r="K440" s="52" t="s">
        <v>73</v>
      </c>
      <c r="L440" s="52" t="s">
        <v>74</v>
      </c>
      <c r="M440" s="53" t="s">
        <v>942</v>
      </c>
      <c r="N440" s="58" t="s">
        <v>73</v>
      </c>
      <c r="O440" s="48" t="s">
        <v>72</v>
      </c>
      <c r="P440" s="48" t="s">
        <v>73</v>
      </c>
      <c r="Q440" s="54" t="s">
        <v>73</v>
      </c>
      <c r="R440" s="55" t="s">
        <v>73</v>
      </c>
      <c r="S440" s="48" t="s">
        <v>73</v>
      </c>
      <c r="T440" s="130"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8" t="str" cm="1">
        <f t="array" ref="U440">IF(SUMPRODUCT(--((CAT_Procesos!$E$2:$E$1581=O440)*(CAT_Procesos!$F$2:$F$1581=_xlfn.TEXTJOIN(" + ",TRUE,IF((TRIM(P440:S440)="")+(LOWER(TRIM(P440:S440))="(seleccione)"),"",PROPER(TRIM(P440:S440)))))*(CAT_Procesos!$D$2:$D$1581=IFERROR(VLOOKUP(N440&amp;"*",CAT_Procesos!$D:$D,1,FALSE),""))))=0,"Combinación no existente",IF(SUMPRODUCT(((CAT_Procesos!$E$2:$E$1581=O440)*(CAT_Procesos!$F$2:$F$1581=_xlfn.TEXTJOIN(" + ",TRUE,IF((TRIM(P440:S440)="")+(LOWER(TRIM(P440:S440))="(seleccione)"),"",PROPER(TRIM(P440:S440)))))*(CAT_Procesos!$D$2:$D$1581=IFERROR(VLOOKUP(N440&amp;"*",CAT_Procesos!$D:$D,1,FALSE),"")))*(CAT_Procesos!$G$2:$G$1581=INDEX(CAT_Procesos!$G$2:$G$1581,MATCH(1,(CAT_Procesos!$E$2:$E$1581=O440)*(CAT_Procesos!$F$2:$F$1581=_xlfn.TEXTJOIN(" + ",TRUE,IF((TRIM(P440:S440)="")+(LOWER(TRIM(P440:S440))="(seleccione)"),"",PROPER(TRIM(P440:S440)))))*(CAT_Procesos!$D$2:$D$1581=IFERROR(VLOOKUP(N440&amp;"*",CAT_Procesos!$D:$D,1,FALSE),"")),0))))=SUMPRODUCT(--((CAT_Procesos!$E$2:$E$1581=O440)*(CAT_Procesos!$F$2:$F$1581=_xlfn.TEXTJOIN(" + ",TRUE,IF((TRIM(P440:S440)="")+(LOWER(TRIM(P440:S440))="(seleccione)"),"",PROPER(TRIM(P440:S440)))))*(CAT_Procesos!$D$2:$D$1581=IFERROR(VLOOKUP(N440&amp;"*",CAT_Procesos!$D:$D,1,FALSE),"")))),INDEX(CAT_Procesos!$G$2:$G$1581,MATCH(1,(CAT_Procesos!$E$2:$E$1581=O440)*(CAT_Procesos!$F$2:$F$1581=_xlfn.TEXTJOIN(" + ",TRUE,IF((TRIM(P440:S440)="")+(LOWER(TRIM(P440:S440))="(seleccione)"),"",PROPER(TRIM(P440:S440)))))*(CAT_Procesos!$D$2:$D$1581=IFERROR(VLOOKUP(N440&amp;"*",CAT_Procesos!$D:$D,1,FALSE),"")),0)),"(seleccione)"))</f>
        <v>Combinación no existente</v>
      </c>
      <c r="V440" s="55" t="s">
        <v>73</v>
      </c>
      <c r="W440" s="56" t="s">
        <v>73</v>
      </c>
      <c r="X440" s="57" t="str">
        <f t="shared" si="24"/>
        <v/>
      </c>
      <c r="Y440" s="58" t="s">
        <v>73</v>
      </c>
      <c r="Z440" s="57" t="str">
        <f t="shared" si="25"/>
        <v/>
      </c>
      <c r="AA440" s="58" t="s">
        <v>73</v>
      </c>
      <c r="AB440" s="57" t="str">
        <f t="shared" si="26"/>
        <v/>
      </c>
      <c r="AC440" s="58" t="s">
        <v>73</v>
      </c>
      <c r="AD440" s="57" t="str">
        <f t="shared" si="27"/>
        <v/>
      </c>
      <c r="AE440" s="59"/>
      <c r="AF440" s="59"/>
      <c r="AG440" s="59"/>
      <c r="AH440" s="59"/>
      <c r="AI440" s="59" t="s">
        <v>73</v>
      </c>
      <c r="AJ440" s="59"/>
      <c r="AK440" s="59" t="s">
        <v>73</v>
      </c>
      <c r="AL440" s="59"/>
      <c r="AM440" s="59" t="s">
        <v>73</v>
      </c>
      <c r="AN440" s="59"/>
      <c r="AO440" s="59" t="s">
        <v>73</v>
      </c>
      <c r="AP440" s="59"/>
      <c r="AQ440" s="59" t="s">
        <v>73</v>
      </c>
      <c r="AR440" s="59"/>
      <c r="AS440" s="59" t="s">
        <v>72</v>
      </c>
      <c r="AT440" s="59"/>
      <c r="AU440" s="59"/>
      <c r="AV440" s="59"/>
      <c r="AW440" s="59"/>
      <c r="AX440" s="59"/>
      <c r="AY440" s="60" t="str">
        <f>IF('Cálculo MP'!K450="","",'Cálculo MP'!K450)</f>
        <v/>
      </c>
      <c r="AZ440" s="60" t="str">
        <f>IF('Cálculo MP'!L450="","",'Cálculo MP'!L450)</f>
        <v/>
      </c>
      <c r="BA440" s="60" t="str">
        <f>IF('Cálculo MP'!M450="","",'Cálculo MP'!M450)</f>
        <v/>
      </c>
      <c r="BB440" s="60" t="str">
        <f>IF('Cálculo MP'!N450="","",'Cálculo MP'!N450)</f>
        <v/>
      </c>
      <c r="BC440" s="60" t="str">
        <f>IF('Cálculo MP'!O450="","",'Cálculo MP'!O450)</f>
        <v/>
      </c>
      <c r="BD440" s="60" t="str">
        <f>IF('Cálculo MP'!P450="","",'Cálculo MP'!P450)</f>
        <v/>
      </c>
      <c r="BE440" s="60" t="str">
        <f>IF('Cálculo MP'!Q450="","",'Cálculo MP'!Q450)</f>
        <v/>
      </c>
      <c r="BF440" s="60" t="str">
        <f>IF('Cálculo MP'!R450="","",'Cálculo MP'!R450)</f>
        <v/>
      </c>
      <c r="BG440" s="60" t="str">
        <f>IF('Cálculo MP'!S450="","",'Cálculo MP'!S450)</f>
        <v/>
      </c>
      <c r="BH440" s="59"/>
      <c r="BI440" s="59"/>
      <c r="BJ440" s="59"/>
      <c r="BK440" s="59"/>
      <c r="BL440" s="59"/>
      <c r="BM440" s="59"/>
      <c r="BN440" s="59"/>
      <c r="BO440" s="59"/>
    </row>
    <row r="441" spans="1:67" ht="19.5" customHeight="1" x14ac:dyDescent="0.15">
      <c r="A441" s="123" t="s">
        <v>1856</v>
      </c>
      <c r="B441" s="122" t="s">
        <v>1854</v>
      </c>
      <c r="C441" s="49"/>
      <c r="D441" s="48" t="s">
        <v>73</v>
      </c>
      <c r="E441" s="49"/>
      <c r="F441" s="50"/>
      <c r="G441" s="62"/>
      <c r="H441" s="48" t="s">
        <v>72</v>
      </c>
      <c r="I441" s="52">
        <v>1</v>
      </c>
      <c r="J441" s="52"/>
      <c r="K441" s="52" t="s">
        <v>73</v>
      </c>
      <c r="L441" s="52" t="s">
        <v>74</v>
      </c>
      <c r="M441" s="53" t="s">
        <v>942</v>
      </c>
      <c r="N441" s="58" t="s">
        <v>73</v>
      </c>
      <c r="O441" s="48" t="s">
        <v>72</v>
      </c>
      <c r="P441" s="48" t="s">
        <v>73</v>
      </c>
      <c r="Q441" s="54" t="s">
        <v>73</v>
      </c>
      <c r="R441" s="55" t="s">
        <v>73</v>
      </c>
      <c r="S441" s="48" t="s">
        <v>73</v>
      </c>
      <c r="T441" s="130"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8" t="str" cm="1">
        <f t="array" ref="U441">IF(SUMPRODUCT(--((CAT_Procesos!$E$2:$E$1581=O441)*(CAT_Procesos!$F$2:$F$1581=_xlfn.TEXTJOIN(" + ",TRUE,IF((TRIM(P441:S441)="")+(LOWER(TRIM(P441:S441))="(seleccione)"),"",PROPER(TRIM(P441:S441)))))*(CAT_Procesos!$D$2:$D$1581=IFERROR(VLOOKUP(N441&amp;"*",CAT_Procesos!$D:$D,1,FALSE),""))))=0,"Combinación no existente",IF(SUMPRODUCT(((CAT_Procesos!$E$2:$E$1581=O441)*(CAT_Procesos!$F$2:$F$1581=_xlfn.TEXTJOIN(" + ",TRUE,IF((TRIM(P441:S441)="")+(LOWER(TRIM(P441:S441))="(seleccione)"),"",PROPER(TRIM(P441:S441)))))*(CAT_Procesos!$D$2:$D$1581=IFERROR(VLOOKUP(N441&amp;"*",CAT_Procesos!$D:$D,1,FALSE),"")))*(CAT_Procesos!$G$2:$G$1581=INDEX(CAT_Procesos!$G$2:$G$1581,MATCH(1,(CAT_Procesos!$E$2:$E$1581=O441)*(CAT_Procesos!$F$2:$F$1581=_xlfn.TEXTJOIN(" + ",TRUE,IF((TRIM(P441:S441)="")+(LOWER(TRIM(P441:S441))="(seleccione)"),"",PROPER(TRIM(P441:S441)))))*(CAT_Procesos!$D$2:$D$1581=IFERROR(VLOOKUP(N441&amp;"*",CAT_Procesos!$D:$D,1,FALSE),"")),0))))=SUMPRODUCT(--((CAT_Procesos!$E$2:$E$1581=O441)*(CAT_Procesos!$F$2:$F$1581=_xlfn.TEXTJOIN(" + ",TRUE,IF((TRIM(P441:S441)="")+(LOWER(TRIM(P441:S441))="(seleccione)"),"",PROPER(TRIM(P441:S441)))))*(CAT_Procesos!$D$2:$D$1581=IFERROR(VLOOKUP(N441&amp;"*",CAT_Procesos!$D:$D,1,FALSE),"")))),INDEX(CAT_Procesos!$G$2:$G$1581,MATCH(1,(CAT_Procesos!$E$2:$E$1581=O441)*(CAT_Procesos!$F$2:$F$1581=_xlfn.TEXTJOIN(" + ",TRUE,IF((TRIM(P441:S441)="")+(LOWER(TRIM(P441:S441))="(seleccione)"),"",PROPER(TRIM(P441:S441)))))*(CAT_Procesos!$D$2:$D$1581=IFERROR(VLOOKUP(N441&amp;"*",CAT_Procesos!$D:$D,1,FALSE),"")),0)),"(seleccione)"))</f>
        <v>Combinación no existente</v>
      </c>
      <c r="V441" s="55" t="s">
        <v>73</v>
      </c>
      <c r="W441" s="56" t="s">
        <v>73</v>
      </c>
      <c r="X441" s="57" t="str">
        <f t="shared" si="24"/>
        <v/>
      </c>
      <c r="Y441" s="58" t="s">
        <v>73</v>
      </c>
      <c r="Z441" s="57" t="str">
        <f t="shared" si="25"/>
        <v/>
      </c>
      <c r="AA441" s="58" t="s">
        <v>73</v>
      </c>
      <c r="AB441" s="57" t="str">
        <f t="shared" si="26"/>
        <v/>
      </c>
      <c r="AC441" s="58" t="s">
        <v>73</v>
      </c>
      <c r="AD441" s="57" t="str">
        <f t="shared" si="27"/>
        <v/>
      </c>
      <c r="AE441" s="59"/>
      <c r="AF441" s="59"/>
      <c r="AG441" s="59"/>
      <c r="AH441" s="59"/>
      <c r="AI441" s="59" t="s">
        <v>73</v>
      </c>
      <c r="AJ441" s="59"/>
      <c r="AK441" s="59" t="s">
        <v>73</v>
      </c>
      <c r="AL441" s="59"/>
      <c r="AM441" s="59" t="s">
        <v>73</v>
      </c>
      <c r="AN441" s="59"/>
      <c r="AO441" s="59" t="s">
        <v>73</v>
      </c>
      <c r="AP441" s="59"/>
      <c r="AQ441" s="59" t="s">
        <v>73</v>
      </c>
      <c r="AR441" s="59"/>
      <c r="AS441" s="59" t="s">
        <v>72</v>
      </c>
      <c r="AT441" s="59"/>
      <c r="AU441" s="59"/>
      <c r="AV441" s="59"/>
      <c r="AW441" s="59"/>
      <c r="AX441" s="59"/>
      <c r="AY441" s="60" t="str">
        <f>IF('Cálculo MP'!K451="","",'Cálculo MP'!K451)</f>
        <v/>
      </c>
      <c r="AZ441" s="60" t="str">
        <f>IF('Cálculo MP'!L451="","",'Cálculo MP'!L451)</f>
        <v/>
      </c>
      <c r="BA441" s="60" t="str">
        <f>IF('Cálculo MP'!M451="","",'Cálculo MP'!M451)</f>
        <v/>
      </c>
      <c r="BB441" s="60" t="str">
        <f>IF('Cálculo MP'!N451="","",'Cálculo MP'!N451)</f>
        <v/>
      </c>
      <c r="BC441" s="60" t="str">
        <f>IF('Cálculo MP'!O451="","",'Cálculo MP'!O451)</f>
        <v/>
      </c>
      <c r="BD441" s="60" t="str">
        <f>IF('Cálculo MP'!P451="","",'Cálculo MP'!P451)</f>
        <v/>
      </c>
      <c r="BE441" s="60" t="str">
        <f>IF('Cálculo MP'!Q451="","",'Cálculo MP'!Q451)</f>
        <v/>
      </c>
      <c r="BF441" s="60" t="str">
        <f>IF('Cálculo MP'!R451="","",'Cálculo MP'!R451)</f>
        <v/>
      </c>
      <c r="BG441" s="60" t="str">
        <f>IF('Cálculo MP'!S451="","",'Cálculo MP'!S451)</f>
        <v/>
      </c>
      <c r="BH441" s="59"/>
      <c r="BI441" s="59"/>
      <c r="BJ441" s="59"/>
      <c r="BK441" s="59"/>
      <c r="BL441" s="59"/>
      <c r="BM441" s="59"/>
      <c r="BN441" s="59"/>
      <c r="BO441" s="59"/>
    </row>
    <row r="442" spans="1:67" ht="19.5" customHeight="1" x14ac:dyDescent="0.15">
      <c r="A442" s="123" t="s">
        <v>1856</v>
      </c>
      <c r="B442" s="122" t="s">
        <v>1854</v>
      </c>
      <c r="C442" s="49"/>
      <c r="D442" s="48" t="s">
        <v>73</v>
      </c>
      <c r="E442" s="49"/>
      <c r="F442" s="50"/>
      <c r="G442" s="62"/>
      <c r="H442" s="48" t="s">
        <v>72</v>
      </c>
      <c r="I442" s="52">
        <v>1</v>
      </c>
      <c r="J442" s="52"/>
      <c r="K442" s="52" t="s">
        <v>73</v>
      </c>
      <c r="L442" s="52" t="s">
        <v>74</v>
      </c>
      <c r="M442" s="53" t="s">
        <v>942</v>
      </c>
      <c r="N442" s="58" t="s">
        <v>73</v>
      </c>
      <c r="O442" s="48" t="s">
        <v>72</v>
      </c>
      <c r="P442" s="48" t="s">
        <v>73</v>
      </c>
      <c r="Q442" s="54" t="s">
        <v>73</v>
      </c>
      <c r="R442" s="55" t="s">
        <v>73</v>
      </c>
      <c r="S442" s="48" t="s">
        <v>73</v>
      </c>
      <c r="T442" s="130"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8" t="str" cm="1">
        <f t="array" ref="U442">IF(SUMPRODUCT(--((CAT_Procesos!$E$2:$E$1581=O442)*(CAT_Procesos!$F$2:$F$1581=_xlfn.TEXTJOIN(" + ",TRUE,IF((TRIM(P442:S442)="")+(LOWER(TRIM(P442:S442))="(seleccione)"),"",PROPER(TRIM(P442:S442)))))*(CAT_Procesos!$D$2:$D$1581=IFERROR(VLOOKUP(N442&amp;"*",CAT_Procesos!$D:$D,1,FALSE),""))))=0,"Combinación no existente",IF(SUMPRODUCT(((CAT_Procesos!$E$2:$E$1581=O442)*(CAT_Procesos!$F$2:$F$1581=_xlfn.TEXTJOIN(" + ",TRUE,IF((TRIM(P442:S442)="")+(LOWER(TRIM(P442:S442))="(seleccione)"),"",PROPER(TRIM(P442:S442)))))*(CAT_Procesos!$D$2:$D$1581=IFERROR(VLOOKUP(N442&amp;"*",CAT_Procesos!$D:$D,1,FALSE),"")))*(CAT_Procesos!$G$2:$G$1581=INDEX(CAT_Procesos!$G$2:$G$1581,MATCH(1,(CAT_Procesos!$E$2:$E$1581=O442)*(CAT_Procesos!$F$2:$F$1581=_xlfn.TEXTJOIN(" + ",TRUE,IF((TRIM(P442:S442)="")+(LOWER(TRIM(P442:S442))="(seleccione)"),"",PROPER(TRIM(P442:S442)))))*(CAT_Procesos!$D$2:$D$1581=IFERROR(VLOOKUP(N442&amp;"*",CAT_Procesos!$D:$D,1,FALSE),"")),0))))=SUMPRODUCT(--((CAT_Procesos!$E$2:$E$1581=O442)*(CAT_Procesos!$F$2:$F$1581=_xlfn.TEXTJOIN(" + ",TRUE,IF((TRIM(P442:S442)="")+(LOWER(TRIM(P442:S442))="(seleccione)"),"",PROPER(TRIM(P442:S442)))))*(CAT_Procesos!$D$2:$D$1581=IFERROR(VLOOKUP(N442&amp;"*",CAT_Procesos!$D:$D,1,FALSE),"")))),INDEX(CAT_Procesos!$G$2:$G$1581,MATCH(1,(CAT_Procesos!$E$2:$E$1581=O442)*(CAT_Procesos!$F$2:$F$1581=_xlfn.TEXTJOIN(" + ",TRUE,IF((TRIM(P442:S442)="")+(LOWER(TRIM(P442:S442))="(seleccione)"),"",PROPER(TRIM(P442:S442)))))*(CAT_Procesos!$D$2:$D$1581=IFERROR(VLOOKUP(N442&amp;"*",CAT_Procesos!$D:$D,1,FALSE),"")),0)),"(seleccione)"))</f>
        <v>Combinación no existente</v>
      </c>
      <c r="V442" s="55" t="s">
        <v>73</v>
      </c>
      <c r="W442" s="56" t="s">
        <v>73</v>
      </c>
      <c r="X442" s="57" t="str">
        <f t="shared" si="24"/>
        <v/>
      </c>
      <c r="Y442" s="58" t="s">
        <v>73</v>
      </c>
      <c r="Z442" s="57" t="str">
        <f t="shared" si="25"/>
        <v/>
      </c>
      <c r="AA442" s="58" t="s">
        <v>73</v>
      </c>
      <c r="AB442" s="57" t="str">
        <f t="shared" si="26"/>
        <v/>
      </c>
      <c r="AC442" s="58" t="s">
        <v>73</v>
      </c>
      <c r="AD442" s="57" t="str">
        <f t="shared" si="27"/>
        <v/>
      </c>
      <c r="AE442" s="59"/>
      <c r="AF442" s="59"/>
      <c r="AG442" s="59"/>
      <c r="AH442" s="59"/>
      <c r="AI442" s="59" t="s">
        <v>73</v>
      </c>
      <c r="AJ442" s="59"/>
      <c r="AK442" s="59" t="s">
        <v>73</v>
      </c>
      <c r="AL442" s="59"/>
      <c r="AM442" s="59" t="s">
        <v>73</v>
      </c>
      <c r="AN442" s="59"/>
      <c r="AO442" s="59" t="s">
        <v>73</v>
      </c>
      <c r="AP442" s="59"/>
      <c r="AQ442" s="59" t="s">
        <v>73</v>
      </c>
      <c r="AR442" s="59"/>
      <c r="AS442" s="59" t="s">
        <v>72</v>
      </c>
      <c r="AT442" s="59"/>
      <c r="AU442" s="59"/>
      <c r="AV442" s="59"/>
      <c r="AW442" s="59"/>
      <c r="AX442" s="59"/>
      <c r="AY442" s="60" t="str">
        <f>IF('Cálculo MP'!K452="","",'Cálculo MP'!K452)</f>
        <v/>
      </c>
      <c r="AZ442" s="60" t="str">
        <f>IF('Cálculo MP'!L452="","",'Cálculo MP'!L452)</f>
        <v/>
      </c>
      <c r="BA442" s="60" t="str">
        <f>IF('Cálculo MP'!M452="","",'Cálculo MP'!M452)</f>
        <v/>
      </c>
      <c r="BB442" s="60" t="str">
        <f>IF('Cálculo MP'!N452="","",'Cálculo MP'!N452)</f>
        <v/>
      </c>
      <c r="BC442" s="60" t="str">
        <f>IF('Cálculo MP'!O452="","",'Cálculo MP'!O452)</f>
        <v/>
      </c>
      <c r="BD442" s="60" t="str">
        <f>IF('Cálculo MP'!P452="","",'Cálculo MP'!P452)</f>
        <v/>
      </c>
      <c r="BE442" s="60" t="str">
        <f>IF('Cálculo MP'!Q452="","",'Cálculo MP'!Q452)</f>
        <v/>
      </c>
      <c r="BF442" s="60" t="str">
        <f>IF('Cálculo MP'!R452="","",'Cálculo MP'!R452)</f>
        <v/>
      </c>
      <c r="BG442" s="60" t="str">
        <f>IF('Cálculo MP'!S452="","",'Cálculo MP'!S452)</f>
        <v/>
      </c>
      <c r="BH442" s="59"/>
      <c r="BI442" s="59"/>
      <c r="BJ442" s="59"/>
      <c r="BK442" s="59"/>
      <c r="BL442" s="59"/>
      <c r="BM442" s="59"/>
      <c r="BN442" s="59"/>
      <c r="BO442" s="59"/>
    </row>
    <row r="443" spans="1:67" ht="19.5" customHeight="1" x14ac:dyDescent="0.15">
      <c r="A443" s="123" t="s">
        <v>1856</v>
      </c>
      <c r="B443" s="122" t="s">
        <v>1854</v>
      </c>
      <c r="C443" s="49"/>
      <c r="D443" s="48" t="s">
        <v>73</v>
      </c>
      <c r="E443" s="49"/>
      <c r="F443" s="50"/>
      <c r="G443" s="62"/>
      <c r="H443" s="48" t="s">
        <v>72</v>
      </c>
      <c r="I443" s="52">
        <v>1</v>
      </c>
      <c r="J443" s="52"/>
      <c r="K443" s="52" t="s">
        <v>73</v>
      </c>
      <c r="L443" s="52" t="s">
        <v>74</v>
      </c>
      <c r="M443" s="53" t="s">
        <v>942</v>
      </c>
      <c r="N443" s="58" t="s">
        <v>73</v>
      </c>
      <c r="O443" s="48" t="s">
        <v>72</v>
      </c>
      <c r="P443" s="48" t="s">
        <v>73</v>
      </c>
      <c r="Q443" s="54" t="s">
        <v>73</v>
      </c>
      <c r="R443" s="55" t="s">
        <v>73</v>
      </c>
      <c r="S443" s="48" t="s">
        <v>73</v>
      </c>
      <c r="T443" s="130"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8" t="str" cm="1">
        <f t="array" ref="U443">IF(SUMPRODUCT(--((CAT_Procesos!$E$2:$E$1581=O443)*(CAT_Procesos!$F$2:$F$1581=_xlfn.TEXTJOIN(" + ",TRUE,IF((TRIM(P443:S443)="")+(LOWER(TRIM(P443:S443))="(seleccione)"),"",PROPER(TRIM(P443:S443)))))*(CAT_Procesos!$D$2:$D$1581=IFERROR(VLOOKUP(N443&amp;"*",CAT_Procesos!$D:$D,1,FALSE),""))))=0,"Combinación no existente",IF(SUMPRODUCT(((CAT_Procesos!$E$2:$E$1581=O443)*(CAT_Procesos!$F$2:$F$1581=_xlfn.TEXTJOIN(" + ",TRUE,IF((TRIM(P443:S443)="")+(LOWER(TRIM(P443:S443))="(seleccione)"),"",PROPER(TRIM(P443:S443)))))*(CAT_Procesos!$D$2:$D$1581=IFERROR(VLOOKUP(N443&amp;"*",CAT_Procesos!$D:$D,1,FALSE),"")))*(CAT_Procesos!$G$2:$G$1581=INDEX(CAT_Procesos!$G$2:$G$1581,MATCH(1,(CAT_Procesos!$E$2:$E$1581=O443)*(CAT_Procesos!$F$2:$F$1581=_xlfn.TEXTJOIN(" + ",TRUE,IF((TRIM(P443:S443)="")+(LOWER(TRIM(P443:S443))="(seleccione)"),"",PROPER(TRIM(P443:S443)))))*(CAT_Procesos!$D$2:$D$1581=IFERROR(VLOOKUP(N443&amp;"*",CAT_Procesos!$D:$D,1,FALSE),"")),0))))=SUMPRODUCT(--((CAT_Procesos!$E$2:$E$1581=O443)*(CAT_Procesos!$F$2:$F$1581=_xlfn.TEXTJOIN(" + ",TRUE,IF((TRIM(P443:S443)="")+(LOWER(TRIM(P443:S443))="(seleccione)"),"",PROPER(TRIM(P443:S443)))))*(CAT_Procesos!$D$2:$D$1581=IFERROR(VLOOKUP(N443&amp;"*",CAT_Procesos!$D:$D,1,FALSE),"")))),INDEX(CAT_Procesos!$G$2:$G$1581,MATCH(1,(CAT_Procesos!$E$2:$E$1581=O443)*(CAT_Procesos!$F$2:$F$1581=_xlfn.TEXTJOIN(" + ",TRUE,IF((TRIM(P443:S443)="")+(LOWER(TRIM(P443:S443))="(seleccione)"),"",PROPER(TRIM(P443:S443)))))*(CAT_Procesos!$D$2:$D$1581=IFERROR(VLOOKUP(N443&amp;"*",CAT_Procesos!$D:$D,1,FALSE),"")),0)),"(seleccione)"))</f>
        <v>Combinación no existente</v>
      </c>
      <c r="V443" s="55" t="s">
        <v>73</v>
      </c>
      <c r="W443" s="56" t="s">
        <v>73</v>
      </c>
      <c r="X443" s="57" t="str">
        <f t="shared" si="24"/>
        <v/>
      </c>
      <c r="Y443" s="58" t="s">
        <v>73</v>
      </c>
      <c r="Z443" s="57" t="str">
        <f t="shared" si="25"/>
        <v/>
      </c>
      <c r="AA443" s="58" t="s">
        <v>73</v>
      </c>
      <c r="AB443" s="57" t="str">
        <f t="shared" si="26"/>
        <v/>
      </c>
      <c r="AC443" s="58" t="s">
        <v>73</v>
      </c>
      <c r="AD443" s="57" t="str">
        <f t="shared" si="27"/>
        <v/>
      </c>
      <c r="AE443" s="59"/>
      <c r="AF443" s="59"/>
      <c r="AG443" s="59"/>
      <c r="AH443" s="59"/>
      <c r="AI443" s="59" t="s">
        <v>73</v>
      </c>
      <c r="AJ443" s="59"/>
      <c r="AK443" s="59" t="s">
        <v>73</v>
      </c>
      <c r="AL443" s="59"/>
      <c r="AM443" s="59" t="s">
        <v>73</v>
      </c>
      <c r="AN443" s="59"/>
      <c r="AO443" s="59" t="s">
        <v>73</v>
      </c>
      <c r="AP443" s="59"/>
      <c r="AQ443" s="59" t="s">
        <v>73</v>
      </c>
      <c r="AR443" s="59"/>
      <c r="AS443" s="59" t="s">
        <v>72</v>
      </c>
      <c r="AT443" s="59"/>
      <c r="AU443" s="59"/>
      <c r="AV443" s="59"/>
      <c r="AW443" s="59"/>
      <c r="AX443" s="59"/>
      <c r="AY443" s="60" t="str">
        <f>IF('Cálculo MP'!K453="","",'Cálculo MP'!K453)</f>
        <v/>
      </c>
      <c r="AZ443" s="60" t="str">
        <f>IF('Cálculo MP'!L453="","",'Cálculo MP'!L453)</f>
        <v/>
      </c>
      <c r="BA443" s="60" t="str">
        <f>IF('Cálculo MP'!M453="","",'Cálculo MP'!M453)</f>
        <v/>
      </c>
      <c r="BB443" s="60" t="str">
        <f>IF('Cálculo MP'!N453="","",'Cálculo MP'!N453)</f>
        <v/>
      </c>
      <c r="BC443" s="60" t="str">
        <f>IF('Cálculo MP'!O453="","",'Cálculo MP'!O453)</f>
        <v/>
      </c>
      <c r="BD443" s="60" t="str">
        <f>IF('Cálculo MP'!P453="","",'Cálculo MP'!P453)</f>
        <v/>
      </c>
      <c r="BE443" s="60" t="str">
        <f>IF('Cálculo MP'!Q453="","",'Cálculo MP'!Q453)</f>
        <v/>
      </c>
      <c r="BF443" s="60" t="str">
        <f>IF('Cálculo MP'!R453="","",'Cálculo MP'!R453)</f>
        <v/>
      </c>
      <c r="BG443" s="60" t="str">
        <f>IF('Cálculo MP'!S453="","",'Cálculo MP'!S453)</f>
        <v/>
      </c>
      <c r="BH443" s="59"/>
      <c r="BI443" s="59"/>
      <c r="BJ443" s="59"/>
      <c r="BK443" s="59"/>
      <c r="BL443" s="59"/>
      <c r="BM443" s="59"/>
      <c r="BN443" s="59"/>
      <c r="BO443" s="59"/>
    </row>
    <row r="444" spans="1:67" ht="19.5" customHeight="1" x14ac:dyDescent="0.15">
      <c r="A444" s="123" t="s">
        <v>1856</v>
      </c>
      <c r="B444" s="122" t="s">
        <v>1854</v>
      </c>
      <c r="C444" s="49"/>
      <c r="D444" s="48" t="s">
        <v>73</v>
      </c>
      <c r="E444" s="49"/>
      <c r="F444" s="50"/>
      <c r="G444" s="62"/>
      <c r="H444" s="48" t="s">
        <v>72</v>
      </c>
      <c r="I444" s="52">
        <v>1</v>
      </c>
      <c r="J444" s="52"/>
      <c r="K444" s="52" t="s">
        <v>73</v>
      </c>
      <c r="L444" s="52" t="s">
        <v>74</v>
      </c>
      <c r="M444" s="53" t="s">
        <v>942</v>
      </c>
      <c r="N444" s="58" t="s">
        <v>73</v>
      </c>
      <c r="O444" s="48" t="s">
        <v>72</v>
      </c>
      <c r="P444" s="48" t="s">
        <v>73</v>
      </c>
      <c r="Q444" s="54" t="s">
        <v>73</v>
      </c>
      <c r="R444" s="55" t="s">
        <v>73</v>
      </c>
      <c r="S444" s="48" t="s">
        <v>73</v>
      </c>
      <c r="T444" s="130"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8" t="str" cm="1">
        <f t="array" ref="U444">IF(SUMPRODUCT(--((CAT_Procesos!$E$2:$E$1581=O444)*(CAT_Procesos!$F$2:$F$1581=_xlfn.TEXTJOIN(" + ",TRUE,IF((TRIM(P444:S444)="")+(LOWER(TRIM(P444:S444))="(seleccione)"),"",PROPER(TRIM(P444:S444)))))*(CAT_Procesos!$D$2:$D$1581=IFERROR(VLOOKUP(N444&amp;"*",CAT_Procesos!$D:$D,1,FALSE),""))))=0,"Combinación no existente",IF(SUMPRODUCT(((CAT_Procesos!$E$2:$E$1581=O444)*(CAT_Procesos!$F$2:$F$1581=_xlfn.TEXTJOIN(" + ",TRUE,IF((TRIM(P444:S444)="")+(LOWER(TRIM(P444:S444))="(seleccione)"),"",PROPER(TRIM(P444:S444)))))*(CAT_Procesos!$D$2:$D$1581=IFERROR(VLOOKUP(N444&amp;"*",CAT_Procesos!$D:$D,1,FALSE),"")))*(CAT_Procesos!$G$2:$G$1581=INDEX(CAT_Procesos!$G$2:$G$1581,MATCH(1,(CAT_Procesos!$E$2:$E$1581=O444)*(CAT_Procesos!$F$2:$F$1581=_xlfn.TEXTJOIN(" + ",TRUE,IF((TRIM(P444:S444)="")+(LOWER(TRIM(P444:S444))="(seleccione)"),"",PROPER(TRIM(P444:S444)))))*(CAT_Procesos!$D$2:$D$1581=IFERROR(VLOOKUP(N444&amp;"*",CAT_Procesos!$D:$D,1,FALSE),"")),0))))=SUMPRODUCT(--((CAT_Procesos!$E$2:$E$1581=O444)*(CAT_Procesos!$F$2:$F$1581=_xlfn.TEXTJOIN(" + ",TRUE,IF((TRIM(P444:S444)="")+(LOWER(TRIM(P444:S444))="(seleccione)"),"",PROPER(TRIM(P444:S444)))))*(CAT_Procesos!$D$2:$D$1581=IFERROR(VLOOKUP(N444&amp;"*",CAT_Procesos!$D:$D,1,FALSE),"")))),INDEX(CAT_Procesos!$G$2:$G$1581,MATCH(1,(CAT_Procesos!$E$2:$E$1581=O444)*(CAT_Procesos!$F$2:$F$1581=_xlfn.TEXTJOIN(" + ",TRUE,IF((TRIM(P444:S444)="")+(LOWER(TRIM(P444:S444))="(seleccione)"),"",PROPER(TRIM(P444:S444)))))*(CAT_Procesos!$D$2:$D$1581=IFERROR(VLOOKUP(N444&amp;"*",CAT_Procesos!$D:$D,1,FALSE),"")),0)),"(seleccione)"))</f>
        <v>Combinación no existente</v>
      </c>
      <c r="V444" s="55" t="s">
        <v>73</v>
      </c>
      <c r="W444" s="56" t="s">
        <v>73</v>
      </c>
      <c r="X444" s="57" t="str">
        <f t="shared" si="24"/>
        <v/>
      </c>
      <c r="Y444" s="58" t="s">
        <v>73</v>
      </c>
      <c r="Z444" s="57" t="str">
        <f t="shared" si="25"/>
        <v/>
      </c>
      <c r="AA444" s="58" t="s">
        <v>73</v>
      </c>
      <c r="AB444" s="57" t="str">
        <f t="shared" si="26"/>
        <v/>
      </c>
      <c r="AC444" s="58" t="s">
        <v>73</v>
      </c>
      <c r="AD444" s="57" t="str">
        <f t="shared" si="27"/>
        <v/>
      </c>
      <c r="AE444" s="59"/>
      <c r="AF444" s="59"/>
      <c r="AG444" s="59"/>
      <c r="AH444" s="59"/>
      <c r="AI444" s="59" t="s">
        <v>73</v>
      </c>
      <c r="AJ444" s="59"/>
      <c r="AK444" s="59" t="s">
        <v>73</v>
      </c>
      <c r="AL444" s="59"/>
      <c r="AM444" s="59" t="s">
        <v>73</v>
      </c>
      <c r="AN444" s="59"/>
      <c r="AO444" s="59" t="s">
        <v>73</v>
      </c>
      <c r="AP444" s="59"/>
      <c r="AQ444" s="59" t="s">
        <v>73</v>
      </c>
      <c r="AR444" s="59"/>
      <c r="AS444" s="59" t="s">
        <v>72</v>
      </c>
      <c r="AT444" s="59"/>
      <c r="AU444" s="59"/>
      <c r="AV444" s="59"/>
      <c r="AW444" s="59"/>
      <c r="AX444" s="59"/>
      <c r="AY444" s="60" t="str">
        <f>IF('Cálculo MP'!K454="","",'Cálculo MP'!K454)</f>
        <v/>
      </c>
      <c r="AZ444" s="60" t="str">
        <f>IF('Cálculo MP'!L454="","",'Cálculo MP'!L454)</f>
        <v/>
      </c>
      <c r="BA444" s="60" t="str">
        <f>IF('Cálculo MP'!M454="","",'Cálculo MP'!M454)</f>
        <v/>
      </c>
      <c r="BB444" s="60" t="str">
        <f>IF('Cálculo MP'!N454="","",'Cálculo MP'!N454)</f>
        <v/>
      </c>
      <c r="BC444" s="60" t="str">
        <f>IF('Cálculo MP'!O454="","",'Cálculo MP'!O454)</f>
        <v/>
      </c>
      <c r="BD444" s="60" t="str">
        <f>IF('Cálculo MP'!P454="","",'Cálculo MP'!P454)</f>
        <v/>
      </c>
      <c r="BE444" s="60" t="str">
        <f>IF('Cálculo MP'!Q454="","",'Cálculo MP'!Q454)</f>
        <v/>
      </c>
      <c r="BF444" s="60" t="str">
        <f>IF('Cálculo MP'!R454="","",'Cálculo MP'!R454)</f>
        <v/>
      </c>
      <c r="BG444" s="60" t="str">
        <f>IF('Cálculo MP'!S454="","",'Cálculo MP'!S454)</f>
        <v/>
      </c>
      <c r="BH444" s="59"/>
      <c r="BI444" s="59"/>
      <c r="BJ444" s="59"/>
      <c r="BK444" s="59"/>
      <c r="BL444" s="59"/>
      <c r="BM444" s="59"/>
      <c r="BN444" s="59"/>
      <c r="BO444" s="59"/>
    </row>
    <row r="445" spans="1:67" ht="19.5" customHeight="1" x14ac:dyDescent="0.15">
      <c r="A445" s="123" t="s">
        <v>1856</v>
      </c>
      <c r="B445" s="122" t="s">
        <v>1854</v>
      </c>
      <c r="C445" s="49"/>
      <c r="D445" s="48" t="s">
        <v>73</v>
      </c>
      <c r="E445" s="49"/>
      <c r="F445" s="50"/>
      <c r="G445" s="62"/>
      <c r="H445" s="48" t="s">
        <v>72</v>
      </c>
      <c r="I445" s="52">
        <v>1</v>
      </c>
      <c r="J445" s="52"/>
      <c r="K445" s="52" t="s">
        <v>73</v>
      </c>
      <c r="L445" s="52" t="s">
        <v>74</v>
      </c>
      <c r="M445" s="53" t="s">
        <v>942</v>
      </c>
      <c r="N445" s="58" t="s">
        <v>73</v>
      </c>
      <c r="O445" s="48" t="s">
        <v>72</v>
      </c>
      <c r="P445" s="48" t="s">
        <v>73</v>
      </c>
      <c r="Q445" s="54" t="s">
        <v>73</v>
      </c>
      <c r="R445" s="55" t="s">
        <v>73</v>
      </c>
      <c r="S445" s="48" t="s">
        <v>73</v>
      </c>
      <c r="T445" s="130"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8" t="str" cm="1">
        <f t="array" ref="U445">IF(SUMPRODUCT(--((CAT_Procesos!$E$2:$E$1581=O445)*(CAT_Procesos!$F$2:$F$1581=_xlfn.TEXTJOIN(" + ",TRUE,IF((TRIM(P445:S445)="")+(LOWER(TRIM(P445:S445))="(seleccione)"),"",PROPER(TRIM(P445:S445)))))*(CAT_Procesos!$D$2:$D$1581=IFERROR(VLOOKUP(N445&amp;"*",CAT_Procesos!$D:$D,1,FALSE),""))))=0,"Combinación no existente",IF(SUMPRODUCT(((CAT_Procesos!$E$2:$E$1581=O445)*(CAT_Procesos!$F$2:$F$1581=_xlfn.TEXTJOIN(" + ",TRUE,IF((TRIM(P445:S445)="")+(LOWER(TRIM(P445:S445))="(seleccione)"),"",PROPER(TRIM(P445:S445)))))*(CAT_Procesos!$D$2:$D$1581=IFERROR(VLOOKUP(N445&amp;"*",CAT_Procesos!$D:$D,1,FALSE),"")))*(CAT_Procesos!$G$2:$G$1581=INDEX(CAT_Procesos!$G$2:$G$1581,MATCH(1,(CAT_Procesos!$E$2:$E$1581=O445)*(CAT_Procesos!$F$2:$F$1581=_xlfn.TEXTJOIN(" + ",TRUE,IF((TRIM(P445:S445)="")+(LOWER(TRIM(P445:S445))="(seleccione)"),"",PROPER(TRIM(P445:S445)))))*(CAT_Procesos!$D$2:$D$1581=IFERROR(VLOOKUP(N445&amp;"*",CAT_Procesos!$D:$D,1,FALSE),"")),0))))=SUMPRODUCT(--((CAT_Procesos!$E$2:$E$1581=O445)*(CAT_Procesos!$F$2:$F$1581=_xlfn.TEXTJOIN(" + ",TRUE,IF((TRIM(P445:S445)="")+(LOWER(TRIM(P445:S445))="(seleccione)"),"",PROPER(TRIM(P445:S445)))))*(CAT_Procesos!$D$2:$D$1581=IFERROR(VLOOKUP(N445&amp;"*",CAT_Procesos!$D:$D,1,FALSE),"")))),INDEX(CAT_Procesos!$G$2:$G$1581,MATCH(1,(CAT_Procesos!$E$2:$E$1581=O445)*(CAT_Procesos!$F$2:$F$1581=_xlfn.TEXTJOIN(" + ",TRUE,IF((TRIM(P445:S445)="")+(LOWER(TRIM(P445:S445))="(seleccione)"),"",PROPER(TRIM(P445:S445)))))*(CAT_Procesos!$D$2:$D$1581=IFERROR(VLOOKUP(N445&amp;"*",CAT_Procesos!$D:$D,1,FALSE),"")),0)),"(seleccione)"))</f>
        <v>Combinación no existente</v>
      </c>
      <c r="V445" s="55" t="s">
        <v>73</v>
      </c>
      <c r="W445" s="56" t="s">
        <v>73</v>
      </c>
      <c r="X445" s="57" t="str">
        <f t="shared" si="24"/>
        <v/>
      </c>
      <c r="Y445" s="58" t="s">
        <v>73</v>
      </c>
      <c r="Z445" s="57" t="str">
        <f t="shared" si="25"/>
        <v/>
      </c>
      <c r="AA445" s="58" t="s">
        <v>73</v>
      </c>
      <c r="AB445" s="57" t="str">
        <f t="shared" si="26"/>
        <v/>
      </c>
      <c r="AC445" s="58" t="s">
        <v>73</v>
      </c>
      <c r="AD445" s="57" t="str">
        <f t="shared" si="27"/>
        <v/>
      </c>
      <c r="AE445" s="59"/>
      <c r="AF445" s="59"/>
      <c r="AG445" s="59"/>
      <c r="AH445" s="59"/>
      <c r="AI445" s="59" t="s">
        <v>73</v>
      </c>
      <c r="AJ445" s="59"/>
      <c r="AK445" s="59" t="s">
        <v>73</v>
      </c>
      <c r="AL445" s="59"/>
      <c r="AM445" s="59" t="s">
        <v>73</v>
      </c>
      <c r="AN445" s="59"/>
      <c r="AO445" s="59" t="s">
        <v>73</v>
      </c>
      <c r="AP445" s="59"/>
      <c r="AQ445" s="59" t="s">
        <v>73</v>
      </c>
      <c r="AR445" s="59"/>
      <c r="AS445" s="59" t="s">
        <v>72</v>
      </c>
      <c r="AT445" s="59"/>
      <c r="AU445" s="59"/>
      <c r="AV445" s="59"/>
      <c r="AW445" s="59"/>
      <c r="AX445" s="59"/>
      <c r="AY445" s="60" t="str">
        <f>IF('Cálculo MP'!K455="","",'Cálculo MP'!K455)</f>
        <v/>
      </c>
      <c r="AZ445" s="60" t="str">
        <f>IF('Cálculo MP'!L455="","",'Cálculo MP'!L455)</f>
        <v/>
      </c>
      <c r="BA445" s="60" t="str">
        <f>IF('Cálculo MP'!M455="","",'Cálculo MP'!M455)</f>
        <v/>
      </c>
      <c r="BB445" s="60" t="str">
        <f>IF('Cálculo MP'!N455="","",'Cálculo MP'!N455)</f>
        <v/>
      </c>
      <c r="BC445" s="60" t="str">
        <f>IF('Cálculo MP'!O455="","",'Cálculo MP'!O455)</f>
        <v/>
      </c>
      <c r="BD445" s="60" t="str">
        <f>IF('Cálculo MP'!P455="","",'Cálculo MP'!P455)</f>
        <v/>
      </c>
      <c r="BE445" s="60" t="str">
        <f>IF('Cálculo MP'!Q455="","",'Cálculo MP'!Q455)</f>
        <v/>
      </c>
      <c r="BF445" s="60" t="str">
        <f>IF('Cálculo MP'!R455="","",'Cálculo MP'!R455)</f>
        <v/>
      </c>
      <c r="BG445" s="60" t="str">
        <f>IF('Cálculo MP'!S455="","",'Cálculo MP'!S455)</f>
        <v/>
      </c>
      <c r="BH445" s="59"/>
      <c r="BI445" s="59"/>
      <c r="BJ445" s="59"/>
      <c r="BK445" s="59"/>
      <c r="BL445" s="59"/>
      <c r="BM445" s="59"/>
      <c r="BN445" s="59"/>
      <c r="BO445" s="59"/>
    </row>
    <row r="446" spans="1:67" ht="19.5" customHeight="1" x14ac:dyDescent="0.15">
      <c r="A446" s="123" t="s">
        <v>1856</v>
      </c>
      <c r="B446" s="122" t="s">
        <v>1854</v>
      </c>
      <c r="C446" s="49"/>
      <c r="D446" s="48" t="s">
        <v>73</v>
      </c>
      <c r="E446" s="49"/>
      <c r="F446" s="50"/>
      <c r="G446" s="62"/>
      <c r="H446" s="48" t="s">
        <v>72</v>
      </c>
      <c r="I446" s="52">
        <v>1</v>
      </c>
      <c r="J446" s="52"/>
      <c r="K446" s="52" t="s">
        <v>73</v>
      </c>
      <c r="L446" s="52" t="s">
        <v>74</v>
      </c>
      <c r="M446" s="53" t="s">
        <v>942</v>
      </c>
      <c r="N446" s="58" t="s">
        <v>73</v>
      </c>
      <c r="O446" s="48" t="s">
        <v>72</v>
      </c>
      <c r="P446" s="48" t="s">
        <v>73</v>
      </c>
      <c r="Q446" s="54" t="s">
        <v>73</v>
      </c>
      <c r="R446" s="55" t="s">
        <v>73</v>
      </c>
      <c r="S446" s="48" t="s">
        <v>73</v>
      </c>
      <c r="T446" s="130"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8" t="str" cm="1">
        <f t="array" ref="U446">IF(SUMPRODUCT(--((CAT_Procesos!$E$2:$E$1581=O446)*(CAT_Procesos!$F$2:$F$1581=_xlfn.TEXTJOIN(" + ",TRUE,IF((TRIM(P446:S446)="")+(LOWER(TRIM(P446:S446))="(seleccione)"),"",PROPER(TRIM(P446:S446)))))*(CAT_Procesos!$D$2:$D$1581=IFERROR(VLOOKUP(N446&amp;"*",CAT_Procesos!$D:$D,1,FALSE),""))))=0,"Combinación no existente",IF(SUMPRODUCT(((CAT_Procesos!$E$2:$E$1581=O446)*(CAT_Procesos!$F$2:$F$1581=_xlfn.TEXTJOIN(" + ",TRUE,IF((TRIM(P446:S446)="")+(LOWER(TRIM(P446:S446))="(seleccione)"),"",PROPER(TRIM(P446:S446)))))*(CAT_Procesos!$D$2:$D$1581=IFERROR(VLOOKUP(N446&amp;"*",CAT_Procesos!$D:$D,1,FALSE),"")))*(CAT_Procesos!$G$2:$G$1581=INDEX(CAT_Procesos!$G$2:$G$1581,MATCH(1,(CAT_Procesos!$E$2:$E$1581=O446)*(CAT_Procesos!$F$2:$F$1581=_xlfn.TEXTJOIN(" + ",TRUE,IF((TRIM(P446:S446)="")+(LOWER(TRIM(P446:S446))="(seleccione)"),"",PROPER(TRIM(P446:S446)))))*(CAT_Procesos!$D$2:$D$1581=IFERROR(VLOOKUP(N446&amp;"*",CAT_Procesos!$D:$D,1,FALSE),"")),0))))=SUMPRODUCT(--((CAT_Procesos!$E$2:$E$1581=O446)*(CAT_Procesos!$F$2:$F$1581=_xlfn.TEXTJOIN(" + ",TRUE,IF((TRIM(P446:S446)="")+(LOWER(TRIM(P446:S446))="(seleccione)"),"",PROPER(TRIM(P446:S446)))))*(CAT_Procesos!$D$2:$D$1581=IFERROR(VLOOKUP(N446&amp;"*",CAT_Procesos!$D:$D,1,FALSE),"")))),INDEX(CAT_Procesos!$G$2:$G$1581,MATCH(1,(CAT_Procesos!$E$2:$E$1581=O446)*(CAT_Procesos!$F$2:$F$1581=_xlfn.TEXTJOIN(" + ",TRUE,IF((TRIM(P446:S446)="")+(LOWER(TRIM(P446:S446))="(seleccione)"),"",PROPER(TRIM(P446:S446)))))*(CAT_Procesos!$D$2:$D$1581=IFERROR(VLOOKUP(N446&amp;"*",CAT_Procesos!$D:$D,1,FALSE),"")),0)),"(seleccione)"))</f>
        <v>Combinación no existente</v>
      </c>
      <c r="V446" s="55" t="s">
        <v>73</v>
      </c>
      <c r="W446" s="56" t="s">
        <v>73</v>
      </c>
      <c r="X446" s="57" t="str">
        <f t="shared" si="24"/>
        <v/>
      </c>
      <c r="Y446" s="58" t="s">
        <v>73</v>
      </c>
      <c r="Z446" s="57" t="str">
        <f t="shared" si="25"/>
        <v/>
      </c>
      <c r="AA446" s="58" t="s">
        <v>73</v>
      </c>
      <c r="AB446" s="57" t="str">
        <f t="shared" si="26"/>
        <v/>
      </c>
      <c r="AC446" s="58" t="s">
        <v>73</v>
      </c>
      <c r="AD446" s="57" t="str">
        <f t="shared" si="27"/>
        <v/>
      </c>
      <c r="AE446" s="59"/>
      <c r="AF446" s="59"/>
      <c r="AG446" s="59"/>
      <c r="AH446" s="59"/>
      <c r="AI446" s="59" t="s">
        <v>73</v>
      </c>
      <c r="AJ446" s="59"/>
      <c r="AK446" s="59" t="s">
        <v>73</v>
      </c>
      <c r="AL446" s="59"/>
      <c r="AM446" s="59" t="s">
        <v>73</v>
      </c>
      <c r="AN446" s="59"/>
      <c r="AO446" s="59" t="s">
        <v>73</v>
      </c>
      <c r="AP446" s="59"/>
      <c r="AQ446" s="59" t="s">
        <v>73</v>
      </c>
      <c r="AR446" s="59"/>
      <c r="AS446" s="59" t="s">
        <v>72</v>
      </c>
      <c r="AT446" s="59"/>
      <c r="AU446" s="59"/>
      <c r="AV446" s="59"/>
      <c r="AW446" s="59"/>
      <c r="AX446" s="59"/>
      <c r="AY446" s="60" t="str">
        <f>IF('Cálculo MP'!K456="","",'Cálculo MP'!K456)</f>
        <v/>
      </c>
      <c r="AZ446" s="60" t="str">
        <f>IF('Cálculo MP'!L456="","",'Cálculo MP'!L456)</f>
        <v/>
      </c>
      <c r="BA446" s="60" t="str">
        <f>IF('Cálculo MP'!M456="","",'Cálculo MP'!M456)</f>
        <v/>
      </c>
      <c r="BB446" s="60" t="str">
        <f>IF('Cálculo MP'!N456="","",'Cálculo MP'!N456)</f>
        <v/>
      </c>
      <c r="BC446" s="60" t="str">
        <f>IF('Cálculo MP'!O456="","",'Cálculo MP'!O456)</f>
        <v/>
      </c>
      <c r="BD446" s="60" t="str">
        <f>IF('Cálculo MP'!P456="","",'Cálculo MP'!P456)</f>
        <v/>
      </c>
      <c r="BE446" s="60" t="str">
        <f>IF('Cálculo MP'!Q456="","",'Cálculo MP'!Q456)</f>
        <v/>
      </c>
      <c r="BF446" s="60" t="str">
        <f>IF('Cálculo MP'!R456="","",'Cálculo MP'!R456)</f>
        <v/>
      </c>
      <c r="BG446" s="60" t="str">
        <f>IF('Cálculo MP'!S456="","",'Cálculo MP'!S456)</f>
        <v/>
      </c>
      <c r="BH446" s="59"/>
      <c r="BI446" s="59"/>
      <c r="BJ446" s="59"/>
      <c r="BK446" s="59"/>
      <c r="BL446" s="59"/>
      <c r="BM446" s="59"/>
      <c r="BN446" s="59"/>
      <c r="BO446" s="59"/>
    </row>
    <row r="447" spans="1:67" ht="19.5" customHeight="1" x14ac:dyDescent="0.15">
      <c r="A447" s="123" t="s">
        <v>1856</v>
      </c>
      <c r="B447" s="122" t="s">
        <v>1854</v>
      </c>
      <c r="C447" s="49"/>
      <c r="D447" s="48" t="s">
        <v>73</v>
      </c>
      <c r="E447" s="49"/>
      <c r="F447" s="50"/>
      <c r="G447" s="62"/>
      <c r="H447" s="48" t="s">
        <v>72</v>
      </c>
      <c r="I447" s="52">
        <v>1</v>
      </c>
      <c r="J447" s="52"/>
      <c r="K447" s="52" t="s">
        <v>73</v>
      </c>
      <c r="L447" s="52" t="s">
        <v>74</v>
      </c>
      <c r="M447" s="53" t="s">
        <v>942</v>
      </c>
      <c r="N447" s="58" t="s">
        <v>73</v>
      </c>
      <c r="O447" s="48" t="s">
        <v>72</v>
      </c>
      <c r="P447" s="48" t="s">
        <v>73</v>
      </c>
      <c r="Q447" s="54" t="s">
        <v>73</v>
      </c>
      <c r="R447" s="55" t="s">
        <v>73</v>
      </c>
      <c r="S447" s="48" t="s">
        <v>73</v>
      </c>
      <c r="T447" s="130"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8" t="str" cm="1">
        <f t="array" ref="U447">IF(SUMPRODUCT(--((CAT_Procesos!$E$2:$E$1581=O447)*(CAT_Procesos!$F$2:$F$1581=_xlfn.TEXTJOIN(" + ",TRUE,IF((TRIM(P447:S447)="")+(LOWER(TRIM(P447:S447))="(seleccione)"),"",PROPER(TRIM(P447:S447)))))*(CAT_Procesos!$D$2:$D$1581=IFERROR(VLOOKUP(N447&amp;"*",CAT_Procesos!$D:$D,1,FALSE),""))))=0,"Combinación no existente",IF(SUMPRODUCT(((CAT_Procesos!$E$2:$E$1581=O447)*(CAT_Procesos!$F$2:$F$1581=_xlfn.TEXTJOIN(" + ",TRUE,IF((TRIM(P447:S447)="")+(LOWER(TRIM(P447:S447))="(seleccione)"),"",PROPER(TRIM(P447:S447)))))*(CAT_Procesos!$D$2:$D$1581=IFERROR(VLOOKUP(N447&amp;"*",CAT_Procesos!$D:$D,1,FALSE),"")))*(CAT_Procesos!$G$2:$G$1581=INDEX(CAT_Procesos!$G$2:$G$1581,MATCH(1,(CAT_Procesos!$E$2:$E$1581=O447)*(CAT_Procesos!$F$2:$F$1581=_xlfn.TEXTJOIN(" + ",TRUE,IF((TRIM(P447:S447)="")+(LOWER(TRIM(P447:S447))="(seleccione)"),"",PROPER(TRIM(P447:S447)))))*(CAT_Procesos!$D$2:$D$1581=IFERROR(VLOOKUP(N447&amp;"*",CAT_Procesos!$D:$D,1,FALSE),"")),0))))=SUMPRODUCT(--((CAT_Procesos!$E$2:$E$1581=O447)*(CAT_Procesos!$F$2:$F$1581=_xlfn.TEXTJOIN(" + ",TRUE,IF((TRIM(P447:S447)="")+(LOWER(TRIM(P447:S447))="(seleccione)"),"",PROPER(TRIM(P447:S447)))))*(CAT_Procesos!$D$2:$D$1581=IFERROR(VLOOKUP(N447&amp;"*",CAT_Procesos!$D:$D,1,FALSE),"")))),INDEX(CAT_Procesos!$G$2:$G$1581,MATCH(1,(CAT_Procesos!$E$2:$E$1581=O447)*(CAT_Procesos!$F$2:$F$1581=_xlfn.TEXTJOIN(" + ",TRUE,IF((TRIM(P447:S447)="")+(LOWER(TRIM(P447:S447))="(seleccione)"),"",PROPER(TRIM(P447:S447)))))*(CAT_Procesos!$D$2:$D$1581=IFERROR(VLOOKUP(N447&amp;"*",CAT_Procesos!$D:$D,1,FALSE),"")),0)),"(seleccione)"))</f>
        <v>Combinación no existente</v>
      </c>
      <c r="V447" s="55" t="s">
        <v>73</v>
      </c>
      <c r="W447" s="56" t="s">
        <v>73</v>
      </c>
      <c r="X447" s="57" t="str">
        <f t="shared" si="24"/>
        <v/>
      </c>
      <c r="Y447" s="58" t="s">
        <v>73</v>
      </c>
      <c r="Z447" s="57" t="str">
        <f t="shared" si="25"/>
        <v/>
      </c>
      <c r="AA447" s="58" t="s">
        <v>73</v>
      </c>
      <c r="AB447" s="57" t="str">
        <f t="shared" si="26"/>
        <v/>
      </c>
      <c r="AC447" s="58" t="s">
        <v>73</v>
      </c>
      <c r="AD447" s="57" t="str">
        <f t="shared" si="27"/>
        <v/>
      </c>
      <c r="AE447" s="59"/>
      <c r="AF447" s="59"/>
      <c r="AG447" s="59"/>
      <c r="AH447" s="59"/>
      <c r="AI447" s="59" t="s">
        <v>73</v>
      </c>
      <c r="AJ447" s="59"/>
      <c r="AK447" s="59" t="s">
        <v>73</v>
      </c>
      <c r="AL447" s="59"/>
      <c r="AM447" s="59" t="s">
        <v>73</v>
      </c>
      <c r="AN447" s="59"/>
      <c r="AO447" s="59" t="s">
        <v>73</v>
      </c>
      <c r="AP447" s="59"/>
      <c r="AQ447" s="59" t="s">
        <v>73</v>
      </c>
      <c r="AR447" s="59"/>
      <c r="AS447" s="59" t="s">
        <v>72</v>
      </c>
      <c r="AT447" s="59"/>
      <c r="AU447" s="59"/>
      <c r="AV447" s="59"/>
      <c r="AW447" s="59"/>
      <c r="AX447" s="59"/>
      <c r="AY447" s="60" t="str">
        <f>IF('Cálculo MP'!K457="","",'Cálculo MP'!K457)</f>
        <v/>
      </c>
      <c r="AZ447" s="60" t="str">
        <f>IF('Cálculo MP'!L457="","",'Cálculo MP'!L457)</f>
        <v/>
      </c>
      <c r="BA447" s="60" t="str">
        <f>IF('Cálculo MP'!M457="","",'Cálculo MP'!M457)</f>
        <v/>
      </c>
      <c r="BB447" s="60" t="str">
        <f>IF('Cálculo MP'!N457="","",'Cálculo MP'!N457)</f>
        <v/>
      </c>
      <c r="BC447" s="60" t="str">
        <f>IF('Cálculo MP'!O457="","",'Cálculo MP'!O457)</f>
        <v/>
      </c>
      <c r="BD447" s="60" t="str">
        <f>IF('Cálculo MP'!P457="","",'Cálculo MP'!P457)</f>
        <v/>
      </c>
      <c r="BE447" s="60" t="str">
        <f>IF('Cálculo MP'!Q457="","",'Cálculo MP'!Q457)</f>
        <v/>
      </c>
      <c r="BF447" s="60" t="str">
        <f>IF('Cálculo MP'!R457="","",'Cálculo MP'!R457)</f>
        <v/>
      </c>
      <c r="BG447" s="60" t="str">
        <f>IF('Cálculo MP'!S457="","",'Cálculo MP'!S457)</f>
        <v/>
      </c>
      <c r="BH447" s="59"/>
      <c r="BI447" s="59"/>
      <c r="BJ447" s="59"/>
      <c r="BK447" s="59"/>
      <c r="BL447" s="59"/>
      <c r="BM447" s="59"/>
      <c r="BN447" s="59"/>
      <c r="BO447" s="59"/>
    </row>
    <row r="448" spans="1:67" ht="19.5" customHeight="1" x14ac:dyDescent="0.15">
      <c r="A448" s="123" t="s">
        <v>1856</v>
      </c>
      <c r="B448" s="122" t="s">
        <v>1854</v>
      </c>
      <c r="C448" s="49"/>
      <c r="D448" s="48" t="s">
        <v>73</v>
      </c>
      <c r="E448" s="49"/>
      <c r="F448" s="50"/>
      <c r="G448" s="62"/>
      <c r="H448" s="48" t="s">
        <v>72</v>
      </c>
      <c r="I448" s="52">
        <v>1</v>
      </c>
      <c r="J448" s="52"/>
      <c r="K448" s="52" t="s">
        <v>73</v>
      </c>
      <c r="L448" s="52" t="s">
        <v>74</v>
      </c>
      <c r="M448" s="53" t="s">
        <v>942</v>
      </c>
      <c r="N448" s="58" t="s">
        <v>73</v>
      </c>
      <c r="O448" s="48" t="s">
        <v>72</v>
      </c>
      <c r="P448" s="48" t="s">
        <v>73</v>
      </c>
      <c r="Q448" s="54" t="s">
        <v>73</v>
      </c>
      <c r="R448" s="55" t="s">
        <v>73</v>
      </c>
      <c r="S448" s="48" t="s">
        <v>73</v>
      </c>
      <c r="T448" s="130"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8" t="str" cm="1">
        <f t="array" ref="U448">IF(SUMPRODUCT(--((CAT_Procesos!$E$2:$E$1581=O448)*(CAT_Procesos!$F$2:$F$1581=_xlfn.TEXTJOIN(" + ",TRUE,IF((TRIM(P448:S448)="")+(LOWER(TRIM(P448:S448))="(seleccione)"),"",PROPER(TRIM(P448:S448)))))*(CAT_Procesos!$D$2:$D$1581=IFERROR(VLOOKUP(N448&amp;"*",CAT_Procesos!$D:$D,1,FALSE),""))))=0,"Combinación no existente",IF(SUMPRODUCT(((CAT_Procesos!$E$2:$E$1581=O448)*(CAT_Procesos!$F$2:$F$1581=_xlfn.TEXTJOIN(" + ",TRUE,IF((TRIM(P448:S448)="")+(LOWER(TRIM(P448:S448))="(seleccione)"),"",PROPER(TRIM(P448:S448)))))*(CAT_Procesos!$D$2:$D$1581=IFERROR(VLOOKUP(N448&amp;"*",CAT_Procesos!$D:$D,1,FALSE),"")))*(CAT_Procesos!$G$2:$G$1581=INDEX(CAT_Procesos!$G$2:$G$1581,MATCH(1,(CAT_Procesos!$E$2:$E$1581=O448)*(CAT_Procesos!$F$2:$F$1581=_xlfn.TEXTJOIN(" + ",TRUE,IF((TRIM(P448:S448)="")+(LOWER(TRIM(P448:S448))="(seleccione)"),"",PROPER(TRIM(P448:S448)))))*(CAT_Procesos!$D$2:$D$1581=IFERROR(VLOOKUP(N448&amp;"*",CAT_Procesos!$D:$D,1,FALSE),"")),0))))=SUMPRODUCT(--((CAT_Procesos!$E$2:$E$1581=O448)*(CAT_Procesos!$F$2:$F$1581=_xlfn.TEXTJOIN(" + ",TRUE,IF((TRIM(P448:S448)="")+(LOWER(TRIM(P448:S448))="(seleccione)"),"",PROPER(TRIM(P448:S448)))))*(CAT_Procesos!$D$2:$D$1581=IFERROR(VLOOKUP(N448&amp;"*",CAT_Procesos!$D:$D,1,FALSE),"")))),INDEX(CAT_Procesos!$G$2:$G$1581,MATCH(1,(CAT_Procesos!$E$2:$E$1581=O448)*(CAT_Procesos!$F$2:$F$1581=_xlfn.TEXTJOIN(" + ",TRUE,IF((TRIM(P448:S448)="")+(LOWER(TRIM(P448:S448))="(seleccione)"),"",PROPER(TRIM(P448:S448)))))*(CAT_Procesos!$D$2:$D$1581=IFERROR(VLOOKUP(N448&amp;"*",CAT_Procesos!$D:$D,1,FALSE),"")),0)),"(seleccione)"))</f>
        <v>Combinación no existente</v>
      </c>
      <c r="V448" s="55" t="s">
        <v>73</v>
      </c>
      <c r="W448" s="56" t="s">
        <v>73</v>
      </c>
      <c r="X448" s="57" t="str">
        <f t="shared" si="24"/>
        <v/>
      </c>
      <c r="Y448" s="58" t="s">
        <v>73</v>
      </c>
      <c r="Z448" s="57" t="str">
        <f t="shared" si="25"/>
        <v/>
      </c>
      <c r="AA448" s="58" t="s">
        <v>73</v>
      </c>
      <c r="AB448" s="57" t="str">
        <f t="shared" si="26"/>
        <v/>
      </c>
      <c r="AC448" s="58" t="s">
        <v>73</v>
      </c>
      <c r="AD448" s="57" t="str">
        <f t="shared" si="27"/>
        <v/>
      </c>
      <c r="AE448" s="59"/>
      <c r="AF448" s="59"/>
      <c r="AG448" s="59"/>
      <c r="AH448" s="59"/>
      <c r="AI448" s="59" t="s">
        <v>73</v>
      </c>
      <c r="AJ448" s="59"/>
      <c r="AK448" s="59" t="s">
        <v>73</v>
      </c>
      <c r="AL448" s="59"/>
      <c r="AM448" s="59" t="s">
        <v>73</v>
      </c>
      <c r="AN448" s="59"/>
      <c r="AO448" s="59" t="s">
        <v>73</v>
      </c>
      <c r="AP448" s="59"/>
      <c r="AQ448" s="59" t="s">
        <v>73</v>
      </c>
      <c r="AR448" s="59"/>
      <c r="AS448" s="59" t="s">
        <v>72</v>
      </c>
      <c r="AT448" s="59"/>
      <c r="AU448" s="59"/>
      <c r="AV448" s="59"/>
      <c r="AW448" s="59"/>
      <c r="AX448" s="59"/>
      <c r="AY448" s="60" t="str">
        <f>IF('Cálculo MP'!K458="","",'Cálculo MP'!K458)</f>
        <v/>
      </c>
      <c r="AZ448" s="60" t="str">
        <f>IF('Cálculo MP'!L458="","",'Cálculo MP'!L458)</f>
        <v/>
      </c>
      <c r="BA448" s="60" t="str">
        <f>IF('Cálculo MP'!M458="","",'Cálculo MP'!M458)</f>
        <v/>
      </c>
      <c r="BB448" s="60" t="str">
        <f>IF('Cálculo MP'!N458="","",'Cálculo MP'!N458)</f>
        <v/>
      </c>
      <c r="BC448" s="60" t="str">
        <f>IF('Cálculo MP'!O458="","",'Cálculo MP'!O458)</f>
        <v/>
      </c>
      <c r="BD448" s="60" t="str">
        <f>IF('Cálculo MP'!P458="","",'Cálculo MP'!P458)</f>
        <v/>
      </c>
      <c r="BE448" s="60" t="str">
        <f>IF('Cálculo MP'!Q458="","",'Cálculo MP'!Q458)</f>
        <v/>
      </c>
      <c r="BF448" s="60" t="str">
        <f>IF('Cálculo MP'!R458="","",'Cálculo MP'!R458)</f>
        <v/>
      </c>
      <c r="BG448" s="60" t="str">
        <f>IF('Cálculo MP'!S458="","",'Cálculo MP'!S458)</f>
        <v/>
      </c>
      <c r="BH448" s="59"/>
      <c r="BI448" s="59"/>
      <c r="BJ448" s="59"/>
      <c r="BK448" s="59"/>
      <c r="BL448" s="59"/>
      <c r="BM448" s="59"/>
      <c r="BN448" s="59"/>
      <c r="BO448" s="59"/>
    </row>
    <row r="449" spans="1:67" ht="19.5" customHeight="1" x14ac:dyDescent="0.15">
      <c r="A449" s="123" t="s">
        <v>1856</v>
      </c>
      <c r="B449" s="122" t="s">
        <v>1854</v>
      </c>
      <c r="C449" s="49"/>
      <c r="D449" s="48" t="s">
        <v>73</v>
      </c>
      <c r="E449" s="49"/>
      <c r="F449" s="50"/>
      <c r="G449" s="62"/>
      <c r="H449" s="48" t="s">
        <v>72</v>
      </c>
      <c r="I449" s="52">
        <v>1</v>
      </c>
      <c r="J449" s="52"/>
      <c r="K449" s="52" t="s">
        <v>73</v>
      </c>
      <c r="L449" s="52" t="s">
        <v>74</v>
      </c>
      <c r="M449" s="53" t="s">
        <v>942</v>
      </c>
      <c r="N449" s="58" t="s">
        <v>73</v>
      </c>
      <c r="O449" s="48" t="s">
        <v>72</v>
      </c>
      <c r="P449" s="48" t="s">
        <v>73</v>
      </c>
      <c r="Q449" s="54" t="s">
        <v>73</v>
      </c>
      <c r="R449" s="55" t="s">
        <v>73</v>
      </c>
      <c r="S449" s="48" t="s">
        <v>73</v>
      </c>
      <c r="T449" s="130"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8" t="str" cm="1">
        <f t="array" ref="U449">IF(SUMPRODUCT(--((CAT_Procesos!$E$2:$E$1581=O449)*(CAT_Procesos!$F$2:$F$1581=_xlfn.TEXTJOIN(" + ",TRUE,IF((TRIM(P449:S449)="")+(LOWER(TRIM(P449:S449))="(seleccione)"),"",PROPER(TRIM(P449:S449)))))*(CAT_Procesos!$D$2:$D$1581=IFERROR(VLOOKUP(N449&amp;"*",CAT_Procesos!$D:$D,1,FALSE),""))))=0,"Combinación no existente",IF(SUMPRODUCT(((CAT_Procesos!$E$2:$E$1581=O449)*(CAT_Procesos!$F$2:$F$1581=_xlfn.TEXTJOIN(" + ",TRUE,IF((TRIM(P449:S449)="")+(LOWER(TRIM(P449:S449))="(seleccione)"),"",PROPER(TRIM(P449:S449)))))*(CAT_Procesos!$D$2:$D$1581=IFERROR(VLOOKUP(N449&amp;"*",CAT_Procesos!$D:$D,1,FALSE),"")))*(CAT_Procesos!$G$2:$G$1581=INDEX(CAT_Procesos!$G$2:$G$1581,MATCH(1,(CAT_Procesos!$E$2:$E$1581=O449)*(CAT_Procesos!$F$2:$F$1581=_xlfn.TEXTJOIN(" + ",TRUE,IF((TRIM(P449:S449)="")+(LOWER(TRIM(P449:S449))="(seleccione)"),"",PROPER(TRIM(P449:S449)))))*(CAT_Procesos!$D$2:$D$1581=IFERROR(VLOOKUP(N449&amp;"*",CAT_Procesos!$D:$D,1,FALSE),"")),0))))=SUMPRODUCT(--((CAT_Procesos!$E$2:$E$1581=O449)*(CAT_Procesos!$F$2:$F$1581=_xlfn.TEXTJOIN(" + ",TRUE,IF((TRIM(P449:S449)="")+(LOWER(TRIM(P449:S449))="(seleccione)"),"",PROPER(TRIM(P449:S449)))))*(CAT_Procesos!$D$2:$D$1581=IFERROR(VLOOKUP(N449&amp;"*",CAT_Procesos!$D:$D,1,FALSE),"")))),INDEX(CAT_Procesos!$G$2:$G$1581,MATCH(1,(CAT_Procesos!$E$2:$E$1581=O449)*(CAT_Procesos!$F$2:$F$1581=_xlfn.TEXTJOIN(" + ",TRUE,IF((TRIM(P449:S449)="")+(LOWER(TRIM(P449:S449))="(seleccione)"),"",PROPER(TRIM(P449:S449)))))*(CAT_Procesos!$D$2:$D$1581=IFERROR(VLOOKUP(N449&amp;"*",CAT_Procesos!$D:$D,1,FALSE),"")),0)),"(seleccione)"))</f>
        <v>Combinación no existente</v>
      </c>
      <c r="V449" s="55" t="s">
        <v>73</v>
      </c>
      <c r="W449" s="56" t="s">
        <v>73</v>
      </c>
      <c r="X449" s="57" t="str">
        <f t="shared" si="24"/>
        <v/>
      </c>
      <c r="Y449" s="58" t="s">
        <v>73</v>
      </c>
      <c r="Z449" s="57" t="str">
        <f t="shared" si="25"/>
        <v/>
      </c>
      <c r="AA449" s="58" t="s">
        <v>73</v>
      </c>
      <c r="AB449" s="57" t="str">
        <f t="shared" si="26"/>
        <v/>
      </c>
      <c r="AC449" s="58" t="s">
        <v>73</v>
      </c>
      <c r="AD449" s="57" t="str">
        <f t="shared" si="27"/>
        <v/>
      </c>
      <c r="AE449" s="59"/>
      <c r="AF449" s="59"/>
      <c r="AG449" s="59"/>
      <c r="AH449" s="59"/>
      <c r="AI449" s="59" t="s">
        <v>73</v>
      </c>
      <c r="AJ449" s="59"/>
      <c r="AK449" s="59" t="s">
        <v>73</v>
      </c>
      <c r="AL449" s="59"/>
      <c r="AM449" s="59" t="s">
        <v>73</v>
      </c>
      <c r="AN449" s="59"/>
      <c r="AO449" s="59" t="s">
        <v>73</v>
      </c>
      <c r="AP449" s="59"/>
      <c r="AQ449" s="59" t="s">
        <v>73</v>
      </c>
      <c r="AR449" s="59"/>
      <c r="AS449" s="59" t="s">
        <v>72</v>
      </c>
      <c r="AT449" s="59"/>
      <c r="AU449" s="59"/>
      <c r="AV449" s="59"/>
      <c r="AW449" s="59"/>
      <c r="AX449" s="59"/>
      <c r="AY449" s="60" t="str">
        <f>IF('Cálculo MP'!K459="","",'Cálculo MP'!K459)</f>
        <v/>
      </c>
      <c r="AZ449" s="60" t="str">
        <f>IF('Cálculo MP'!L459="","",'Cálculo MP'!L459)</f>
        <v/>
      </c>
      <c r="BA449" s="60" t="str">
        <f>IF('Cálculo MP'!M459="","",'Cálculo MP'!M459)</f>
        <v/>
      </c>
      <c r="BB449" s="60" t="str">
        <f>IF('Cálculo MP'!N459="","",'Cálculo MP'!N459)</f>
        <v/>
      </c>
      <c r="BC449" s="60" t="str">
        <f>IF('Cálculo MP'!O459="","",'Cálculo MP'!O459)</f>
        <v/>
      </c>
      <c r="BD449" s="60" t="str">
        <f>IF('Cálculo MP'!P459="","",'Cálculo MP'!P459)</f>
        <v/>
      </c>
      <c r="BE449" s="60" t="str">
        <f>IF('Cálculo MP'!Q459="","",'Cálculo MP'!Q459)</f>
        <v/>
      </c>
      <c r="BF449" s="60" t="str">
        <f>IF('Cálculo MP'!R459="","",'Cálculo MP'!R459)</f>
        <v/>
      </c>
      <c r="BG449" s="60" t="str">
        <f>IF('Cálculo MP'!S459="","",'Cálculo MP'!S459)</f>
        <v/>
      </c>
      <c r="BH449" s="59"/>
      <c r="BI449" s="59"/>
      <c r="BJ449" s="59"/>
      <c r="BK449" s="59"/>
      <c r="BL449" s="59"/>
      <c r="BM449" s="59"/>
      <c r="BN449" s="59"/>
      <c r="BO449" s="59"/>
    </row>
    <row r="450" spans="1:67" ht="19.5" customHeight="1" x14ac:dyDescent="0.15">
      <c r="A450" s="123" t="s">
        <v>1856</v>
      </c>
      <c r="B450" s="122" t="s">
        <v>1854</v>
      </c>
      <c r="C450" s="49"/>
      <c r="D450" s="48" t="s">
        <v>73</v>
      </c>
      <c r="E450" s="49"/>
      <c r="F450" s="50"/>
      <c r="G450" s="62"/>
      <c r="H450" s="48" t="s">
        <v>72</v>
      </c>
      <c r="I450" s="52">
        <v>1</v>
      </c>
      <c r="J450" s="52"/>
      <c r="K450" s="52" t="s">
        <v>73</v>
      </c>
      <c r="L450" s="52" t="s">
        <v>74</v>
      </c>
      <c r="M450" s="53" t="s">
        <v>942</v>
      </c>
      <c r="N450" s="58" t="s">
        <v>73</v>
      </c>
      <c r="O450" s="48" t="s">
        <v>72</v>
      </c>
      <c r="P450" s="48" t="s">
        <v>73</v>
      </c>
      <c r="Q450" s="54" t="s">
        <v>73</v>
      </c>
      <c r="R450" s="55" t="s">
        <v>73</v>
      </c>
      <c r="S450" s="48" t="s">
        <v>73</v>
      </c>
      <c r="T450" s="130"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8" t="str" cm="1">
        <f t="array" ref="U450">IF(SUMPRODUCT(--((CAT_Procesos!$E$2:$E$1581=O450)*(CAT_Procesos!$F$2:$F$1581=_xlfn.TEXTJOIN(" + ",TRUE,IF((TRIM(P450:S450)="")+(LOWER(TRIM(P450:S450))="(seleccione)"),"",PROPER(TRIM(P450:S450)))))*(CAT_Procesos!$D$2:$D$1581=IFERROR(VLOOKUP(N450&amp;"*",CAT_Procesos!$D:$D,1,FALSE),""))))=0,"Combinación no existente",IF(SUMPRODUCT(((CAT_Procesos!$E$2:$E$1581=O450)*(CAT_Procesos!$F$2:$F$1581=_xlfn.TEXTJOIN(" + ",TRUE,IF((TRIM(P450:S450)="")+(LOWER(TRIM(P450:S450))="(seleccione)"),"",PROPER(TRIM(P450:S450)))))*(CAT_Procesos!$D$2:$D$1581=IFERROR(VLOOKUP(N450&amp;"*",CAT_Procesos!$D:$D,1,FALSE),"")))*(CAT_Procesos!$G$2:$G$1581=INDEX(CAT_Procesos!$G$2:$G$1581,MATCH(1,(CAT_Procesos!$E$2:$E$1581=O450)*(CAT_Procesos!$F$2:$F$1581=_xlfn.TEXTJOIN(" + ",TRUE,IF((TRIM(P450:S450)="")+(LOWER(TRIM(P450:S450))="(seleccione)"),"",PROPER(TRIM(P450:S450)))))*(CAT_Procesos!$D$2:$D$1581=IFERROR(VLOOKUP(N450&amp;"*",CAT_Procesos!$D:$D,1,FALSE),"")),0))))=SUMPRODUCT(--((CAT_Procesos!$E$2:$E$1581=O450)*(CAT_Procesos!$F$2:$F$1581=_xlfn.TEXTJOIN(" + ",TRUE,IF((TRIM(P450:S450)="")+(LOWER(TRIM(P450:S450))="(seleccione)"),"",PROPER(TRIM(P450:S450)))))*(CAT_Procesos!$D$2:$D$1581=IFERROR(VLOOKUP(N450&amp;"*",CAT_Procesos!$D:$D,1,FALSE),"")))),INDEX(CAT_Procesos!$G$2:$G$1581,MATCH(1,(CAT_Procesos!$E$2:$E$1581=O450)*(CAT_Procesos!$F$2:$F$1581=_xlfn.TEXTJOIN(" + ",TRUE,IF((TRIM(P450:S450)="")+(LOWER(TRIM(P450:S450))="(seleccione)"),"",PROPER(TRIM(P450:S450)))))*(CAT_Procesos!$D$2:$D$1581=IFERROR(VLOOKUP(N450&amp;"*",CAT_Procesos!$D:$D,1,FALSE),"")),0)),"(seleccione)"))</f>
        <v>Combinación no existente</v>
      </c>
      <c r="V450" s="55" t="s">
        <v>73</v>
      </c>
      <c r="W450" s="56" t="s">
        <v>73</v>
      </c>
      <c r="X450" s="57" t="str">
        <f t="shared" si="24"/>
        <v/>
      </c>
      <c r="Y450" s="58" t="s">
        <v>73</v>
      </c>
      <c r="Z450" s="57" t="str">
        <f t="shared" si="25"/>
        <v/>
      </c>
      <c r="AA450" s="58" t="s">
        <v>73</v>
      </c>
      <c r="AB450" s="57" t="str">
        <f t="shared" si="26"/>
        <v/>
      </c>
      <c r="AC450" s="58" t="s">
        <v>73</v>
      </c>
      <c r="AD450" s="57" t="str">
        <f t="shared" si="27"/>
        <v/>
      </c>
      <c r="AE450" s="59"/>
      <c r="AF450" s="59"/>
      <c r="AG450" s="59"/>
      <c r="AH450" s="59"/>
      <c r="AI450" s="59" t="s">
        <v>73</v>
      </c>
      <c r="AJ450" s="59"/>
      <c r="AK450" s="59" t="s">
        <v>73</v>
      </c>
      <c r="AL450" s="59"/>
      <c r="AM450" s="59" t="s">
        <v>73</v>
      </c>
      <c r="AN450" s="59"/>
      <c r="AO450" s="59" t="s">
        <v>73</v>
      </c>
      <c r="AP450" s="59"/>
      <c r="AQ450" s="59" t="s">
        <v>73</v>
      </c>
      <c r="AR450" s="59"/>
      <c r="AS450" s="59" t="s">
        <v>72</v>
      </c>
      <c r="AT450" s="59"/>
      <c r="AU450" s="59"/>
      <c r="AV450" s="59"/>
      <c r="AW450" s="59"/>
      <c r="AX450" s="59"/>
      <c r="AY450" s="60" t="str">
        <f>IF('Cálculo MP'!K460="","",'Cálculo MP'!K460)</f>
        <v/>
      </c>
      <c r="AZ450" s="60" t="str">
        <f>IF('Cálculo MP'!L460="","",'Cálculo MP'!L460)</f>
        <v/>
      </c>
      <c r="BA450" s="60" t="str">
        <f>IF('Cálculo MP'!M460="","",'Cálculo MP'!M460)</f>
        <v/>
      </c>
      <c r="BB450" s="60" t="str">
        <f>IF('Cálculo MP'!N460="","",'Cálculo MP'!N460)</f>
        <v/>
      </c>
      <c r="BC450" s="60" t="str">
        <f>IF('Cálculo MP'!O460="","",'Cálculo MP'!O460)</f>
        <v/>
      </c>
      <c r="BD450" s="60" t="str">
        <f>IF('Cálculo MP'!P460="","",'Cálculo MP'!P460)</f>
        <v/>
      </c>
      <c r="BE450" s="60" t="str">
        <f>IF('Cálculo MP'!Q460="","",'Cálculo MP'!Q460)</f>
        <v/>
      </c>
      <c r="BF450" s="60" t="str">
        <f>IF('Cálculo MP'!R460="","",'Cálculo MP'!R460)</f>
        <v/>
      </c>
      <c r="BG450" s="60" t="str">
        <f>IF('Cálculo MP'!S460="","",'Cálculo MP'!S460)</f>
        <v/>
      </c>
      <c r="BH450" s="59"/>
      <c r="BI450" s="59"/>
      <c r="BJ450" s="59"/>
      <c r="BK450" s="59"/>
      <c r="BL450" s="59"/>
      <c r="BM450" s="59"/>
      <c r="BN450" s="59"/>
      <c r="BO450" s="59"/>
    </row>
    <row r="451" spans="1:67" ht="19.5" customHeight="1" x14ac:dyDescent="0.15">
      <c r="A451" s="123" t="s">
        <v>1856</v>
      </c>
      <c r="B451" s="122" t="s">
        <v>1854</v>
      </c>
      <c r="C451" s="49"/>
      <c r="D451" s="48" t="s">
        <v>73</v>
      </c>
      <c r="E451" s="49"/>
      <c r="F451" s="50"/>
      <c r="G451" s="62"/>
      <c r="H451" s="48" t="s">
        <v>72</v>
      </c>
      <c r="I451" s="52">
        <v>1</v>
      </c>
      <c r="J451" s="52"/>
      <c r="K451" s="52" t="s">
        <v>73</v>
      </c>
      <c r="L451" s="52" t="s">
        <v>74</v>
      </c>
      <c r="M451" s="53" t="s">
        <v>942</v>
      </c>
      <c r="N451" s="58" t="s">
        <v>73</v>
      </c>
      <c r="O451" s="48" t="s">
        <v>72</v>
      </c>
      <c r="P451" s="48" t="s">
        <v>73</v>
      </c>
      <c r="Q451" s="54" t="s">
        <v>73</v>
      </c>
      <c r="R451" s="55" t="s">
        <v>73</v>
      </c>
      <c r="S451" s="48" t="s">
        <v>73</v>
      </c>
      <c r="T451" s="130"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8" t="str" cm="1">
        <f t="array" ref="U451">IF(SUMPRODUCT(--((CAT_Procesos!$E$2:$E$1581=O451)*(CAT_Procesos!$F$2:$F$1581=_xlfn.TEXTJOIN(" + ",TRUE,IF((TRIM(P451:S451)="")+(LOWER(TRIM(P451:S451))="(seleccione)"),"",PROPER(TRIM(P451:S451)))))*(CAT_Procesos!$D$2:$D$1581=IFERROR(VLOOKUP(N451&amp;"*",CAT_Procesos!$D:$D,1,FALSE),""))))=0,"Combinación no existente",IF(SUMPRODUCT(((CAT_Procesos!$E$2:$E$1581=O451)*(CAT_Procesos!$F$2:$F$1581=_xlfn.TEXTJOIN(" + ",TRUE,IF((TRIM(P451:S451)="")+(LOWER(TRIM(P451:S451))="(seleccione)"),"",PROPER(TRIM(P451:S451)))))*(CAT_Procesos!$D$2:$D$1581=IFERROR(VLOOKUP(N451&amp;"*",CAT_Procesos!$D:$D,1,FALSE),"")))*(CAT_Procesos!$G$2:$G$1581=INDEX(CAT_Procesos!$G$2:$G$1581,MATCH(1,(CAT_Procesos!$E$2:$E$1581=O451)*(CAT_Procesos!$F$2:$F$1581=_xlfn.TEXTJOIN(" + ",TRUE,IF((TRIM(P451:S451)="")+(LOWER(TRIM(P451:S451))="(seleccione)"),"",PROPER(TRIM(P451:S451)))))*(CAT_Procesos!$D$2:$D$1581=IFERROR(VLOOKUP(N451&amp;"*",CAT_Procesos!$D:$D,1,FALSE),"")),0))))=SUMPRODUCT(--((CAT_Procesos!$E$2:$E$1581=O451)*(CAT_Procesos!$F$2:$F$1581=_xlfn.TEXTJOIN(" + ",TRUE,IF((TRIM(P451:S451)="")+(LOWER(TRIM(P451:S451))="(seleccione)"),"",PROPER(TRIM(P451:S451)))))*(CAT_Procesos!$D$2:$D$1581=IFERROR(VLOOKUP(N451&amp;"*",CAT_Procesos!$D:$D,1,FALSE),"")))),INDEX(CAT_Procesos!$G$2:$G$1581,MATCH(1,(CAT_Procesos!$E$2:$E$1581=O451)*(CAT_Procesos!$F$2:$F$1581=_xlfn.TEXTJOIN(" + ",TRUE,IF((TRIM(P451:S451)="")+(LOWER(TRIM(P451:S451))="(seleccione)"),"",PROPER(TRIM(P451:S451)))))*(CAT_Procesos!$D$2:$D$1581=IFERROR(VLOOKUP(N451&amp;"*",CAT_Procesos!$D:$D,1,FALSE),"")),0)),"(seleccione)"))</f>
        <v>Combinación no existente</v>
      </c>
      <c r="V451" s="55" t="s">
        <v>73</v>
      </c>
      <c r="W451" s="56" t="s">
        <v>73</v>
      </c>
      <c r="X451" s="57" t="str">
        <f t="shared" si="24"/>
        <v/>
      </c>
      <c r="Y451" s="58" t="s">
        <v>73</v>
      </c>
      <c r="Z451" s="57" t="str">
        <f t="shared" si="25"/>
        <v/>
      </c>
      <c r="AA451" s="58" t="s">
        <v>73</v>
      </c>
      <c r="AB451" s="57" t="str">
        <f t="shared" si="26"/>
        <v/>
      </c>
      <c r="AC451" s="58" t="s">
        <v>73</v>
      </c>
      <c r="AD451" s="57" t="str">
        <f t="shared" si="27"/>
        <v/>
      </c>
      <c r="AE451" s="59"/>
      <c r="AF451" s="59"/>
      <c r="AG451" s="59"/>
      <c r="AH451" s="59"/>
      <c r="AI451" s="59" t="s">
        <v>73</v>
      </c>
      <c r="AJ451" s="59"/>
      <c r="AK451" s="59" t="s">
        <v>73</v>
      </c>
      <c r="AL451" s="59"/>
      <c r="AM451" s="59" t="s">
        <v>73</v>
      </c>
      <c r="AN451" s="59"/>
      <c r="AO451" s="59" t="s">
        <v>73</v>
      </c>
      <c r="AP451" s="59"/>
      <c r="AQ451" s="59" t="s">
        <v>73</v>
      </c>
      <c r="AR451" s="59"/>
      <c r="AS451" s="59" t="s">
        <v>72</v>
      </c>
      <c r="AT451" s="59"/>
      <c r="AU451" s="59"/>
      <c r="AV451" s="59"/>
      <c r="AW451" s="59"/>
      <c r="AX451" s="59"/>
      <c r="AY451" s="60" t="str">
        <f>IF('Cálculo MP'!K461="","",'Cálculo MP'!K461)</f>
        <v/>
      </c>
      <c r="AZ451" s="60" t="str">
        <f>IF('Cálculo MP'!L461="","",'Cálculo MP'!L461)</f>
        <v/>
      </c>
      <c r="BA451" s="60" t="str">
        <f>IF('Cálculo MP'!M461="","",'Cálculo MP'!M461)</f>
        <v/>
      </c>
      <c r="BB451" s="60" t="str">
        <f>IF('Cálculo MP'!N461="","",'Cálculo MP'!N461)</f>
        <v/>
      </c>
      <c r="BC451" s="60" t="str">
        <f>IF('Cálculo MP'!O461="","",'Cálculo MP'!O461)</f>
        <v/>
      </c>
      <c r="BD451" s="60" t="str">
        <f>IF('Cálculo MP'!P461="","",'Cálculo MP'!P461)</f>
        <v/>
      </c>
      <c r="BE451" s="60" t="str">
        <f>IF('Cálculo MP'!Q461="","",'Cálculo MP'!Q461)</f>
        <v/>
      </c>
      <c r="BF451" s="60" t="str">
        <f>IF('Cálculo MP'!R461="","",'Cálculo MP'!R461)</f>
        <v/>
      </c>
      <c r="BG451" s="60" t="str">
        <f>IF('Cálculo MP'!S461="","",'Cálculo MP'!S461)</f>
        <v/>
      </c>
      <c r="BH451" s="59"/>
      <c r="BI451" s="59"/>
      <c r="BJ451" s="59"/>
      <c r="BK451" s="59"/>
      <c r="BL451" s="59"/>
      <c r="BM451" s="59"/>
      <c r="BN451" s="59"/>
      <c r="BO451" s="59"/>
    </row>
    <row r="452" spans="1:67" ht="19.5" customHeight="1" x14ac:dyDescent="0.15">
      <c r="A452" s="123" t="s">
        <v>1856</v>
      </c>
      <c r="B452" s="122" t="s">
        <v>1854</v>
      </c>
      <c r="C452" s="49"/>
      <c r="D452" s="48" t="s">
        <v>73</v>
      </c>
      <c r="E452" s="49"/>
      <c r="F452" s="50"/>
      <c r="G452" s="62"/>
      <c r="H452" s="48" t="s">
        <v>72</v>
      </c>
      <c r="I452" s="52">
        <v>1</v>
      </c>
      <c r="J452" s="52"/>
      <c r="K452" s="52" t="s">
        <v>73</v>
      </c>
      <c r="L452" s="52" t="s">
        <v>74</v>
      </c>
      <c r="M452" s="53" t="s">
        <v>942</v>
      </c>
      <c r="N452" s="58" t="s">
        <v>73</v>
      </c>
      <c r="O452" s="48" t="s">
        <v>72</v>
      </c>
      <c r="P452" s="48" t="s">
        <v>73</v>
      </c>
      <c r="Q452" s="54" t="s">
        <v>73</v>
      </c>
      <c r="R452" s="55" t="s">
        <v>73</v>
      </c>
      <c r="S452" s="48" t="s">
        <v>73</v>
      </c>
      <c r="T452" s="130"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8" t="str" cm="1">
        <f t="array" ref="U452">IF(SUMPRODUCT(--((CAT_Procesos!$E$2:$E$1581=O452)*(CAT_Procesos!$F$2:$F$1581=_xlfn.TEXTJOIN(" + ",TRUE,IF((TRIM(P452:S452)="")+(LOWER(TRIM(P452:S452))="(seleccione)"),"",PROPER(TRIM(P452:S452)))))*(CAT_Procesos!$D$2:$D$1581=IFERROR(VLOOKUP(N452&amp;"*",CAT_Procesos!$D:$D,1,FALSE),""))))=0,"Combinación no existente",IF(SUMPRODUCT(((CAT_Procesos!$E$2:$E$1581=O452)*(CAT_Procesos!$F$2:$F$1581=_xlfn.TEXTJOIN(" + ",TRUE,IF((TRIM(P452:S452)="")+(LOWER(TRIM(P452:S452))="(seleccione)"),"",PROPER(TRIM(P452:S452)))))*(CAT_Procesos!$D$2:$D$1581=IFERROR(VLOOKUP(N452&amp;"*",CAT_Procesos!$D:$D,1,FALSE),"")))*(CAT_Procesos!$G$2:$G$1581=INDEX(CAT_Procesos!$G$2:$G$1581,MATCH(1,(CAT_Procesos!$E$2:$E$1581=O452)*(CAT_Procesos!$F$2:$F$1581=_xlfn.TEXTJOIN(" + ",TRUE,IF((TRIM(P452:S452)="")+(LOWER(TRIM(P452:S452))="(seleccione)"),"",PROPER(TRIM(P452:S452)))))*(CAT_Procesos!$D$2:$D$1581=IFERROR(VLOOKUP(N452&amp;"*",CAT_Procesos!$D:$D,1,FALSE),"")),0))))=SUMPRODUCT(--((CAT_Procesos!$E$2:$E$1581=O452)*(CAT_Procesos!$F$2:$F$1581=_xlfn.TEXTJOIN(" + ",TRUE,IF((TRIM(P452:S452)="")+(LOWER(TRIM(P452:S452))="(seleccione)"),"",PROPER(TRIM(P452:S452)))))*(CAT_Procesos!$D$2:$D$1581=IFERROR(VLOOKUP(N452&amp;"*",CAT_Procesos!$D:$D,1,FALSE),"")))),INDEX(CAT_Procesos!$G$2:$G$1581,MATCH(1,(CAT_Procesos!$E$2:$E$1581=O452)*(CAT_Procesos!$F$2:$F$1581=_xlfn.TEXTJOIN(" + ",TRUE,IF((TRIM(P452:S452)="")+(LOWER(TRIM(P452:S452))="(seleccione)"),"",PROPER(TRIM(P452:S452)))))*(CAT_Procesos!$D$2:$D$1581=IFERROR(VLOOKUP(N452&amp;"*",CAT_Procesos!$D:$D,1,FALSE),"")),0)),"(seleccione)"))</f>
        <v>Combinación no existente</v>
      </c>
      <c r="V452" s="55" t="s">
        <v>73</v>
      </c>
      <c r="W452" s="56" t="s">
        <v>73</v>
      </c>
      <c r="X452" s="57" t="str">
        <f t="shared" si="24"/>
        <v/>
      </c>
      <c r="Y452" s="58" t="s">
        <v>73</v>
      </c>
      <c r="Z452" s="57" t="str">
        <f t="shared" si="25"/>
        <v/>
      </c>
      <c r="AA452" s="58" t="s">
        <v>73</v>
      </c>
      <c r="AB452" s="57" t="str">
        <f t="shared" si="26"/>
        <v/>
      </c>
      <c r="AC452" s="58" t="s">
        <v>73</v>
      </c>
      <c r="AD452" s="57" t="str">
        <f t="shared" si="27"/>
        <v/>
      </c>
      <c r="AE452" s="59"/>
      <c r="AF452" s="59"/>
      <c r="AG452" s="59"/>
      <c r="AH452" s="59"/>
      <c r="AI452" s="59" t="s">
        <v>73</v>
      </c>
      <c r="AJ452" s="59"/>
      <c r="AK452" s="59" t="s">
        <v>73</v>
      </c>
      <c r="AL452" s="59"/>
      <c r="AM452" s="59" t="s">
        <v>73</v>
      </c>
      <c r="AN452" s="59"/>
      <c r="AO452" s="59" t="s">
        <v>73</v>
      </c>
      <c r="AP452" s="59"/>
      <c r="AQ452" s="59" t="s">
        <v>73</v>
      </c>
      <c r="AR452" s="59"/>
      <c r="AS452" s="59" t="s">
        <v>72</v>
      </c>
      <c r="AT452" s="59"/>
      <c r="AU452" s="59"/>
      <c r="AV452" s="59"/>
      <c r="AW452" s="59"/>
      <c r="AX452" s="59"/>
      <c r="AY452" s="60" t="str">
        <f>IF('Cálculo MP'!K462="","",'Cálculo MP'!K462)</f>
        <v/>
      </c>
      <c r="AZ452" s="60" t="str">
        <f>IF('Cálculo MP'!L462="","",'Cálculo MP'!L462)</f>
        <v/>
      </c>
      <c r="BA452" s="60" t="str">
        <f>IF('Cálculo MP'!M462="","",'Cálculo MP'!M462)</f>
        <v/>
      </c>
      <c r="BB452" s="60" t="str">
        <f>IF('Cálculo MP'!N462="","",'Cálculo MP'!N462)</f>
        <v/>
      </c>
      <c r="BC452" s="60" t="str">
        <f>IF('Cálculo MP'!O462="","",'Cálculo MP'!O462)</f>
        <v/>
      </c>
      <c r="BD452" s="60" t="str">
        <f>IF('Cálculo MP'!P462="","",'Cálculo MP'!P462)</f>
        <v/>
      </c>
      <c r="BE452" s="60" t="str">
        <f>IF('Cálculo MP'!Q462="","",'Cálculo MP'!Q462)</f>
        <v/>
      </c>
      <c r="BF452" s="60" t="str">
        <f>IF('Cálculo MP'!R462="","",'Cálculo MP'!R462)</f>
        <v/>
      </c>
      <c r="BG452" s="60" t="str">
        <f>IF('Cálculo MP'!S462="","",'Cálculo MP'!S462)</f>
        <v/>
      </c>
      <c r="BH452" s="59"/>
      <c r="BI452" s="59"/>
      <c r="BJ452" s="59"/>
      <c r="BK452" s="59"/>
      <c r="BL452" s="59"/>
      <c r="BM452" s="59"/>
      <c r="BN452" s="59"/>
      <c r="BO452" s="59"/>
    </row>
    <row r="453" spans="1:67" ht="19.5" customHeight="1" x14ac:dyDescent="0.15">
      <c r="A453" s="123" t="s">
        <v>1856</v>
      </c>
      <c r="B453" s="122" t="s">
        <v>1854</v>
      </c>
      <c r="C453" s="49"/>
      <c r="D453" s="48" t="s">
        <v>73</v>
      </c>
      <c r="E453" s="49"/>
      <c r="F453" s="50"/>
      <c r="G453" s="62"/>
      <c r="H453" s="48" t="s">
        <v>72</v>
      </c>
      <c r="I453" s="52">
        <v>1</v>
      </c>
      <c r="J453" s="52"/>
      <c r="K453" s="52" t="s">
        <v>73</v>
      </c>
      <c r="L453" s="52" t="s">
        <v>74</v>
      </c>
      <c r="M453" s="53" t="s">
        <v>942</v>
      </c>
      <c r="N453" s="58" t="s">
        <v>73</v>
      </c>
      <c r="O453" s="48" t="s">
        <v>72</v>
      </c>
      <c r="P453" s="48" t="s">
        <v>73</v>
      </c>
      <c r="Q453" s="54" t="s">
        <v>73</v>
      </c>
      <c r="R453" s="55" t="s">
        <v>73</v>
      </c>
      <c r="S453" s="48" t="s">
        <v>73</v>
      </c>
      <c r="T453" s="130"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8" t="str" cm="1">
        <f t="array" ref="U453">IF(SUMPRODUCT(--((CAT_Procesos!$E$2:$E$1581=O453)*(CAT_Procesos!$F$2:$F$1581=_xlfn.TEXTJOIN(" + ",TRUE,IF((TRIM(P453:S453)="")+(LOWER(TRIM(P453:S453))="(seleccione)"),"",PROPER(TRIM(P453:S453)))))*(CAT_Procesos!$D$2:$D$1581=IFERROR(VLOOKUP(N453&amp;"*",CAT_Procesos!$D:$D,1,FALSE),""))))=0,"Combinación no existente",IF(SUMPRODUCT(((CAT_Procesos!$E$2:$E$1581=O453)*(CAT_Procesos!$F$2:$F$1581=_xlfn.TEXTJOIN(" + ",TRUE,IF((TRIM(P453:S453)="")+(LOWER(TRIM(P453:S453))="(seleccione)"),"",PROPER(TRIM(P453:S453)))))*(CAT_Procesos!$D$2:$D$1581=IFERROR(VLOOKUP(N453&amp;"*",CAT_Procesos!$D:$D,1,FALSE),"")))*(CAT_Procesos!$G$2:$G$1581=INDEX(CAT_Procesos!$G$2:$G$1581,MATCH(1,(CAT_Procesos!$E$2:$E$1581=O453)*(CAT_Procesos!$F$2:$F$1581=_xlfn.TEXTJOIN(" + ",TRUE,IF((TRIM(P453:S453)="")+(LOWER(TRIM(P453:S453))="(seleccione)"),"",PROPER(TRIM(P453:S453)))))*(CAT_Procesos!$D$2:$D$1581=IFERROR(VLOOKUP(N453&amp;"*",CAT_Procesos!$D:$D,1,FALSE),"")),0))))=SUMPRODUCT(--((CAT_Procesos!$E$2:$E$1581=O453)*(CAT_Procesos!$F$2:$F$1581=_xlfn.TEXTJOIN(" + ",TRUE,IF((TRIM(P453:S453)="")+(LOWER(TRIM(P453:S453))="(seleccione)"),"",PROPER(TRIM(P453:S453)))))*(CAT_Procesos!$D$2:$D$1581=IFERROR(VLOOKUP(N453&amp;"*",CAT_Procesos!$D:$D,1,FALSE),"")))),INDEX(CAT_Procesos!$G$2:$G$1581,MATCH(1,(CAT_Procesos!$E$2:$E$1581=O453)*(CAT_Procesos!$F$2:$F$1581=_xlfn.TEXTJOIN(" + ",TRUE,IF((TRIM(P453:S453)="")+(LOWER(TRIM(P453:S453))="(seleccione)"),"",PROPER(TRIM(P453:S453)))))*(CAT_Procesos!$D$2:$D$1581=IFERROR(VLOOKUP(N453&amp;"*",CAT_Procesos!$D:$D,1,FALSE),"")),0)),"(seleccione)"))</f>
        <v>Combinación no existente</v>
      </c>
      <c r="V453" s="55" t="s">
        <v>73</v>
      </c>
      <c r="W453" s="56" t="s">
        <v>73</v>
      </c>
      <c r="X453" s="57" t="str">
        <f t="shared" si="24"/>
        <v/>
      </c>
      <c r="Y453" s="58" t="s">
        <v>73</v>
      </c>
      <c r="Z453" s="57" t="str">
        <f t="shared" si="25"/>
        <v/>
      </c>
      <c r="AA453" s="58" t="s">
        <v>73</v>
      </c>
      <c r="AB453" s="57" t="str">
        <f t="shared" si="26"/>
        <v/>
      </c>
      <c r="AC453" s="58" t="s">
        <v>73</v>
      </c>
      <c r="AD453" s="57" t="str">
        <f t="shared" si="27"/>
        <v/>
      </c>
      <c r="AE453" s="59"/>
      <c r="AF453" s="59"/>
      <c r="AG453" s="59"/>
      <c r="AH453" s="59"/>
      <c r="AI453" s="59" t="s">
        <v>73</v>
      </c>
      <c r="AJ453" s="59"/>
      <c r="AK453" s="59" t="s">
        <v>73</v>
      </c>
      <c r="AL453" s="59"/>
      <c r="AM453" s="59" t="s">
        <v>73</v>
      </c>
      <c r="AN453" s="59"/>
      <c r="AO453" s="59" t="s">
        <v>73</v>
      </c>
      <c r="AP453" s="59"/>
      <c r="AQ453" s="59" t="s">
        <v>73</v>
      </c>
      <c r="AR453" s="59"/>
      <c r="AS453" s="59" t="s">
        <v>72</v>
      </c>
      <c r="AT453" s="59"/>
      <c r="AU453" s="59"/>
      <c r="AV453" s="59"/>
      <c r="AW453" s="59"/>
      <c r="AX453" s="59"/>
      <c r="AY453" s="60" t="str">
        <f>IF('Cálculo MP'!K463="","",'Cálculo MP'!K463)</f>
        <v/>
      </c>
      <c r="AZ453" s="60" t="str">
        <f>IF('Cálculo MP'!L463="","",'Cálculo MP'!L463)</f>
        <v/>
      </c>
      <c r="BA453" s="60" t="str">
        <f>IF('Cálculo MP'!M463="","",'Cálculo MP'!M463)</f>
        <v/>
      </c>
      <c r="BB453" s="60" t="str">
        <f>IF('Cálculo MP'!N463="","",'Cálculo MP'!N463)</f>
        <v/>
      </c>
      <c r="BC453" s="60" t="str">
        <f>IF('Cálculo MP'!O463="","",'Cálculo MP'!O463)</f>
        <v/>
      </c>
      <c r="BD453" s="60" t="str">
        <f>IF('Cálculo MP'!P463="","",'Cálculo MP'!P463)</f>
        <v/>
      </c>
      <c r="BE453" s="60" t="str">
        <f>IF('Cálculo MP'!Q463="","",'Cálculo MP'!Q463)</f>
        <v/>
      </c>
      <c r="BF453" s="60" t="str">
        <f>IF('Cálculo MP'!R463="","",'Cálculo MP'!R463)</f>
        <v/>
      </c>
      <c r="BG453" s="60" t="str">
        <f>IF('Cálculo MP'!S463="","",'Cálculo MP'!S463)</f>
        <v/>
      </c>
      <c r="BH453" s="59"/>
      <c r="BI453" s="59"/>
      <c r="BJ453" s="59"/>
      <c r="BK453" s="59"/>
      <c r="BL453" s="59"/>
      <c r="BM453" s="59"/>
      <c r="BN453" s="59"/>
      <c r="BO453" s="59"/>
    </row>
    <row r="454" spans="1:67" ht="19.5" customHeight="1" x14ac:dyDescent="0.15">
      <c r="A454" s="123" t="s">
        <v>1856</v>
      </c>
      <c r="B454" s="122" t="s">
        <v>1854</v>
      </c>
      <c r="C454" s="49"/>
      <c r="D454" s="48" t="s">
        <v>73</v>
      </c>
      <c r="E454" s="49"/>
      <c r="F454" s="50"/>
      <c r="G454" s="62"/>
      <c r="H454" s="48" t="s">
        <v>72</v>
      </c>
      <c r="I454" s="52">
        <v>1</v>
      </c>
      <c r="J454" s="52"/>
      <c r="K454" s="52" t="s">
        <v>73</v>
      </c>
      <c r="L454" s="52" t="s">
        <v>74</v>
      </c>
      <c r="M454" s="53" t="s">
        <v>942</v>
      </c>
      <c r="N454" s="58" t="s">
        <v>73</v>
      </c>
      <c r="O454" s="48" t="s">
        <v>72</v>
      </c>
      <c r="P454" s="48" t="s">
        <v>73</v>
      </c>
      <c r="Q454" s="54" t="s">
        <v>73</v>
      </c>
      <c r="R454" s="55" t="s">
        <v>73</v>
      </c>
      <c r="S454" s="48" t="s">
        <v>73</v>
      </c>
      <c r="T454" s="130"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8" t="str" cm="1">
        <f t="array" ref="U454">IF(SUMPRODUCT(--((CAT_Procesos!$E$2:$E$1581=O454)*(CAT_Procesos!$F$2:$F$1581=_xlfn.TEXTJOIN(" + ",TRUE,IF((TRIM(P454:S454)="")+(LOWER(TRIM(P454:S454))="(seleccione)"),"",PROPER(TRIM(P454:S454)))))*(CAT_Procesos!$D$2:$D$1581=IFERROR(VLOOKUP(N454&amp;"*",CAT_Procesos!$D:$D,1,FALSE),""))))=0,"Combinación no existente",IF(SUMPRODUCT(((CAT_Procesos!$E$2:$E$1581=O454)*(CAT_Procesos!$F$2:$F$1581=_xlfn.TEXTJOIN(" + ",TRUE,IF((TRIM(P454:S454)="")+(LOWER(TRIM(P454:S454))="(seleccione)"),"",PROPER(TRIM(P454:S454)))))*(CAT_Procesos!$D$2:$D$1581=IFERROR(VLOOKUP(N454&amp;"*",CAT_Procesos!$D:$D,1,FALSE),"")))*(CAT_Procesos!$G$2:$G$1581=INDEX(CAT_Procesos!$G$2:$G$1581,MATCH(1,(CAT_Procesos!$E$2:$E$1581=O454)*(CAT_Procesos!$F$2:$F$1581=_xlfn.TEXTJOIN(" + ",TRUE,IF((TRIM(P454:S454)="")+(LOWER(TRIM(P454:S454))="(seleccione)"),"",PROPER(TRIM(P454:S454)))))*(CAT_Procesos!$D$2:$D$1581=IFERROR(VLOOKUP(N454&amp;"*",CAT_Procesos!$D:$D,1,FALSE),"")),0))))=SUMPRODUCT(--((CAT_Procesos!$E$2:$E$1581=O454)*(CAT_Procesos!$F$2:$F$1581=_xlfn.TEXTJOIN(" + ",TRUE,IF((TRIM(P454:S454)="")+(LOWER(TRIM(P454:S454))="(seleccione)"),"",PROPER(TRIM(P454:S454)))))*(CAT_Procesos!$D$2:$D$1581=IFERROR(VLOOKUP(N454&amp;"*",CAT_Procesos!$D:$D,1,FALSE),"")))),INDEX(CAT_Procesos!$G$2:$G$1581,MATCH(1,(CAT_Procesos!$E$2:$E$1581=O454)*(CAT_Procesos!$F$2:$F$1581=_xlfn.TEXTJOIN(" + ",TRUE,IF((TRIM(P454:S454)="")+(LOWER(TRIM(P454:S454))="(seleccione)"),"",PROPER(TRIM(P454:S454)))))*(CAT_Procesos!$D$2:$D$1581=IFERROR(VLOOKUP(N454&amp;"*",CAT_Procesos!$D:$D,1,FALSE),"")),0)),"(seleccione)"))</f>
        <v>Combinación no existente</v>
      </c>
      <c r="V454" s="55" t="s">
        <v>73</v>
      </c>
      <c r="W454" s="56" t="s">
        <v>73</v>
      </c>
      <c r="X454" s="57" t="str">
        <f t="shared" si="24"/>
        <v/>
      </c>
      <c r="Y454" s="58" t="s">
        <v>73</v>
      </c>
      <c r="Z454" s="57" t="str">
        <f t="shared" si="25"/>
        <v/>
      </c>
      <c r="AA454" s="58" t="s">
        <v>73</v>
      </c>
      <c r="AB454" s="57" t="str">
        <f t="shared" si="26"/>
        <v/>
      </c>
      <c r="AC454" s="58" t="s">
        <v>73</v>
      </c>
      <c r="AD454" s="57" t="str">
        <f t="shared" si="27"/>
        <v/>
      </c>
      <c r="AE454" s="59"/>
      <c r="AF454" s="59"/>
      <c r="AG454" s="59"/>
      <c r="AH454" s="59"/>
      <c r="AI454" s="59" t="s">
        <v>73</v>
      </c>
      <c r="AJ454" s="59"/>
      <c r="AK454" s="59" t="s">
        <v>73</v>
      </c>
      <c r="AL454" s="59"/>
      <c r="AM454" s="59" t="s">
        <v>73</v>
      </c>
      <c r="AN454" s="59"/>
      <c r="AO454" s="59" t="s">
        <v>73</v>
      </c>
      <c r="AP454" s="59"/>
      <c r="AQ454" s="59" t="s">
        <v>73</v>
      </c>
      <c r="AR454" s="59"/>
      <c r="AS454" s="59" t="s">
        <v>72</v>
      </c>
      <c r="AT454" s="59"/>
      <c r="AU454" s="59"/>
      <c r="AV454" s="59"/>
      <c r="AW454" s="59"/>
      <c r="AX454" s="59"/>
      <c r="AY454" s="60" t="str">
        <f>IF('Cálculo MP'!K464="","",'Cálculo MP'!K464)</f>
        <v/>
      </c>
      <c r="AZ454" s="60" t="str">
        <f>IF('Cálculo MP'!L464="","",'Cálculo MP'!L464)</f>
        <v/>
      </c>
      <c r="BA454" s="60" t="str">
        <f>IF('Cálculo MP'!M464="","",'Cálculo MP'!M464)</f>
        <v/>
      </c>
      <c r="BB454" s="60" t="str">
        <f>IF('Cálculo MP'!N464="","",'Cálculo MP'!N464)</f>
        <v/>
      </c>
      <c r="BC454" s="60" t="str">
        <f>IF('Cálculo MP'!O464="","",'Cálculo MP'!O464)</f>
        <v/>
      </c>
      <c r="BD454" s="60" t="str">
        <f>IF('Cálculo MP'!P464="","",'Cálculo MP'!P464)</f>
        <v/>
      </c>
      <c r="BE454" s="60" t="str">
        <f>IF('Cálculo MP'!Q464="","",'Cálculo MP'!Q464)</f>
        <v/>
      </c>
      <c r="BF454" s="60" t="str">
        <f>IF('Cálculo MP'!R464="","",'Cálculo MP'!R464)</f>
        <v/>
      </c>
      <c r="BG454" s="60" t="str">
        <f>IF('Cálculo MP'!S464="","",'Cálculo MP'!S464)</f>
        <v/>
      </c>
      <c r="BH454" s="59"/>
      <c r="BI454" s="59"/>
      <c r="BJ454" s="59"/>
      <c r="BK454" s="59"/>
      <c r="BL454" s="59"/>
      <c r="BM454" s="59"/>
      <c r="BN454" s="59"/>
      <c r="BO454" s="59"/>
    </row>
    <row r="455" spans="1:67" ht="19.5" customHeight="1" x14ac:dyDescent="0.15">
      <c r="A455" s="123" t="s">
        <v>1856</v>
      </c>
      <c r="B455" s="122" t="s">
        <v>1854</v>
      </c>
      <c r="C455" s="49"/>
      <c r="D455" s="48" t="s">
        <v>73</v>
      </c>
      <c r="E455" s="49"/>
      <c r="F455" s="50"/>
      <c r="G455" s="62"/>
      <c r="H455" s="48" t="s">
        <v>72</v>
      </c>
      <c r="I455" s="52">
        <v>1</v>
      </c>
      <c r="J455" s="52"/>
      <c r="K455" s="52" t="s">
        <v>73</v>
      </c>
      <c r="L455" s="52" t="s">
        <v>74</v>
      </c>
      <c r="M455" s="53" t="s">
        <v>942</v>
      </c>
      <c r="N455" s="58" t="s">
        <v>73</v>
      </c>
      <c r="O455" s="48" t="s">
        <v>72</v>
      </c>
      <c r="P455" s="48" t="s">
        <v>73</v>
      </c>
      <c r="Q455" s="54" t="s">
        <v>73</v>
      </c>
      <c r="R455" s="55" t="s">
        <v>73</v>
      </c>
      <c r="S455" s="48" t="s">
        <v>73</v>
      </c>
      <c r="T455" s="130"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8" t="str" cm="1">
        <f t="array" ref="U455">IF(SUMPRODUCT(--((CAT_Procesos!$E$2:$E$1581=O455)*(CAT_Procesos!$F$2:$F$1581=_xlfn.TEXTJOIN(" + ",TRUE,IF((TRIM(P455:S455)="")+(LOWER(TRIM(P455:S455))="(seleccione)"),"",PROPER(TRIM(P455:S455)))))*(CAT_Procesos!$D$2:$D$1581=IFERROR(VLOOKUP(N455&amp;"*",CAT_Procesos!$D:$D,1,FALSE),""))))=0,"Combinación no existente",IF(SUMPRODUCT(((CAT_Procesos!$E$2:$E$1581=O455)*(CAT_Procesos!$F$2:$F$1581=_xlfn.TEXTJOIN(" + ",TRUE,IF((TRIM(P455:S455)="")+(LOWER(TRIM(P455:S455))="(seleccione)"),"",PROPER(TRIM(P455:S455)))))*(CAT_Procesos!$D$2:$D$1581=IFERROR(VLOOKUP(N455&amp;"*",CAT_Procesos!$D:$D,1,FALSE),"")))*(CAT_Procesos!$G$2:$G$1581=INDEX(CAT_Procesos!$G$2:$G$1581,MATCH(1,(CAT_Procesos!$E$2:$E$1581=O455)*(CAT_Procesos!$F$2:$F$1581=_xlfn.TEXTJOIN(" + ",TRUE,IF((TRIM(P455:S455)="")+(LOWER(TRIM(P455:S455))="(seleccione)"),"",PROPER(TRIM(P455:S455)))))*(CAT_Procesos!$D$2:$D$1581=IFERROR(VLOOKUP(N455&amp;"*",CAT_Procesos!$D:$D,1,FALSE),"")),0))))=SUMPRODUCT(--((CAT_Procesos!$E$2:$E$1581=O455)*(CAT_Procesos!$F$2:$F$1581=_xlfn.TEXTJOIN(" + ",TRUE,IF((TRIM(P455:S455)="")+(LOWER(TRIM(P455:S455))="(seleccione)"),"",PROPER(TRIM(P455:S455)))))*(CAT_Procesos!$D$2:$D$1581=IFERROR(VLOOKUP(N455&amp;"*",CAT_Procesos!$D:$D,1,FALSE),"")))),INDEX(CAT_Procesos!$G$2:$G$1581,MATCH(1,(CAT_Procesos!$E$2:$E$1581=O455)*(CAT_Procesos!$F$2:$F$1581=_xlfn.TEXTJOIN(" + ",TRUE,IF((TRIM(P455:S455)="")+(LOWER(TRIM(P455:S455))="(seleccione)"),"",PROPER(TRIM(P455:S455)))))*(CAT_Procesos!$D$2:$D$1581=IFERROR(VLOOKUP(N455&amp;"*",CAT_Procesos!$D:$D,1,FALSE),"")),0)),"(seleccione)"))</f>
        <v>Combinación no existente</v>
      </c>
      <c r="V455" s="55" t="s">
        <v>73</v>
      </c>
      <c r="W455" s="56" t="s">
        <v>73</v>
      </c>
      <c r="X455" s="57" t="str">
        <f t="shared" si="24"/>
        <v/>
      </c>
      <c r="Y455" s="58" t="s">
        <v>73</v>
      </c>
      <c r="Z455" s="57" t="str">
        <f t="shared" si="25"/>
        <v/>
      </c>
      <c r="AA455" s="58" t="s">
        <v>73</v>
      </c>
      <c r="AB455" s="57" t="str">
        <f t="shared" si="26"/>
        <v/>
      </c>
      <c r="AC455" s="58" t="s">
        <v>73</v>
      </c>
      <c r="AD455" s="57" t="str">
        <f t="shared" si="27"/>
        <v/>
      </c>
      <c r="AE455" s="59"/>
      <c r="AF455" s="59"/>
      <c r="AG455" s="59"/>
      <c r="AH455" s="59"/>
      <c r="AI455" s="59" t="s">
        <v>73</v>
      </c>
      <c r="AJ455" s="59"/>
      <c r="AK455" s="59" t="s">
        <v>73</v>
      </c>
      <c r="AL455" s="59"/>
      <c r="AM455" s="59" t="s">
        <v>73</v>
      </c>
      <c r="AN455" s="59"/>
      <c r="AO455" s="59" t="s">
        <v>73</v>
      </c>
      <c r="AP455" s="59"/>
      <c r="AQ455" s="59" t="s">
        <v>73</v>
      </c>
      <c r="AR455" s="59"/>
      <c r="AS455" s="59" t="s">
        <v>72</v>
      </c>
      <c r="AT455" s="59"/>
      <c r="AU455" s="59"/>
      <c r="AV455" s="59"/>
      <c r="AW455" s="59"/>
      <c r="AX455" s="59"/>
      <c r="AY455" s="60" t="str">
        <f>IF('Cálculo MP'!K465="","",'Cálculo MP'!K465)</f>
        <v/>
      </c>
      <c r="AZ455" s="60" t="str">
        <f>IF('Cálculo MP'!L465="","",'Cálculo MP'!L465)</f>
        <v/>
      </c>
      <c r="BA455" s="60" t="str">
        <f>IF('Cálculo MP'!M465="","",'Cálculo MP'!M465)</f>
        <v/>
      </c>
      <c r="BB455" s="60" t="str">
        <f>IF('Cálculo MP'!N465="","",'Cálculo MP'!N465)</f>
        <v/>
      </c>
      <c r="BC455" s="60" t="str">
        <f>IF('Cálculo MP'!O465="","",'Cálculo MP'!O465)</f>
        <v/>
      </c>
      <c r="BD455" s="60" t="str">
        <f>IF('Cálculo MP'!P465="","",'Cálculo MP'!P465)</f>
        <v/>
      </c>
      <c r="BE455" s="60" t="str">
        <f>IF('Cálculo MP'!Q465="","",'Cálculo MP'!Q465)</f>
        <v/>
      </c>
      <c r="BF455" s="60" t="str">
        <f>IF('Cálculo MP'!R465="","",'Cálculo MP'!R465)</f>
        <v/>
      </c>
      <c r="BG455" s="60" t="str">
        <f>IF('Cálculo MP'!S465="","",'Cálculo MP'!S465)</f>
        <v/>
      </c>
      <c r="BH455" s="59"/>
      <c r="BI455" s="59"/>
      <c r="BJ455" s="59"/>
      <c r="BK455" s="59"/>
      <c r="BL455" s="59"/>
      <c r="BM455" s="59"/>
      <c r="BN455" s="59"/>
      <c r="BO455" s="59"/>
    </row>
    <row r="456" spans="1:67" ht="19.5" customHeight="1" x14ac:dyDescent="0.15">
      <c r="A456" s="123" t="s">
        <v>1856</v>
      </c>
      <c r="B456" s="122" t="s">
        <v>1854</v>
      </c>
      <c r="C456" s="49"/>
      <c r="D456" s="48" t="s">
        <v>73</v>
      </c>
      <c r="E456" s="49"/>
      <c r="F456" s="50"/>
      <c r="G456" s="62"/>
      <c r="H456" s="48" t="s">
        <v>72</v>
      </c>
      <c r="I456" s="52">
        <v>1</v>
      </c>
      <c r="J456" s="52"/>
      <c r="K456" s="52" t="s">
        <v>73</v>
      </c>
      <c r="L456" s="52" t="s">
        <v>74</v>
      </c>
      <c r="M456" s="53" t="s">
        <v>942</v>
      </c>
      <c r="N456" s="58" t="s">
        <v>73</v>
      </c>
      <c r="O456" s="48" t="s">
        <v>72</v>
      </c>
      <c r="P456" s="48" t="s">
        <v>73</v>
      </c>
      <c r="Q456" s="54" t="s">
        <v>73</v>
      </c>
      <c r="R456" s="55" t="s">
        <v>73</v>
      </c>
      <c r="S456" s="48" t="s">
        <v>73</v>
      </c>
      <c r="T456" s="130"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8" t="str" cm="1">
        <f t="array" ref="U456">IF(SUMPRODUCT(--((CAT_Procesos!$E$2:$E$1581=O456)*(CAT_Procesos!$F$2:$F$1581=_xlfn.TEXTJOIN(" + ",TRUE,IF((TRIM(P456:S456)="")+(LOWER(TRIM(P456:S456))="(seleccione)"),"",PROPER(TRIM(P456:S456)))))*(CAT_Procesos!$D$2:$D$1581=IFERROR(VLOOKUP(N456&amp;"*",CAT_Procesos!$D:$D,1,FALSE),""))))=0,"Combinación no existente",IF(SUMPRODUCT(((CAT_Procesos!$E$2:$E$1581=O456)*(CAT_Procesos!$F$2:$F$1581=_xlfn.TEXTJOIN(" + ",TRUE,IF((TRIM(P456:S456)="")+(LOWER(TRIM(P456:S456))="(seleccione)"),"",PROPER(TRIM(P456:S456)))))*(CAT_Procesos!$D$2:$D$1581=IFERROR(VLOOKUP(N456&amp;"*",CAT_Procesos!$D:$D,1,FALSE),"")))*(CAT_Procesos!$G$2:$G$1581=INDEX(CAT_Procesos!$G$2:$G$1581,MATCH(1,(CAT_Procesos!$E$2:$E$1581=O456)*(CAT_Procesos!$F$2:$F$1581=_xlfn.TEXTJOIN(" + ",TRUE,IF((TRIM(P456:S456)="")+(LOWER(TRIM(P456:S456))="(seleccione)"),"",PROPER(TRIM(P456:S456)))))*(CAT_Procesos!$D$2:$D$1581=IFERROR(VLOOKUP(N456&amp;"*",CAT_Procesos!$D:$D,1,FALSE),"")),0))))=SUMPRODUCT(--((CAT_Procesos!$E$2:$E$1581=O456)*(CAT_Procesos!$F$2:$F$1581=_xlfn.TEXTJOIN(" + ",TRUE,IF((TRIM(P456:S456)="")+(LOWER(TRIM(P456:S456))="(seleccione)"),"",PROPER(TRIM(P456:S456)))))*(CAT_Procesos!$D$2:$D$1581=IFERROR(VLOOKUP(N456&amp;"*",CAT_Procesos!$D:$D,1,FALSE),"")))),INDEX(CAT_Procesos!$G$2:$G$1581,MATCH(1,(CAT_Procesos!$E$2:$E$1581=O456)*(CAT_Procesos!$F$2:$F$1581=_xlfn.TEXTJOIN(" + ",TRUE,IF((TRIM(P456:S456)="")+(LOWER(TRIM(P456:S456))="(seleccione)"),"",PROPER(TRIM(P456:S456)))))*(CAT_Procesos!$D$2:$D$1581=IFERROR(VLOOKUP(N456&amp;"*",CAT_Procesos!$D:$D,1,FALSE),"")),0)),"(seleccione)"))</f>
        <v>Combinación no existente</v>
      </c>
      <c r="V456" s="55" t="s">
        <v>73</v>
      </c>
      <c r="W456" s="56" t="s">
        <v>73</v>
      </c>
      <c r="X456" s="57" t="str">
        <f t="shared" si="24"/>
        <v/>
      </c>
      <c r="Y456" s="58" t="s">
        <v>73</v>
      </c>
      <c r="Z456" s="57" t="str">
        <f t="shared" si="25"/>
        <v/>
      </c>
      <c r="AA456" s="58" t="s">
        <v>73</v>
      </c>
      <c r="AB456" s="57" t="str">
        <f t="shared" si="26"/>
        <v/>
      </c>
      <c r="AC456" s="58" t="s">
        <v>73</v>
      </c>
      <c r="AD456" s="57" t="str">
        <f t="shared" si="27"/>
        <v/>
      </c>
      <c r="AE456" s="59"/>
      <c r="AF456" s="59"/>
      <c r="AG456" s="59"/>
      <c r="AH456" s="59"/>
      <c r="AI456" s="59" t="s">
        <v>73</v>
      </c>
      <c r="AJ456" s="59"/>
      <c r="AK456" s="59" t="s">
        <v>73</v>
      </c>
      <c r="AL456" s="59"/>
      <c r="AM456" s="59" t="s">
        <v>73</v>
      </c>
      <c r="AN456" s="59"/>
      <c r="AO456" s="59" t="s">
        <v>73</v>
      </c>
      <c r="AP456" s="59"/>
      <c r="AQ456" s="59" t="s">
        <v>73</v>
      </c>
      <c r="AR456" s="59"/>
      <c r="AS456" s="59" t="s">
        <v>72</v>
      </c>
      <c r="AT456" s="59"/>
      <c r="AU456" s="59"/>
      <c r="AV456" s="59"/>
      <c r="AW456" s="59"/>
      <c r="AX456" s="59"/>
      <c r="AY456" s="60" t="str">
        <f>IF('Cálculo MP'!K466="","",'Cálculo MP'!K466)</f>
        <v/>
      </c>
      <c r="AZ456" s="60" t="str">
        <f>IF('Cálculo MP'!L466="","",'Cálculo MP'!L466)</f>
        <v/>
      </c>
      <c r="BA456" s="60" t="str">
        <f>IF('Cálculo MP'!M466="","",'Cálculo MP'!M466)</f>
        <v/>
      </c>
      <c r="BB456" s="60" t="str">
        <f>IF('Cálculo MP'!N466="","",'Cálculo MP'!N466)</f>
        <v/>
      </c>
      <c r="BC456" s="60" t="str">
        <f>IF('Cálculo MP'!O466="","",'Cálculo MP'!O466)</f>
        <v/>
      </c>
      <c r="BD456" s="60" t="str">
        <f>IF('Cálculo MP'!P466="","",'Cálculo MP'!P466)</f>
        <v/>
      </c>
      <c r="BE456" s="60" t="str">
        <f>IF('Cálculo MP'!Q466="","",'Cálculo MP'!Q466)</f>
        <v/>
      </c>
      <c r="BF456" s="60" t="str">
        <f>IF('Cálculo MP'!R466="","",'Cálculo MP'!R466)</f>
        <v/>
      </c>
      <c r="BG456" s="60" t="str">
        <f>IF('Cálculo MP'!S466="","",'Cálculo MP'!S466)</f>
        <v/>
      </c>
      <c r="BH456" s="59"/>
      <c r="BI456" s="59"/>
      <c r="BJ456" s="59"/>
      <c r="BK456" s="59"/>
      <c r="BL456" s="59"/>
      <c r="BM456" s="59"/>
      <c r="BN456" s="59"/>
      <c r="BO456" s="59"/>
    </row>
    <row r="457" spans="1:67" ht="19.5" customHeight="1" x14ac:dyDescent="0.15">
      <c r="A457" s="123" t="s">
        <v>1856</v>
      </c>
      <c r="B457" s="122" t="s">
        <v>1854</v>
      </c>
      <c r="C457" s="49"/>
      <c r="D457" s="48" t="s">
        <v>73</v>
      </c>
      <c r="E457" s="49"/>
      <c r="F457" s="50"/>
      <c r="G457" s="62"/>
      <c r="H457" s="48" t="s">
        <v>72</v>
      </c>
      <c r="I457" s="52">
        <v>1</v>
      </c>
      <c r="J457" s="52"/>
      <c r="K457" s="52" t="s">
        <v>73</v>
      </c>
      <c r="L457" s="52" t="s">
        <v>74</v>
      </c>
      <c r="M457" s="53" t="s">
        <v>942</v>
      </c>
      <c r="N457" s="58" t="s">
        <v>73</v>
      </c>
      <c r="O457" s="48" t="s">
        <v>72</v>
      </c>
      <c r="P457" s="48" t="s">
        <v>73</v>
      </c>
      <c r="Q457" s="54" t="s">
        <v>73</v>
      </c>
      <c r="R457" s="55" t="s">
        <v>73</v>
      </c>
      <c r="S457" s="48" t="s">
        <v>73</v>
      </c>
      <c r="T457" s="130"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8" t="str" cm="1">
        <f t="array" ref="U457">IF(SUMPRODUCT(--((CAT_Procesos!$E$2:$E$1581=O457)*(CAT_Procesos!$F$2:$F$1581=_xlfn.TEXTJOIN(" + ",TRUE,IF((TRIM(P457:S457)="")+(LOWER(TRIM(P457:S457))="(seleccione)"),"",PROPER(TRIM(P457:S457)))))*(CAT_Procesos!$D$2:$D$1581=IFERROR(VLOOKUP(N457&amp;"*",CAT_Procesos!$D:$D,1,FALSE),""))))=0,"Combinación no existente",IF(SUMPRODUCT(((CAT_Procesos!$E$2:$E$1581=O457)*(CAT_Procesos!$F$2:$F$1581=_xlfn.TEXTJOIN(" + ",TRUE,IF((TRIM(P457:S457)="")+(LOWER(TRIM(P457:S457))="(seleccione)"),"",PROPER(TRIM(P457:S457)))))*(CAT_Procesos!$D$2:$D$1581=IFERROR(VLOOKUP(N457&amp;"*",CAT_Procesos!$D:$D,1,FALSE),"")))*(CAT_Procesos!$G$2:$G$1581=INDEX(CAT_Procesos!$G$2:$G$1581,MATCH(1,(CAT_Procesos!$E$2:$E$1581=O457)*(CAT_Procesos!$F$2:$F$1581=_xlfn.TEXTJOIN(" + ",TRUE,IF((TRIM(P457:S457)="")+(LOWER(TRIM(P457:S457))="(seleccione)"),"",PROPER(TRIM(P457:S457)))))*(CAT_Procesos!$D$2:$D$1581=IFERROR(VLOOKUP(N457&amp;"*",CAT_Procesos!$D:$D,1,FALSE),"")),0))))=SUMPRODUCT(--((CAT_Procesos!$E$2:$E$1581=O457)*(CAT_Procesos!$F$2:$F$1581=_xlfn.TEXTJOIN(" + ",TRUE,IF((TRIM(P457:S457)="")+(LOWER(TRIM(P457:S457))="(seleccione)"),"",PROPER(TRIM(P457:S457)))))*(CAT_Procesos!$D$2:$D$1581=IFERROR(VLOOKUP(N457&amp;"*",CAT_Procesos!$D:$D,1,FALSE),"")))),INDEX(CAT_Procesos!$G$2:$G$1581,MATCH(1,(CAT_Procesos!$E$2:$E$1581=O457)*(CAT_Procesos!$F$2:$F$1581=_xlfn.TEXTJOIN(" + ",TRUE,IF((TRIM(P457:S457)="")+(LOWER(TRIM(P457:S457))="(seleccione)"),"",PROPER(TRIM(P457:S457)))))*(CAT_Procesos!$D$2:$D$1581=IFERROR(VLOOKUP(N457&amp;"*",CAT_Procesos!$D:$D,1,FALSE),"")),0)),"(seleccione)"))</f>
        <v>Combinación no existente</v>
      </c>
      <c r="V457" s="55" t="s">
        <v>73</v>
      </c>
      <c r="W457" s="56" t="s">
        <v>73</v>
      </c>
      <c r="X457" s="57" t="str">
        <f t="shared" ref="X457:X508" si="28">IFERROR(((VALUE(TRIM(LEFT(MID(W457,FIND("|",W457)+1,99),FIND("-",MID(W457,FIND("|",W457)+1,99))-1)))+VALUE(TRIM(SUBSTITUTE(SUBSTITUTE(SUBSTITUTE(SUBSTITUTE(SUBSTITUTE(MID(MID(W457,FIND("|",W457)+1,99),FIND("-",MID(W457,FIND("|",W457)+1,99))+1,20),"µm",""),"μm",""),"mils",""),"mil",""),"",""))))/2)*IF(ISNUMBER(SEARCH("mil",MID(W457,FIND("|",W457)+1,99))),25.4,1),"")</f>
        <v/>
      </c>
      <c r="Y457" s="58" t="s">
        <v>73</v>
      </c>
      <c r="Z457" s="57" t="str">
        <f t="shared" ref="Z457:Z508" si="29">IFERROR(((VALUE(TRIM(LEFT(MID(Y457,FIND("|",Y457)+1,99),FIND("-",MID(Y457,FIND("|",Y457)+1,99))-1)))+VALUE(TRIM(SUBSTITUTE(SUBSTITUTE(SUBSTITUTE(SUBSTITUTE(SUBSTITUTE(MID(MID(Y457,FIND("|",Y457)+1,99),FIND("-",MID(Y457,FIND("|",Y457)+1,99))+1,20),"µm",""),"μm",""),"mils",""),"mil",""),"",""))))/2)*IF(ISNUMBER(SEARCH("mil",MID(Y457,FIND("|",Y457)+1,99))),25.4,1),"")</f>
        <v/>
      </c>
      <c r="AA457" s="58" t="s">
        <v>73</v>
      </c>
      <c r="AB457" s="57" t="str">
        <f t="shared" ref="AB457:AB508" si="30">IFERROR(((VALUE(TRIM(LEFT(MID(AA457,FIND("|",AA457)+1,99),FIND("-",MID(AA457,FIND("|",AA457)+1,99))-1)))+VALUE(TRIM(SUBSTITUTE(SUBSTITUTE(SUBSTITUTE(SUBSTITUTE(SUBSTITUTE(MID(MID(AA457,FIND("|",AA457)+1,99),FIND("-",MID(AA457,FIND("|",AA457)+1,99))+1,20),"µm",""),"μm",""),"mils",""),"mil",""),"",""))))/2)*IF(ISNUMBER(SEARCH("mil",MID(AA457,FIND("|",AA457)+1,99))),25.4,1),"")</f>
        <v/>
      </c>
      <c r="AC457" s="58" t="s">
        <v>73</v>
      </c>
      <c r="AD457" s="57" t="str">
        <f t="shared" ref="AD457:AD508" si="31">IFERROR(((VALUE(TRIM(LEFT(MID(AC457,FIND("|",AC457)+1,99),FIND("-",MID(AC457,FIND("|",AC457)+1,99))-1)))+VALUE(TRIM(SUBSTITUTE(SUBSTITUTE(SUBSTITUTE(SUBSTITUTE(SUBSTITUTE(MID(MID(AC457,FIND("|",AC457)+1,99),FIND("-",MID(AC457,FIND("|",AC457)+1,99))+1,20),"µm",""),"μm",""),"mils",""),"mil",""),"",""))))/2)*IF(ISNUMBER(SEARCH("mil",MID(AC457,FIND("|",AC457)+1,99))),25.4,1),"")</f>
        <v/>
      </c>
      <c r="AE457" s="59"/>
      <c r="AF457" s="59"/>
      <c r="AG457" s="59"/>
      <c r="AH457" s="59"/>
      <c r="AI457" s="59" t="s">
        <v>73</v>
      </c>
      <c r="AJ457" s="59"/>
      <c r="AK457" s="59" t="s">
        <v>73</v>
      </c>
      <c r="AL457" s="59"/>
      <c r="AM457" s="59" t="s">
        <v>73</v>
      </c>
      <c r="AN457" s="59"/>
      <c r="AO457" s="59" t="s">
        <v>73</v>
      </c>
      <c r="AP457" s="59"/>
      <c r="AQ457" s="59" t="s">
        <v>73</v>
      </c>
      <c r="AR457" s="59"/>
      <c r="AS457" s="59" t="s">
        <v>72</v>
      </c>
      <c r="AT457" s="59"/>
      <c r="AU457" s="59"/>
      <c r="AV457" s="59"/>
      <c r="AW457" s="59"/>
      <c r="AX457" s="59"/>
      <c r="AY457" s="60" t="str">
        <f>IF('Cálculo MP'!K467="","",'Cálculo MP'!K467)</f>
        <v/>
      </c>
      <c r="AZ457" s="60" t="str">
        <f>IF('Cálculo MP'!L467="","",'Cálculo MP'!L467)</f>
        <v/>
      </c>
      <c r="BA457" s="60" t="str">
        <f>IF('Cálculo MP'!M467="","",'Cálculo MP'!M467)</f>
        <v/>
      </c>
      <c r="BB457" s="60" t="str">
        <f>IF('Cálculo MP'!N467="","",'Cálculo MP'!N467)</f>
        <v/>
      </c>
      <c r="BC457" s="60" t="str">
        <f>IF('Cálculo MP'!O467="","",'Cálculo MP'!O467)</f>
        <v/>
      </c>
      <c r="BD457" s="60" t="str">
        <f>IF('Cálculo MP'!P467="","",'Cálculo MP'!P467)</f>
        <v/>
      </c>
      <c r="BE457" s="60" t="str">
        <f>IF('Cálculo MP'!Q467="","",'Cálculo MP'!Q467)</f>
        <v/>
      </c>
      <c r="BF457" s="60" t="str">
        <f>IF('Cálculo MP'!R467="","",'Cálculo MP'!R467)</f>
        <v/>
      </c>
      <c r="BG457" s="60" t="str">
        <f>IF('Cálculo MP'!S467="","",'Cálculo MP'!S467)</f>
        <v/>
      </c>
      <c r="BH457" s="59"/>
      <c r="BI457" s="59"/>
      <c r="BJ457" s="59"/>
      <c r="BK457" s="59"/>
      <c r="BL457" s="59"/>
      <c r="BM457" s="59"/>
      <c r="BN457" s="59"/>
      <c r="BO457" s="59"/>
    </row>
    <row r="458" spans="1:67" ht="19.5" customHeight="1" x14ac:dyDescent="0.15">
      <c r="A458" s="123" t="s">
        <v>1856</v>
      </c>
      <c r="B458" s="122" t="s">
        <v>1854</v>
      </c>
      <c r="C458" s="49"/>
      <c r="D458" s="48" t="s">
        <v>73</v>
      </c>
      <c r="E458" s="49"/>
      <c r="F458" s="50"/>
      <c r="G458" s="62"/>
      <c r="H458" s="48" t="s">
        <v>72</v>
      </c>
      <c r="I458" s="52">
        <v>1</v>
      </c>
      <c r="J458" s="52"/>
      <c r="K458" s="52" t="s">
        <v>73</v>
      </c>
      <c r="L458" s="52" t="s">
        <v>74</v>
      </c>
      <c r="M458" s="53" t="s">
        <v>942</v>
      </c>
      <c r="N458" s="58" t="s">
        <v>73</v>
      </c>
      <c r="O458" s="48" t="s">
        <v>72</v>
      </c>
      <c r="P458" s="48" t="s">
        <v>73</v>
      </c>
      <c r="Q458" s="54" t="s">
        <v>73</v>
      </c>
      <c r="R458" s="55" t="s">
        <v>73</v>
      </c>
      <c r="S458" s="48" t="s">
        <v>73</v>
      </c>
      <c r="T458" s="130"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8" t="str" cm="1">
        <f t="array" ref="U458">IF(SUMPRODUCT(--((CAT_Procesos!$E$2:$E$1581=O458)*(CAT_Procesos!$F$2:$F$1581=_xlfn.TEXTJOIN(" + ",TRUE,IF((TRIM(P458:S458)="")+(LOWER(TRIM(P458:S458))="(seleccione)"),"",PROPER(TRIM(P458:S458)))))*(CAT_Procesos!$D$2:$D$1581=IFERROR(VLOOKUP(N458&amp;"*",CAT_Procesos!$D:$D,1,FALSE),""))))=0,"Combinación no existente",IF(SUMPRODUCT(((CAT_Procesos!$E$2:$E$1581=O458)*(CAT_Procesos!$F$2:$F$1581=_xlfn.TEXTJOIN(" + ",TRUE,IF((TRIM(P458:S458)="")+(LOWER(TRIM(P458:S458))="(seleccione)"),"",PROPER(TRIM(P458:S458)))))*(CAT_Procesos!$D$2:$D$1581=IFERROR(VLOOKUP(N458&amp;"*",CAT_Procesos!$D:$D,1,FALSE),"")))*(CAT_Procesos!$G$2:$G$1581=INDEX(CAT_Procesos!$G$2:$G$1581,MATCH(1,(CAT_Procesos!$E$2:$E$1581=O458)*(CAT_Procesos!$F$2:$F$1581=_xlfn.TEXTJOIN(" + ",TRUE,IF((TRIM(P458:S458)="")+(LOWER(TRIM(P458:S458))="(seleccione)"),"",PROPER(TRIM(P458:S458)))))*(CAT_Procesos!$D$2:$D$1581=IFERROR(VLOOKUP(N458&amp;"*",CAT_Procesos!$D:$D,1,FALSE),"")),0))))=SUMPRODUCT(--((CAT_Procesos!$E$2:$E$1581=O458)*(CAT_Procesos!$F$2:$F$1581=_xlfn.TEXTJOIN(" + ",TRUE,IF((TRIM(P458:S458)="")+(LOWER(TRIM(P458:S458))="(seleccione)"),"",PROPER(TRIM(P458:S458)))))*(CAT_Procesos!$D$2:$D$1581=IFERROR(VLOOKUP(N458&amp;"*",CAT_Procesos!$D:$D,1,FALSE),"")))),INDEX(CAT_Procesos!$G$2:$G$1581,MATCH(1,(CAT_Procesos!$E$2:$E$1581=O458)*(CAT_Procesos!$F$2:$F$1581=_xlfn.TEXTJOIN(" + ",TRUE,IF((TRIM(P458:S458)="")+(LOWER(TRIM(P458:S458))="(seleccione)"),"",PROPER(TRIM(P458:S458)))))*(CAT_Procesos!$D$2:$D$1581=IFERROR(VLOOKUP(N458&amp;"*",CAT_Procesos!$D:$D,1,FALSE),"")),0)),"(seleccione)"))</f>
        <v>Combinación no existente</v>
      </c>
      <c r="V458" s="55" t="s">
        <v>73</v>
      </c>
      <c r="W458" s="56" t="s">
        <v>73</v>
      </c>
      <c r="X458" s="57" t="str">
        <f t="shared" si="28"/>
        <v/>
      </c>
      <c r="Y458" s="58" t="s">
        <v>73</v>
      </c>
      <c r="Z458" s="57" t="str">
        <f t="shared" si="29"/>
        <v/>
      </c>
      <c r="AA458" s="58" t="s">
        <v>73</v>
      </c>
      <c r="AB458" s="57" t="str">
        <f t="shared" si="30"/>
        <v/>
      </c>
      <c r="AC458" s="58" t="s">
        <v>73</v>
      </c>
      <c r="AD458" s="57" t="str">
        <f t="shared" si="31"/>
        <v/>
      </c>
      <c r="AE458" s="59"/>
      <c r="AF458" s="59"/>
      <c r="AG458" s="59"/>
      <c r="AH458" s="59"/>
      <c r="AI458" s="59" t="s">
        <v>73</v>
      </c>
      <c r="AJ458" s="59"/>
      <c r="AK458" s="59" t="s">
        <v>73</v>
      </c>
      <c r="AL458" s="59"/>
      <c r="AM458" s="59" t="s">
        <v>73</v>
      </c>
      <c r="AN458" s="59"/>
      <c r="AO458" s="59" t="s">
        <v>73</v>
      </c>
      <c r="AP458" s="59"/>
      <c r="AQ458" s="59" t="s">
        <v>73</v>
      </c>
      <c r="AR458" s="59"/>
      <c r="AS458" s="59" t="s">
        <v>72</v>
      </c>
      <c r="AT458" s="59"/>
      <c r="AU458" s="59"/>
      <c r="AV458" s="59"/>
      <c r="AW458" s="59"/>
      <c r="AX458" s="59"/>
      <c r="AY458" s="60" t="str">
        <f>IF('Cálculo MP'!K468="","",'Cálculo MP'!K468)</f>
        <v/>
      </c>
      <c r="AZ458" s="60" t="str">
        <f>IF('Cálculo MP'!L468="","",'Cálculo MP'!L468)</f>
        <v/>
      </c>
      <c r="BA458" s="60" t="str">
        <f>IF('Cálculo MP'!M468="","",'Cálculo MP'!M468)</f>
        <v/>
      </c>
      <c r="BB458" s="60" t="str">
        <f>IF('Cálculo MP'!N468="","",'Cálculo MP'!N468)</f>
        <v/>
      </c>
      <c r="BC458" s="60" t="str">
        <f>IF('Cálculo MP'!O468="","",'Cálculo MP'!O468)</f>
        <v/>
      </c>
      <c r="BD458" s="60" t="str">
        <f>IF('Cálculo MP'!P468="","",'Cálculo MP'!P468)</f>
        <v/>
      </c>
      <c r="BE458" s="60" t="str">
        <f>IF('Cálculo MP'!Q468="","",'Cálculo MP'!Q468)</f>
        <v/>
      </c>
      <c r="BF458" s="60" t="str">
        <f>IF('Cálculo MP'!R468="","",'Cálculo MP'!R468)</f>
        <v/>
      </c>
      <c r="BG458" s="60" t="str">
        <f>IF('Cálculo MP'!S468="","",'Cálculo MP'!S468)</f>
        <v/>
      </c>
      <c r="BH458" s="59"/>
      <c r="BI458" s="59"/>
      <c r="BJ458" s="59"/>
      <c r="BK458" s="59"/>
      <c r="BL458" s="59"/>
      <c r="BM458" s="59"/>
      <c r="BN458" s="59"/>
      <c r="BO458" s="59"/>
    </row>
    <row r="459" spans="1:67" ht="19.5" customHeight="1" x14ac:dyDescent="0.15">
      <c r="A459" s="123" t="s">
        <v>1856</v>
      </c>
      <c r="B459" s="122" t="s">
        <v>1854</v>
      </c>
      <c r="C459" s="49"/>
      <c r="D459" s="48" t="s">
        <v>73</v>
      </c>
      <c r="E459" s="49"/>
      <c r="F459" s="50"/>
      <c r="G459" s="62"/>
      <c r="H459" s="48" t="s">
        <v>72</v>
      </c>
      <c r="I459" s="52">
        <v>1</v>
      </c>
      <c r="J459" s="52"/>
      <c r="K459" s="52" t="s">
        <v>73</v>
      </c>
      <c r="L459" s="52" t="s">
        <v>74</v>
      </c>
      <c r="M459" s="53" t="s">
        <v>942</v>
      </c>
      <c r="N459" s="58" t="s">
        <v>73</v>
      </c>
      <c r="O459" s="48" t="s">
        <v>72</v>
      </c>
      <c r="P459" s="48" t="s">
        <v>73</v>
      </c>
      <c r="Q459" s="54" t="s">
        <v>73</v>
      </c>
      <c r="R459" s="55" t="s">
        <v>73</v>
      </c>
      <c r="S459" s="48" t="s">
        <v>73</v>
      </c>
      <c r="T459" s="130"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8" t="str" cm="1">
        <f t="array" ref="U459">IF(SUMPRODUCT(--((CAT_Procesos!$E$2:$E$1581=O459)*(CAT_Procesos!$F$2:$F$1581=_xlfn.TEXTJOIN(" + ",TRUE,IF((TRIM(P459:S459)="")+(LOWER(TRIM(P459:S459))="(seleccione)"),"",PROPER(TRIM(P459:S459)))))*(CAT_Procesos!$D$2:$D$1581=IFERROR(VLOOKUP(N459&amp;"*",CAT_Procesos!$D:$D,1,FALSE),""))))=0,"Combinación no existente",IF(SUMPRODUCT(((CAT_Procesos!$E$2:$E$1581=O459)*(CAT_Procesos!$F$2:$F$1581=_xlfn.TEXTJOIN(" + ",TRUE,IF((TRIM(P459:S459)="")+(LOWER(TRIM(P459:S459))="(seleccione)"),"",PROPER(TRIM(P459:S459)))))*(CAT_Procesos!$D$2:$D$1581=IFERROR(VLOOKUP(N459&amp;"*",CAT_Procesos!$D:$D,1,FALSE),"")))*(CAT_Procesos!$G$2:$G$1581=INDEX(CAT_Procesos!$G$2:$G$1581,MATCH(1,(CAT_Procesos!$E$2:$E$1581=O459)*(CAT_Procesos!$F$2:$F$1581=_xlfn.TEXTJOIN(" + ",TRUE,IF((TRIM(P459:S459)="")+(LOWER(TRIM(P459:S459))="(seleccione)"),"",PROPER(TRIM(P459:S459)))))*(CAT_Procesos!$D$2:$D$1581=IFERROR(VLOOKUP(N459&amp;"*",CAT_Procesos!$D:$D,1,FALSE),"")),0))))=SUMPRODUCT(--((CAT_Procesos!$E$2:$E$1581=O459)*(CAT_Procesos!$F$2:$F$1581=_xlfn.TEXTJOIN(" + ",TRUE,IF((TRIM(P459:S459)="")+(LOWER(TRIM(P459:S459))="(seleccione)"),"",PROPER(TRIM(P459:S459)))))*(CAT_Procesos!$D$2:$D$1581=IFERROR(VLOOKUP(N459&amp;"*",CAT_Procesos!$D:$D,1,FALSE),"")))),INDEX(CAT_Procesos!$G$2:$G$1581,MATCH(1,(CAT_Procesos!$E$2:$E$1581=O459)*(CAT_Procesos!$F$2:$F$1581=_xlfn.TEXTJOIN(" + ",TRUE,IF((TRIM(P459:S459)="")+(LOWER(TRIM(P459:S459))="(seleccione)"),"",PROPER(TRIM(P459:S459)))))*(CAT_Procesos!$D$2:$D$1581=IFERROR(VLOOKUP(N459&amp;"*",CAT_Procesos!$D:$D,1,FALSE),"")),0)),"(seleccione)"))</f>
        <v>Combinación no existente</v>
      </c>
      <c r="V459" s="55" t="s">
        <v>73</v>
      </c>
      <c r="W459" s="56" t="s">
        <v>73</v>
      </c>
      <c r="X459" s="57" t="str">
        <f t="shared" si="28"/>
        <v/>
      </c>
      <c r="Y459" s="58" t="s">
        <v>73</v>
      </c>
      <c r="Z459" s="57" t="str">
        <f t="shared" si="29"/>
        <v/>
      </c>
      <c r="AA459" s="58" t="s">
        <v>73</v>
      </c>
      <c r="AB459" s="57" t="str">
        <f t="shared" si="30"/>
        <v/>
      </c>
      <c r="AC459" s="58" t="s">
        <v>73</v>
      </c>
      <c r="AD459" s="57" t="str">
        <f t="shared" si="31"/>
        <v/>
      </c>
      <c r="AE459" s="59"/>
      <c r="AF459" s="59"/>
      <c r="AG459" s="59"/>
      <c r="AH459" s="59"/>
      <c r="AI459" s="59" t="s">
        <v>73</v>
      </c>
      <c r="AJ459" s="59"/>
      <c r="AK459" s="59" t="s">
        <v>73</v>
      </c>
      <c r="AL459" s="59"/>
      <c r="AM459" s="59" t="s">
        <v>73</v>
      </c>
      <c r="AN459" s="59"/>
      <c r="AO459" s="59" t="s">
        <v>73</v>
      </c>
      <c r="AP459" s="59"/>
      <c r="AQ459" s="59" t="s">
        <v>73</v>
      </c>
      <c r="AR459" s="59"/>
      <c r="AS459" s="59" t="s">
        <v>72</v>
      </c>
      <c r="AT459" s="59"/>
      <c r="AU459" s="59"/>
      <c r="AV459" s="59"/>
      <c r="AW459" s="59"/>
      <c r="AX459" s="59"/>
      <c r="AY459" s="60" t="str">
        <f>IF('Cálculo MP'!K469="","",'Cálculo MP'!K469)</f>
        <v/>
      </c>
      <c r="AZ459" s="60" t="str">
        <f>IF('Cálculo MP'!L469="","",'Cálculo MP'!L469)</f>
        <v/>
      </c>
      <c r="BA459" s="60" t="str">
        <f>IF('Cálculo MP'!M469="","",'Cálculo MP'!M469)</f>
        <v/>
      </c>
      <c r="BB459" s="60" t="str">
        <f>IF('Cálculo MP'!N469="","",'Cálculo MP'!N469)</f>
        <v/>
      </c>
      <c r="BC459" s="60" t="str">
        <f>IF('Cálculo MP'!O469="","",'Cálculo MP'!O469)</f>
        <v/>
      </c>
      <c r="BD459" s="60" t="str">
        <f>IF('Cálculo MP'!P469="","",'Cálculo MP'!P469)</f>
        <v/>
      </c>
      <c r="BE459" s="60" t="str">
        <f>IF('Cálculo MP'!Q469="","",'Cálculo MP'!Q469)</f>
        <v/>
      </c>
      <c r="BF459" s="60" t="str">
        <f>IF('Cálculo MP'!R469="","",'Cálculo MP'!R469)</f>
        <v/>
      </c>
      <c r="BG459" s="60" t="str">
        <f>IF('Cálculo MP'!S469="","",'Cálculo MP'!S469)</f>
        <v/>
      </c>
      <c r="BH459" s="59"/>
      <c r="BI459" s="59"/>
      <c r="BJ459" s="59"/>
      <c r="BK459" s="59"/>
      <c r="BL459" s="59"/>
      <c r="BM459" s="59"/>
      <c r="BN459" s="59"/>
      <c r="BO459" s="59"/>
    </row>
    <row r="460" spans="1:67" ht="19.5" customHeight="1" x14ac:dyDescent="0.15">
      <c r="A460" s="123" t="s">
        <v>1856</v>
      </c>
      <c r="B460" s="122" t="s">
        <v>1854</v>
      </c>
      <c r="C460" s="49"/>
      <c r="D460" s="48" t="s">
        <v>73</v>
      </c>
      <c r="E460" s="49"/>
      <c r="F460" s="50"/>
      <c r="G460" s="62"/>
      <c r="H460" s="48" t="s">
        <v>72</v>
      </c>
      <c r="I460" s="52">
        <v>1</v>
      </c>
      <c r="J460" s="52"/>
      <c r="K460" s="52" t="s">
        <v>73</v>
      </c>
      <c r="L460" s="52" t="s">
        <v>74</v>
      </c>
      <c r="M460" s="53" t="s">
        <v>942</v>
      </c>
      <c r="N460" s="58" t="s">
        <v>73</v>
      </c>
      <c r="O460" s="48" t="s">
        <v>72</v>
      </c>
      <c r="P460" s="48" t="s">
        <v>73</v>
      </c>
      <c r="Q460" s="54" t="s">
        <v>73</v>
      </c>
      <c r="R460" s="55" t="s">
        <v>73</v>
      </c>
      <c r="S460" s="48" t="s">
        <v>73</v>
      </c>
      <c r="T460" s="130"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8" t="str" cm="1">
        <f t="array" ref="U460">IF(SUMPRODUCT(--((CAT_Procesos!$E$2:$E$1581=O460)*(CAT_Procesos!$F$2:$F$1581=_xlfn.TEXTJOIN(" + ",TRUE,IF((TRIM(P460:S460)="")+(LOWER(TRIM(P460:S460))="(seleccione)"),"",PROPER(TRIM(P460:S460)))))*(CAT_Procesos!$D$2:$D$1581=IFERROR(VLOOKUP(N460&amp;"*",CAT_Procesos!$D:$D,1,FALSE),""))))=0,"Combinación no existente",IF(SUMPRODUCT(((CAT_Procesos!$E$2:$E$1581=O460)*(CAT_Procesos!$F$2:$F$1581=_xlfn.TEXTJOIN(" + ",TRUE,IF((TRIM(P460:S460)="")+(LOWER(TRIM(P460:S460))="(seleccione)"),"",PROPER(TRIM(P460:S460)))))*(CAT_Procesos!$D$2:$D$1581=IFERROR(VLOOKUP(N460&amp;"*",CAT_Procesos!$D:$D,1,FALSE),"")))*(CAT_Procesos!$G$2:$G$1581=INDEX(CAT_Procesos!$G$2:$G$1581,MATCH(1,(CAT_Procesos!$E$2:$E$1581=O460)*(CAT_Procesos!$F$2:$F$1581=_xlfn.TEXTJOIN(" + ",TRUE,IF((TRIM(P460:S460)="")+(LOWER(TRIM(P460:S460))="(seleccione)"),"",PROPER(TRIM(P460:S460)))))*(CAT_Procesos!$D$2:$D$1581=IFERROR(VLOOKUP(N460&amp;"*",CAT_Procesos!$D:$D,1,FALSE),"")),0))))=SUMPRODUCT(--((CAT_Procesos!$E$2:$E$1581=O460)*(CAT_Procesos!$F$2:$F$1581=_xlfn.TEXTJOIN(" + ",TRUE,IF((TRIM(P460:S460)="")+(LOWER(TRIM(P460:S460))="(seleccione)"),"",PROPER(TRIM(P460:S460)))))*(CAT_Procesos!$D$2:$D$1581=IFERROR(VLOOKUP(N460&amp;"*",CAT_Procesos!$D:$D,1,FALSE),"")))),INDEX(CAT_Procesos!$G$2:$G$1581,MATCH(1,(CAT_Procesos!$E$2:$E$1581=O460)*(CAT_Procesos!$F$2:$F$1581=_xlfn.TEXTJOIN(" + ",TRUE,IF((TRIM(P460:S460)="")+(LOWER(TRIM(P460:S460))="(seleccione)"),"",PROPER(TRIM(P460:S460)))))*(CAT_Procesos!$D$2:$D$1581=IFERROR(VLOOKUP(N460&amp;"*",CAT_Procesos!$D:$D,1,FALSE),"")),0)),"(seleccione)"))</f>
        <v>Combinación no existente</v>
      </c>
      <c r="V460" s="55" t="s">
        <v>73</v>
      </c>
      <c r="W460" s="56" t="s">
        <v>73</v>
      </c>
      <c r="X460" s="57" t="str">
        <f t="shared" si="28"/>
        <v/>
      </c>
      <c r="Y460" s="58" t="s">
        <v>73</v>
      </c>
      <c r="Z460" s="57" t="str">
        <f t="shared" si="29"/>
        <v/>
      </c>
      <c r="AA460" s="58" t="s">
        <v>73</v>
      </c>
      <c r="AB460" s="57" t="str">
        <f t="shared" si="30"/>
        <v/>
      </c>
      <c r="AC460" s="58" t="s">
        <v>73</v>
      </c>
      <c r="AD460" s="57" t="str">
        <f t="shared" si="31"/>
        <v/>
      </c>
      <c r="AE460" s="59"/>
      <c r="AF460" s="59"/>
      <c r="AG460" s="59"/>
      <c r="AH460" s="59"/>
      <c r="AI460" s="59" t="s">
        <v>73</v>
      </c>
      <c r="AJ460" s="59"/>
      <c r="AK460" s="59" t="s">
        <v>73</v>
      </c>
      <c r="AL460" s="59"/>
      <c r="AM460" s="59" t="s">
        <v>73</v>
      </c>
      <c r="AN460" s="59"/>
      <c r="AO460" s="59" t="s">
        <v>73</v>
      </c>
      <c r="AP460" s="59"/>
      <c r="AQ460" s="59" t="s">
        <v>73</v>
      </c>
      <c r="AR460" s="59"/>
      <c r="AS460" s="59" t="s">
        <v>72</v>
      </c>
      <c r="AT460" s="59"/>
      <c r="AU460" s="59"/>
      <c r="AV460" s="59"/>
      <c r="AW460" s="59"/>
      <c r="AX460" s="59"/>
      <c r="AY460" s="60" t="str">
        <f>IF('Cálculo MP'!K470="","",'Cálculo MP'!K470)</f>
        <v/>
      </c>
      <c r="AZ460" s="60" t="str">
        <f>IF('Cálculo MP'!L470="","",'Cálculo MP'!L470)</f>
        <v/>
      </c>
      <c r="BA460" s="60" t="str">
        <f>IF('Cálculo MP'!M470="","",'Cálculo MP'!M470)</f>
        <v/>
      </c>
      <c r="BB460" s="60" t="str">
        <f>IF('Cálculo MP'!N470="","",'Cálculo MP'!N470)</f>
        <v/>
      </c>
      <c r="BC460" s="60" t="str">
        <f>IF('Cálculo MP'!O470="","",'Cálculo MP'!O470)</f>
        <v/>
      </c>
      <c r="BD460" s="60" t="str">
        <f>IF('Cálculo MP'!P470="","",'Cálculo MP'!P470)</f>
        <v/>
      </c>
      <c r="BE460" s="60" t="str">
        <f>IF('Cálculo MP'!Q470="","",'Cálculo MP'!Q470)</f>
        <v/>
      </c>
      <c r="BF460" s="60" t="str">
        <f>IF('Cálculo MP'!R470="","",'Cálculo MP'!R470)</f>
        <v/>
      </c>
      <c r="BG460" s="60" t="str">
        <f>IF('Cálculo MP'!S470="","",'Cálculo MP'!S470)</f>
        <v/>
      </c>
      <c r="BH460" s="59"/>
      <c r="BI460" s="59"/>
      <c r="BJ460" s="59"/>
      <c r="BK460" s="59"/>
      <c r="BL460" s="59"/>
      <c r="BM460" s="59"/>
      <c r="BN460" s="59"/>
      <c r="BO460" s="59"/>
    </row>
    <row r="461" spans="1:67" ht="19.5" customHeight="1" x14ac:dyDescent="0.15">
      <c r="A461" s="123" t="s">
        <v>1856</v>
      </c>
      <c r="B461" s="122" t="s">
        <v>1854</v>
      </c>
      <c r="C461" s="49"/>
      <c r="D461" s="48" t="s">
        <v>73</v>
      </c>
      <c r="E461" s="49"/>
      <c r="F461" s="50"/>
      <c r="G461" s="62"/>
      <c r="H461" s="48" t="s">
        <v>72</v>
      </c>
      <c r="I461" s="52">
        <v>1</v>
      </c>
      <c r="J461" s="52"/>
      <c r="K461" s="52" t="s">
        <v>73</v>
      </c>
      <c r="L461" s="52" t="s">
        <v>74</v>
      </c>
      <c r="M461" s="53" t="s">
        <v>942</v>
      </c>
      <c r="N461" s="58" t="s">
        <v>73</v>
      </c>
      <c r="O461" s="48" t="s">
        <v>72</v>
      </c>
      <c r="P461" s="48" t="s">
        <v>73</v>
      </c>
      <c r="Q461" s="54" t="s">
        <v>73</v>
      </c>
      <c r="R461" s="55" t="s">
        <v>73</v>
      </c>
      <c r="S461" s="48" t="s">
        <v>73</v>
      </c>
      <c r="T461" s="130"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8" t="str" cm="1">
        <f t="array" ref="U461">IF(SUMPRODUCT(--((CAT_Procesos!$E$2:$E$1581=O461)*(CAT_Procesos!$F$2:$F$1581=_xlfn.TEXTJOIN(" + ",TRUE,IF((TRIM(P461:S461)="")+(LOWER(TRIM(P461:S461))="(seleccione)"),"",PROPER(TRIM(P461:S461)))))*(CAT_Procesos!$D$2:$D$1581=IFERROR(VLOOKUP(N461&amp;"*",CAT_Procesos!$D:$D,1,FALSE),""))))=0,"Combinación no existente",IF(SUMPRODUCT(((CAT_Procesos!$E$2:$E$1581=O461)*(CAT_Procesos!$F$2:$F$1581=_xlfn.TEXTJOIN(" + ",TRUE,IF((TRIM(P461:S461)="")+(LOWER(TRIM(P461:S461))="(seleccione)"),"",PROPER(TRIM(P461:S461)))))*(CAT_Procesos!$D$2:$D$1581=IFERROR(VLOOKUP(N461&amp;"*",CAT_Procesos!$D:$D,1,FALSE),"")))*(CAT_Procesos!$G$2:$G$1581=INDEX(CAT_Procesos!$G$2:$G$1581,MATCH(1,(CAT_Procesos!$E$2:$E$1581=O461)*(CAT_Procesos!$F$2:$F$1581=_xlfn.TEXTJOIN(" + ",TRUE,IF((TRIM(P461:S461)="")+(LOWER(TRIM(P461:S461))="(seleccione)"),"",PROPER(TRIM(P461:S461)))))*(CAT_Procesos!$D$2:$D$1581=IFERROR(VLOOKUP(N461&amp;"*",CAT_Procesos!$D:$D,1,FALSE),"")),0))))=SUMPRODUCT(--((CAT_Procesos!$E$2:$E$1581=O461)*(CAT_Procesos!$F$2:$F$1581=_xlfn.TEXTJOIN(" + ",TRUE,IF((TRIM(P461:S461)="")+(LOWER(TRIM(P461:S461))="(seleccione)"),"",PROPER(TRIM(P461:S461)))))*(CAT_Procesos!$D$2:$D$1581=IFERROR(VLOOKUP(N461&amp;"*",CAT_Procesos!$D:$D,1,FALSE),"")))),INDEX(CAT_Procesos!$G$2:$G$1581,MATCH(1,(CAT_Procesos!$E$2:$E$1581=O461)*(CAT_Procesos!$F$2:$F$1581=_xlfn.TEXTJOIN(" + ",TRUE,IF((TRIM(P461:S461)="")+(LOWER(TRIM(P461:S461))="(seleccione)"),"",PROPER(TRIM(P461:S461)))))*(CAT_Procesos!$D$2:$D$1581=IFERROR(VLOOKUP(N461&amp;"*",CAT_Procesos!$D:$D,1,FALSE),"")),0)),"(seleccione)"))</f>
        <v>Combinación no existente</v>
      </c>
      <c r="V461" s="55" t="s">
        <v>73</v>
      </c>
      <c r="W461" s="56" t="s">
        <v>73</v>
      </c>
      <c r="X461" s="57" t="str">
        <f t="shared" si="28"/>
        <v/>
      </c>
      <c r="Y461" s="58" t="s">
        <v>73</v>
      </c>
      <c r="Z461" s="57" t="str">
        <f t="shared" si="29"/>
        <v/>
      </c>
      <c r="AA461" s="58" t="s">
        <v>73</v>
      </c>
      <c r="AB461" s="57" t="str">
        <f t="shared" si="30"/>
        <v/>
      </c>
      <c r="AC461" s="58" t="s">
        <v>73</v>
      </c>
      <c r="AD461" s="57" t="str">
        <f t="shared" si="31"/>
        <v/>
      </c>
      <c r="AE461" s="59"/>
      <c r="AF461" s="59"/>
      <c r="AG461" s="59"/>
      <c r="AH461" s="59"/>
      <c r="AI461" s="59" t="s">
        <v>73</v>
      </c>
      <c r="AJ461" s="59"/>
      <c r="AK461" s="59" t="s">
        <v>73</v>
      </c>
      <c r="AL461" s="59"/>
      <c r="AM461" s="59" t="s">
        <v>73</v>
      </c>
      <c r="AN461" s="59"/>
      <c r="AO461" s="59" t="s">
        <v>73</v>
      </c>
      <c r="AP461" s="59"/>
      <c r="AQ461" s="59" t="s">
        <v>73</v>
      </c>
      <c r="AR461" s="59"/>
      <c r="AS461" s="59" t="s">
        <v>72</v>
      </c>
      <c r="AT461" s="59"/>
      <c r="AU461" s="59"/>
      <c r="AV461" s="59"/>
      <c r="AW461" s="59"/>
      <c r="AX461" s="59"/>
      <c r="AY461" s="60" t="str">
        <f>IF('Cálculo MP'!K471="","",'Cálculo MP'!K471)</f>
        <v/>
      </c>
      <c r="AZ461" s="60" t="str">
        <f>IF('Cálculo MP'!L471="","",'Cálculo MP'!L471)</f>
        <v/>
      </c>
      <c r="BA461" s="60" t="str">
        <f>IF('Cálculo MP'!M471="","",'Cálculo MP'!M471)</f>
        <v/>
      </c>
      <c r="BB461" s="60" t="str">
        <f>IF('Cálculo MP'!N471="","",'Cálculo MP'!N471)</f>
        <v/>
      </c>
      <c r="BC461" s="60" t="str">
        <f>IF('Cálculo MP'!O471="","",'Cálculo MP'!O471)</f>
        <v/>
      </c>
      <c r="BD461" s="60" t="str">
        <f>IF('Cálculo MP'!P471="","",'Cálculo MP'!P471)</f>
        <v/>
      </c>
      <c r="BE461" s="60" t="str">
        <f>IF('Cálculo MP'!Q471="","",'Cálculo MP'!Q471)</f>
        <v/>
      </c>
      <c r="BF461" s="60" t="str">
        <f>IF('Cálculo MP'!R471="","",'Cálculo MP'!R471)</f>
        <v/>
      </c>
      <c r="BG461" s="60" t="str">
        <f>IF('Cálculo MP'!S471="","",'Cálculo MP'!S471)</f>
        <v/>
      </c>
      <c r="BH461" s="59"/>
      <c r="BI461" s="59"/>
      <c r="BJ461" s="59"/>
      <c r="BK461" s="59"/>
      <c r="BL461" s="59"/>
      <c r="BM461" s="59"/>
      <c r="BN461" s="59"/>
      <c r="BO461" s="59"/>
    </row>
    <row r="462" spans="1:67" ht="19.5" customHeight="1" x14ac:dyDescent="0.15">
      <c r="A462" s="123" t="s">
        <v>1856</v>
      </c>
      <c r="B462" s="122" t="s">
        <v>1854</v>
      </c>
      <c r="C462" s="49"/>
      <c r="D462" s="48" t="s">
        <v>73</v>
      </c>
      <c r="E462" s="49"/>
      <c r="F462" s="50"/>
      <c r="G462" s="62"/>
      <c r="H462" s="48" t="s">
        <v>72</v>
      </c>
      <c r="I462" s="52">
        <v>1</v>
      </c>
      <c r="J462" s="52"/>
      <c r="K462" s="52" t="s">
        <v>73</v>
      </c>
      <c r="L462" s="52" t="s">
        <v>74</v>
      </c>
      <c r="M462" s="53" t="s">
        <v>942</v>
      </c>
      <c r="N462" s="58" t="s">
        <v>73</v>
      </c>
      <c r="O462" s="48" t="s">
        <v>72</v>
      </c>
      <c r="P462" s="48" t="s">
        <v>73</v>
      </c>
      <c r="Q462" s="54" t="s">
        <v>73</v>
      </c>
      <c r="R462" s="55" t="s">
        <v>73</v>
      </c>
      <c r="S462" s="48" t="s">
        <v>73</v>
      </c>
      <c r="T462" s="130"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8" t="str" cm="1">
        <f t="array" ref="U462">IF(SUMPRODUCT(--((CAT_Procesos!$E$2:$E$1581=O462)*(CAT_Procesos!$F$2:$F$1581=_xlfn.TEXTJOIN(" + ",TRUE,IF((TRIM(P462:S462)="")+(LOWER(TRIM(P462:S462))="(seleccione)"),"",PROPER(TRIM(P462:S462)))))*(CAT_Procesos!$D$2:$D$1581=IFERROR(VLOOKUP(N462&amp;"*",CAT_Procesos!$D:$D,1,FALSE),""))))=0,"Combinación no existente",IF(SUMPRODUCT(((CAT_Procesos!$E$2:$E$1581=O462)*(CAT_Procesos!$F$2:$F$1581=_xlfn.TEXTJOIN(" + ",TRUE,IF((TRIM(P462:S462)="")+(LOWER(TRIM(P462:S462))="(seleccione)"),"",PROPER(TRIM(P462:S462)))))*(CAT_Procesos!$D$2:$D$1581=IFERROR(VLOOKUP(N462&amp;"*",CAT_Procesos!$D:$D,1,FALSE),"")))*(CAT_Procesos!$G$2:$G$1581=INDEX(CAT_Procesos!$G$2:$G$1581,MATCH(1,(CAT_Procesos!$E$2:$E$1581=O462)*(CAT_Procesos!$F$2:$F$1581=_xlfn.TEXTJOIN(" + ",TRUE,IF((TRIM(P462:S462)="")+(LOWER(TRIM(P462:S462))="(seleccione)"),"",PROPER(TRIM(P462:S462)))))*(CAT_Procesos!$D$2:$D$1581=IFERROR(VLOOKUP(N462&amp;"*",CAT_Procesos!$D:$D,1,FALSE),"")),0))))=SUMPRODUCT(--((CAT_Procesos!$E$2:$E$1581=O462)*(CAT_Procesos!$F$2:$F$1581=_xlfn.TEXTJOIN(" + ",TRUE,IF((TRIM(P462:S462)="")+(LOWER(TRIM(P462:S462))="(seleccione)"),"",PROPER(TRIM(P462:S462)))))*(CAT_Procesos!$D$2:$D$1581=IFERROR(VLOOKUP(N462&amp;"*",CAT_Procesos!$D:$D,1,FALSE),"")))),INDEX(CAT_Procesos!$G$2:$G$1581,MATCH(1,(CAT_Procesos!$E$2:$E$1581=O462)*(CAT_Procesos!$F$2:$F$1581=_xlfn.TEXTJOIN(" + ",TRUE,IF((TRIM(P462:S462)="")+(LOWER(TRIM(P462:S462))="(seleccione)"),"",PROPER(TRIM(P462:S462)))))*(CAT_Procesos!$D$2:$D$1581=IFERROR(VLOOKUP(N462&amp;"*",CAT_Procesos!$D:$D,1,FALSE),"")),0)),"(seleccione)"))</f>
        <v>Combinación no existente</v>
      </c>
      <c r="V462" s="55" t="s">
        <v>73</v>
      </c>
      <c r="W462" s="56" t="s">
        <v>73</v>
      </c>
      <c r="X462" s="57" t="str">
        <f t="shared" si="28"/>
        <v/>
      </c>
      <c r="Y462" s="58" t="s">
        <v>73</v>
      </c>
      <c r="Z462" s="57" t="str">
        <f t="shared" si="29"/>
        <v/>
      </c>
      <c r="AA462" s="58" t="s">
        <v>73</v>
      </c>
      <c r="AB462" s="57" t="str">
        <f t="shared" si="30"/>
        <v/>
      </c>
      <c r="AC462" s="58" t="s">
        <v>73</v>
      </c>
      <c r="AD462" s="57" t="str">
        <f t="shared" si="31"/>
        <v/>
      </c>
      <c r="AE462" s="59"/>
      <c r="AF462" s="59"/>
      <c r="AG462" s="59"/>
      <c r="AH462" s="59"/>
      <c r="AI462" s="59" t="s">
        <v>73</v>
      </c>
      <c r="AJ462" s="59"/>
      <c r="AK462" s="59" t="s">
        <v>73</v>
      </c>
      <c r="AL462" s="59"/>
      <c r="AM462" s="59" t="s">
        <v>73</v>
      </c>
      <c r="AN462" s="59"/>
      <c r="AO462" s="59" t="s">
        <v>73</v>
      </c>
      <c r="AP462" s="59"/>
      <c r="AQ462" s="59" t="s">
        <v>73</v>
      </c>
      <c r="AR462" s="59"/>
      <c r="AS462" s="59" t="s">
        <v>72</v>
      </c>
      <c r="AT462" s="59"/>
      <c r="AU462" s="59"/>
      <c r="AV462" s="59"/>
      <c r="AW462" s="59"/>
      <c r="AX462" s="59"/>
      <c r="AY462" s="60" t="str">
        <f>IF('Cálculo MP'!K472="","",'Cálculo MP'!K472)</f>
        <v/>
      </c>
      <c r="AZ462" s="60" t="str">
        <f>IF('Cálculo MP'!L472="","",'Cálculo MP'!L472)</f>
        <v/>
      </c>
      <c r="BA462" s="60" t="str">
        <f>IF('Cálculo MP'!M472="","",'Cálculo MP'!M472)</f>
        <v/>
      </c>
      <c r="BB462" s="60" t="str">
        <f>IF('Cálculo MP'!N472="","",'Cálculo MP'!N472)</f>
        <v/>
      </c>
      <c r="BC462" s="60" t="str">
        <f>IF('Cálculo MP'!O472="","",'Cálculo MP'!O472)</f>
        <v/>
      </c>
      <c r="BD462" s="60" t="str">
        <f>IF('Cálculo MP'!P472="","",'Cálculo MP'!P472)</f>
        <v/>
      </c>
      <c r="BE462" s="60" t="str">
        <f>IF('Cálculo MP'!Q472="","",'Cálculo MP'!Q472)</f>
        <v/>
      </c>
      <c r="BF462" s="60" t="str">
        <f>IF('Cálculo MP'!R472="","",'Cálculo MP'!R472)</f>
        <v/>
      </c>
      <c r="BG462" s="60" t="str">
        <f>IF('Cálculo MP'!S472="","",'Cálculo MP'!S472)</f>
        <v/>
      </c>
      <c r="BH462" s="59"/>
      <c r="BI462" s="59"/>
      <c r="BJ462" s="59"/>
      <c r="BK462" s="59"/>
      <c r="BL462" s="59"/>
      <c r="BM462" s="59"/>
      <c r="BN462" s="59"/>
      <c r="BO462" s="59"/>
    </row>
    <row r="463" spans="1:67" ht="19.5" customHeight="1" x14ac:dyDescent="0.15">
      <c r="A463" s="123" t="s">
        <v>1856</v>
      </c>
      <c r="B463" s="122" t="s">
        <v>1854</v>
      </c>
      <c r="C463" s="49"/>
      <c r="D463" s="48" t="s">
        <v>73</v>
      </c>
      <c r="E463" s="49"/>
      <c r="F463" s="50"/>
      <c r="G463" s="62"/>
      <c r="H463" s="48" t="s">
        <v>72</v>
      </c>
      <c r="I463" s="52">
        <v>1</v>
      </c>
      <c r="J463" s="52"/>
      <c r="K463" s="52" t="s">
        <v>73</v>
      </c>
      <c r="L463" s="52" t="s">
        <v>74</v>
      </c>
      <c r="M463" s="53" t="s">
        <v>942</v>
      </c>
      <c r="N463" s="58" t="s">
        <v>73</v>
      </c>
      <c r="O463" s="48" t="s">
        <v>72</v>
      </c>
      <c r="P463" s="48" t="s">
        <v>73</v>
      </c>
      <c r="Q463" s="54" t="s">
        <v>73</v>
      </c>
      <c r="R463" s="55" t="s">
        <v>73</v>
      </c>
      <c r="S463" s="48" t="s">
        <v>73</v>
      </c>
      <c r="T463" s="130"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8" t="str" cm="1">
        <f t="array" ref="U463">IF(SUMPRODUCT(--((CAT_Procesos!$E$2:$E$1581=O463)*(CAT_Procesos!$F$2:$F$1581=_xlfn.TEXTJOIN(" + ",TRUE,IF((TRIM(P463:S463)="")+(LOWER(TRIM(P463:S463))="(seleccione)"),"",PROPER(TRIM(P463:S463)))))*(CAT_Procesos!$D$2:$D$1581=IFERROR(VLOOKUP(N463&amp;"*",CAT_Procesos!$D:$D,1,FALSE),""))))=0,"Combinación no existente",IF(SUMPRODUCT(((CAT_Procesos!$E$2:$E$1581=O463)*(CAT_Procesos!$F$2:$F$1581=_xlfn.TEXTJOIN(" + ",TRUE,IF((TRIM(P463:S463)="")+(LOWER(TRIM(P463:S463))="(seleccione)"),"",PROPER(TRIM(P463:S463)))))*(CAT_Procesos!$D$2:$D$1581=IFERROR(VLOOKUP(N463&amp;"*",CAT_Procesos!$D:$D,1,FALSE),"")))*(CAT_Procesos!$G$2:$G$1581=INDEX(CAT_Procesos!$G$2:$G$1581,MATCH(1,(CAT_Procesos!$E$2:$E$1581=O463)*(CAT_Procesos!$F$2:$F$1581=_xlfn.TEXTJOIN(" + ",TRUE,IF((TRIM(P463:S463)="")+(LOWER(TRIM(P463:S463))="(seleccione)"),"",PROPER(TRIM(P463:S463)))))*(CAT_Procesos!$D$2:$D$1581=IFERROR(VLOOKUP(N463&amp;"*",CAT_Procesos!$D:$D,1,FALSE),"")),0))))=SUMPRODUCT(--((CAT_Procesos!$E$2:$E$1581=O463)*(CAT_Procesos!$F$2:$F$1581=_xlfn.TEXTJOIN(" + ",TRUE,IF((TRIM(P463:S463)="")+(LOWER(TRIM(P463:S463))="(seleccione)"),"",PROPER(TRIM(P463:S463)))))*(CAT_Procesos!$D$2:$D$1581=IFERROR(VLOOKUP(N463&amp;"*",CAT_Procesos!$D:$D,1,FALSE),"")))),INDEX(CAT_Procesos!$G$2:$G$1581,MATCH(1,(CAT_Procesos!$E$2:$E$1581=O463)*(CAT_Procesos!$F$2:$F$1581=_xlfn.TEXTJOIN(" + ",TRUE,IF((TRIM(P463:S463)="")+(LOWER(TRIM(P463:S463))="(seleccione)"),"",PROPER(TRIM(P463:S463)))))*(CAT_Procesos!$D$2:$D$1581=IFERROR(VLOOKUP(N463&amp;"*",CAT_Procesos!$D:$D,1,FALSE),"")),0)),"(seleccione)"))</f>
        <v>Combinación no existente</v>
      </c>
      <c r="V463" s="55" t="s">
        <v>73</v>
      </c>
      <c r="W463" s="56" t="s">
        <v>73</v>
      </c>
      <c r="X463" s="57" t="str">
        <f t="shared" si="28"/>
        <v/>
      </c>
      <c r="Y463" s="58" t="s">
        <v>73</v>
      </c>
      <c r="Z463" s="57" t="str">
        <f t="shared" si="29"/>
        <v/>
      </c>
      <c r="AA463" s="58" t="s">
        <v>73</v>
      </c>
      <c r="AB463" s="57" t="str">
        <f t="shared" si="30"/>
        <v/>
      </c>
      <c r="AC463" s="58" t="s">
        <v>73</v>
      </c>
      <c r="AD463" s="57" t="str">
        <f t="shared" si="31"/>
        <v/>
      </c>
      <c r="AE463" s="59"/>
      <c r="AF463" s="59"/>
      <c r="AG463" s="59"/>
      <c r="AH463" s="59"/>
      <c r="AI463" s="59" t="s">
        <v>73</v>
      </c>
      <c r="AJ463" s="59"/>
      <c r="AK463" s="59" t="s">
        <v>73</v>
      </c>
      <c r="AL463" s="59"/>
      <c r="AM463" s="59" t="s">
        <v>73</v>
      </c>
      <c r="AN463" s="59"/>
      <c r="AO463" s="59" t="s">
        <v>73</v>
      </c>
      <c r="AP463" s="59"/>
      <c r="AQ463" s="59" t="s">
        <v>73</v>
      </c>
      <c r="AR463" s="59"/>
      <c r="AS463" s="59" t="s">
        <v>72</v>
      </c>
      <c r="AT463" s="59"/>
      <c r="AU463" s="59"/>
      <c r="AV463" s="59"/>
      <c r="AW463" s="59"/>
      <c r="AX463" s="59"/>
      <c r="AY463" s="60" t="str">
        <f>IF('Cálculo MP'!K473="","",'Cálculo MP'!K473)</f>
        <v/>
      </c>
      <c r="AZ463" s="60" t="str">
        <f>IF('Cálculo MP'!L473="","",'Cálculo MP'!L473)</f>
        <v/>
      </c>
      <c r="BA463" s="60" t="str">
        <f>IF('Cálculo MP'!M473="","",'Cálculo MP'!M473)</f>
        <v/>
      </c>
      <c r="BB463" s="60" t="str">
        <f>IF('Cálculo MP'!N473="","",'Cálculo MP'!N473)</f>
        <v/>
      </c>
      <c r="BC463" s="60" t="str">
        <f>IF('Cálculo MP'!O473="","",'Cálculo MP'!O473)</f>
        <v/>
      </c>
      <c r="BD463" s="60" t="str">
        <f>IF('Cálculo MP'!P473="","",'Cálculo MP'!P473)</f>
        <v/>
      </c>
      <c r="BE463" s="60" t="str">
        <f>IF('Cálculo MP'!Q473="","",'Cálculo MP'!Q473)</f>
        <v/>
      </c>
      <c r="BF463" s="60" t="str">
        <f>IF('Cálculo MP'!R473="","",'Cálculo MP'!R473)</f>
        <v/>
      </c>
      <c r="BG463" s="60" t="str">
        <f>IF('Cálculo MP'!S473="","",'Cálculo MP'!S473)</f>
        <v/>
      </c>
      <c r="BH463" s="59"/>
      <c r="BI463" s="59"/>
      <c r="BJ463" s="59"/>
      <c r="BK463" s="59"/>
      <c r="BL463" s="59"/>
      <c r="BM463" s="59"/>
      <c r="BN463" s="59"/>
      <c r="BO463" s="59"/>
    </row>
    <row r="464" spans="1:67" ht="19.5" customHeight="1" x14ac:dyDescent="0.15">
      <c r="A464" s="123" t="s">
        <v>1856</v>
      </c>
      <c r="B464" s="122" t="s">
        <v>1854</v>
      </c>
      <c r="C464" s="49"/>
      <c r="D464" s="48" t="s">
        <v>73</v>
      </c>
      <c r="E464" s="49"/>
      <c r="F464" s="50"/>
      <c r="G464" s="62"/>
      <c r="H464" s="48" t="s">
        <v>72</v>
      </c>
      <c r="I464" s="52">
        <v>1</v>
      </c>
      <c r="J464" s="52"/>
      <c r="K464" s="52" t="s">
        <v>73</v>
      </c>
      <c r="L464" s="52" t="s">
        <v>74</v>
      </c>
      <c r="M464" s="53" t="s">
        <v>942</v>
      </c>
      <c r="N464" s="58" t="s">
        <v>73</v>
      </c>
      <c r="O464" s="48" t="s">
        <v>72</v>
      </c>
      <c r="P464" s="48" t="s">
        <v>73</v>
      </c>
      <c r="Q464" s="54" t="s">
        <v>73</v>
      </c>
      <c r="R464" s="55" t="s">
        <v>73</v>
      </c>
      <c r="S464" s="48" t="s">
        <v>73</v>
      </c>
      <c r="T464" s="130"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8" t="str" cm="1">
        <f t="array" ref="U464">IF(SUMPRODUCT(--((CAT_Procesos!$E$2:$E$1581=O464)*(CAT_Procesos!$F$2:$F$1581=_xlfn.TEXTJOIN(" + ",TRUE,IF((TRIM(P464:S464)="")+(LOWER(TRIM(P464:S464))="(seleccione)"),"",PROPER(TRIM(P464:S464)))))*(CAT_Procesos!$D$2:$D$1581=IFERROR(VLOOKUP(N464&amp;"*",CAT_Procesos!$D:$D,1,FALSE),""))))=0,"Combinación no existente",IF(SUMPRODUCT(((CAT_Procesos!$E$2:$E$1581=O464)*(CAT_Procesos!$F$2:$F$1581=_xlfn.TEXTJOIN(" + ",TRUE,IF((TRIM(P464:S464)="")+(LOWER(TRIM(P464:S464))="(seleccione)"),"",PROPER(TRIM(P464:S464)))))*(CAT_Procesos!$D$2:$D$1581=IFERROR(VLOOKUP(N464&amp;"*",CAT_Procesos!$D:$D,1,FALSE),"")))*(CAT_Procesos!$G$2:$G$1581=INDEX(CAT_Procesos!$G$2:$G$1581,MATCH(1,(CAT_Procesos!$E$2:$E$1581=O464)*(CAT_Procesos!$F$2:$F$1581=_xlfn.TEXTJOIN(" + ",TRUE,IF((TRIM(P464:S464)="")+(LOWER(TRIM(P464:S464))="(seleccione)"),"",PROPER(TRIM(P464:S464)))))*(CAT_Procesos!$D$2:$D$1581=IFERROR(VLOOKUP(N464&amp;"*",CAT_Procesos!$D:$D,1,FALSE),"")),0))))=SUMPRODUCT(--((CAT_Procesos!$E$2:$E$1581=O464)*(CAT_Procesos!$F$2:$F$1581=_xlfn.TEXTJOIN(" + ",TRUE,IF((TRIM(P464:S464)="")+(LOWER(TRIM(P464:S464))="(seleccione)"),"",PROPER(TRIM(P464:S464)))))*(CAT_Procesos!$D$2:$D$1581=IFERROR(VLOOKUP(N464&amp;"*",CAT_Procesos!$D:$D,1,FALSE),"")))),INDEX(CAT_Procesos!$G$2:$G$1581,MATCH(1,(CAT_Procesos!$E$2:$E$1581=O464)*(CAT_Procesos!$F$2:$F$1581=_xlfn.TEXTJOIN(" + ",TRUE,IF((TRIM(P464:S464)="")+(LOWER(TRIM(P464:S464))="(seleccione)"),"",PROPER(TRIM(P464:S464)))))*(CAT_Procesos!$D$2:$D$1581=IFERROR(VLOOKUP(N464&amp;"*",CAT_Procesos!$D:$D,1,FALSE),"")),0)),"(seleccione)"))</f>
        <v>Combinación no existente</v>
      </c>
      <c r="V464" s="55" t="s">
        <v>73</v>
      </c>
      <c r="W464" s="56" t="s">
        <v>73</v>
      </c>
      <c r="X464" s="57" t="str">
        <f t="shared" si="28"/>
        <v/>
      </c>
      <c r="Y464" s="58" t="s">
        <v>73</v>
      </c>
      <c r="Z464" s="57" t="str">
        <f t="shared" si="29"/>
        <v/>
      </c>
      <c r="AA464" s="58" t="s">
        <v>73</v>
      </c>
      <c r="AB464" s="57" t="str">
        <f t="shared" si="30"/>
        <v/>
      </c>
      <c r="AC464" s="58" t="s">
        <v>73</v>
      </c>
      <c r="AD464" s="57" t="str">
        <f t="shared" si="31"/>
        <v/>
      </c>
      <c r="AE464" s="59"/>
      <c r="AF464" s="59"/>
      <c r="AG464" s="59"/>
      <c r="AH464" s="59"/>
      <c r="AI464" s="59" t="s">
        <v>73</v>
      </c>
      <c r="AJ464" s="59"/>
      <c r="AK464" s="59" t="s">
        <v>73</v>
      </c>
      <c r="AL464" s="59"/>
      <c r="AM464" s="59" t="s">
        <v>73</v>
      </c>
      <c r="AN464" s="59"/>
      <c r="AO464" s="59" t="s">
        <v>73</v>
      </c>
      <c r="AP464" s="59"/>
      <c r="AQ464" s="59" t="s">
        <v>73</v>
      </c>
      <c r="AR464" s="59"/>
      <c r="AS464" s="59" t="s">
        <v>72</v>
      </c>
      <c r="AT464" s="59"/>
      <c r="AU464" s="59"/>
      <c r="AV464" s="59"/>
      <c r="AW464" s="59"/>
      <c r="AX464" s="59"/>
      <c r="AY464" s="60" t="str">
        <f>IF('Cálculo MP'!K474="","",'Cálculo MP'!K474)</f>
        <v/>
      </c>
      <c r="AZ464" s="60" t="str">
        <f>IF('Cálculo MP'!L474="","",'Cálculo MP'!L474)</f>
        <v/>
      </c>
      <c r="BA464" s="60" t="str">
        <f>IF('Cálculo MP'!M474="","",'Cálculo MP'!M474)</f>
        <v/>
      </c>
      <c r="BB464" s="60" t="str">
        <f>IF('Cálculo MP'!N474="","",'Cálculo MP'!N474)</f>
        <v/>
      </c>
      <c r="BC464" s="60" t="str">
        <f>IF('Cálculo MP'!O474="","",'Cálculo MP'!O474)</f>
        <v/>
      </c>
      <c r="BD464" s="60" t="str">
        <f>IF('Cálculo MP'!P474="","",'Cálculo MP'!P474)</f>
        <v/>
      </c>
      <c r="BE464" s="60" t="str">
        <f>IF('Cálculo MP'!Q474="","",'Cálculo MP'!Q474)</f>
        <v/>
      </c>
      <c r="BF464" s="60" t="str">
        <f>IF('Cálculo MP'!R474="","",'Cálculo MP'!R474)</f>
        <v/>
      </c>
      <c r="BG464" s="60" t="str">
        <f>IF('Cálculo MP'!S474="","",'Cálculo MP'!S474)</f>
        <v/>
      </c>
      <c r="BH464" s="59"/>
      <c r="BI464" s="59"/>
      <c r="BJ464" s="59"/>
      <c r="BK464" s="59"/>
      <c r="BL464" s="59"/>
      <c r="BM464" s="59"/>
      <c r="BN464" s="59"/>
      <c r="BO464" s="59"/>
    </row>
    <row r="465" spans="1:67" ht="19.5" customHeight="1" x14ac:dyDescent="0.15">
      <c r="A465" s="123" t="s">
        <v>1856</v>
      </c>
      <c r="B465" s="122" t="s">
        <v>1854</v>
      </c>
      <c r="C465" s="49"/>
      <c r="D465" s="48" t="s">
        <v>73</v>
      </c>
      <c r="E465" s="49"/>
      <c r="F465" s="50"/>
      <c r="G465" s="62"/>
      <c r="H465" s="48" t="s">
        <v>72</v>
      </c>
      <c r="I465" s="52">
        <v>1</v>
      </c>
      <c r="J465" s="52"/>
      <c r="K465" s="52" t="s">
        <v>73</v>
      </c>
      <c r="L465" s="52" t="s">
        <v>74</v>
      </c>
      <c r="M465" s="53" t="s">
        <v>942</v>
      </c>
      <c r="N465" s="58" t="s">
        <v>73</v>
      </c>
      <c r="O465" s="48" t="s">
        <v>72</v>
      </c>
      <c r="P465" s="48" t="s">
        <v>73</v>
      </c>
      <c r="Q465" s="54" t="s">
        <v>73</v>
      </c>
      <c r="R465" s="55" t="s">
        <v>73</v>
      </c>
      <c r="S465" s="48" t="s">
        <v>73</v>
      </c>
      <c r="T465" s="130"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8" t="str" cm="1">
        <f t="array" ref="U465">IF(SUMPRODUCT(--((CAT_Procesos!$E$2:$E$1581=O465)*(CAT_Procesos!$F$2:$F$1581=_xlfn.TEXTJOIN(" + ",TRUE,IF((TRIM(P465:S465)="")+(LOWER(TRIM(P465:S465))="(seleccione)"),"",PROPER(TRIM(P465:S465)))))*(CAT_Procesos!$D$2:$D$1581=IFERROR(VLOOKUP(N465&amp;"*",CAT_Procesos!$D:$D,1,FALSE),""))))=0,"Combinación no existente",IF(SUMPRODUCT(((CAT_Procesos!$E$2:$E$1581=O465)*(CAT_Procesos!$F$2:$F$1581=_xlfn.TEXTJOIN(" + ",TRUE,IF((TRIM(P465:S465)="")+(LOWER(TRIM(P465:S465))="(seleccione)"),"",PROPER(TRIM(P465:S465)))))*(CAT_Procesos!$D$2:$D$1581=IFERROR(VLOOKUP(N465&amp;"*",CAT_Procesos!$D:$D,1,FALSE),"")))*(CAT_Procesos!$G$2:$G$1581=INDEX(CAT_Procesos!$G$2:$G$1581,MATCH(1,(CAT_Procesos!$E$2:$E$1581=O465)*(CAT_Procesos!$F$2:$F$1581=_xlfn.TEXTJOIN(" + ",TRUE,IF((TRIM(P465:S465)="")+(LOWER(TRIM(P465:S465))="(seleccione)"),"",PROPER(TRIM(P465:S465)))))*(CAT_Procesos!$D$2:$D$1581=IFERROR(VLOOKUP(N465&amp;"*",CAT_Procesos!$D:$D,1,FALSE),"")),0))))=SUMPRODUCT(--((CAT_Procesos!$E$2:$E$1581=O465)*(CAT_Procesos!$F$2:$F$1581=_xlfn.TEXTJOIN(" + ",TRUE,IF((TRIM(P465:S465)="")+(LOWER(TRIM(P465:S465))="(seleccione)"),"",PROPER(TRIM(P465:S465)))))*(CAT_Procesos!$D$2:$D$1581=IFERROR(VLOOKUP(N465&amp;"*",CAT_Procesos!$D:$D,1,FALSE),"")))),INDEX(CAT_Procesos!$G$2:$G$1581,MATCH(1,(CAT_Procesos!$E$2:$E$1581=O465)*(CAT_Procesos!$F$2:$F$1581=_xlfn.TEXTJOIN(" + ",TRUE,IF((TRIM(P465:S465)="")+(LOWER(TRIM(P465:S465))="(seleccione)"),"",PROPER(TRIM(P465:S465)))))*(CAT_Procesos!$D$2:$D$1581=IFERROR(VLOOKUP(N465&amp;"*",CAT_Procesos!$D:$D,1,FALSE),"")),0)),"(seleccione)"))</f>
        <v>Combinación no existente</v>
      </c>
      <c r="V465" s="55" t="s">
        <v>73</v>
      </c>
      <c r="W465" s="56" t="s">
        <v>73</v>
      </c>
      <c r="X465" s="57" t="str">
        <f t="shared" si="28"/>
        <v/>
      </c>
      <c r="Y465" s="58" t="s">
        <v>73</v>
      </c>
      <c r="Z465" s="57" t="str">
        <f t="shared" si="29"/>
        <v/>
      </c>
      <c r="AA465" s="58" t="s">
        <v>73</v>
      </c>
      <c r="AB465" s="57" t="str">
        <f t="shared" si="30"/>
        <v/>
      </c>
      <c r="AC465" s="58" t="s">
        <v>73</v>
      </c>
      <c r="AD465" s="57" t="str">
        <f t="shared" si="31"/>
        <v/>
      </c>
      <c r="AE465" s="59"/>
      <c r="AF465" s="59"/>
      <c r="AG465" s="59"/>
      <c r="AH465" s="59"/>
      <c r="AI465" s="59" t="s">
        <v>73</v>
      </c>
      <c r="AJ465" s="59"/>
      <c r="AK465" s="59" t="s">
        <v>73</v>
      </c>
      <c r="AL465" s="59"/>
      <c r="AM465" s="59" t="s">
        <v>73</v>
      </c>
      <c r="AN465" s="59"/>
      <c r="AO465" s="59" t="s">
        <v>73</v>
      </c>
      <c r="AP465" s="59"/>
      <c r="AQ465" s="59" t="s">
        <v>73</v>
      </c>
      <c r="AR465" s="59"/>
      <c r="AS465" s="59" t="s">
        <v>72</v>
      </c>
      <c r="AT465" s="59"/>
      <c r="AU465" s="59"/>
      <c r="AV465" s="59"/>
      <c r="AW465" s="59"/>
      <c r="AX465" s="59"/>
      <c r="AY465" s="60" t="str">
        <f>IF('Cálculo MP'!K475="","",'Cálculo MP'!K475)</f>
        <v/>
      </c>
      <c r="AZ465" s="60" t="str">
        <f>IF('Cálculo MP'!L475="","",'Cálculo MP'!L475)</f>
        <v/>
      </c>
      <c r="BA465" s="60" t="str">
        <f>IF('Cálculo MP'!M475="","",'Cálculo MP'!M475)</f>
        <v/>
      </c>
      <c r="BB465" s="60" t="str">
        <f>IF('Cálculo MP'!N475="","",'Cálculo MP'!N475)</f>
        <v/>
      </c>
      <c r="BC465" s="60" t="str">
        <f>IF('Cálculo MP'!O475="","",'Cálculo MP'!O475)</f>
        <v/>
      </c>
      <c r="BD465" s="60" t="str">
        <f>IF('Cálculo MP'!P475="","",'Cálculo MP'!P475)</f>
        <v/>
      </c>
      <c r="BE465" s="60" t="str">
        <f>IF('Cálculo MP'!Q475="","",'Cálculo MP'!Q475)</f>
        <v/>
      </c>
      <c r="BF465" s="60" t="str">
        <f>IF('Cálculo MP'!R475="","",'Cálculo MP'!R475)</f>
        <v/>
      </c>
      <c r="BG465" s="60" t="str">
        <f>IF('Cálculo MP'!S475="","",'Cálculo MP'!S475)</f>
        <v/>
      </c>
      <c r="BH465" s="59"/>
      <c r="BI465" s="59"/>
      <c r="BJ465" s="59"/>
      <c r="BK465" s="59"/>
      <c r="BL465" s="59"/>
      <c r="BM465" s="59"/>
      <c r="BN465" s="59"/>
      <c r="BO465" s="59"/>
    </row>
    <row r="466" spans="1:67" ht="19.5" customHeight="1" x14ac:dyDescent="0.15">
      <c r="A466" s="123" t="s">
        <v>1856</v>
      </c>
      <c r="B466" s="122" t="s">
        <v>1854</v>
      </c>
      <c r="C466" s="49"/>
      <c r="D466" s="48" t="s">
        <v>73</v>
      </c>
      <c r="E466" s="49"/>
      <c r="F466" s="50"/>
      <c r="G466" s="62"/>
      <c r="H466" s="48" t="s">
        <v>72</v>
      </c>
      <c r="I466" s="52">
        <v>1</v>
      </c>
      <c r="J466" s="52"/>
      <c r="K466" s="52" t="s">
        <v>73</v>
      </c>
      <c r="L466" s="52" t="s">
        <v>74</v>
      </c>
      <c r="M466" s="53" t="s">
        <v>942</v>
      </c>
      <c r="N466" s="58" t="s">
        <v>73</v>
      </c>
      <c r="O466" s="48" t="s">
        <v>72</v>
      </c>
      <c r="P466" s="48" t="s">
        <v>73</v>
      </c>
      <c r="Q466" s="54" t="s">
        <v>73</v>
      </c>
      <c r="R466" s="55" t="s">
        <v>73</v>
      </c>
      <c r="S466" s="48" t="s">
        <v>73</v>
      </c>
      <c r="T466" s="130"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8" t="str" cm="1">
        <f t="array" ref="U466">IF(SUMPRODUCT(--((CAT_Procesos!$E$2:$E$1581=O466)*(CAT_Procesos!$F$2:$F$1581=_xlfn.TEXTJOIN(" + ",TRUE,IF((TRIM(P466:S466)="")+(LOWER(TRIM(P466:S466))="(seleccione)"),"",PROPER(TRIM(P466:S466)))))*(CAT_Procesos!$D$2:$D$1581=IFERROR(VLOOKUP(N466&amp;"*",CAT_Procesos!$D:$D,1,FALSE),""))))=0,"Combinación no existente",IF(SUMPRODUCT(((CAT_Procesos!$E$2:$E$1581=O466)*(CAT_Procesos!$F$2:$F$1581=_xlfn.TEXTJOIN(" + ",TRUE,IF((TRIM(P466:S466)="")+(LOWER(TRIM(P466:S466))="(seleccione)"),"",PROPER(TRIM(P466:S466)))))*(CAT_Procesos!$D$2:$D$1581=IFERROR(VLOOKUP(N466&amp;"*",CAT_Procesos!$D:$D,1,FALSE),"")))*(CAT_Procesos!$G$2:$G$1581=INDEX(CAT_Procesos!$G$2:$G$1581,MATCH(1,(CAT_Procesos!$E$2:$E$1581=O466)*(CAT_Procesos!$F$2:$F$1581=_xlfn.TEXTJOIN(" + ",TRUE,IF((TRIM(P466:S466)="")+(LOWER(TRIM(P466:S466))="(seleccione)"),"",PROPER(TRIM(P466:S466)))))*(CAT_Procesos!$D$2:$D$1581=IFERROR(VLOOKUP(N466&amp;"*",CAT_Procesos!$D:$D,1,FALSE),"")),0))))=SUMPRODUCT(--((CAT_Procesos!$E$2:$E$1581=O466)*(CAT_Procesos!$F$2:$F$1581=_xlfn.TEXTJOIN(" + ",TRUE,IF((TRIM(P466:S466)="")+(LOWER(TRIM(P466:S466))="(seleccione)"),"",PROPER(TRIM(P466:S466)))))*(CAT_Procesos!$D$2:$D$1581=IFERROR(VLOOKUP(N466&amp;"*",CAT_Procesos!$D:$D,1,FALSE),"")))),INDEX(CAT_Procesos!$G$2:$G$1581,MATCH(1,(CAT_Procesos!$E$2:$E$1581=O466)*(CAT_Procesos!$F$2:$F$1581=_xlfn.TEXTJOIN(" + ",TRUE,IF((TRIM(P466:S466)="")+(LOWER(TRIM(P466:S466))="(seleccione)"),"",PROPER(TRIM(P466:S466)))))*(CAT_Procesos!$D$2:$D$1581=IFERROR(VLOOKUP(N466&amp;"*",CAT_Procesos!$D:$D,1,FALSE),"")),0)),"(seleccione)"))</f>
        <v>Combinación no existente</v>
      </c>
      <c r="V466" s="55" t="s">
        <v>73</v>
      </c>
      <c r="W466" s="56" t="s">
        <v>73</v>
      </c>
      <c r="X466" s="57" t="str">
        <f t="shared" si="28"/>
        <v/>
      </c>
      <c r="Y466" s="58" t="s">
        <v>73</v>
      </c>
      <c r="Z466" s="57" t="str">
        <f t="shared" si="29"/>
        <v/>
      </c>
      <c r="AA466" s="58" t="s">
        <v>73</v>
      </c>
      <c r="AB466" s="57" t="str">
        <f t="shared" si="30"/>
        <v/>
      </c>
      <c r="AC466" s="58" t="s">
        <v>73</v>
      </c>
      <c r="AD466" s="57" t="str">
        <f t="shared" si="31"/>
        <v/>
      </c>
      <c r="AE466" s="59"/>
      <c r="AF466" s="59"/>
      <c r="AG466" s="59"/>
      <c r="AH466" s="59"/>
      <c r="AI466" s="59" t="s">
        <v>73</v>
      </c>
      <c r="AJ466" s="59"/>
      <c r="AK466" s="59" t="s">
        <v>73</v>
      </c>
      <c r="AL466" s="59"/>
      <c r="AM466" s="59" t="s">
        <v>73</v>
      </c>
      <c r="AN466" s="59"/>
      <c r="AO466" s="59" t="s">
        <v>73</v>
      </c>
      <c r="AP466" s="59"/>
      <c r="AQ466" s="59" t="s">
        <v>73</v>
      </c>
      <c r="AR466" s="59"/>
      <c r="AS466" s="59" t="s">
        <v>72</v>
      </c>
      <c r="AT466" s="59"/>
      <c r="AU466" s="59"/>
      <c r="AV466" s="59"/>
      <c r="AW466" s="59"/>
      <c r="AX466" s="59"/>
      <c r="AY466" s="60" t="str">
        <f>IF('Cálculo MP'!K476="","",'Cálculo MP'!K476)</f>
        <v/>
      </c>
      <c r="AZ466" s="60" t="str">
        <f>IF('Cálculo MP'!L476="","",'Cálculo MP'!L476)</f>
        <v/>
      </c>
      <c r="BA466" s="60" t="str">
        <f>IF('Cálculo MP'!M476="","",'Cálculo MP'!M476)</f>
        <v/>
      </c>
      <c r="BB466" s="60" t="str">
        <f>IF('Cálculo MP'!N476="","",'Cálculo MP'!N476)</f>
        <v/>
      </c>
      <c r="BC466" s="60" t="str">
        <f>IF('Cálculo MP'!O476="","",'Cálculo MP'!O476)</f>
        <v/>
      </c>
      <c r="BD466" s="60" t="str">
        <f>IF('Cálculo MP'!P476="","",'Cálculo MP'!P476)</f>
        <v/>
      </c>
      <c r="BE466" s="60" t="str">
        <f>IF('Cálculo MP'!Q476="","",'Cálculo MP'!Q476)</f>
        <v/>
      </c>
      <c r="BF466" s="60" t="str">
        <f>IF('Cálculo MP'!R476="","",'Cálculo MP'!R476)</f>
        <v/>
      </c>
      <c r="BG466" s="60" t="str">
        <f>IF('Cálculo MP'!S476="","",'Cálculo MP'!S476)</f>
        <v/>
      </c>
      <c r="BH466" s="59"/>
      <c r="BI466" s="59"/>
      <c r="BJ466" s="59"/>
      <c r="BK466" s="59"/>
      <c r="BL466" s="59"/>
      <c r="BM466" s="59"/>
      <c r="BN466" s="59"/>
      <c r="BO466" s="59"/>
    </row>
    <row r="467" spans="1:67" ht="19.5" customHeight="1" x14ac:dyDescent="0.15">
      <c r="A467" s="123" t="s">
        <v>1856</v>
      </c>
      <c r="B467" s="122" t="s">
        <v>1854</v>
      </c>
      <c r="C467" s="49"/>
      <c r="D467" s="48" t="s">
        <v>73</v>
      </c>
      <c r="E467" s="49"/>
      <c r="F467" s="50"/>
      <c r="G467" s="62"/>
      <c r="H467" s="48" t="s">
        <v>72</v>
      </c>
      <c r="I467" s="52">
        <v>1</v>
      </c>
      <c r="J467" s="52"/>
      <c r="K467" s="52" t="s">
        <v>73</v>
      </c>
      <c r="L467" s="52" t="s">
        <v>74</v>
      </c>
      <c r="M467" s="53" t="s">
        <v>942</v>
      </c>
      <c r="N467" s="58" t="s">
        <v>73</v>
      </c>
      <c r="O467" s="48" t="s">
        <v>72</v>
      </c>
      <c r="P467" s="48" t="s">
        <v>73</v>
      </c>
      <c r="Q467" s="54" t="s">
        <v>73</v>
      </c>
      <c r="R467" s="55" t="s">
        <v>73</v>
      </c>
      <c r="S467" s="48" t="s">
        <v>73</v>
      </c>
      <c r="T467" s="130"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8" t="str" cm="1">
        <f t="array" ref="U467">IF(SUMPRODUCT(--((CAT_Procesos!$E$2:$E$1581=O467)*(CAT_Procesos!$F$2:$F$1581=_xlfn.TEXTJOIN(" + ",TRUE,IF((TRIM(P467:S467)="")+(LOWER(TRIM(P467:S467))="(seleccione)"),"",PROPER(TRIM(P467:S467)))))*(CAT_Procesos!$D$2:$D$1581=IFERROR(VLOOKUP(N467&amp;"*",CAT_Procesos!$D:$D,1,FALSE),""))))=0,"Combinación no existente",IF(SUMPRODUCT(((CAT_Procesos!$E$2:$E$1581=O467)*(CAT_Procesos!$F$2:$F$1581=_xlfn.TEXTJOIN(" + ",TRUE,IF((TRIM(P467:S467)="")+(LOWER(TRIM(P467:S467))="(seleccione)"),"",PROPER(TRIM(P467:S467)))))*(CAT_Procesos!$D$2:$D$1581=IFERROR(VLOOKUP(N467&amp;"*",CAT_Procesos!$D:$D,1,FALSE),"")))*(CAT_Procesos!$G$2:$G$1581=INDEX(CAT_Procesos!$G$2:$G$1581,MATCH(1,(CAT_Procesos!$E$2:$E$1581=O467)*(CAT_Procesos!$F$2:$F$1581=_xlfn.TEXTJOIN(" + ",TRUE,IF((TRIM(P467:S467)="")+(LOWER(TRIM(P467:S467))="(seleccione)"),"",PROPER(TRIM(P467:S467)))))*(CAT_Procesos!$D$2:$D$1581=IFERROR(VLOOKUP(N467&amp;"*",CAT_Procesos!$D:$D,1,FALSE),"")),0))))=SUMPRODUCT(--((CAT_Procesos!$E$2:$E$1581=O467)*(CAT_Procesos!$F$2:$F$1581=_xlfn.TEXTJOIN(" + ",TRUE,IF((TRIM(P467:S467)="")+(LOWER(TRIM(P467:S467))="(seleccione)"),"",PROPER(TRIM(P467:S467)))))*(CAT_Procesos!$D$2:$D$1581=IFERROR(VLOOKUP(N467&amp;"*",CAT_Procesos!$D:$D,1,FALSE),"")))),INDEX(CAT_Procesos!$G$2:$G$1581,MATCH(1,(CAT_Procesos!$E$2:$E$1581=O467)*(CAT_Procesos!$F$2:$F$1581=_xlfn.TEXTJOIN(" + ",TRUE,IF((TRIM(P467:S467)="")+(LOWER(TRIM(P467:S467))="(seleccione)"),"",PROPER(TRIM(P467:S467)))))*(CAT_Procesos!$D$2:$D$1581=IFERROR(VLOOKUP(N467&amp;"*",CAT_Procesos!$D:$D,1,FALSE),"")),0)),"(seleccione)"))</f>
        <v>Combinación no existente</v>
      </c>
      <c r="V467" s="55" t="s">
        <v>73</v>
      </c>
      <c r="W467" s="56" t="s">
        <v>73</v>
      </c>
      <c r="X467" s="57" t="str">
        <f t="shared" si="28"/>
        <v/>
      </c>
      <c r="Y467" s="58" t="s">
        <v>73</v>
      </c>
      <c r="Z467" s="57" t="str">
        <f t="shared" si="29"/>
        <v/>
      </c>
      <c r="AA467" s="58" t="s">
        <v>73</v>
      </c>
      <c r="AB467" s="57" t="str">
        <f t="shared" si="30"/>
        <v/>
      </c>
      <c r="AC467" s="58" t="s">
        <v>73</v>
      </c>
      <c r="AD467" s="57" t="str">
        <f t="shared" si="31"/>
        <v/>
      </c>
      <c r="AE467" s="59"/>
      <c r="AF467" s="59"/>
      <c r="AG467" s="59"/>
      <c r="AH467" s="59"/>
      <c r="AI467" s="59" t="s">
        <v>73</v>
      </c>
      <c r="AJ467" s="59"/>
      <c r="AK467" s="59" t="s">
        <v>73</v>
      </c>
      <c r="AL467" s="59"/>
      <c r="AM467" s="59" t="s">
        <v>73</v>
      </c>
      <c r="AN467" s="59"/>
      <c r="AO467" s="59" t="s">
        <v>73</v>
      </c>
      <c r="AP467" s="59"/>
      <c r="AQ467" s="59" t="s">
        <v>73</v>
      </c>
      <c r="AR467" s="59"/>
      <c r="AS467" s="59" t="s">
        <v>72</v>
      </c>
      <c r="AT467" s="59"/>
      <c r="AU467" s="59"/>
      <c r="AV467" s="59"/>
      <c r="AW467" s="59"/>
      <c r="AX467" s="59"/>
      <c r="AY467" s="60" t="str">
        <f>IF('Cálculo MP'!K477="","",'Cálculo MP'!K477)</f>
        <v/>
      </c>
      <c r="AZ467" s="60" t="str">
        <f>IF('Cálculo MP'!L477="","",'Cálculo MP'!L477)</f>
        <v/>
      </c>
      <c r="BA467" s="60" t="str">
        <f>IF('Cálculo MP'!M477="","",'Cálculo MP'!M477)</f>
        <v/>
      </c>
      <c r="BB467" s="60" t="str">
        <f>IF('Cálculo MP'!N477="","",'Cálculo MP'!N477)</f>
        <v/>
      </c>
      <c r="BC467" s="60" t="str">
        <f>IF('Cálculo MP'!O477="","",'Cálculo MP'!O477)</f>
        <v/>
      </c>
      <c r="BD467" s="60" t="str">
        <f>IF('Cálculo MP'!P477="","",'Cálculo MP'!P477)</f>
        <v/>
      </c>
      <c r="BE467" s="60" t="str">
        <f>IF('Cálculo MP'!Q477="","",'Cálculo MP'!Q477)</f>
        <v/>
      </c>
      <c r="BF467" s="60" t="str">
        <f>IF('Cálculo MP'!R477="","",'Cálculo MP'!R477)</f>
        <v/>
      </c>
      <c r="BG467" s="60" t="str">
        <f>IF('Cálculo MP'!S477="","",'Cálculo MP'!S477)</f>
        <v/>
      </c>
      <c r="BH467" s="59"/>
      <c r="BI467" s="59"/>
      <c r="BJ467" s="59"/>
      <c r="BK467" s="59"/>
      <c r="BL467" s="59"/>
      <c r="BM467" s="59"/>
      <c r="BN467" s="59"/>
      <c r="BO467" s="59"/>
    </row>
    <row r="468" spans="1:67" ht="19.5" customHeight="1" x14ac:dyDescent="0.15">
      <c r="A468" s="123" t="s">
        <v>1856</v>
      </c>
      <c r="B468" s="122" t="s">
        <v>1854</v>
      </c>
      <c r="C468" s="49"/>
      <c r="D468" s="48" t="s">
        <v>73</v>
      </c>
      <c r="E468" s="49"/>
      <c r="F468" s="50"/>
      <c r="G468" s="62"/>
      <c r="H468" s="48" t="s">
        <v>72</v>
      </c>
      <c r="I468" s="52">
        <v>1</v>
      </c>
      <c r="J468" s="52"/>
      <c r="K468" s="52" t="s">
        <v>73</v>
      </c>
      <c r="L468" s="52" t="s">
        <v>74</v>
      </c>
      <c r="M468" s="53" t="s">
        <v>942</v>
      </c>
      <c r="N468" s="58" t="s">
        <v>73</v>
      </c>
      <c r="O468" s="48" t="s">
        <v>72</v>
      </c>
      <c r="P468" s="48" t="s">
        <v>73</v>
      </c>
      <c r="Q468" s="54" t="s">
        <v>73</v>
      </c>
      <c r="R468" s="55" t="s">
        <v>73</v>
      </c>
      <c r="S468" s="48" t="s">
        <v>73</v>
      </c>
      <c r="T468" s="130"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8" t="str" cm="1">
        <f t="array" ref="U468">IF(SUMPRODUCT(--((CAT_Procesos!$E$2:$E$1581=O468)*(CAT_Procesos!$F$2:$F$1581=_xlfn.TEXTJOIN(" + ",TRUE,IF((TRIM(P468:S468)="")+(LOWER(TRIM(P468:S468))="(seleccione)"),"",PROPER(TRIM(P468:S468)))))*(CAT_Procesos!$D$2:$D$1581=IFERROR(VLOOKUP(N468&amp;"*",CAT_Procesos!$D:$D,1,FALSE),""))))=0,"Combinación no existente",IF(SUMPRODUCT(((CAT_Procesos!$E$2:$E$1581=O468)*(CAT_Procesos!$F$2:$F$1581=_xlfn.TEXTJOIN(" + ",TRUE,IF((TRIM(P468:S468)="")+(LOWER(TRIM(P468:S468))="(seleccione)"),"",PROPER(TRIM(P468:S468)))))*(CAT_Procesos!$D$2:$D$1581=IFERROR(VLOOKUP(N468&amp;"*",CAT_Procesos!$D:$D,1,FALSE),"")))*(CAT_Procesos!$G$2:$G$1581=INDEX(CAT_Procesos!$G$2:$G$1581,MATCH(1,(CAT_Procesos!$E$2:$E$1581=O468)*(CAT_Procesos!$F$2:$F$1581=_xlfn.TEXTJOIN(" + ",TRUE,IF((TRIM(P468:S468)="")+(LOWER(TRIM(P468:S468))="(seleccione)"),"",PROPER(TRIM(P468:S468)))))*(CAT_Procesos!$D$2:$D$1581=IFERROR(VLOOKUP(N468&amp;"*",CAT_Procesos!$D:$D,1,FALSE),"")),0))))=SUMPRODUCT(--((CAT_Procesos!$E$2:$E$1581=O468)*(CAT_Procesos!$F$2:$F$1581=_xlfn.TEXTJOIN(" + ",TRUE,IF((TRIM(P468:S468)="")+(LOWER(TRIM(P468:S468))="(seleccione)"),"",PROPER(TRIM(P468:S468)))))*(CAT_Procesos!$D$2:$D$1581=IFERROR(VLOOKUP(N468&amp;"*",CAT_Procesos!$D:$D,1,FALSE),"")))),INDEX(CAT_Procesos!$G$2:$G$1581,MATCH(1,(CAT_Procesos!$E$2:$E$1581=O468)*(CAT_Procesos!$F$2:$F$1581=_xlfn.TEXTJOIN(" + ",TRUE,IF((TRIM(P468:S468)="")+(LOWER(TRIM(P468:S468))="(seleccione)"),"",PROPER(TRIM(P468:S468)))))*(CAT_Procesos!$D$2:$D$1581=IFERROR(VLOOKUP(N468&amp;"*",CAT_Procesos!$D:$D,1,FALSE),"")),0)),"(seleccione)"))</f>
        <v>Combinación no existente</v>
      </c>
      <c r="V468" s="55" t="s">
        <v>73</v>
      </c>
      <c r="W468" s="56" t="s">
        <v>73</v>
      </c>
      <c r="X468" s="57" t="str">
        <f t="shared" si="28"/>
        <v/>
      </c>
      <c r="Y468" s="58" t="s">
        <v>73</v>
      </c>
      <c r="Z468" s="57" t="str">
        <f t="shared" si="29"/>
        <v/>
      </c>
      <c r="AA468" s="58" t="s">
        <v>73</v>
      </c>
      <c r="AB468" s="57" t="str">
        <f t="shared" si="30"/>
        <v/>
      </c>
      <c r="AC468" s="58" t="s">
        <v>73</v>
      </c>
      <c r="AD468" s="57" t="str">
        <f t="shared" si="31"/>
        <v/>
      </c>
      <c r="AE468" s="59"/>
      <c r="AF468" s="59"/>
      <c r="AG468" s="59"/>
      <c r="AH468" s="59"/>
      <c r="AI468" s="59" t="s">
        <v>73</v>
      </c>
      <c r="AJ468" s="59"/>
      <c r="AK468" s="59" t="s">
        <v>73</v>
      </c>
      <c r="AL468" s="59"/>
      <c r="AM468" s="59" t="s">
        <v>73</v>
      </c>
      <c r="AN468" s="59"/>
      <c r="AO468" s="59" t="s">
        <v>73</v>
      </c>
      <c r="AP468" s="59"/>
      <c r="AQ468" s="59" t="s">
        <v>73</v>
      </c>
      <c r="AR468" s="59"/>
      <c r="AS468" s="59" t="s">
        <v>72</v>
      </c>
      <c r="AT468" s="59"/>
      <c r="AU468" s="59"/>
      <c r="AV468" s="59"/>
      <c r="AW468" s="59"/>
      <c r="AX468" s="59"/>
      <c r="AY468" s="60" t="str">
        <f>IF('Cálculo MP'!K478="","",'Cálculo MP'!K478)</f>
        <v/>
      </c>
      <c r="AZ468" s="60" t="str">
        <f>IF('Cálculo MP'!L478="","",'Cálculo MP'!L478)</f>
        <v/>
      </c>
      <c r="BA468" s="60" t="str">
        <f>IF('Cálculo MP'!M478="","",'Cálculo MP'!M478)</f>
        <v/>
      </c>
      <c r="BB468" s="60" t="str">
        <f>IF('Cálculo MP'!N478="","",'Cálculo MP'!N478)</f>
        <v/>
      </c>
      <c r="BC468" s="60" t="str">
        <f>IF('Cálculo MP'!O478="","",'Cálculo MP'!O478)</f>
        <v/>
      </c>
      <c r="BD468" s="60" t="str">
        <f>IF('Cálculo MP'!P478="","",'Cálculo MP'!P478)</f>
        <v/>
      </c>
      <c r="BE468" s="60" t="str">
        <f>IF('Cálculo MP'!Q478="","",'Cálculo MP'!Q478)</f>
        <v/>
      </c>
      <c r="BF468" s="60" t="str">
        <f>IF('Cálculo MP'!R478="","",'Cálculo MP'!R478)</f>
        <v/>
      </c>
      <c r="BG468" s="60" t="str">
        <f>IF('Cálculo MP'!S478="","",'Cálculo MP'!S478)</f>
        <v/>
      </c>
      <c r="BH468" s="59"/>
      <c r="BI468" s="59"/>
      <c r="BJ468" s="59"/>
      <c r="BK468" s="59"/>
      <c r="BL468" s="59"/>
      <c r="BM468" s="59"/>
      <c r="BN468" s="59"/>
      <c r="BO468" s="59"/>
    </row>
    <row r="469" spans="1:67" ht="19.5" customHeight="1" x14ac:dyDescent="0.15">
      <c r="A469" s="123" t="s">
        <v>1856</v>
      </c>
      <c r="B469" s="122" t="s">
        <v>1854</v>
      </c>
      <c r="C469" s="49"/>
      <c r="D469" s="48" t="s">
        <v>73</v>
      </c>
      <c r="E469" s="49"/>
      <c r="F469" s="50"/>
      <c r="G469" s="62"/>
      <c r="H469" s="48" t="s">
        <v>72</v>
      </c>
      <c r="I469" s="52">
        <v>1</v>
      </c>
      <c r="J469" s="52"/>
      <c r="K469" s="52" t="s">
        <v>73</v>
      </c>
      <c r="L469" s="52" t="s">
        <v>74</v>
      </c>
      <c r="M469" s="53" t="s">
        <v>942</v>
      </c>
      <c r="N469" s="58" t="s">
        <v>73</v>
      </c>
      <c r="O469" s="48" t="s">
        <v>72</v>
      </c>
      <c r="P469" s="48" t="s">
        <v>73</v>
      </c>
      <c r="Q469" s="54" t="s">
        <v>73</v>
      </c>
      <c r="R469" s="55" t="s">
        <v>73</v>
      </c>
      <c r="S469" s="48" t="s">
        <v>73</v>
      </c>
      <c r="T469" s="130"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8" t="str" cm="1">
        <f t="array" ref="U469">IF(SUMPRODUCT(--((CAT_Procesos!$E$2:$E$1581=O469)*(CAT_Procesos!$F$2:$F$1581=_xlfn.TEXTJOIN(" + ",TRUE,IF((TRIM(P469:S469)="")+(LOWER(TRIM(P469:S469))="(seleccione)"),"",PROPER(TRIM(P469:S469)))))*(CAT_Procesos!$D$2:$D$1581=IFERROR(VLOOKUP(N469&amp;"*",CAT_Procesos!$D:$D,1,FALSE),""))))=0,"Combinación no existente",IF(SUMPRODUCT(((CAT_Procesos!$E$2:$E$1581=O469)*(CAT_Procesos!$F$2:$F$1581=_xlfn.TEXTJOIN(" + ",TRUE,IF((TRIM(P469:S469)="")+(LOWER(TRIM(P469:S469))="(seleccione)"),"",PROPER(TRIM(P469:S469)))))*(CAT_Procesos!$D$2:$D$1581=IFERROR(VLOOKUP(N469&amp;"*",CAT_Procesos!$D:$D,1,FALSE),"")))*(CAT_Procesos!$G$2:$G$1581=INDEX(CAT_Procesos!$G$2:$G$1581,MATCH(1,(CAT_Procesos!$E$2:$E$1581=O469)*(CAT_Procesos!$F$2:$F$1581=_xlfn.TEXTJOIN(" + ",TRUE,IF((TRIM(P469:S469)="")+(LOWER(TRIM(P469:S469))="(seleccione)"),"",PROPER(TRIM(P469:S469)))))*(CAT_Procesos!$D$2:$D$1581=IFERROR(VLOOKUP(N469&amp;"*",CAT_Procesos!$D:$D,1,FALSE),"")),0))))=SUMPRODUCT(--((CAT_Procesos!$E$2:$E$1581=O469)*(CAT_Procesos!$F$2:$F$1581=_xlfn.TEXTJOIN(" + ",TRUE,IF((TRIM(P469:S469)="")+(LOWER(TRIM(P469:S469))="(seleccione)"),"",PROPER(TRIM(P469:S469)))))*(CAT_Procesos!$D$2:$D$1581=IFERROR(VLOOKUP(N469&amp;"*",CAT_Procesos!$D:$D,1,FALSE),"")))),INDEX(CAT_Procesos!$G$2:$G$1581,MATCH(1,(CAT_Procesos!$E$2:$E$1581=O469)*(CAT_Procesos!$F$2:$F$1581=_xlfn.TEXTJOIN(" + ",TRUE,IF((TRIM(P469:S469)="")+(LOWER(TRIM(P469:S469))="(seleccione)"),"",PROPER(TRIM(P469:S469)))))*(CAT_Procesos!$D$2:$D$1581=IFERROR(VLOOKUP(N469&amp;"*",CAT_Procesos!$D:$D,1,FALSE),"")),0)),"(seleccione)"))</f>
        <v>Combinación no existente</v>
      </c>
      <c r="V469" s="55" t="s">
        <v>73</v>
      </c>
      <c r="W469" s="56" t="s">
        <v>73</v>
      </c>
      <c r="X469" s="57" t="str">
        <f t="shared" si="28"/>
        <v/>
      </c>
      <c r="Y469" s="58" t="s">
        <v>73</v>
      </c>
      <c r="Z469" s="57" t="str">
        <f t="shared" si="29"/>
        <v/>
      </c>
      <c r="AA469" s="58" t="s">
        <v>73</v>
      </c>
      <c r="AB469" s="57" t="str">
        <f t="shared" si="30"/>
        <v/>
      </c>
      <c r="AC469" s="58" t="s">
        <v>73</v>
      </c>
      <c r="AD469" s="57" t="str">
        <f t="shared" si="31"/>
        <v/>
      </c>
      <c r="AE469" s="59"/>
      <c r="AF469" s="59"/>
      <c r="AG469" s="59"/>
      <c r="AH469" s="59"/>
      <c r="AI469" s="59" t="s">
        <v>73</v>
      </c>
      <c r="AJ469" s="59"/>
      <c r="AK469" s="59" t="s">
        <v>73</v>
      </c>
      <c r="AL469" s="59"/>
      <c r="AM469" s="59" t="s">
        <v>73</v>
      </c>
      <c r="AN469" s="59"/>
      <c r="AO469" s="59" t="s">
        <v>73</v>
      </c>
      <c r="AP469" s="59"/>
      <c r="AQ469" s="59" t="s">
        <v>73</v>
      </c>
      <c r="AR469" s="59"/>
      <c r="AS469" s="59" t="s">
        <v>72</v>
      </c>
      <c r="AT469" s="59"/>
      <c r="AU469" s="59"/>
      <c r="AV469" s="59"/>
      <c r="AW469" s="59"/>
      <c r="AX469" s="59"/>
      <c r="AY469" s="60" t="str">
        <f>IF('Cálculo MP'!K479="","",'Cálculo MP'!K479)</f>
        <v/>
      </c>
      <c r="AZ469" s="60" t="str">
        <f>IF('Cálculo MP'!L479="","",'Cálculo MP'!L479)</f>
        <v/>
      </c>
      <c r="BA469" s="60" t="str">
        <f>IF('Cálculo MP'!M479="","",'Cálculo MP'!M479)</f>
        <v/>
      </c>
      <c r="BB469" s="60" t="str">
        <f>IF('Cálculo MP'!N479="","",'Cálculo MP'!N479)</f>
        <v/>
      </c>
      <c r="BC469" s="60" t="str">
        <f>IF('Cálculo MP'!O479="","",'Cálculo MP'!O479)</f>
        <v/>
      </c>
      <c r="BD469" s="60" t="str">
        <f>IF('Cálculo MP'!P479="","",'Cálculo MP'!P479)</f>
        <v/>
      </c>
      <c r="BE469" s="60" t="str">
        <f>IF('Cálculo MP'!Q479="","",'Cálculo MP'!Q479)</f>
        <v/>
      </c>
      <c r="BF469" s="60" t="str">
        <f>IF('Cálculo MP'!R479="","",'Cálculo MP'!R479)</f>
        <v/>
      </c>
      <c r="BG469" s="60" t="str">
        <f>IF('Cálculo MP'!S479="","",'Cálculo MP'!S479)</f>
        <v/>
      </c>
      <c r="BH469" s="59"/>
      <c r="BI469" s="59"/>
      <c r="BJ469" s="59"/>
      <c r="BK469" s="59"/>
      <c r="BL469" s="59"/>
      <c r="BM469" s="59"/>
      <c r="BN469" s="59"/>
      <c r="BO469" s="59"/>
    </row>
    <row r="470" spans="1:67" ht="19.5" customHeight="1" x14ac:dyDescent="0.15">
      <c r="A470" s="123" t="s">
        <v>1856</v>
      </c>
      <c r="B470" s="122" t="s">
        <v>1854</v>
      </c>
      <c r="C470" s="49"/>
      <c r="D470" s="48" t="s">
        <v>73</v>
      </c>
      <c r="E470" s="49"/>
      <c r="F470" s="50"/>
      <c r="G470" s="62"/>
      <c r="H470" s="48" t="s">
        <v>72</v>
      </c>
      <c r="I470" s="52">
        <v>1</v>
      </c>
      <c r="J470" s="52"/>
      <c r="K470" s="52" t="s">
        <v>73</v>
      </c>
      <c r="L470" s="52" t="s">
        <v>74</v>
      </c>
      <c r="M470" s="53" t="s">
        <v>942</v>
      </c>
      <c r="N470" s="58" t="s">
        <v>73</v>
      </c>
      <c r="O470" s="48" t="s">
        <v>72</v>
      </c>
      <c r="P470" s="48" t="s">
        <v>73</v>
      </c>
      <c r="Q470" s="54" t="s">
        <v>73</v>
      </c>
      <c r="R470" s="55" t="s">
        <v>73</v>
      </c>
      <c r="S470" s="48" t="s">
        <v>73</v>
      </c>
      <c r="T470" s="130"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8" t="str" cm="1">
        <f t="array" ref="U470">IF(SUMPRODUCT(--((CAT_Procesos!$E$2:$E$1581=O470)*(CAT_Procesos!$F$2:$F$1581=_xlfn.TEXTJOIN(" + ",TRUE,IF((TRIM(P470:S470)="")+(LOWER(TRIM(P470:S470))="(seleccione)"),"",PROPER(TRIM(P470:S470)))))*(CAT_Procesos!$D$2:$D$1581=IFERROR(VLOOKUP(N470&amp;"*",CAT_Procesos!$D:$D,1,FALSE),""))))=0,"Combinación no existente",IF(SUMPRODUCT(((CAT_Procesos!$E$2:$E$1581=O470)*(CAT_Procesos!$F$2:$F$1581=_xlfn.TEXTJOIN(" + ",TRUE,IF((TRIM(P470:S470)="")+(LOWER(TRIM(P470:S470))="(seleccione)"),"",PROPER(TRIM(P470:S470)))))*(CAT_Procesos!$D$2:$D$1581=IFERROR(VLOOKUP(N470&amp;"*",CAT_Procesos!$D:$D,1,FALSE),"")))*(CAT_Procesos!$G$2:$G$1581=INDEX(CAT_Procesos!$G$2:$G$1581,MATCH(1,(CAT_Procesos!$E$2:$E$1581=O470)*(CAT_Procesos!$F$2:$F$1581=_xlfn.TEXTJOIN(" + ",TRUE,IF((TRIM(P470:S470)="")+(LOWER(TRIM(P470:S470))="(seleccione)"),"",PROPER(TRIM(P470:S470)))))*(CAT_Procesos!$D$2:$D$1581=IFERROR(VLOOKUP(N470&amp;"*",CAT_Procesos!$D:$D,1,FALSE),"")),0))))=SUMPRODUCT(--((CAT_Procesos!$E$2:$E$1581=O470)*(CAT_Procesos!$F$2:$F$1581=_xlfn.TEXTJOIN(" + ",TRUE,IF((TRIM(P470:S470)="")+(LOWER(TRIM(P470:S470))="(seleccione)"),"",PROPER(TRIM(P470:S470)))))*(CAT_Procesos!$D$2:$D$1581=IFERROR(VLOOKUP(N470&amp;"*",CAT_Procesos!$D:$D,1,FALSE),"")))),INDEX(CAT_Procesos!$G$2:$G$1581,MATCH(1,(CAT_Procesos!$E$2:$E$1581=O470)*(CAT_Procesos!$F$2:$F$1581=_xlfn.TEXTJOIN(" + ",TRUE,IF((TRIM(P470:S470)="")+(LOWER(TRIM(P470:S470))="(seleccione)"),"",PROPER(TRIM(P470:S470)))))*(CAT_Procesos!$D$2:$D$1581=IFERROR(VLOOKUP(N470&amp;"*",CAT_Procesos!$D:$D,1,FALSE),"")),0)),"(seleccione)"))</f>
        <v>Combinación no existente</v>
      </c>
      <c r="V470" s="55" t="s">
        <v>73</v>
      </c>
      <c r="W470" s="56" t="s">
        <v>73</v>
      </c>
      <c r="X470" s="57" t="str">
        <f t="shared" si="28"/>
        <v/>
      </c>
      <c r="Y470" s="58" t="s">
        <v>73</v>
      </c>
      <c r="Z470" s="57" t="str">
        <f t="shared" si="29"/>
        <v/>
      </c>
      <c r="AA470" s="58" t="s">
        <v>73</v>
      </c>
      <c r="AB470" s="57" t="str">
        <f t="shared" si="30"/>
        <v/>
      </c>
      <c r="AC470" s="58" t="s">
        <v>73</v>
      </c>
      <c r="AD470" s="57" t="str">
        <f t="shared" si="31"/>
        <v/>
      </c>
      <c r="AE470" s="59"/>
      <c r="AF470" s="59"/>
      <c r="AG470" s="59"/>
      <c r="AH470" s="59"/>
      <c r="AI470" s="59" t="s">
        <v>73</v>
      </c>
      <c r="AJ470" s="59"/>
      <c r="AK470" s="59" t="s">
        <v>73</v>
      </c>
      <c r="AL470" s="59"/>
      <c r="AM470" s="59" t="s">
        <v>73</v>
      </c>
      <c r="AN470" s="59"/>
      <c r="AO470" s="59" t="s">
        <v>73</v>
      </c>
      <c r="AP470" s="59"/>
      <c r="AQ470" s="59" t="s">
        <v>73</v>
      </c>
      <c r="AR470" s="59"/>
      <c r="AS470" s="59" t="s">
        <v>72</v>
      </c>
      <c r="AT470" s="59"/>
      <c r="AU470" s="59"/>
      <c r="AV470" s="59"/>
      <c r="AW470" s="59"/>
      <c r="AX470" s="59"/>
      <c r="AY470" s="60" t="str">
        <f>IF('Cálculo MP'!K480="","",'Cálculo MP'!K480)</f>
        <v/>
      </c>
      <c r="AZ470" s="60" t="str">
        <f>IF('Cálculo MP'!L480="","",'Cálculo MP'!L480)</f>
        <v/>
      </c>
      <c r="BA470" s="60" t="str">
        <f>IF('Cálculo MP'!M480="","",'Cálculo MP'!M480)</f>
        <v/>
      </c>
      <c r="BB470" s="60" t="str">
        <f>IF('Cálculo MP'!N480="","",'Cálculo MP'!N480)</f>
        <v/>
      </c>
      <c r="BC470" s="60" t="str">
        <f>IF('Cálculo MP'!O480="","",'Cálculo MP'!O480)</f>
        <v/>
      </c>
      <c r="BD470" s="60" t="str">
        <f>IF('Cálculo MP'!P480="","",'Cálculo MP'!P480)</f>
        <v/>
      </c>
      <c r="BE470" s="60" t="str">
        <f>IF('Cálculo MP'!Q480="","",'Cálculo MP'!Q480)</f>
        <v/>
      </c>
      <c r="BF470" s="60" t="str">
        <f>IF('Cálculo MP'!R480="","",'Cálculo MP'!R480)</f>
        <v/>
      </c>
      <c r="BG470" s="60" t="str">
        <f>IF('Cálculo MP'!S480="","",'Cálculo MP'!S480)</f>
        <v/>
      </c>
      <c r="BH470" s="59"/>
      <c r="BI470" s="59"/>
      <c r="BJ470" s="59"/>
      <c r="BK470" s="59"/>
      <c r="BL470" s="59"/>
      <c r="BM470" s="59"/>
      <c r="BN470" s="59"/>
      <c r="BO470" s="59"/>
    </row>
    <row r="471" spans="1:67" ht="19.5" customHeight="1" x14ac:dyDescent="0.15">
      <c r="A471" s="123" t="s">
        <v>1856</v>
      </c>
      <c r="B471" s="122" t="s">
        <v>1854</v>
      </c>
      <c r="C471" s="49"/>
      <c r="D471" s="48" t="s">
        <v>73</v>
      </c>
      <c r="E471" s="49"/>
      <c r="F471" s="50"/>
      <c r="G471" s="62"/>
      <c r="H471" s="48" t="s">
        <v>72</v>
      </c>
      <c r="I471" s="52">
        <v>1</v>
      </c>
      <c r="J471" s="52"/>
      <c r="K471" s="52" t="s">
        <v>73</v>
      </c>
      <c r="L471" s="52" t="s">
        <v>74</v>
      </c>
      <c r="M471" s="53" t="s">
        <v>942</v>
      </c>
      <c r="N471" s="58" t="s">
        <v>73</v>
      </c>
      <c r="O471" s="48" t="s">
        <v>72</v>
      </c>
      <c r="P471" s="48" t="s">
        <v>73</v>
      </c>
      <c r="Q471" s="54" t="s">
        <v>73</v>
      </c>
      <c r="R471" s="55" t="s">
        <v>73</v>
      </c>
      <c r="S471" s="48" t="s">
        <v>73</v>
      </c>
      <c r="T471" s="130"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8" t="str" cm="1">
        <f t="array" ref="U471">IF(SUMPRODUCT(--((CAT_Procesos!$E$2:$E$1581=O471)*(CAT_Procesos!$F$2:$F$1581=_xlfn.TEXTJOIN(" + ",TRUE,IF((TRIM(P471:S471)="")+(LOWER(TRIM(P471:S471))="(seleccione)"),"",PROPER(TRIM(P471:S471)))))*(CAT_Procesos!$D$2:$D$1581=IFERROR(VLOOKUP(N471&amp;"*",CAT_Procesos!$D:$D,1,FALSE),""))))=0,"Combinación no existente",IF(SUMPRODUCT(((CAT_Procesos!$E$2:$E$1581=O471)*(CAT_Procesos!$F$2:$F$1581=_xlfn.TEXTJOIN(" + ",TRUE,IF((TRIM(P471:S471)="")+(LOWER(TRIM(P471:S471))="(seleccione)"),"",PROPER(TRIM(P471:S471)))))*(CAT_Procesos!$D$2:$D$1581=IFERROR(VLOOKUP(N471&amp;"*",CAT_Procesos!$D:$D,1,FALSE),"")))*(CAT_Procesos!$G$2:$G$1581=INDEX(CAT_Procesos!$G$2:$G$1581,MATCH(1,(CAT_Procesos!$E$2:$E$1581=O471)*(CAT_Procesos!$F$2:$F$1581=_xlfn.TEXTJOIN(" + ",TRUE,IF((TRIM(P471:S471)="")+(LOWER(TRIM(P471:S471))="(seleccione)"),"",PROPER(TRIM(P471:S471)))))*(CAT_Procesos!$D$2:$D$1581=IFERROR(VLOOKUP(N471&amp;"*",CAT_Procesos!$D:$D,1,FALSE),"")),0))))=SUMPRODUCT(--((CAT_Procesos!$E$2:$E$1581=O471)*(CAT_Procesos!$F$2:$F$1581=_xlfn.TEXTJOIN(" + ",TRUE,IF((TRIM(P471:S471)="")+(LOWER(TRIM(P471:S471))="(seleccione)"),"",PROPER(TRIM(P471:S471)))))*(CAT_Procesos!$D$2:$D$1581=IFERROR(VLOOKUP(N471&amp;"*",CAT_Procesos!$D:$D,1,FALSE),"")))),INDEX(CAT_Procesos!$G$2:$G$1581,MATCH(1,(CAT_Procesos!$E$2:$E$1581=O471)*(CAT_Procesos!$F$2:$F$1581=_xlfn.TEXTJOIN(" + ",TRUE,IF((TRIM(P471:S471)="")+(LOWER(TRIM(P471:S471))="(seleccione)"),"",PROPER(TRIM(P471:S471)))))*(CAT_Procesos!$D$2:$D$1581=IFERROR(VLOOKUP(N471&amp;"*",CAT_Procesos!$D:$D,1,FALSE),"")),0)),"(seleccione)"))</f>
        <v>Combinación no existente</v>
      </c>
      <c r="V471" s="55" t="s">
        <v>73</v>
      </c>
      <c r="W471" s="56" t="s">
        <v>73</v>
      </c>
      <c r="X471" s="57" t="str">
        <f t="shared" si="28"/>
        <v/>
      </c>
      <c r="Y471" s="58" t="s">
        <v>73</v>
      </c>
      <c r="Z471" s="57" t="str">
        <f t="shared" si="29"/>
        <v/>
      </c>
      <c r="AA471" s="58" t="s">
        <v>73</v>
      </c>
      <c r="AB471" s="57" t="str">
        <f t="shared" si="30"/>
        <v/>
      </c>
      <c r="AC471" s="58" t="s">
        <v>73</v>
      </c>
      <c r="AD471" s="57" t="str">
        <f t="shared" si="31"/>
        <v/>
      </c>
      <c r="AE471" s="59"/>
      <c r="AF471" s="59"/>
      <c r="AG471" s="59"/>
      <c r="AH471" s="59"/>
      <c r="AI471" s="59" t="s">
        <v>73</v>
      </c>
      <c r="AJ471" s="59"/>
      <c r="AK471" s="59" t="s">
        <v>73</v>
      </c>
      <c r="AL471" s="59"/>
      <c r="AM471" s="59" t="s">
        <v>73</v>
      </c>
      <c r="AN471" s="59"/>
      <c r="AO471" s="59" t="s">
        <v>73</v>
      </c>
      <c r="AP471" s="59"/>
      <c r="AQ471" s="59" t="s">
        <v>73</v>
      </c>
      <c r="AR471" s="59"/>
      <c r="AS471" s="59" t="s">
        <v>72</v>
      </c>
      <c r="AT471" s="59"/>
      <c r="AU471" s="59"/>
      <c r="AV471" s="59"/>
      <c r="AW471" s="59"/>
      <c r="AX471" s="59"/>
      <c r="AY471" s="60" t="str">
        <f>IF('Cálculo MP'!K481="","",'Cálculo MP'!K481)</f>
        <v/>
      </c>
      <c r="AZ471" s="60" t="str">
        <f>IF('Cálculo MP'!L481="","",'Cálculo MP'!L481)</f>
        <v/>
      </c>
      <c r="BA471" s="60" t="str">
        <f>IF('Cálculo MP'!M481="","",'Cálculo MP'!M481)</f>
        <v/>
      </c>
      <c r="BB471" s="60" t="str">
        <f>IF('Cálculo MP'!N481="","",'Cálculo MP'!N481)</f>
        <v/>
      </c>
      <c r="BC471" s="60" t="str">
        <f>IF('Cálculo MP'!O481="","",'Cálculo MP'!O481)</f>
        <v/>
      </c>
      <c r="BD471" s="60" t="str">
        <f>IF('Cálculo MP'!P481="","",'Cálculo MP'!P481)</f>
        <v/>
      </c>
      <c r="BE471" s="60" t="str">
        <f>IF('Cálculo MP'!Q481="","",'Cálculo MP'!Q481)</f>
        <v/>
      </c>
      <c r="BF471" s="60" t="str">
        <f>IF('Cálculo MP'!R481="","",'Cálculo MP'!R481)</f>
        <v/>
      </c>
      <c r="BG471" s="60" t="str">
        <f>IF('Cálculo MP'!S481="","",'Cálculo MP'!S481)</f>
        <v/>
      </c>
      <c r="BH471" s="59"/>
      <c r="BI471" s="59"/>
      <c r="BJ471" s="59"/>
      <c r="BK471" s="59"/>
      <c r="BL471" s="59"/>
      <c r="BM471" s="59"/>
      <c r="BN471" s="59"/>
      <c r="BO471" s="59"/>
    </row>
    <row r="472" spans="1:67" ht="19.5" customHeight="1" x14ac:dyDescent="0.15">
      <c r="A472" s="123" t="s">
        <v>1856</v>
      </c>
      <c r="B472" s="122" t="s">
        <v>1854</v>
      </c>
      <c r="C472" s="49"/>
      <c r="D472" s="48" t="s">
        <v>73</v>
      </c>
      <c r="E472" s="49"/>
      <c r="F472" s="50"/>
      <c r="G472" s="62"/>
      <c r="H472" s="48" t="s">
        <v>72</v>
      </c>
      <c r="I472" s="52">
        <v>1</v>
      </c>
      <c r="J472" s="52"/>
      <c r="K472" s="52" t="s">
        <v>73</v>
      </c>
      <c r="L472" s="52" t="s">
        <v>74</v>
      </c>
      <c r="M472" s="53" t="s">
        <v>942</v>
      </c>
      <c r="N472" s="58" t="s">
        <v>73</v>
      </c>
      <c r="O472" s="48" t="s">
        <v>72</v>
      </c>
      <c r="P472" s="48" t="s">
        <v>73</v>
      </c>
      <c r="Q472" s="54" t="s">
        <v>73</v>
      </c>
      <c r="R472" s="55" t="s">
        <v>73</v>
      </c>
      <c r="S472" s="48" t="s">
        <v>73</v>
      </c>
      <c r="T472" s="130"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8" t="str" cm="1">
        <f t="array" ref="U472">IF(SUMPRODUCT(--((CAT_Procesos!$E$2:$E$1581=O472)*(CAT_Procesos!$F$2:$F$1581=_xlfn.TEXTJOIN(" + ",TRUE,IF((TRIM(P472:S472)="")+(LOWER(TRIM(P472:S472))="(seleccione)"),"",PROPER(TRIM(P472:S472)))))*(CAT_Procesos!$D$2:$D$1581=IFERROR(VLOOKUP(N472&amp;"*",CAT_Procesos!$D:$D,1,FALSE),""))))=0,"Combinación no existente",IF(SUMPRODUCT(((CAT_Procesos!$E$2:$E$1581=O472)*(CAT_Procesos!$F$2:$F$1581=_xlfn.TEXTJOIN(" + ",TRUE,IF((TRIM(P472:S472)="")+(LOWER(TRIM(P472:S472))="(seleccione)"),"",PROPER(TRIM(P472:S472)))))*(CAT_Procesos!$D$2:$D$1581=IFERROR(VLOOKUP(N472&amp;"*",CAT_Procesos!$D:$D,1,FALSE),"")))*(CAT_Procesos!$G$2:$G$1581=INDEX(CAT_Procesos!$G$2:$G$1581,MATCH(1,(CAT_Procesos!$E$2:$E$1581=O472)*(CAT_Procesos!$F$2:$F$1581=_xlfn.TEXTJOIN(" + ",TRUE,IF((TRIM(P472:S472)="")+(LOWER(TRIM(P472:S472))="(seleccione)"),"",PROPER(TRIM(P472:S472)))))*(CAT_Procesos!$D$2:$D$1581=IFERROR(VLOOKUP(N472&amp;"*",CAT_Procesos!$D:$D,1,FALSE),"")),0))))=SUMPRODUCT(--((CAT_Procesos!$E$2:$E$1581=O472)*(CAT_Procesos!$F$2:$F$1581=_xlfn.TEXTJOIN(" + ",TRUE,IF((TRIM(P472:S472)="")+(LOWER(TRIM(P472:S472))="(seleccione)"),"",PROPER(TRIM(P472:S472)))))*(CAT_Procesos!$D$2:$D$1581=IFERROR(VLOOKUP(N472&amp;"*",CAT_Procesos!$D:$D,1,FALSE),"")))),INDEX(CAT_Procesos!$G$2:$G$1581,MATCH(1,(CAT_Procesos!$E$2:$E$1581=O472)*(CAT_Procesos!$F$2:$F$1581=_xlfn.TEXTJOIN(" + ",TRUE,IF((TRIM(P472:S472)="")+(LOWER(TRIM(P472:S472))="(seleccione)"),"",PROPER(TRIM(P472:S472)))))*(CAT_Procesos!$D$2:$D$1581=IFERROR(VLOOKUP(N472&amp;"*",CAT_Procesos!$D:$D,1,FALSE),"")),0)),"(seleccione)"))</f>
        <v>Combinación no existente</v>
      </c>
      <c r="V472" s="55" t="s">
        <v>73</v>
      </c>
      <c r="W472" s="56" t="s">
        <v>73</v>
      </c>
      <c r="X472" s="57" t="str">
        <f t="shared" si="28"/>
        <v/>
      </c>
      <c r="Y472" s="58" t="s">
        <v>73</v>
      </c>
      <c r="Z472" s="57" t="str">
        <f t="shared" si="29"/>
        <v/>
      </c>
      <c r="AA472" s="58" t="s">
        <v>73</v>
      </c>
      <c r="AB472" s="57" t="str">
        <f t="shared" si="30"/>
        <v/>
      </c>
      <c r="AC472" s="58" t="s">
        <v>73</v>
      </c>
      <c r="AD472" s="57" t="str">
        <f t="shared" si="31"/>
        <v/>
      </c>
      <c r="AE472" s="59"/>
      <c r="AF472" s="59"/>
      <c r="AG472" s="59"/>
      <c r="AH472" s="59"/>
      <c r="AI472" s="59" t="s">
        <v>73</v>
      </c>
      <c r="AJ472" s="59"/>
      <c r="AK472" s="59" t="s">
        <v>73</v>
      </c>
      <c r="AL472" s="59"/>
      <c r="AM472" s="59" t="s">
        <v>73</v>
      </c>
      <c r="AN472" s="59"/>
      <c r="AO472" s="59" t="s">
        <v>73</v>
      </c>
      <c r="AP472" s="59"/>
      <c r="AQ472" s="59" t="s">
        <v>73</v>
      </c>
      <c r="AR472" s="59"/>
      <c r="AS472" s="59" t="s">
        <v>72</v>
      </c>
      <c r="AT472" s="59"/>
      <c r="AU472" s="59"/>
      <c r="AV472" s="59"/>
      <c r="AW472" s="59"/>
      <c r="AX472" s="59"/>
      <c r="AY472" s="60" t="str">
        <f>IF('Cálculo MP'!K482="","",'Cálculo MP'!K482)</f>
        <v/>
      </c>
      <c r="AZ472" s="60" t="str">
        <f>IF('Cálculo MP'!L482="","",'Cálculo MP'!L482)</f>
        <v/>
      </c>
      <c r="BA472" s="60" t="str">
        <f>IF('Cálculo MP'!M482="","",'Cálculo MP'!M482)</f>
        <v/>
      </c>
      <c r="BB472" s="60" t="str">
        <f>IF('Cálculo MP'!N482="","",'Cálculo MP'!N482)</f>
        <v/>
      </c>
      <c r="BC472" s="60" t="str">
        <f>IF('Cálculo MP'!O482="","",'Cálculo MP'!O482)</f>
        <v/>
      </c>
      <c r="BD472" s="60" t="str">
        <f>IF('Cálculo MP'!P482="","",'Cálculo MP'!P482)</f>
        <v/>
      </c>
      <c r="BE472" s="60" t="str">
        <f>IF('Cálculo MP'!Q482="","",'Cálculo MP'!Q482)</f>
        <v/>
      </c>
      <c r="BF472" s="60" t="str">
        <f>IF('Cálculo MP'!R482="","",'Cálculo MP'!R482)</f>
        <v/>
      </c>
      <c r="BG472" s="60" t="str">
        <f>IF('Cálculo MP'!S482="","",'Cálculo MP'!S482)</f>
        <v/>
      </c>
      <c r="BH472" s="59"/>
      <c r="BI472" s="59"/>
      <c r="BJ472" s="59"/>
      <c r="BK472" s="59"/>
      <c r="BL472" s="59"/>
      <c r="BM472" s="59"/>
      <c r="BN472" s="59"/>
      <c r="BO472" s="59"/>
    </row>
    <row r="473" spans="1:67" ht="19.5" customHeight="1" x14ac:dyDescent="0.15">
      <c r="A473" s="123" t="s">
        <v>1856</v>
      </c>
      <c r="B473" s="122" t="s">
        <v>1854</v>
      </c>
      <c r="C473" s="49"/>
      <c r="D473" s="48" t="s">
        <v>73</v>
      </c>
      <c r="E473" s="49"/>
      <c r="F473" s="50"/>
      <c r="G473" s="62"/>
      <c r="H473" s="48" t="s">
        <v>72</v>
      </c>
      <c r="I473" s="52">
        <v>1</v>
      </c>
      <c r="J473" s="52"/>
      <c r="K473" s="52" t="s">
        <v>73</v>
      </c>
      <c r="L473" s="52" t="s">
        <v>74</v>
      </c>
      <c r="M473" s="53" t="s">
        <v>942</v>
      </c>
      <c r="N473" s="58" t="s">
        <v>73</v>
      </c>
      <c r="O473" s="48" t="s">
        <v>72</v>
      </c>
      <c r="P473" s="48" t="s">
        <v>73</v>
      </c>
      <c r="Q473" s="54" t="s">
        <v>73</v>
      </c>
      <c r="R473" s="55" t="s">
        <v>73</v>
      </c>
      <c r="S473" s="48" t="s">
        <v>73</v>
      </c>
      <c r="T473" s="130"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8" t="str" cm="1">
        <f t="array" ref="U473">IF(SUMPRODUCT(--((CAT_Procesos!$E$2:$E$1581=O473)*(CAT_Procesos!$F$2:$F$1581=_xlfn.TEXTJOIN(" + ",TRUE,IF((TRIM(P473:S473)="")+(LOWER(TRIM(P473:S473))="(seleccione)"),"",PROPER(TRIM(P473:S473)))))*(CAT_Procesos!$D$2:$D$1581=IFERROR(VLOOKUP(N473&amp;"*",CAT_Procesos!$D:$D,1,FALSE),""))))=0,"Combinación no existente",IF(SUMPRODUCT(((CAT_Procesos!$E$2:$E$1581=O473)*(CAT_Procesos!$F$2:$F$1581=_xlfn.TEXTJOIN(" + ",TRUE,IF((TRIM(P473:S473)="")+(LOWER(TRIM(P473:S473))="(seleccione)"),"",PROPER(TRIM(P473:S473)))))*(CAT_Procesos!$D$2:$D$1581=IFERROR(VLOOKUP(N473&amp;"*",CAT_Procesos!$D:$D,1,FALSE),"")))*(CAT_Procesos!$G$2:$G$1581=INDEX(CAT_Procesos!$G$2:$G$1581,MATCH(1,(CAT_Procesos!$E$2:$E$1581=O473)*(CAT_Procesos!$F$2:$F$1581=_xlfn.TEXTJOIN(" + ",TRUE,IF((TRIM(P473:S473)="")+(LOWER(TRIM(P473:S473))="(seleccione)"),"",PROPER(TRIM(P473:S473)))))*(CAT_Procesos!$D$2:$D$1581=IFERROR(VLOOKUP(N473&amp;"*",CAT_Procesos!$D:$D,1,FALSE),"")),0))))=SUMPRODUCT(--((CAT_Procesos!$E$2:$E$1581=O473)*(CAT_Procesos!$F$2:$F$1581=_xlfn.TEXTJOIN(" + ",TRUE,IF((TRIM(P473:S473)="")+(LOWER(TRIM(P473:S473))="(seleccione)"),"",PROPER(TRIM(P473:S473)))))*(CAT_Procesos!$D$2:$D$1581=IFERROR(VLOOKUP(N473&amp;"*",CAT_Procesos!$D:$D,1,FALSE),"")))),INDEX(CAT_Procesos!$G$2:$G$1581,MATCH(1,(CAT_Procesos!$E$2:$E$1581=O473)*(CAT_Procesos!$F$2:$F$1581=_xlfn.TEXTJOIN(" + ",TRUE,IF((TRIM(P473:S473)="")+(LOWER(TRIM(P473:S473))="(seleccione)"),"",PROPER(TRIM(P473:S473)))))*(CAT_Procesos!$D$2:$D$1581=IFERROR(VLOOKUP(N473&amp;"*",CAT_Procesos!$D:$D,1,FALSE),"")),0)),"(seleccione)"))</f>
        <v>Combinación no existente</v>
      </c>
      <c r="V473" s="55" t="s">
        <v>73</v>
      </c>
      <c r="W473" s="56" t="s">
        <v>73</v>
      </c>
      <c r="X473" s="57" t="str">
        <f t="shared" si="28"/>
        <v/>
      </c>
      <c r="Y473" s="58" t="s">
        <v>73</v>
      </c>
      <c r="Z473" s="57" t="str">
        <f t="shared" si="29"/>
        <v/>
      </c>
      <c r="AA473" s="58" t="s">
        <v>73</v>
      </c>
      <c r="AB473" s="57" t="str">
        <f t="shared" si="30"/>
        <v/>
      </c>
      <c r="AC473" s="58" t="s">
        <v>73</v>
      </c>
      <c r="AD473" s="57" t="str">
        <f t="shared" si="31"/>
        <v/>
      </c>
      <c r="AE473" s="59"/>
      <c r="AF473" s="59"/>
      <c r="AG473" s="59"/>
      <c r="AH473" s="59"/>
      <c r="AI473" s="59" t="s">
        <v>73</v>
      </c>
      <c r="AJ473" s="59"/>
      <c r="AK473" s="59" t="s">
        <v>73</v>
      </c>
      <c r="AL473" s="59"/>
      <c r="AM473" s="59" t="s">
        <v>73</v>
      </c>
      <c r="AN473" s="59"/>
      <c r="AO473" s="59" t="s">
        <v>73</v>
      </c>
      <c r="AP473" s="59"/>
      <c r="AQ473" s="59" t="s">
        <v>73</v>
      </c>
      <c r="AR473" s="59"/>
      <c r="AS473" s="59" t="s">
        <v>72</v>
      </c>
      <c r="AT473" s="59"/>
      <c r="AU473" s="59"/>
      <c r="AV473" s="59"/>
      <c r="AW473" s="59"/>
      <c r="AX473" s="59"/>
      <c r="AY473" s="60" t="str">
        <f>IF('Cálculo MP'!K483="","",'Cálculo MP'!K483)</f>
        <v/>
      </c>
      <c r="AZ473" s="60" t="str">
        <f>IF('Cálculo MP'!L483="","",'Cálculo MP'!L483)</f>
        <v/>
      </c>
      <c r="BA473" s="60" t="str">
        <f>IF('Cálculo MP'!M483="","",'Cálculo MP'!M483)</f>
        <v/>
      </c>
      <c r="BB473" s="60" t="str">
        <f>IF('Cálculo MP'!N483="","",'Cálculo MP'!N483)</f>
        <v/>
      </c>
      <c r="BC473" s="60" t="str">
        <f>IF('Cálculo MP'!O483="","",'Cálculo MP'!O483)</f>
        <v/>
      </c>
      <c r="BD473" s="60" t="str">
        <f>IF('Cálculo MP'!P483="","",'Cálculo MP'!P483)</f>
        <v/>
      </c>
      <c r="BE473" s="60" t="str">
        <f>IF('Cálculo MP'!Q483="","",'Cálculo MP'!Q483)</f>
        <v/>
      </c>
      <c r="BF473" s="60" t="str">
        <f>IF('Cálculo MP'!R483="","",'Cálculo MP'!R483)</f>
        <v/>
      </c>
      <c r="BG473" s="60" t="str">
        <f>IF('Cálculo MP'!S483="","",'Cálculo MP'!S483)</f>
        <v/>
      </c>
      <c r="BH473" s="59"/>
      <c r="BI473" s="59"/>
      <c r="BJ473" s="59"/>
      <c r="BK473" s="59"/>
      <c r="BL473" s="59"/>
      <c r="BM473" s="59"/>
      <c r="BN473" s="59"/>
      <c r="BO473" s="59"/>
    </row>
    <row r="474" spans="1:67" ht="19.5" customHeight="1" x14ac:dyDescent="0.15">
      <c r="A474" s="123" t="s">
        <v>1856</v>
      </c>
      <c r="B474" s="122" t="s">
        <v>1854</v>
      </c>
      <c r="C474" s="49"/>
      <c r="D474" s="48" t="s">
        <v>73</v>
      </c>
      <c r="E474" s="49"/>
      <c r="F474" s="50"/>
      <c r="G474" s="62"/>
      <c r="H474" s="48" t="s">
        <v>72</v>
      </c>
      <c r="I474" s="52">
        <v>1</v>
      </c>
      <c r="J474" s="52"/>
      <c r="K474" s="52" t="s">
        <v>73</v>
      </c>
      <c r="L474" s="52" t="s">
        <v>74</v>
      </c>
      <c r="M474" s="53" t="s">
        <v>942</v>
      </c>
      <c r="N474" s="58" t="s">
        <v>73</v>
      </c>
      <c r="O474" s="48" t="s">
        <v>72</v>
      </c>
      <c r="P474" s="48" t="s">
        <v>73</v>
      </c>
      <c r="Q474" s="54" t="s">
        <v>73</v>
      </c>
      <c r="R474" s="55" t="s">
        <v>73</v>
      </c>
      <c r="S474" s="48" t="s">
        <v>73</v>
      </c>
      <c r="T474" s="130"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8" t="str" cm="1">
        <f t="array" ref="U474">IF(SUMPRODUCT(--((CAT_Procesos!$E$2:$E$1581=O474)*(CAT_Procesos!$F$2:$F$1581=_xlfn.TEXTJOIN(" + ",TRUE,IF((TRIM(P474:S474)="")+(LOWER(TRIM(P474:S474))="(seleccione)"),"",PROPER(TRIM(P474:S474)))))*(CAT_Procesos!$D$2:$D$1581=IFERROR(VLOOKUP(N474&amp;"*",CAT_Procesos!$D:$D,1,FALSE),""))))=0,"Combinación no existente",IF(SUMPRODUCT(((CAT_Procesos!$E$2:$E$1581=O474)*(CAT_Procesos!$F$2:$F$1581=_xlfn.TEXTJOIN(" + ",TRUE,IF((TRIM(P474:S474)="")+(LOWER(TRIM(P474:S474))="(seleccione)"),"",PROPER(TRIM(P474:S474)))))*(CAT_Procesos!$D$2:$D$1581=IFERROR(VLOOKUP(N474&amp;"*",CAT_Procesos!$D:$D,1,FALSE),"")))*(CAT_Procesos!$G$2:$G$1581=INDEX(CAT_Procesos!$G$2:$G$1581,MATCH(1,(CAT_Procesos!$E$2:$E$1581=O474)*(CAT_Procesos!$F$2:$F$1581=_xlfn.TEXTJOIN(" + ",TRUE,IF((TRIM(P474:S474)="")+(LOWER(TRIM(P474:S474))="(seleccione)"),"",PROPER(TRIM(P474:S474)))))*(CAT_Procesos!$D$2:$D$1581=IFERROR(VLOOKUP(N474&amp;"*",CAT_Procesos!$D:$D,1,FALSE),"")),0))))=SUMPRODUCT(--((CAT_Procesos!$E$2:$E$1581=O474)*(CAT_Procesos!$F$2:$F$1581=_xlfn.TEXTJOIN(" + ",TRUE,IF((TRIM(P474:S474)="")+(LOWER(TRIM(P474:S474))="(seleccione)"),"",PROPER(TRIM(P474:S474)))))*(CAT_Procesos!$D$2:$D$1581=IFERROR(VLOOKUP(N474&amp;"*",CAT_Procesos!$D:$D,1,FALSE),"")))),INDEX(CAT_Procesos!$G$2:$G$1581,MATCH(1,(CAT_Procesos!$E$2:$E$1581=O474)*(CAT_Procesos!$F$2:$F$1581=_xlfn.TEXTJOIN(" + ",TRUE,IF((TRIM(P474:S474)="")+(LOWER(TRIM(P474:S474))="(seleccione)"),"",PROPER(TRIM(P474:S474)))))*(CAT_Procesos!$D$2:$D$1581=IFERROR(VLOOKUP(N474&amp;"*",CAT_Procesos!$D:$D,1,FALSE),"")),0)),"(seleccione)"))</f>
        <v>Combinación no existente</v>
      </c>
      <c r="V474" s="55" t="s">
        <v>73</v>
      </c>
      <c r="W474" s="56" t="s">
        <v>73</v>
      </c>
      <c r="X474" s="57" t="str">
        <f t="shared" si="28"/>
        <v/>
      </c>
      <c r="Y474" s="58" t="s">
        <v>73</v>
      </c>
      <c r="Z474" s="57" t="str">
        <f t="shared" si="29"/>
        <v/>
      </c>
      <c r="AA474" s="58" t="s">
        <v>73</v>
      </c>
      <c r="AB474" s="57" t="str">
        <f t="shared" si="30"/>
        <v/>
      </c>
      <c r="AC474" s="58" t="s">
        <v>73</v>
      </c>
      <c r="AD474" s="57" t="str">
        <f t="shared" si="31"/>
        <v/>
      </c>
      <c r="AE474" s="59"/>
      <c r="AF474" s="59"/>
      <c r="AG474" s="59"/>
      <c r="AH474" s="59"/>
      <c r="AI474" s="59" t="s">
        <v>73</v>
      </c>
      <c r="AJ474" s="59"/>
      <c r="AK474" s="59" t="s">
        <v>73</v>
      </c>
      <c r="AL474" s="59"/>
      <c r="AM474" s="59" t="s">
        <v>73</v>
      </c>
      <c r="AN474" s="59"/>
      <c r="AO474" s="59" t="s">
        <v>73</v>
      </c>
      <c r="AP474" s="59"/>
      <c r="AQ474" s="59" t="s">
        <v>73</v>
      </c>
      <c r="AR474" s="59"/>
      <c r="AS474" s="59" t="s">
        <v>72</v>
      </c>
      <c r="AT474" s="59"/>
      <c r="AU474" s="59"/>
      <c r="AV474" s="59"/>
      <c r="AW474" s="59"/>
      <c r="AX474" s="59"/>
      <c r="AY474" s="60" t="str">
        <f>IF('Cálculo MP'!K484="","",'Cálculo MP'!K484)</f>
        <v/>
      </c>
      <c r="AZ474" s="60" t="str">
        <f>IF('Cálculo MP'!L484="","",'Cálculo MP'!L484)</f>
        <v/>
      </c>
      <c r="BA474" s="60" t="str">
        <f>IF('Cálculo MP'!M484="","",'Cálculo MP'!M484)</f>
        <v/>
      </c>
      <c r="BB474" s="60" t="str">
        <f>IF('Cálculo MP'!N484="","",'Cálculo MP'!N484)</f>
        <v/>
      </c>
      <c r="BC474" s="60" t="str">
        <f>IF('Cálculo MP'!O484="","",'Cálculo MP'!O484)</f>
        <v/>
      </c>
      <c r="BD474" s="60" t="str">
        <f>IF('Cálculo MP'!P484="","",'Cálculo MP'!P484)</f>
        <v/>
      </c>
      <c r="BE474" s="60" t="str">
        <f>IF('Cálculo MP'!Q484="","",'Cálculo MP'!Q484)</f>
        <v/>
      </c>
      <c r="BF474" s="60" t="str">
        <f>IF('Cálculo MP'!R484="","",'Cálculo MP'!R484)</f>
        <v/>
      </c>
      <c r="BG474" s="60" t="str">
        <f>IF('Cálculo MP'!S484="","",'Cálculo MP'!S484)</f>
        <v/>
      </c>
      <c r="BH474" s="59"/>
      <c r="BI474" s="59"/>
      <c r="BJ474" s="59"/>
      <c r="BK474" s="59"/>
      <c r="BL474" s="59"/>
      <c r="BM474" s="59"/>
      <c r="BN474" s="59"/>
      <c r="BO474" s="59"/>
    </row>
    <row r="475" spans="1:67" ht="19.5" customHeight="1" x14ac:dyDescent="0.15">
      <c r="A475" s="123" t="s">
        <v>1856</v>
      </c>
      <c r="B475" s="122" t="s">
        <v>1854</v>
      </c>
      <c r="C475" s="49"/>
      <c r="D475" s="48" t="s">
        <v>73</v>
      </c>
      <c r="E475" s="49"/>
      <c r="F475" s="50"/>
      <c r="G475" s="62"/>
      <c r="H475" s="48" t="s">
        <v>72</v>
      </c>
      <c r="I475" s="52">
        <v>1</v>
      </c>
      <c r="J475" s="52"/>
      <c r="K475" s="52" t="s">
        <v>73</v>
      </c>
      <c r="L475" s="52" t="s">
        <v>74</v>
      </c>
      <c r="M475" s="53" t="s">
        <v>942</v>
      </c>
      <c r="N475" s="58" t="s">
        <v>73</v>
      </c>
      <c r="O475" s="48" t="s">
        <v>72</v>
      </c>
      <c r="P475" s="48" t="s">
        <v>73</v>
      </c>
      <c r="Q475" s="54" t="s">
        <v>73</v>
      </c>
      <c r="R475" s="55" t="s">
        <v>73</v>
      </c>
      <c r="S475" s="48" t="s">
        <v>73</v>
      </c>
      <c r="T475" s="130"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8" t="str" cm="1">
        <f t="array" ref="U475">IF(SUMPRODUCT(--((CAT_Procesos!$E$2:$E$1581=O475)*(CAT_Procesos!$F$2:$F$1581=_xlfn.TEXTJOIN(" + ",TRUE,IF((TRIM(P475:S475)="")+(LOWER(TRIM(P475:S475))="(seleccione)"),"",PROPER(TRIM(P475:S475)))))*(CAT_Procesos!$D$2:$D$1581=IFERROR(VLOOKUP(N475&amp;"*",CAT_Procesos!$D:$D,1,FALSE),""))))=0,"Combinación no existente",IF(SUMPRODUCT(((CAT_Procesos!$E$2:$E$1581=O475)*(CAT_Procesos!$F$2:$F$1581=_xlfn.TEXTJOIN(" + ",TRUE,IF((TRIM(P475:S475)="")+(LOWER(TRIM(P475:S475))="(seleccione)"),"",PROPER(TRIM(P475:S475)))))*(CAT_Procesos!$D$2:$D$1581=IFERROR(VLOOKUP(N475&amp;"*",CAT_Procesos!$D:$D,1,FALSE),"")))*(CAT_Procesos!$G$2:$G$1581=INDEX(CAT_Procesos!$G$2:$G$1581,MATCH(1,(CAT_Procesos!$E$2:$E$1581=O475)*(CAT_Procesos!$F$2:$F$1581=_xlfn.TEXTJOIN(" + ",TRUE,IF((TRIM(P475:S475)="")+(LOWER(TRIM(P475:S475))="(seleccione)"),"",PROPER(TRIM(P475:S475)))))*(CAT_Procesos!$D$2:$D$1581=IFERROR(VLOOKUP(N475&amp;"*",CAT_Procesos!$D:$D,1,FALSE),"")),0))))=SUMPRODUCT(--((CAT_Procesos!$E$2:$E$1581=O475)*(CAT_Procesos!$F$2:$F$1581=_xlfn.TEXTJOIN(" + ",TRUE,IF((TRIM(P475:S475)="")+(LOWER(TRIM(P475:S475))="(seleccione)"),"",PROPER(TRIM(P475:S475)))))*(CAT_Procesos!$D$2:$D$1581=IFERROR(VLOOKUP(N475&amp;"*",CAT_Procesos!$D:$D,1,FALSE),"")))),INDEX(CAT_Procesos!$G$2:$G$1581,MATCH(1,(CAT_Procesos!$E$2:$E$1581=O475)*(CAT_Procesos!$F$2:$F$1581=_xlfn.TEXTJOIN(" + ",TRUE,IF((TRIM(P475:S475)="")+(LOWER(TRIM(P475:S475))="(seleccione)"),"",PROPER(TRIM(P475:S475)))))*(CAT_Procesos!$D$2:$D$1581=IFERROR(VLOOKUP(N475&amp;"*",CAT_Procesos!$D:$D,1,FALSE),"")),0)),"(seleccione)"))</f>
        <v>Combinación no existente</v>
      </c>
      <c r="V475" s="55" t="s">
        <v>73</v>
      </c>
      <c r="W475" s="56" t="s">
        <v>73</v>
      </c>
      <c r="X475" s="57" t="str">
        <f t="shared" si="28"/>
        <v/>
      </c>
      <c r="Y475" s="58" t="s">
        <v>73</v>
      </c>
      <c r="Z475" s="57" t="str">
        <f t="shared" si="29"/>
        <v/>
      </c>
      <c r="AA475" s="58" t="s">
        <v>73</v>
      </c>
      <c r="AB475" s="57" t="str">
        <f t="shared" si="30"/>
        <v/>
      </c>
      <c r="AC475" s="58" t="s">
        <v>73</v>
      </c>
      <c r="AD475" s="57" t="str">
        <f t="shared" si="31"/>
        <v/>
      </c>
      <c r="AE475" s="59"/>
      <c r="AF475" s="59"/>
      <c r="AG475" s="59"/>
      <c r="AH475" s="59"/>
      <c r="AI475" s="59" t="s">
        <v>73</v>
      </c>
      <c r="AJ475" s="59"/>
      <c r="AK475" s="59" t="s">
        <v>73</v>
      </c>
      <c r="AL475" s="59"/>
      <c r="AM475" s="59" t="s">
        <v>73</v>
      </c>
      <c r="AN475" s="59"/>
      <c r="AO475" s="59" t="s">
        <v>73</v>
      </c>
      <c r="AP475" s="59"/>
      <c r="AQ475" s="59" t="s">
        <v>73</v>
      </c>
      <c r="AR475" s="59"/>
      <c r="AS475" s="59" t="s">
        <v>72</v>
      </c>
      <c r="AT475" s="59"/>
      <c r="AU475" s="59"/>
      <c r="AV475" s="59"/>
      <c r="AW475" s="59"/>
      <c r="AX475" s="59"/>
      <c r="AY475" s="60" t="str">
        <f>IF('Cálculo MP'!K485="","",'Cálculo MP'!K485)</f>
        <v/>
      </c>
      <c r="AZ475" s="60" t="str">
        <f>IF('Cálculo MP'!L485="","",'Cálculo MP'!L485)</f>
        <v/>
      </c>
      <c r="BA475" s="60" t="str">
        <f>IF('Cálculo MP'!M485="","",'Cálculo MP'!M485)</f>
        <v/>
      </c>
      <c r="BB475" s="60" t="str">
        <f>IF('Cálculo MP'!N485="","",'Cálculo MP'!N485)</f>
        <v/>
      </c>
      <c r="BC475" s="60" t="str">
        <f>IF('Cálculo MP'!O485="","",'Cálculo MP'!O485)</f>
        <v/>
      </c>
      <c r="BD475" s="60" t="str">
        <f>IF('Cálculo MP'!P485="","",'Cálculo MP'!P485)</f>
        <v/>
      </c>
      <c r="BE475" s="60" t="str">
        <f>IF('Cálculo MP'!Q485="","",'Cálculo MP'!Q485)</f>
        <v/>
      </c>
      <c r="BF475" s="60" t="str">
        <f>IF('Cálculo MP'!R485="","",'Cálculo MP'!R485)</f>
        <v/>
      </c>
      <c r="BG475" s="60" t="str">
        <f>IF('Cálculo MP'!S485="","",'Cálculo MP'!S485)</f>
        <v/>
      </c>
      <c r="BH475" s="59"/>
      <c r="BI475" s="59"/>
      <c r="BJ475" s="59"/>
      <c r="BK475" s="59"/>
      <c r="BL475" s="59"/>
      <c r="BM475" s="59"/>
      <c r="BN475" s="59"/>
      <c r="BO475" s="59"/>
    </row>
    <row r="476" spans="1:67" ht="19.5" customHeight="1" x14ac:dyDescent="0.15">
      <c r="A476" s="123" t="s">
        <v>1856</v>
      </c>
      <c r="B476" s="122" t="s">
        <v>1854</v>
      </c>
      <c r="C476" s="49"/>
      <c r="D476" s="48" t="s">
        <v>73</v>
      </c>
      <c r="E476" s="49"/>
      <c r="F476" s="50"/>
      <c r="G476" s="62"/>
      <c r="H476" s="48" t="s">
        <v>72</v>
      </c>
      <c r="I476" s="52">
        <v>1</v>
      </c>
      <c r="J476" s="52"/>
      <c r="K476" s="52" t="s">
        <v>73</v>
      </c>
      <c r="L476" s="52" t="s">
        <v>74</v>
      </c>
      <c r="M476" s="53" t="s">
        <v>942</v>
      </c>
      <c r="N476" s="58" t="s">
        <v>73</v>
      </c>
      <c r="O476" s="48" t="s">
        <v>72</v>
      </c>
      <c r="P476" s="48" t="s">
        <v>73</v>
      </c>
      <c r="Q476" s="54" t="s">
        <v>73</v>
      </c>
      <c r="R476" s="55" t="s">
        <v>73</v>
      </c>
      <c r="S476" s="48" t="s">
        <v>73</v>
      </c>
      <c r="T476" s="130"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8" t="str" cm="1">
        <f t="array" ref="U476">IF(SUMPRODUCT(--((CAT_Procesos!$E$2:$E$1581=O476)*(CAT_Procesos!$F$2:$F$1581=_xlfn.TEXTJOIN(" + ",TRUE,IF((TRIM(P476:S476)="")+(LOWER(TRIM(P476:S476))="(seleccione)"),"",PROPER(TRIM(P476:S476)))))*(CAT_Procesos!$D$2:$D$1581=IFERROR(VLOOKUP(N476&amp;"*",CAT_Procesos!$D:$D,1,FALSE),""))))=0,"Combinación no existente",IF(SUMPRODUCT(((CAT_Procesos!$E$2:$E$1581=O476)*(CAT_Procesos!$F$2:$F$1581=_xlfn.TEXTJOIN(" + ",TRUE,IF((TRIM(P476:S476)="")+(LOWER(TRIM(P476:S476))="(seleccione)"),"",PROPER(TRIM(P476:S476)))))*(CAT_Procesos!$D$2:$D$1581=IFERROR(VLOOKUP(N476&amp;"*",CAT_Procesos!$D:$D,1,FALSE),"")))*(CAT_Procesos!$G$2:$G$1581=INDEX(CAT_Procesos!$G$2:$G$1581,MATCH(1,(CAT_Procesos!$E$2:$E$1581=O476)*(CAT_Procesos!$F$2:$F$1581=_xlfn.TEXTJOIN(" + ",TRUE,IF((TRIM(P476:S476)="")+(LOWER(TRIM(P476:S476))="(seleccione)"),"",PROPER(TRIM(P476:S476)))))*(CAT_Procesos!$D$2:$D$1581=IFERROR(VLOOKUP(N476&amp;"*",CAT_Procesos!$D:$D,1,FALSE),"")),0))))=SUMPRODUCT(--((CAT_Procesos!$E$2:$E$1581=O476)*(CAT_Procesos!$F$2:$F$1581=_xlfn.TEXTJOIN(" + ",TRUE,IF((TRIM(P476:S476)="")+(LOWER(TRIM(P476:S476))="(seleccione)"),"",PROPER(TRIM(P476:S476)))))*(CAT_Procesos!$D$2:$D$1581=IFERROR(VLOOKUP(N476&amp;"*",CAT_Procesos!$D:$D,1,FALSE),"")))),INDEX(CAT_Procesos!$G$2:$G$1581,MATCH(1,(CAT_Procesos!$E$2:$E$1581=O476)*(CAT_Procesos!$F$2:$F$1581=_xlfn.TEXTJOIN(" + ",TRUE,IF((TRIM(P476:S476)="")+(LOWER(TRIM(P476:S476))="(seleccione)"),"",PROPER(TRIM(P476:S476)))))*(CAT_Procesos!$D$2:$D$1581=IFERROR(VLOOKUP(N476&amp;"*",CAT_Procesos!$D:$D,1,FALSE),"")),0)),"(seleccione)"))</f>
        <v>Combinación no existente</v>
      </c>
      <c r="V476" s="55" t="s">
        <v>73</v>
      </c>
      <c r="W476" s="56" t="s">
        <v>73</v>
      </c>
      <c r="X476" s="57" t="str">
        <f t="shared" si="28"/>
        <v/>
      </c>
      <c r="Y476" s="58" t="s">
        <v>73</v>
      </c>
      <c r="Z476" s="57" t="str">
        <f t="shared" si="29"/>
        <v/>
      </c>
      <c r="AA476" s="58" t="s">
        <v>73</v>
      </c>
      <c r="AB476" s="57" t="str">
        <f t="shared" si="30"/>
        <v/>
      </c>
      <c r="AC476" s="58" t="s">
        <v>73</v>
      </c>
      <c r="AD476" s="57" t="str">
        <f t="shared" si="31"/>
        <v/>
      </c>
      <c r="AE476" s="59"/>
      <c r="AF476" s="59"/>
      <c r="AG476" s="59"/>
      <c r="AH476" s="59"/>
      <c r="AI476" s="59" t="s">
        <v>73</v>
      </c>
      <c r="AJ476" s="59"/>
      <c r="AK476" s="59" t="s">
        <v>73</v>
      </c>
      <c r="AL476" s="59"/>
      <c r="AM476" s="59" t="s">
        <v>73</v>
      </c>
      <c r="AN476" s="59"/>
      <c r="AO476" s="59" t="s">
        <v>73</v>
      </c>
      <c r="AP476" s="59"/>
      <c r="AQ476" s="59" t="s">
        <v>73</v>
      </c>
      <c r="AR476" s="59"/>
      <c r="AS476" s="59" t="s">
        <v>72</v>
      </c>
      <c r="AT476" s="59"/>
      <c r="AU476" s="59"/>
      <c r="AV476" s="59"/>
      <c r="AW476" s="59"/>
      <c r="AX476" s="59"/>
      <c r="AY476" s="60" t="str">
        <f>IF('Cálculo MP'!K486="","",'Cálculo MP'!K486)</f>
        <v/>
      </c>
      <c r="AZ476" s="60" t="str">
        <f>IF('Cálculo MP'!L486="","",'Cálculo MP'!L486)</f>
        <v/>
      </c>
      <c r="BA476" s="60" t="str">
        <f>IF('Cálculo MP'!M486="","",'Cálculo MP'!M486)</f>
        <v/>
      </c>
      <c r="BB476" s="60" t="str">
        <f>IF('Cálculo MP'!N486="","",'Cálculo MP'!N486)</f>
        <v/>
      </c>
      <c r="BC476" s="60" t="str">
        <f>IF('Cálculo MP'!O486="","",'Cálculo MP'!O486)</f>
        <v/>
      </c>
      <c r="BD476" s="60" t="str">
        <f>IF('Cálculo MP'!P486="","",'Cálculo MP'!P486)</f>
        <v/>
      </c>
      <c r="BE476" s="60" t="str">
        <f>IF('Cálculo MP'!Q486="","",'Cálculo MP'!Q486)</f>
        <v/>
      </c>
      <c r="BF476" s="60" t="str">
        <f>IF('Cálculo MP'!R486="","",'Cálculo MP'!R486)</f>
        <v/>
      </c>
      <c r="BG476" s="60" t="str">
        <f>IF('Cálculo MP'!S486="","",'Cálculo MP'!S486)</f>
        <v/>
      </c>
      <c r="BH476" s="59"/>
      <c r="BI476" s="59"/>
      <c r="BJ476" s="59"/>
      <c r="BK476" s="59"/>
      <c r="BL476" s="59"/>
      <c r="BM476" s="59"/>
      <c r="BN476" s="59"/>
      <c r="BO476" s="59"/>
    </row>
    <row r="477" spans="1:67" ht="19.5" customHeight="1" x14ac:dyDescent="0.15">
      <c r="A477" s="123" t="s">
        <v>1856</v>
      </c>
      <c r="B477" s="122" t="s">
        <v>1854</v>
      </c>
      <c r="C477" s="49"/>
      <c r="D477" s="48" t="s">
        <v>73</v>
      </c>
      <c r="E477" s="49"/>
      <c r="F477" s="50"/>
      <c r="G477" s="62"/>
      <c r="H477" s="48" t="s">
        <v>72</v>
      </c>
      <c r="I477" s="52">
        <v>1</v>
      </c>
      <c r="J477" s="52"/>
      <c r="K477" s="52" t="s">
        <v>73</v>
      </c>
      <c r="L477" s="52" t="s">
        <v>74</v>
      </c>
      <c r="M477" s="53" t="s">
        <v>942</v>
      </c>
      <c r="N477" s="58" t="s">
        <v>73</v>
      </c>
      <c r="O477" s="48" t="s">
        <v>72</v>
      </c>
      <c r="P477" s="48" t="s">
        <v>73</v>
      </c>
      <c r="Q477" s="54" t="s">
        <v>73</v>
      </c>
      <c r="R477" s="55" t="s">
        <v>73</v>
      </c>
      <c r="S477" s="48" t="s">
        <v>73</v>
      </c>
      <c r="T477" s="130"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8" t="str" cm="1">
        <f t="array" ref="U477">IF(SUMPRODUCT(--((CAT_Procesos!$E$2:$E$1581=O477)*(CAT_Procesos!$F$2:$F$1581=_xlfn.TEXTJOIN(" + ",TRUE,IF((TRIM(P477:S477)="")+(LOWER(TRIM(P477:S477))="(seleccione)"),"",PROPER(TRIM(P477:S477)))))*(CAT_Procesos!$D$2:$D$1581=IFERROR(VLOOKUP(N477&amp;"*",CAT_Procesos!$D:$D,1,FALSE),""))))=0,"Combinación no existente",IF(SUMPRODUCT(((CAT_Procesos!$E$2:$E$1581=O477)*(CAT_Procesos!$F$2:$F$1581=_xlfn.TEXTJOIN(" + ",TRUE,IF((TRIM(P477:S477)="")+(LOWER(TRIM(P477:S477))="(seleccione)"),"",PROPER(TRIM(P477:S477)))))*(CAT_Procesos!$D$2:$D$1581=IFERROR(VLOOKUP(N477&amp;"*",CAT_Procesos!$D:$D,1,FALSE),"")))*(CAT_Procesos!$G$2:$G$1581=INDEX(CAT_Procesos!$G$2:$G$1581,MATCH(1,(CAT_Procesos!$E$2:$E$1581=O477)*(CAT_Procesos!$F$2:$F$1581=_xlfn.TEXTJOIN(" + ",TRUE,IF((TRIM(P477:S477)="")+(LOWER(TRIM(P477:S477))="(seleccione)"),"",PROPER(TRIM(P477:S477)))))*(CAT_Procesos!$D$2:$D$1581=IFERROR(VLOOKUP(N477&amp;"*",CAT_Procesos!$D:$D,1,FALSE),"")),0))))=SUMPRODUCT(--((CAT_Procesos!$E$2:$E$1581=O477)*(CAT_Procesos!$F$2:$F$1581=_xlfn.TEXTJOIN(" + ",TRUE,IF((TRIM(P477:S477)="")+(LOWER(TRIM(P477:S477))="(seleccione)"),"",PROPER(TRIM(P477:S477)))))*(CAT_Procesos!$D$2:$D$1581=IFERROR(VLOOKUP(N477&amp;"*",CAT_Procesos!$D:$D,1,FALSE),"")))),INDEX(CAT_Procesos!$G$2:$G$1581,MATCH(1,(CAT_Procesos!$E$2:$E$1581=O477)*(CAT_Procesos!$F$2:$F$1581=_xlfn.TEXTJOIN(" + ",TRUE,IF((TRIM(P477:S477)="")+(LOWER(TRIM(P477:S477))="(seleccione)"),"",PROPER(TRIM(P477:S477)))))*(CAT_Procesos!$D$2:$D$1581=IFERROR(VLOOKUP(N477&amp;"*",CAT_Procesos!$D:$D,1,FALSE),"")),0)),"(seleccione)"))</f>
        <v>Combinación no existente</v>
      </c>
      <c r="V477" s="55" t="s">
        <v>73</v>
      </c>
      <c r="W477" s="56" t="s">
        <v>73</v>
      </c>
      <c r="X477" s="57" t="str">
        <f t="shared" si="28"/>
        <v/>
      </c>
      <c r="Y477" s="58" t="s">
        <v>73</v>
      </c>
      <c r="Z477" s="57" t="str">
        <f t="shared" si="29"/>
        <v/>
      </c>
      <c r="AA477" s="58" t="s">
        <v>73</v>
      </c>
      <c r="AB477" s="57" t="str">
        <f t="shared" si="30"/>
        <v/>
      </c>
      <c r="AC477" s="58" t="s">
        <v>73</v>
      </c>
      <c r="AD477" s="57" t="str">
        <f t="shared" si="31"/>
        <v/>
      </c>
      <c r="AE477" s="59"/>
      <c r="AF477" s="59"/>
      <c r="AG477" s="59"/>
      <c r="AH477" s="59"/>
      <c r="AI477" s="59" t="s">
        <v>73</v>
      </c>
      <c r="AJ477" s="59"/>
      <c r="AK477" s="59" t="s">
        <v>73</v>
      </c>
      <c r="AL477" s="59"/>
      <c r="AM477" s="59" t="s">
        <v>73</v>
      </c>
      <c r="AN477" s="59"/>
      <c r="AO477" s="59" t="s">
        <v>73</v>
      </c>
      <c r="AP477" s="59"/>
      <c r="AQ477" s="59" t="s">
        <v>73</v>
      </c>
      <c r="AR477" s="59"/>
      <c r="AS477" s="59" t="s">
        <v>72</v>
      </c>
      <c r="AT477" s="59"/>
      <c r="AU477" s="59"/>
      <c r="AV477" s="59"/>
      <c r="AW477" s="59"/>
      <c r="AX477" s="59"/>
      <c r="AY477" s="60" t="str">
        <f>IF('Cálculo MP'!K487="","",'Cálculo MP'!K487)</f>
        <v/>
      </c>
      <c r="AZ477" s="60" t="str">
        <f>IF('Cálculo MP'!L487="","",'Cálculo MP'!L487)</f>
        <v/>
      </c>
      <c r="BA477" s="60" t="str">
        <f>IF('Cálculo MP'!M487="","",'Cálculo MP'!M487)</f>
        <v/>
      </c>
      <c r="BB477" s="60" t="str">
        <f>IF('Cálculo MP'!N487="","",'Cálculo MP'!N487)</f>
        <v/>
      </c>
      <c r="BC477" s="60" t="str">
        <f>IF('Cálculo MP'!O487="","",'Cálculo MP'!O487)</f>
        <v/>
      </c>
      <c r="BD477" s="60" t="str">
        <f>IF('Cálculo MP'!P487="","",'Cálculo MP'!P487)</f>
        <v/>
      </c>
      <c r="BE477" s="60" t="str">
        <f>IF('Cálculo MP'!Q487="","",'Cálculo MP'!Q487)</f>
        <v/>
      </c>
      <c r="BF477" s="60" t="str">
        <f>IF('Cálculo MP'!R487="","",'Cálculo MP'!R487)</f>
        <v/>
      </c>
      <c r="BG477" s="60" t="str">
        <f>IF('Cálculo MP'!S487="","",'Cálculo MP'!S487)</f>
        <v/>
      </c>
      <c r="BH477" s="59"/>
      <c r="BI477" s="59"/>
      <c r="BJ477" s="59"/>
      <c r="BK477" s="59"/>
      <c r="BL477" s="59"/>
      <c r="BM477" s="59"/>
      <c r="BN477" s="59"/>
      <c r="BO477" s="59"/>
    </row>
    <row r="478" spans="1:67" ht="19.5" customHeight="1" x14ac:dyDescent="0.15">
      <c r="A478" s="123" t="s">
        <v>1856</v>
      </c>
      <c r="B478" s="122" t="s">
        <v>1854</v>
      </c>
      <c r="C478" s="49"/>
      <c r="D478" s="48" t="s">
        <v>73</v>
      </c>
      <c r="E478" s="49"/>
      <c r="F478" s="50"/>
      <c r="G478" s="62"/>
      <c r="H478" s="48" t="s">
        <v>72</v>
      </c>
      <c r="I478" s="52">
        <v>1</v>
      </c>
      <c r="J478" s="52"/>
      <c r="K478" s="52" t="s">
        <v>73</v>
      </c>
      <c r="L478" s="52" t="s">
        <v>74</v>
      </c>
      <c r="M478" s="53" t="s">
        <v>942</v>
      </c>
      <c r="N478" s="58" t="s">
        <v>73</v>
      </c>
      <c r="O478" s="48" t="s">
        <v>72</v>
      </c>
      <c r="P478" s="48" t="s">
        <v>73</v>
      </c>
      <c r="Q478" s="54" t="s">
        <v>73</v>
      </c>
      <c r="R478" s="55" t="s">
        <v>73</v>
      </c>
      <c r="S478" s="48" t="s">
        <v>73</v>
      </c>
      <c r="T478" s="130"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8" t="str" cm="1">
        <f t="array" ref="U478">IF(SUMPRODUCT(--((CAT_Procesos!$E$2:$E$1581=O478)*(CAT_Procesos!$F$2:$F$1581=_xlfn.TEXTJOIN(" + ",TRUE,IF((TRIM(P478:S478)="")+(LOWER(TRIM(P478:S478))="(seleccione)"),"",PROPER(TRIM(P478:S478)))))*(CAT_Procesos!$D$2:$D$1581=IFERROR(VLOOKUP(N478&amp;"*",CAT_Procesos!$D:$D,1,FALSE),""))))=0,"Combinación no existente",IF(SUMPRODUCT(((CAT_Procesos!$E$2:$E$1581=O478)*(CAT_Procesos!$F$2:$F$1581=_xlfn.TEXTJOIN(" + ",TRUE,IF((TRIM(P478:S478)="")+(LOWER(TRIM(P478:S478))="(seleccione)"),"",PROPER(TRIM(P478:S478)))))*(CAT_Procesos!$D$2:$D$1581=IFERROR(VLOOKUP(N478&amp;"*",CAT_Procesos!$D:$D,1,FALSE),"")))*(CAT_Procesos!$G$2:$G$1581=INDEX(CAT_Procesos!$G$2:$G$1581,MATCH(1,(CAT_Procesos!$E$2:$E$1581=O478)*(CAT_Procesos!$F$2:$F$1581=_xlfn.TEXTJOIN(" + ",TRUE,IF((TRIM(P478:S478)="")+(LOWER(TRIM(P478:S478))="(seleccione)"),"",PROPER(TRIM(P478:S478)))))*(CAT_Procesos!$D$2:$D$1581=IFERROR(VLOOKUP(N478&amp;"*",CAT_Procesos!$D:$D,1,FALSE),"")),0))))=SUMPRODUCT(--((CAT_Procesos!$E$2:$E$1581=O478)*(CAT_Procesos!$F$2:$F$1581=_xlfn.TEXTJOIN(" + ",TRUE,IF((TRIM(P478:S478)="")+(LOWER(TRIM(P478:S478))="(seleccione)"),"",PROPER(TRIM(P478:S478)))))*(CAT_Procesos!$D$2:$D$1581=IFERROR(VLOOKUP(N478&amp;"*",CAT_Procesos!$D:$D,1,FALSE),"")))),INDEX(CAT_Procesos!$G$2:$G$1581,MATCH(1,(CAT_Procesos!$E$2:$E$1581=O478)*(CAT_Procesos!$F$2:$F$1581=_xlfn.TEXTJOIN(" + ",TRUE,IF((TRIM(P478:S478)="")+(LOWER(TRIM(P478:S478))="(seleccione)"),"",PROPER(TRIM(P478:S478)))))*(CAT_Procesos!$D$2:$D$1581=IFERROR(VLOOKUP(N478&amp;"*",CAT_Procesos!$D:$D,1,FALSE),"")),0)),"(seleccione)"))</f>
        <v>Combinación no existente</v>
      </c>
      <c r="V478" s="55" t="s">
        <v>73</v>
      </c>
      <c r="W478" s="56" t="s">
        <v>73</v>
      </c>
      <c r="X478" s="57" t="str">
        <f t="shared" si="28"/>
        <v/>
      </c>
      <c r="Y478" s="58" t="s">
        <v>73</v>
      </c>
      <c r="Z478" s="57" t="str">
        <f t="shared" si="29"/>
        <v/>
      </c>
      <c r="AA478" s="58" t="s">
        <v>73</v>
      </c>
      <c r="AB478" s="57" t="str">
        <f t="shared" si="30"/>
        <v/>
      </c>
      <c r="AC478" s="58" t="s">
        <v>73</v>
      </c>
      <c r="AD478" s="57" t="str">
        <f t="shared" si="31"/>
        <v/>
      </c>
      <c r="AE478" s="59"/>
      <c r="AF478" s="59"/>
      <c r="AG478" s="59"/>
      <c r="AH478" s="59"/>
      <c r="AI478" s="59" t="s">
        <v>73</v>
      </c>
      <c r="AJ478" s="59"/>
      <c r="AK478" s="59" t="s">
        <v>73</v>
      </c>
      <c r="AL478" s="59"/>
      <c r="AM478" s="59" t="s">
        <v>73</v>
      </c>
      <c r="AN478" s="59"/>
      <c r="AO478" s="59" t="s">
        <v>73</v>
      </c>
      <c r="AP478" s="59"/>
      <c r="AQ478" s="59" t="s">
        <v>73</v>
      </c>
      <c r="AR478" s="59"/>
      <c r="AS478" s="59" t="s">
        <v>72</v>
      </c>
      <c r="AT478" s="59"/>
      <c r="AU478" s="59"/>
      <c r="AV478" s="59"/>
      <c r="AW478" s="59"/>
      <c r="AX478" s="59"/>
      <c r="AY478" s="60" t="str">
        <f>IF('Cálculo MP'!K488="","",'Cálculo MP'!K488)</f>
        <v/>
      </c>
      <c r="AZ478" s="60" t="str">
        <f>IF('Cálculo MP'!L488="","",'Cálculo MP'!L488)</f>
        <v/>
      </c>
      <c r="BA478" s="60" t="str">
        <f>IF('Cálculo MP'!M488="","",'Cálculo MP'!M488)</f>
        <v/>
      </c>
      <c r="BB478" s="60" t="str">
        <f>IF('Cálculo MP'!N488="","",'Cálculo MP'!N488)</f>
        <v/>
      </c>
      <c r="BC478" s="60" t="str">
        <f>IF('Cálculo MP'!O488="","",'Cálculo MP'!O488)</f>
        <v/>
      </c>
      <c r="BD478" s="60" t="str">
        <f>IF('Cálculo MP'!P488="","",'Cálculo MP'!P488)</f>
        <v/>
      </c>
      <c r="BE478" s="60" t="str">
        <f>IF('Cálculo MP'!Q488="","",'Cálculo MP'!Q488)</f>
        <v/>
      </c>
      <c r="BF478" s="60" t="str">
        <f>IF('Cálculo MP'!R488="","",'Cálculo MP'!R488)</f>
        <v/>
      </c>
      <c r="BG478" s="60" t="str">
        <f>IF('Cálculo MP'!S488="","",'Cálculo MP'!S488)</f>
        <v/>
      </c>
      <c r="BH478" s="59"/>
      <c r="BI478" s="59"/>
      <c r="BJ478" s="59"/>
      <c r="BK478" s="59"/>
      <c r="BL478" s="59"/>
      <c r="BM478" s="59"/>
      <c r="BN478" s="59"/>
      <c r="BO478" s="59"/>
    </row>
    <row r="479" spans="1:67" ht="19.5" customHeight="1" x14ac:dyDescent="0.15">
      <c r="A479" s="123" t="s">
        <v>1856</v>
      </c>
      <c r="B479" s="122" t="s">
        <v>1854</v>
      </c>
      <c r="C479" s="49"/>
      <c r="D479" s="48" t="s">
        <v>73</v>
      </c>
      <c r="E479" s="49"/>
      <c r="F479" s="50"/>
      <c r="G479" s="62"/>
      <c r="H479" s="48" t="s">
        <v>72</v>
      </c>
      <c r="I479" s="52">
        <v>1</v>
      </c>
      <c r="J479" s="52"/>
      <c r="K479" s="52" t="s">
        <v>73</v>
      </c>
      <c r="L479" s="52" t="s">
        <v>74</v>
      </c>
      <c r="M479" s="53" t="s">
        <v>942</v>
      </c>
      <c r="N479" s="58" t="s">
        <v>73</v>
      </c>
      <c r="O479" s="48" t="s">
        <v>72</v>
      </c>
      <c r="P479" s="48" t="s">
        <v>73</v>
      </c>
      <c r="Q479" s="54" t="s">
        <v>73</v>
      </c>
      <c r="R479" s="55" t="s">
        <v>73</v>
      </c>
      <c r="S479" s="48" t="s">
        <v>73</v>
      </c>
      <c r="T479" s="130"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8" t="str" cm="1">
        <f t="array" ref="U479">IF(SUMPRODUCT(--((CAT_Procesos!$E$2:$E$1581=O479)*(CAT_Procesos!$F$2:$F$1581=_xlfn.TEXTJOIN(" + ",TRUE,IF((TRIM(P479:S479)="")+(LOWER(TRIM(P479:S479))="(seleccione)"),"",PROPER(TRIM(P479:S479)))))*(CAT_Procesos!$D$2:$D$1581=IFERROR(VLOOKUP(N479&amp;"*",CAT_Procesos!$D:$D,1,FALSE),""))))=0,"Combinación no existente",IF(SUMPRODUCT(((CAT_Procesos!$E$2:$E$1581=O479)*(CAT_Procesos!$F$2:$F$1581=_xlfn.TEXTJOIN(" + ",TRUE,IF((TRIM(P479:S479)="")+(LOWER(TRIM(P479:S479))="(seleccione)"),"",PROPER(TRIM(P479:S479)))))*(CAT_Procesos!$D$2:$D$1581=IFERROR(VLOOKUP(N479&amp;"*",CAT_Procesos!$D:$D,1,FALSE),"")))*(CAT_Procesos!$G$2:$G$1581=INDEX(CAT_Procesos!$G$2:$G$1581,MATCH(1,(CAT_Procesos!$E$2:$E$1581=O479)*(CAT_Procesos!$F$2:$F$1581=_xlfn.TEXTJOIN(" + ",TRUE,IF((TRIM(P479:S479)="")+(LOWER(TRIM(P479:S479))="(seleccione)"),"",PROPER(TRIM(P479:S479)))))*(CAT_Procesos!$D$2:$D$1581=IFERROR(VLOOKUP(N479&amp;"*",CAT_Procesos!$D:$D,1,FALSE),"")),0))))=SUMPRODUCT(--((CAT_Procesos!$E$2:$E$1581=O479)*(CAT_Procesos!$F$2:$F$1581=_xlfn.TEXTJOIN(" + ",TRUE,IF((TRIM(P479:S479)="")+(LOWER(TRIM(P479:S479))="(seleccione)"),"",PROPER(TRIM(P479:S479)))))*(CAT_Procesos!$D$2:$D$1581=IFERROR(VLOOKUP(N479&amp;"*",CAT_Procesos!$D:$D,1,FALSE),"")))),INDEX(CAT_Procesos!$G$2:$G$1581,MATCH(1,(CAT_Procesos!$E$2:$E$1581=O479)*(CAT_Procesos!$F$2:$F$1581=_xlfn.TEXTJOIN(" + ",TRUE,IF((TRIM(P479:S479)="")+(LOWER(TRIM(P479:S479))="(seleccione)"),"",PROPER(TRIM(P479:S479)))))*(CAT_Procesos!$D$2:$D$1581=IFERROR(VLOOKUP(N479&amp;"*",CAT_Procesos!$D:$D,1,FALSE),"")),0)),"(seleccione)"))</f>
        <v>Combinación no existente</v>
      </c>
      <c r="V479" s="55" t="s">
        <v>73</v>
      </c>
      <c r="W479" s="56" t="s">
        <v>73</v>
      </c>
      <c r="X479" s="57" t="str">
        <f t="shared" si="28"/>
        <v/>
      </c>
      <c r="Y479" s="58" t="s">
        <v>73</v>
      </c>
      <c r="Z479" s="57" t="str">
        <f t="shared" si="29"/>
        <v/>
      </c>
      <c r="AA479" s="58" t="s">
        <v>73</v>
      </c>
      <c r="AB479" s="57" t="str">
        <f t="shared" si="30"/>
        <v/>
      </c>
      <c r="AC479" s="58" t="s">
        <v>73</v>
      </c>
      <c r="AD479" s="57" t="str">
        <f t="shared" si="31"/>
        <v/>
      </c>
      <c r="AE479" s="59"/>
      <c r="AF479" s="59"/>
      <c r="AG479" s="59"/>
      <c r="AH479" s="59"/>
      <c r="AI479" s="59" t="s">
        <v>73</v>
      </c>
      <c r="AJ479" s="59"/>
      <c r="AK479" s="59" t="s">
        <v>73</v>
      </c>
      <c r="AL479" s="59"/>
      <c r="AM479" s="59" t="s">
        <v>73</v>
      </c>
      <c r="AN479" s="59"/>
      <c r="AO479" s="59" t="s">
        <v>73</v>
      </c>
      <c r="AP479" s="59"/>
      <c r="AQ479" s="59" t="s">
        <v>73</v>
      </c>
      <c r="AR479" s="59"/>
      <c r="AS479" s="59" t="s">
        <v>72</v>
      </c>
      <c r="AT479" s="59"/>
      <c r="AU479" s="59"/>
      <c r="AV479" s="59"/>
      <c r="AW479" s="59"/>
      <c r="AX479" s="59"/>
      <c r="AY479" s="60" t="str">
        <f>IF('Cálculo MP'!K489="","",'Cálculo MP'!K489)</f>
        <v/>
      </c>
      <c r="AZ479" s="60" t="str">
        <f>IF('Cálculo MP'!L489="","",'Cálculo MP'!L489)</f>
        <v/>
      </c>
      <c r="BA479" s="60" t="str">
        <f>IF('Cálculo MP'!M489="","",'Cálculo MP'!M489)</f>
        <v/>
      </c>
      <c r="BB479" s="60" t="str">
        <f>IF('Cálculo MP'!N489="","",'Cálculo MP'!N489)</f>
        <v/>
      </c>
      <c r="BC479" s="60" t="str">
        <f>IF('Cálculo MP'!O489="","",'Cálculo MP'!O489)</f>
        <v/>
      </c>
      <c r="BD479" s="60" t="str">
        <f>IF('Cálculo MP'!P489="","",'Cálculo MP'!P489)</f>
        <v/>
      </c>
      <c r="BE479" s="60" t="str">
        <f>IF('Cálculo MP'!Q489="","",'Cálculo MP'!Q489)</f>
        <v/>
      </c>
      <c r="BF479" s="60" t="str">
        <f>IF('Cálculo MP'!R489="","",'Cálculo MP'!R489)</f>
        <v/>
      </c>
      <c r="BG479" s="60" t="str">
        <f>IF('Cálculo MP'!S489="","",'Cálculo MP'!S489)</f>
        <v/>
      </c>
      <c r="BH479" s="59"/>
      <c r="BI479" s="59"/>
      <c r="BJ479" s="59"/>
      <c r="BK479" s="59"/>
      <c r="BL479" s="59"/>
      <c r="BM479" s="59"/>
      <c r="BN479" s="59"/>
      <c r="BO479" s="59"/>
    </row>
    <row r="480" spans="1:67" ht="19.5" customHeight="1" x14ac:dyDescent="0.15">
      <c r="A480" s="123" t="s">
        <v>1856</v>
      </c>
      <c r="B480" s="122" t="s">
        <v>1854</v>
      </c>
      <c r="C480" s="49"/>
      <c r="D480" s="48" t="s">
        <v>73</v>
      </c>
      <c r="E480" s="49"/>
      <c r="F480" s="50"/>
      <c r="G480" s="62"/>
      <c r="H480" s="48" t="s">
        <v>72</v>
      </c>
      <c r="I480" s="52">
        <v>1</v>
      </c>
      <c r="J480" s="52"/>
      <c r="K480" s="52" t="s">
        <v>73</v>
      </c>
      <c r="L480" s="52" t="s">
        <v>74</v>
      </c>
      <c r="M480" s="53" t="s">
        <v>942</v>
      </c>
      <c r="N480" s="58" t="s">
        <v>73</v>
      </c>
      <c r="O480" s="48" t="s">
        <v>72</v>
      </c>
      <c r="P480" s="48" t="s">
        <v>73</v>
      </c>
      <c r="Q480" s="54" t="s">
        <v>73</v>
      </c>
      <c r="R480" s="55" t="s">
        <v>73</v>
      </c>
      <c r="S480" s="48" t="s">
        <v>73</v>
      </c>
      <c r="T480" s="130"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8" t="str" cm="1">
        <f t="array" ref="U480">IF(SUMPRODUCT(--((CAT_Procesos!$E$2:$E$1581=O480)*(CAT_Procesos!$F$2:$F$1581=_xlfn.TEXTJOIN(" + ",TRUE,IF((TRIM(P480:S480)="")+(LOWER(TRIM(P480:S480))="(seleccione)"),"",PROPER(TRIM(P480:S480)))))*(CAT_Procesos!$D$2:$D$1581=IFERROR(VLOOKUP(N480&amp;"*",CAT_Procesos!$D:$D,1,FALSE),""))))=0,"Combinación no existente",IF(SUMPRODUCT(((CAT_Procesos!$E$2:$E$1581=O480)*(CAT_Procesos!$F$2:$F$1581=_xlfn.TEXTJOIN(" + ",TRUE,IF((TRIM(P480:S480)="")+(LOWER(TRIM(P480:S480))="(seleccione)"),"",PROPER(TRIM(P480:S480)))))*(CAT_Procesos!$D$2:$D$1581=IFERROR(VLOOKUP(N480&amp;"*",CAT_Procesos!$D:$D,1,FALSE),"")))*(CAT_Procesos!$G$2:$G$1581=INDEX(CAT_Procesos!$G$2:$G$1581,MATCH(1,(CAT_Procesos!$E$2:$E$1581=O480)*(CAT_Procesos!$F$2:$F$1581=_xlfn.TEXTJOIN(" + ",TRUE,IF((TRIM(P480:S480)="")+(LOWER(TRIM(P480:S480))="(seleccione)"),"",PROPER(TRIM(P480:S480)))))*(CAT_Procesos!$D$2:$D$1581=IFERROR(VLOOKUP(N480&amp;"*",CAT_Procesos!$D:$D,1,FALSE),"")),0))))=SUMPRODUCT(--((CAT_Procesos!$E$2:$E$1581=O480)*(CAT_Procesos!$F$2:$F$1581=_xlfn.TEXTJOIN(" + ",TRUE,IF((TRIM(P480:S480)="")+(LOWER(TRIM(P480:S480))="(seleccione)"),"",PROPER(TRIM(P480:S480)))))*(CAT_Procesos!$D$2:$D$1581=IFERROR(VLOOKUP(N480&amp;"*",CAT_Procesos!$D:$D,1,FALSE),"")))),INDEX(CAT_Procesos!$G$2:$G$1581,MATCH(1,(CAT_Procesos!$E$2:$E$1581=O480)*(CAT_Procesos!$F$2:$F$1581=_xlfn.TEXTJOIN(" + ",TRUE,IF((TRIM(P480:S480)="")+(LOWER(TRIM(P480:S480))="(seleccione)"),"",PROPER(TRIM(P480:S480)))))*(CAT_Procesos!$D$2:$D$1581=IFERROR(VLOOKUP(N480&amp;"*",CAT_Procesos!$D:$D,1,FALSE),"")),0)),"(seleccione)"))</f>
        <v>Combinación no existente</v>
      </c>
      <c r="V480" s="55" t="s">
        <v>73</v>
      </c>
      <c r="W480" s="56" t="s">
        <v>73</v>
      </c>
      <c r="X480" s="57" t="str">
        <f t="shared" si="28"/>
        <v/>
      </c>
      <c r="Y480" s="58" t="s">
        <v>73</v>
      </c>
      <c r="Z480" s="57" t="str">
        <f t="shared" si="29"/>
        <v/>
      </c>
      <c r="AA480" s="58" t="s">
        <v>73</v>
      </c>
      <c r="AB480" s="57" t="str">
        <f t="shared" si="30"/>
        <v/>
      </c>
      <c r="AC480" s="58" t="s">
        <v>73</v>
      </c>
      <c r="AD480" s="57" t="str">
        <f t="shared" si="31"/>
        <v/>
      </c>
      <c r="AE480" s="59"/>
      <c r="AF480" s="59"/>
      <c r="AG480" s="59"/>
      <c r="AH480" s="59"/>
      <c r="AI480" s="59" t="s">
        <v>73</v>
      </c>
      <c r="AJ480" s="59"/>
      <c r="AK480" s="59" t="s">
        <v>73</v>
      </c>
      <c r="AL480" s="59"/>
      <c r="AM480" s="59" t="s">
        <v>73</v>
      </c>
      <c r="AN480" s="59"/>
      <c r="AO480" s="59" t="s">
        <v>73</v>
      </c>
      <c r="AP480" s="59"/>
      <c r="AQ480" s="59" t="s">
        <v>73</v>
      </c>
      <c r="AR480" s="59"/>
      <c r="AS480" s="59" t="s">
        <v>72</v>
      </c>
      <c r="AT480" s="59"/>
      <c r="AU480" s="59"/>
      <c r="AV480" s="59"/>
      <c r="AW480" s="59"/>
      <c r="AX480" s="59"/>
      <c r="AY480" s="60" t="str">
        <f>IF('Cálculo MP'!K490="","",'Cálculo MP'!K490)</f>
        <v/>
      </c>
      <c r="AZ480" s="60" t="str">
        <f>IF('Cálculo MP'!L490="","",'Cálculo MP'!L490)</f>
        <v/>
      </c>
      <c r="BA480" s="60" t="str">
        <f>IF('Cálculo MP'!M490="","",'Cálculo MP'!M490)</f>
        <v/>
      </c>
      <c r="BB480" s="60" t="str">
        <f>IF('Cálculo MP'!N490="","",'Cálculo MP'!N490)</f>
        <v/>
      </c>
      <c r="BC480" s="60" t="str">
        <f>IF('Cálculo MP'!O490="","",'Cálculo MP'!O490)</f>
        <v/>
      </c>
      <c r="BD480" s="60" t="str">
        <f>IF('Cálculo MP'!P490="","",'Cálculo MP'!P490)</f>
        <v/>
      </c>
      <c r="BE480" s="60" t="str">
        <f>IF('Cálculo MP'!Q490="","",'Cálculo MP'!Q490)</f>
        <v/>
      </c>
      <c r="BF480" s="60" t="str">
        <f>IF('Cálculo MP'!R490="","",'Cálculo MP'!R490)</f>
        <v/>
      </c>
      <c r="BG480" s="60" t="str">
        <f>IF('Cálculo MP'!S490="","",'Cálculo MP'!S490)</f>
        <v/>
      </c>
      <c r="BH480" s="59"/>
      <c r="BI480" s="59"/>
      <c r="BJ480" s="59"/>
      <c r="BK480" s="59"/>
      <c r="BL480" s="59"/>
      <c r="BM480" s="59"/>
      <c r="BN480" s="59"/>
      <c r="BO480" s="59"/>
    </row>
    <row r="481" spans="1:67" ht="19.5" customHeight="1" x14ac:dyDescent="0.15">
      <c r="A481" s="123" t="s">
        <v>1856</v>
      </c>
      <c r="B481" s="122" t="s">
        <v>1854</v>
      </c>
      <c r="C481" s="49"/>
      <c r="D481" s="48" t="s">
        <v>73</v>
      </c>
      <c r="E481" s="49"/>
      <c r="F481" s="50"/>
      <c r="G481" s="62"/>
      <c r="H481" s="48" t="s">
        <v>72</v>
      </c>
      <c r="I481" s="52">
        <v>1</v>
      </c>
      <c r="J481" s="52"/>
      <c r="K481" s="52" t="s">
        <v>73</v>
      </c>
      <c r="L481" s="52" t="s">
        <v>74</v>
      </c>
      <c r="M481" s="53" t="s">
        <v>942</v>
      </c>
      <c r="N481" s="58" t="s">
        <v>73</v>
      </c>
      <c r="O481" s="48" t="s">
        <v>72</v>
      </c>
      <c r="P481" s="48" t="s">
        <v>73</v>
      </c>
      <c r="Q481" s="54" t="s">
        <v>73</v>
      </c>
      <c r="R481" s="55" t="s">
        <v>73</v>
      </c>
      <c r="S481" s="48" t="s">
        <v>73</v>
      </c>
      <c r="T481" s="130"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8" t="str" cm="1">
        <f t="array" ref="U481">IF(SUMPRODUCT(--((CAT_Procesos!$E$2:$E$1581=O481)*(CAT_Procesos!$F$2:$F$1581=_xlfn.TEXTJOIN(" + ",TRUE,IF((TRIM(P481:S481)="")+(LOWER(TRIM(P481:S481))="(seleccione)"),"",PROPER(TRIM(P481:S481)))))*(CAT_Procesos!$D$2:$D$1581=IFERROR(VLOOKUP(N481&amp;"*",CAT_Procesos!$D:$D,1,FALSE),""))))=0,"Combinación no existente",IF(SUMPRODUCT(((CAT_Procesos!$E$2:$E$1581=O481)*(CAT_Procesos!$F$2:$F$1581=_xlfn.TEXTJOIN(" + ",TRUE,IF((TRIM(P481:S481)="")+(LOWER(TRIM(P481:S481))="(seleccione)"),"",PROPER(TRIM(P481:S481)))))*(CAT_Procesos!$D$2:$D$1581=IFERROR(VLOOKUP(N481&amp;"*",CAT_Procesos!$D:$D,1,FALSE),"")))*(CAT_Procesos!$G$2:$G$1581=INDEX(CAT_Procesos!$G$2:$G$1581,MATCH(1,(CAT_Procesos!$E$2:$E$1581=O481)*(CAT_Procesos!$F$2:$F$1581=_xlfn.TEXTJOIN(" + ",TRUE,IF((TRIM(P481:S481)="")+(LOWER(TRIM(P481:S481))="(seleccione)"),"",PROPER(TRIM(P481:S481)))))*(CAT_Procesos!$D$2:$D$1581=IFERROR(VLOOKUP(N481&amp;"*",CAT_Procesos!$D:$D,1,FALSE),"")),0))))=SUMPRODUCT(--((CAT_Procesos!$E$2:$E$1581=O481)*(CAT_Procesos!$F$2:$F$1581=_xlfn.TEXTJOIN(" + ",TRUE,IF((TRIM(P481:S481)="")+(LOWER(TRIM(P481:S481))="(seleccione)"),"",PROPER(TRIM(P481:S481)))))*(CAT_Procesos!$D$2:$D$1581=IFERROR(VLOOKUP(N481&amp;"*",CAT_Procesos!$D:$D,1,FALSE),"")))),INDEX(CAT_Procesos!$G$2:$G$1581,MATCH(1,(CAT_Procesos!$E$2:$E$1581=O481)*(CAT_Procesos!$F$2:$F$1581=_xlfn.TEXTJOIN(" + ",TRUE,IF((TRIM(P481:S481)="")+(LOWER(TRIM(P481:S481))="(seleccione)"),"",PROPER(TRIM(P481:S481)))))*(CAT_Procesos!$D$2:$D$1581=IFERROR(VLOOKUP(N481&amp;"*",CAT_Procesos!$D:$D,1,FALSE),"")),0)),"(seleccione)"))</f>
        <v>Combinación no existente</v>
      </c>
      <c r="V481" s="55" t="s">
        <v>73</v>
      </c>
      <c r="W481" s="56" t="s">
        <v>73</v>
      </c>
      <c r="X481" s="57" t="str">
        <f t="shared" si="28"/>
        <v/>
      </c>
      <c r="Y481" s="58" t="s">
        <v>73</v>
      </c>
      <c r="Z481" s="57" t="str">
        <f t="shared" si="29"/>
        <v/>
      </c>
      <c r="AA481" s="58" t="s">
        <v>73</v>
      </c>
      <c r="AB481" s="57" t="str">
        <f t="shared" si="30"/>
        <v/>
      </c>
      <c r="AC481" s="58" t="s">
        <v>73</v>
      </c>
      <c r="AD481" s="57" t="str">
        <f t="shared" si="31"/>
        <v/>
      </c>
      <c r="AE481" s="59"/>
      <c r="AF481" s="59"/>
      <c r="AG481" s="59"/>
      <c r="AH481" s="59"/>
      <c r="AI481" s="59" t="s">
        <v>73</v>
      </c>
      <c r="AJ481" s="59"/>
      <c r="AK481" s="59" t="s">
        <v>73</v>
      </c>
      <c r="AL481" s="59"/>
      <c r="AM481" s="59" t="s">
        <v>73</v>
      </c>
      <c r="AN481" s="59"/>
      <c r="AO481" s="59" t="s">
        <v>73</v>
      </c>
      <c r="AP481" s="59"/>
      <c r="AQ481" s="59" t="s">
        <v>73</v>
      </c>
      <c r="AR481" s="59"/>
      <c r="AS481" s="59" t="s">
        <v>72</v>
      </c>
      <c r="AT481" s="59"/>
      <c r="AU481" s="59"/>
      <c r="AV481" s="59"/>
      <c r="AW481" s="59"/>
      <c r="AX481" s="59"/>
      <c r="AY481" s="60" t="str">
        <f>IF('Cálculo MP'!K491="","",'Cálculo MP'!K491)</f>
        <v/>
      </c>
      <c r="AZ481" s="60" t="str">
        <f>IF('Cálculo MP'!L491="","",'Cálculo MP'!L491)</f>
        <v/>
      </c>
      <c r="BA481" s="60" t="str">
        <f>IF('Cálculo MP'!M491="","",'Cálculo MP'!M491)</f>
        <v/>
      </c>
      <c r="BB481" s="60" t="str">
        <f>IF('Cálculo MP'!N491="","",'Cálculo MP'!N491)</f>
        <v/>
      </c>
      <c r="BC481" s="60" t="str">
        <f>IF('Cálculo MP'!O491="","",'Cálculo MP'!O491)</f>
        <v/>
      </c>
      <c r="BD481" s="60" t="str">
        <f>IF('Cálculo MP'!P491="","",'Cálculo MP'!P491)</f>
        <v/>
      </c>
      <c r="BE481" s="60" t="str">
        <f>IF('Cálculo MP'!Q491="","",'Cálculo MP'!Q491)</f>
        <v/>
      </c>
      <c r="BF481" s="60" t="str">
        <f>IF('Cálculo MP'!R491="","",'Cálculo MP'!R491)</f>
        <v/>
      </c>
      <c r="BG481" s="60" t="str">
        <f>IF('Cálculo MP'!S491="","",'Cálculo MP'!S491)</f>
        <v/>
      </c>
      <c r="BH481" s="59"/>
      <c r="BI481" s="59"/>
      <c r="BJ481" s="59"/>
      <c r="BK481" s="59"/>
      <c r="BL481" s="59"/>
      <c r="BM481" s="59"/>
      <c r="BN481" s="59"/>
      <c r="BO481" s="59"/>
    </row>
    <row r="482" spans="1:67" ht="19.5" customHeight="1" x14ac:dyDescent="0.15">
      <c r="A482" s="123" t="s">
        <v>1856</v>
      </c>
      <c r="B482" s="122" t="s">
        <v>1854</v>
      </c>
      <c r="C482" s="49"/>
      <c r="D482" s="48" t="s">
        <v>73</v>
      </c>
      <c r="E482" s="49"/>
      <c r="F482" s="50"/>
      <c r="G482" s="62"/>
      <c r="H482" s="48" t="s">
        <v>72</v>
      </c>
      <c r="I482" s="52">
        <v>1</v>
      </c>
      <c r="J482" s="52"/>
      <c r="K482" s="52" t="s">
        <v>73</v>
      </c>
      <c r="L482" s="52" t="s">
        <v>74</v>
      </c>
      <c r="M482" s="53" t="s">
        <v>942</v>
      </c>
      <c r="N482" s="58" t="s">
        <v>73</v>
      </c>
      <c r="O482" s="48" t="s">
        <v>72</v>
      </c>
      <c r="P482" s="48" t="s">
        <v>73</v>
      </c>
      <c r="Q482" s="54" t="s">
        <v>73</v>
      </c>
      <c r="R482" s="55" t="s">
        <v>73</v>
      </c>
      <c r="S482" s="48" t="s">
        <v>73</v>
      </c>
      <c r="T482" s="130"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8" t="str" cm="1">
        <f t="array" ref="U482">IF(SUMPRODUCT(--((CAT_Procesos!$E$2:$E$1581=O482)*(CAT_Procesos!$F$2:$F$1581=_xlfn.TEXTJOIN(" + ",TRUE,IF((TRIM(P482:S482)="")+(LOWER(TRIM(P482:S482))="(seleccione)"),"",PROPER(TRIM(P482:S482)))))*(CAT_Procesos!$D$2:$D$1581=IFERROR(VLOOKUP(N482&amp;"*",CAT_Procesos!$D:$D,1,FALSE),""))))=0,"Combinación no existente",IF(SUMPRODUCT(((CAT_Procesos!$E$2:$E$1581=O482)*(CAT_Procesos!$F$2:$F$1581=_xlfn.TEXTJOIN(" + ",TRUE,IF((TRIM(P482:S482)="")+(LOWER(TRIM(P482:S482))="(seleccione)"),"",PROPER(TRIM(P482:S482)))))*(CAT_Procesos!$D$2:$D$1581=IFERROR(VLOOKUP(N482&amp;"*",CAT_Procesos!$D:$D,1,FALSE),"")))*(CAT_Procesos!$G$2:$G$1581=INDEX(CAT_Procesos!$G$2:$G$1581,MATCH(1,(CAT_Procesos!$E$2:$E$1581=O482)*(CAT_Procesos!$F$2:$F$1581=_xlfn.TEXTJOIN(" + ",TRUE,IF((TRIM(P482:S482)="")+(LOWER(TRIM(P482:S482))="(seleccione)"),"",PROPER(TRIM(P482:S482)))))*(CAT_Procesos!$D$2:$D$1581=IFERROR(VLOOKUP(N482&amp;"*",CAT_Procesos!$D:$D,1,FALSE),"")),0))))=SUMPRODUCT(--((CAT_Procesos!$E$2:$E$1581=O482)*(CAT_Procesos!$F$2:$F$1581=_xlfn.TEXTJOIN(" + ",TRUE,IF((TRIM(P482:S482)="")+(LOWER(TRIM(P482:S482))="(seleccione)"),"",PROPER(TRIM(P482:S482)))))*(CAT_Procesos!$D$2:$D$1581=IFERROR(VLOOKUP(N482&amp;"*",CAT_Procesos!$D:$D,1,FALSE),"")))),INDEX(CAT_Procesos!$G$2:$G$1581,MATCH(1,(CAT_Procesos!$E$2:$E$1581=O482)*(CAT_Procesos!$F$2:$F$1581=_xlfn.TEXTJOIN(" + ",TRUE,IF((TRIM(P482:S482)="")+(LOWER(TRIM(P482:S482))="(seleccione)"),"",PROPER(TRIM(P482:S482)))))*(CAT_Procesos!$D$2:$D$1581=IFERROR(VLOOKUP(N482&amp;"*",CAT_Procesos!$D:$D,1,FALSE),"")),0)),"(seleccione)"))</f>
        <v>Combinación no existente</v>
      </c>
      <c r="V482" s="55" t="s">
        <v>73</v>
      </c>
      <c r="W482" s="56" t="s">
        <v>73</v>
      </c>
      <c r="X482" s="57" t="str">
        <f t="shared" si="28"/>
        <v/>
      </c>
      <c r="Y482" s="58" t="s">
        <v>73</v>
      </c>
      <c r="Z482" s="57" t="str">
        <f t="shared" si="29"/>
        <v/>
      </c>
      <c r="AA482" s="58" t="s">
        <v>73</v>
      </c>
      <c r="AB482" s="57" t="str">
        <f t="shared" si="30"/>
        <v/>
      </c>
      <c r="AC482" s="58" t="s">
        <v>73</v>
      </c>
      <c r="AD482" s="57" t="str">
        <f t="shared" si="31"/>
        <v/>
      </c>
      <c r="AE482" s="59"/>
      <c r="AF482" s="59"/>
      <c r="AG482" s="59"/>
      <c r="AH482" s="59"/>
      <c r="AI482" s="59" t="s">
        <v>73</v>
      </c>
      <c r="AJ482" s="59"/>
      <c r="AK482" s="59" t="s">
        <v>73</v>
      </c>
      <c r="AL482" s="59"/>
      <c r="AM482" s="59" t="s">
        <v>73</v>
      </c>
      <c r="AN482" s="59"/>
      <c r="AO482" s="59" t="s">
        <v>73</v>
      </c>
      <c r="AP482" s="59"/>
      <c r="AQ482" s="59" t="s">
        <v>73</v>
      </c>
      <c r="AR482" s="59"/>
      <c r="AS482" s="59" t="s">
        <v>72</v>
      </c>
      <c r="AT482" s="59"/>
      <c r="AU482" s="59"/>
      <c r="AV482" s="59"/>
      <c r="AW482" s="59"/>
      <c r="AX482" s="59"/>
      <c r="AY482" s="60" t="str">
        <f>IF('Cálculo MP'!K492="","",'Cálculo MP'!K492)</f>
        <v/>
      </c>
      <c r="AZ482" s="60" t="str">
        <f>IF('Cálculo MP'!L492="","",'Cálculo MP'!L492)</f>
        <v/>
      </c>
      <c r="BA482" s="60" t="str">
        <f>IF('Cálculo MP'!M492="","",'Cálculo MP'!M492)</f>
        <v/>
      </c>
      <c r="BB482" s="60" t="str">
        <f>IF('Cálculo MP'!N492="","",'Cálculo MP'!N492)</f>
        <v/>
      </c>
      <c r="BC482" s="60" t="str">
        <f>IF('Cálculo MP'!O492="","",'Cálculo MP'!O492)</f>
        <v/>
      </c>
      <c r="BD482" s="60" t="str">
        <f>IF('Cálculo MP'!P492="","",'Cálculo MP'!P492)</f>
        <v/>
      </c>
      <c r="BE482" s="60" t="str">
        <f>IF('Cálculo MP'!Q492="","",'Cálculo MP'!Q492)</f>
        <v/>
      </c>
      <c r="BF482" s="60" t="str">
        <f>IF('Cálculo MP'!R492="","",'Cálculo MP'!R492)</f>
        <v/>
      </c>
      <c r="BG482" s="60" t="str">
        <f>IF('Cálculo MP'!S492="","",'Cálculo MP'!S492)</f>
        <v/>
      </c>
      <c r="BH482" s="59"/>
      <c r="BI482" s="59"/>
      <c r="BJ482" s="59"/>
      <c r="BK482" s="59"/>
      <c r="BL482" s="59"/>
      <c r="BM482" s="59"/>
      <c r="BN482" s="59"/>
      <c r="BO482" s="59"/>
    </row>
    <row r="483" spans="1:67" ht="19.5" customHeight="1" x14ac:dyDescent="0.15">
      <c r="A483" s="123" t="s">
        <v>1856</v>
      </c>
      <c r="B483" s="122" t="s">
        <v>1854</v>
      </c>
      <c r="C483" s="49"/>
      <c r="D483" s="48" t="s">
        <v>73</v>
      </c>
      <c r="E483" s="49"/>
      <c r="F483" s="50"/>
      <c r="G483" s="62"/>
      <c r="H483" s="48" t="s">
        <v>72</v>
      </c>
      <c r="I483" s="52">
        <v>1</v>
      </c>
      <c r="J483" s="52"/>
      <c r="K483" s="52" t="s">
        <v>73</v>
      </c>
      <c r="L483" s="52" t="s">
        <v>74</v>
      </c>
      <c r="M483" s="53" t="s">
        <v>942</v>
      </c>
      <c r="N483" s="58" t="s">
        <v>73</v>
      </c>
      <c r="O483" s="48" t="s">
        <v>72</v>
      </c>
      <c r="P483" s="48" t="s">
        <v>73</v>
      </c>
      <c r="Q483" s="54" t="s">
        <v>73</v>
      </c>
      <c r="R483" s="55" t="s">
        <v>73</v>
      </c>
      <c r="S483" s="48" t="s">
        <v>73</v>
      </c>
      <c r="T483" s="130"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8" t="str" cm="1">
        <f t="array" ref="U483">IF(SUMPRODUCT(--((CAT_Procesos!$E$2:$E$1581=O483)*(CAT_Procesos!$F$2:$F$1581=_xlfn.TEXTJOIN(" + ",TRUE,IF((TRIM(P483:S483)="")+(LOWER(TRIM(P483:S483))="(seleccione)"),"",PROPER(TRIM(P483:S483)))))*(CAT_Procesos!$D$2:$D$1581=IFERROR(VLOOKUP(N483&amp;"*",CAT_Procesos!$D:$D,1,FALSE),""))))=0,"Combinación no existente",IF(SUMPRODUCT(((CAT_Procesos!$E$2:$E$1581=O483)*(CAT_Procesos!$F$2:$F$1581=_xlfn.TEXTJOIN(" + ",TRUE,IF((TRIM(P483:S483)="")+(LOWER(TRIM(P483:S483))="(seleccione)"),"",PROPER(TRIM(P483:S483)))))*(CAT_Procesos!$D$2:$D$1581=IFERROR(VLOOKUP(N483&amp;"*",CAT_Procesos!$D:$D,1,FALSE),"")))*(CAT_Procesos!$G$2:$G$1581=INDEX(CAT_Procesos!$G$2:$G$1581,MATCH(1,(CAT_Procesos!$E$2:$E$1581=O483)*(CAT_Procesos!$F$2:$F$1581=_xlfn.TEXTJOIN(" + ",TRUE,IF((TRIM(P483:S483)="")+(LOWER(TRIM(P483:S483))="(seleccione)"),"",PROPER(TRIM(P483:S483)))))*(CAT_Procesos!$D$2:$D$1581=IFERROR(VLOOKUP(N483&amp;"*",CAT_Procesos!$D:$D,1,FALSE),"")),0))))=SUMPRODUCT(--((CAT_Procesos!$E$2:$E$1581=O483)*(CAT_Procesos!$F$2:$F$1581=_xlfn.TEXTJOIN(" + ",TRUE,IF((TRIM(P483:S483)="")+(LOWER(TRIM(P483:S483))="(seleccione)"),"",PROPER(TRIM(P483:S483)))))*(CAT_Procesos!$D$2:$D$1581=IFERROR(VLOOKUP(N483&amp;"*",CAT_Procesos!$D:$D,1,FALSE),"")))),INDEX(CAT_Procesos!$G$2:$G$1581,MATCH(1,(CAT_Procesos!$E$2:$E$1581=O483)*(CAT_Procesos!$F$2:$F$1581=_xlfn.TEXTJOIN(" + ",TRUE,IF((TRIM(P483:S483)="")+(LOWER(TRIM(P483:S483))="(seleccione)"),"",PROPER(TRIM(P483:S483)))))*(CAT_Procesos!$D$2:$D$1581=IFERROR(VLOOKUP(N483&amp;"*",CAT_Procesos!$D:$D,1,FALSE),"")),0)),"(seleccione)"))</f>
        <v>Combinación no existente</v>
      </c>
      <c r="V483" s="55" t="s">
        <v>73</v>
      </c>
      <c r="W483" s="56" t="s">
        <v>73</v>
      </c>
      <c r="X483" s="57" t="str">
        <f t="shared" si="28"/>
        <v/>
      </c>
      <c r="Y483" s="58" t="s">
        <v>73</v>
      </c>
      <c r="Z483" s="57" t="str">
        <f t="shared" si="29"/>
        <v/>
      </c>
      <c r="AA483" s="58" t="s">
        <v>73</v>
      </c>
      <c r="AB483" s="57" t="str">
        <f t="shared" si="30"/>
        <v/>
      </c>
      <c r="AC483" s="58" t="s">
        <v>73</v>
      </c>
      <c r="AD483" s="57" t="str">
        <f t="shared" si="31"/>
        <v/>
      </c>
      <c r="AE483" s="59"/>
      <c r="AF483" s="59"/>
      <c r="AG483" s="59"/>
      <c r="AH483" s="59"/>
      <c r="AI483" s="59" t="s">
        <v>73</v>
      </c>
      <c r="AJ483" s="59"/>
      <c r="AK483" s="59" t="s">
        <v>73</v>
      </c>
      <c r="AL483" s="59"/>
      <c r="AM483" s="59" t="s">
        <v>73</v>
      </c>
      <c r="AN483" s="59"/>
      <c r="AO483" s="59" t="s">
        <v>73</v>
      </c>
      <c r="AP483" s="59"/>
      <c r="AQ483" s="59" t="s">
        <v>73</v>
      </c>
      <c r="AR483" s="59"/>
      <c r="AS483" s="59" t="s">
        <v>72</v>
      </c>
      <c r="AT483" s="59"/>
      <c r="AU483" s="59"/>
      <c r="AV483" s="59"/>
      <c r="AW483" s="59"/>
      <c r="AX483" s="59"/>
      <c r="AY483" s="60" t="str">
        <f>IF('Cálculo MP'!K493="","",'Cálculo MP'!K493)</f>
        <v/>
      </c>
      <c r="AZ483" s="60" t="str">
        <f>IF('Cálculo MP'!L493="","",'Cálculo MP'!L493)</f>
        <v/>
      </c>
      <c r="BA483" s="60" t="str">
        <f>IF('Cálculo MP'!M493="","",'Cálculo MP'!M493)</f>
        <v/>
      </c>
      <c r="BB483" s="60" t="str">
        <f>IF('Cálculo MP'!N493="","",'Cálculo MP'!N493)</f>
        <v/>
      </c>
      <c r="BC483" s="60" t="str">
        <f>IF('Cálculo MP'!O493="","",'Cálculo MP'!O493)</f>
        <v/>
      </c>
      <c r="BD483" s="60" t="str">
        <f>IF('Cálculo MP'!P493="","",'Cálculo MP'!P493)</f>
        <v/>
      </c>
      <c r="BE483" s="60" t="str">
        <f>IF('Cálculo MP'!Q493="","",'Cálculo MP'!Q493)</f>
        <v/>
      </c>
      <c r="BF483" s="60" t="str">
        <f>IF('Cálculo MP'!R493="","",'Cálculo MP'!R493)</f>
        <v/>
      </c>
      <c r="BG483" s="60" t="str">
        <f>IF('Cálculo MP'!S493="","",'Cálculo MP'!S493)</f>
        <v/>
      </c>
      <c r="BH483" s="59"/>
      <c r="BI483" s="59"/>
      <c r="BJ483" s="59"/>
      <c r="BK483" s="59"/>
      <c r="BL483" s="59"/>
      <c r="BM483" s="59"/>
      <c r="BN483" s="59"/>
      <c r="BO483" s="59"/>
    </row>
    <row r="484" spans="1:67" ht="19.5" customHeight="1" x14ac:dyDescent="0.15">
      <c r="A484" s="123" t="s">
        <v>1856</v>
      </c>
      <c r="B484" s="122" t="s">
        <v>1854</v>
      </c>
      <c r="C484" s="49"/>
      <c r="D484" s="48" t="s">
        <v>73</v>
      </c>
      <c r="E484" s="49"/>
      <c r="F484" s="50"/>
      <c r="G484" s="62"/>
      <c r="H484" s="48" t="s">
        <v>72</v>
      </c>
      <c r="I484" s="52">
        <v>1</v>
      </c>
      <c r="J484" s="52"/>
      <c r="K484" s="52" t="s">
        <v>73</v>
      </c>
      <c r="L484" s="52" t="s">
        <v>74</v>
      </c>
      <c r="M484" s="53" t="s">
        <v>942</v>
      </c>
      <c r="N484" s="58" t="s">
        <v>73</v>
      </c>
      <c r="O484" s="48" t="s">
        <v>72</v>
      </c>
      <c r="P484" s="48" t="s">
        <v>73</v>
      </c>
      <c r="Q484" s="54" t="s">
        <v>73</v>
      </c>
      <c r="R484" s="55" t="s">
        <v>73</v>
      </c>
      <c r="S484" s="48" t="s">
        <v>73</v>
      </c>
      <c r="T484" s="130"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8" t="str" cm="1">
        <f t="array" ref="U484">IF(SUMPRODUCT(--((CAT_Procesos!$E$2:$E$1581=O484)*(CAT_Procesos!$F$2:$F$1581=_xlfn.TEXTJOIN(" + ",TRUE,IF((TRIM(P484:S484)="")+(LOWER(TRIM(P484:S484))="(seleccione)"),"",PROPER(TRIM(P484:S484)))))*(CAT_Procesos!$D$2:$D$1581=IFERROR(VLOOKUP(N484&amp;"*",CAT_Procesos!$D:$D,1,FALSE),""))))=0,"Combinación no existente",IF(SUMPRODUCT(((CAT_Procesos!$E$2:$E$1581=O484)*(CAT_Procesos!$F$2:$F$1581=_xlfn.TEXTJOIN(" + ",TRUE,IF((TRIM(P484:S484)="")+(LOWER(TRIM(P484:S484))="(seleccione)"),"",PROPER(TRIM(P484:S484)))))*(CAT_Procesos!$D$2:$D$1581=IFERROR(VLOOKUP(N484&amp;"*",CAT_Procesos!$D:$D,1,FALSE),"")))*(CAT_Procesos!$G$2:$G$1581=INDEX(CAT_Procesos!$G$2:$G$1581,MATCH(1,(CAT_Procesos!$E$2:$E$1581=O484)*(CAT_Procesos!$F$2:$F$1581=_xlfn.TEXTJOIN(" + ",TRUE,IF((TRIM(P484:S484)="")+(LOWER(TRIM(P484:S484))="(seleccione)"),"",PROPER(TRIM(P484:S484)))))*(CAT_Procesos!$D$2:$D$1581=IFERROR(VLOOKUP(N484&amp;"*",CAT_Procesos!$D:$D,1,FALSE),"")),0))))=SUMPRODUCT(--((CAT_Procesos!$E$2:$E$1581=O484)*(CAT_Procesos!$F$2:$F$1581=_xlfn.TEXTJOIN(" + ",TRUE,IF((TRIM(P484:S484)="")+(LOWER(TRIM(P484:S484))="(seleccione)"),"",PROPER(TRIM(P484:S484)))))*(CAT_Procesos!$D$2:$D$1581=IFERROR(VLOOKUP(N484&amp;"*",CAT_Procesos!$D:$D,1,FALSE),"")))),INDEX(CAT_Procesos!$G$2:$G$1581,MATCH(1,(CAT_Procesos!$E$2:$E$1581=O484)*(CAT_Procesos!$F$2:$F$1581=_xlfn.TEXTJOIN(" + ",TRUE,IF((TRIM(P484:S484)="")+(LOWER(TRIM(P484:S484))="(seleccione)"),"",PROPER(TRIM(P484:S484)))))*(CAT_Procesos!$D$2:$D$1581=IFERROR(VLOOKUP(N484&amp;"*",CAT_Procesos!$D:$D,1,FALSE),"")),0)),"(seleccione)"))</f>
        <v>Combinación no existente</v>
      </c>
      <c r="V484" s="55" t="s">
        <v>73</v>
      </c>
      <c r="W484" s="56" t="s">
        <v>73</v>
      </c>
      <c r="X484" s="57" t="str">
        <f t="shared" si="28"/>
        <v/>
      </c>
      <c r="Y484" s="58" t="s">
        <v>73</v>
      </c>
      <c r="Z484" s="57" t="str">
        <f t="shared" si="29"/>
        <v/>
      </c>
      <c r="AA484" s="58" t="s">
        <v>73</v>
      </c>
      <c r="AB484" s="57" t="str">
        <f t="shared" si="30"/>
        <v/>
      </c>
      <c r="AC484" s="58" t="s">
        <v>73</v>
      </c>
      <c r="AD484" s="57" t="str">
        <f t="shared" si="31"/>
        <v/>
      </c>
      <c r="AE484" s="59"/>
      <c r="AF484" s="59"/>
      <c r="AG484" s="59"/>
      <c r="AH484" s="59"/>
      <c r="AI484" s="59" t="s">
        <v>73</v>
      </c>
      <c r="AJ484" s="59"/>
      <c r="AK484" s="59" t="s">
        <v>73</v>
      </c>
      <c r="AL484" s="59"/>
      <c r="AM484" s="59" t="s">
        <v>73</v>
      </c>
      <c r="AN484" s="59"/>
      <c r="AO484" s="59" t="s">
        <v>73</v>
      </c>
      <c r="AP484" s="59"/>
      <c r="AQ484" s="59" t="s">
        <v>73</v>
      </c>
      <c r="AR484" s="59"/>
      <c r="AS484" s="59" t="s">
        <v>72</v>
      </c>
      <c r="AT484" s="59"/>
      <c r="AU484" s="59"/>
      <c r="AV484" s="59"/>
      <c r="AW484" s="59"/>
      <c r="AX484" s="59"/>
      <c r="AY484" s="60" t="str">
        <f>IF('Cálculo MP'!K494="","",'Cálculo MP'!K494)</f>
        <v/>
      </c>
      <c r="AZ484" s="60" t="str">
        <f>IF('Cálculo MP'!L494="","",'Cálculo MP'!L494)</f>
        <v/>
      </c>
      <c r="BA484" s="60" t="str">
        <f>IF('Cálculo MP'!M494="","",'Cálculo MP'!M494)</f>
        <v/>
      </c>
      <c r="BB484" s="60" t="str">
        <f>IF('Cálculo MP'!N494="","",'Cálculo MP'!N494)</f>
        <v/>
      </c>
      <c r="BC484" s="60" t="str">
        <f>IF('Cálculo MP'!O494="","",'Cálculo MP'!O494)</f>
        <v/>
      </c>
      <c r="BD484" s="60" t="str">
        <f>IF('Cálculo MP'!P494="","",'Cálculo MP'!P494)</f>
        <v/>
      </c>
      <c r="BE484" s="60" t="str">
        <f>IF('Cálculo MP'!Q494="","",'Cálculo MP'!Q494)</f>
        <v/>
      </c>
      <c r="BF484" s="60" t="str">
        <f>IF('Cálculo MP'!R494="","",'Cálculo MP'!R494)</f>
        <v/>
      </c>
      <c r="BG484" s="60" t="str">
        <f>IF('Cálculo MP'!S494="","",'Cálculo MP'!S494)</f>
        <v/>
      </c>
      <c r="BH484" s="59"/>
      <c r="BI484" s="59"/>
      <c r="BJ484" s="59"/>
      <c r="BK484" s="59"/>
      <c r="BL484" s="59"/>
      <c r="BM484" s="59"/>
      <c r="BN484" s="59"/>
      <c r="BO484" s="59"/>
    </row>
    <row r="485" spans="1:67" ht="19.5" customHeight="1" x14ac:dyDescent="0.15">
      <c r="A485" s="123" t="s">
        <v>1856</v>
      </c>
      <c r="B485" s="122" t="s">
        <v>1854</v>
      </c>
      <c r="C485" s="49"/>
      <c r="D485" s="48" t="s">
        <v>73</v>
      </c>
      <c r="E485" s="49"/>
      <c r="F485" s="50"/>
      <c r="G485" s="62"/>
      <c r="H485" s="48" t="s">
        <v>72</v>
      </c>
      <c r="I485" s="52">
        <v>1</v>
      </c>
      <c r="J485" s="52"/>
      <c r="K485" s="52" t="s">
        <v>73</v>
      </c>
      <c r="L485" s="52" t="s">
        <v>74</v>
      </c>
      <c r="M485" s="53" t="s">
        <v>942</v>
      </c>
      <c r="N485" s="58" t="s">
        <v>73</v>
      </c>
      <c r="O485" s="48" t="s">
        <v>72</v>
      </c>
      <c r="P485" s="48" t="s">
        <v>73</v>
      </c>
      <c r="Q485" s="54" t="s">
        <v>73</v>
      </c>
      <c r="R485" s="55" t="s">
        <v>73</v>
      </c>
      <c r="S485" s="48" t="s">
        <v>73</v>
      </c>
      <c r="T485" s="130"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8" t="str" cm="1">
        <f t="array" ref="U485">IF(SUMPRODUCT(--((CAT_Procesos!$E$2:$E$1581=O485)*(CAT_Procesos!$F$2:$F$1581=_xlfn.TEXTJOIN(" + ",TRUE,IF((TRIM(P485:S485)="")+(LOWER(TRIM(P485:S485))="(seleccione)"),"",PROPER(TRIM(P485:S485)))))*(CAT_Procesos!$D$2:$D$1581=IFERROR(VLOOKUP(N485&amp;"*",CAT_Procesos!$D:$D,1,FALSE),""))))=0,"Combinación no existente",IF(SUMPRODUCT(((CAT_Procesos!$E$2:$E$1581=O485)*(CAT_Procesos!$F$2:$F$1581=_xlfn.TEXTJOIN(" + ",TRUE,IF((TRIM(P485:S485)="")+(LOWER(TRIM(P485:S485))="(seleccione)"),"",PROPER(TRIM(P485:S485)))))*(CAT_Procesos!$D$2:$D$1581=IFERROR(VLOOKUP(N485&amp;"*",CAT_Procesos!$D:$D,1,FALSE),"")))*(CAT_Procesos!$G$2:$G$1581=INDEX(CAT_Procesos!$G$2:$G$1581,MATCH(1,(CAT_Procesos!$E$2:$E$1581=O485)*(CAT_Procesos!$F$2:$F$1581=_xlfn.TEXTJOIN(" + ",TRUE,IF((TRIM(P485:S485)="")+(LOWER(TRIM(P485:S485))="(seleccione)"),"",PROPER(TRIM(P485:S485)))))*(CAT_Procesos!$D$2:$D$1581=IFERROR(VLOOKUP(N485&amp;"*",CAT_Procesos!$D:$D,1,FALSE),"")),0))))=SUMPRODUCT(--((CAT_Procesos!$E$2:$E$1581=O485)*(CAT_Procesos!$F$2:$F$1581=_xlfn.TEXTJOIN(" + ",TRUE,IF((TRIM(P485:S485)="")+(LOWER(TRIM(P485:S485))="(seleccione)"),"",PROPER(TRIM(P485:S485)))))*(CAT_Procesos!$D$2:$D$1581=IFERROR(VLOOKUP(N485&amp;"*",CAT_Procesos!$D:$D,1,FALSE),"")))),INDEX(CAT_Procesos!$G$2:$G$1581,MATCH(1,(CAT_Procesos!$E$2:$E$1581=O485)*(CAT_Procesos!$F$2:$F$1581=_xlfn.TEXTJOIN(" + ",TRUE,IF((TRIM(P485:S485)="")+(LOWER(TRIM(P485:S485))="(seleccione)"),"",PROPER(TRIM(P485:S485)))))*(CAT_Procesos!$D$2:$D$1581=IFERROR(VLOOKUP(N485&amp;"*",CAT_Procesos!$D:$D,1,FALSE),"")),0)),"(seleccione)"))</f>
        <v>Combinación no existente</v>
      </c>
      <c r="V485" s="55" t="s">
        <v>73</v>
      </c>
      <c r="W485" s="56" t="s">
        <v>73</v>
      </c>
      <c r="X485" s="57" t="str">
        <f t="shared" si="28"/>
        <v/>
      </c>
      <c r="Y485" s="58" t="s">
        <v>73</v>
      </c>
      <c r="Z485" s="57" t="str">
        <f t="shared" si="29"/>
        <v/>
      </c>
      <c r="AA485" s="58" t="s">
        <v>73</v>
      </c>
      <c r="AB485" s="57" t="str">
        <f t="shared" si="30"/>
        <v/>
      </c>
      <c r="AC485" s="58" t="s">
        <v>73</v>
      </c>
      <c r="AD485" s="57" t="str">
        <f t="shared" si="31"/>
        <v/>
      </c>
      <c r="AE485" s="59"/>
      <c r="AF485" s="59"/>
      <c r="AG485" s="59"/>
      <c r="AH485" s="59"/>
      <c r="AI485" s="59" t="s">
        <v>73</v>
      </c>
      <c r="AJ485" s="59"/>
      <c r="AK485" s="59" t="s">
        <v>73</v>
      </c>
      <c r="AL485" s="59"/>
      <c r="AM485" s="59" t="s">
        <v>73</v>
      </c>
      <c r="AN485" s="59"/>
      <c r="AO485" s="59" t="s">
        <v>73</v>
      </c>
      <c r="AP485" s="59"/>
      <c r="AQ485" s="59" t="s">
        <v>73</v>
      </c>
      <c r="AR485" s="59"/>
      <c r="AS485" s="59" t="s">
        <v>72</v>
      </c>
      <c r="AT485" s="59"/>
      <c r="AU485" s="59"/>
      <c r="AV485" s="59"/>
      <c r="AW485" s="59"/>
      <c r="AX485" s="59"/>
      <c r="AY485" s="60" t="str">
        <f>IF('Cálculo MP'!K495="","",'Cálculo MP'!K495)</f>
        <v/>
      </c>
      <c r="AZ485" s="60" t="str">
        <f>IF('Cálculo MP'!L495="","",'Cálculo MP'!L495)</f>
        <v/>
      </c>
      <c r="BA485" s="60" t="str">
        <f>IF('Cálculo MP'!M495="","",'Cálculo MP'!M495)</f>
        <v/>
      </c>
      <c r="BB485" s="60" t="str">
        <f>IF('Cálculo MP'!N495="","",'Cálculo MP'!N495)</f>
        <v/>
      </c>
      <c r="BC485" s="60" t="str">
        <f>IF('Cálculo MP'!O495="","",'Cálculo MP'!O495)</f>
        <v/>
      </c>
      <c r="BD485" s="60" t="str">
        <f>IF('Cálculo MP'!P495="","",'Cálculo MP'!P495)</f>
        <v/>
      </c>
      <c r="BE485" s="60" t="str">
        <f>IF('Cálculo MP'!Q495="","",'Cálculo MP'!Q495)</f>
        <v/>
      </c>
      <c r="BF485" s="60" t="str">
        <f>IF('Cálculo MP'!R495="","",'Cálculo MP'!R495)</f>
        <v/>
      </c>
      <c r="BG485" s="60" t="str">
        <f>IF('Cálculo MP'!S495="","",'Cálculo MP'!S495)</f>
        <v/>
      </c>
      <c r="BH485" s="59"/>
      <c r="BI485" s="59"/>
      <c r="BJ485" s="59"/>
      <c r="BK485" s="59"/>
      <c r="BL485" s="59"/>
      <c r="BM485" s="59"/>
      <c r="BN485" s="59"/>
      <c r="BO485" s="59"/>
    </row>
    <row r="486" spans="1:67" ht="19.5" customHeight="1" x14ac:dyDescent="0.15">
      <c r="A486" s="123" t="s">
        <v>1856</v>
      </c>
      <c r="B486" s="122" t="s">
        <v>1854</v>
      </c>
      <c r="C486" s="49"/>
      <c r="D486" s="48" t="s">
        <v>73</v>
      </c>
      <c r="E486" s="49"/>
      <c r="F486" s="50"/>
      <c r="G486" s="62"/>
      <c r="H486" s="48" t="s">
        <v>72</v>
      </c>
      <c r="I486" s="52">
        <v>1</v>
      </c>
      <c r="J486" s="52"/>
      <c r="K486" s="52" t="s">
        <v>73</v>
      </c>
      <c r="L486" s="52" t="s">
        <v>74</v>
      </c>
      <c r="M486" s="53" t="s">
        <v>942</v>
      </c>
      <c r="N486" s="58" t="s">
        <v>73</v>
      </c>
      <c r="O486" s="48" t="s">
        <v>72</v>
      </c>
      <c r="P486" s="48" t="s">
        <v>73</v>
      </c>
      <c r="Q486" s="54" t="s">
        <v>73</v>
      </c>
      <c r="R486" s="55" t="s">
        <v>73</v>
      </c>
      <c r="S486" s="48" t="s">
        <v>73</v>
      </c>
      <c r="T486" s="130"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8" t="str" cm="1">
        <f t="array" ref="U486">IF(SUMPRODUCT(--((CAT_Procesos!$E$2:$E$1581=O486)*(CAT_Procesos!$F$2:$F$1581=_xlfn.TEXTJOIN(" + ",TRUE,IF((TRIM(P486:S486)="")+(LOWER(TRIM(P486:S486))="(seleccione)"),"",PROPER(TRIM(P486:S486)))))*(CAT_Procesos!$D$2:$D$1581=IFERROR(VLOOKUP(N486&amp;"*",CAT_Procesos!$D:$D,1,FALSE),""))))=0,"Combinación no existente",IF(SUMPRODUCT(((CAT_Procesos!$E$2:$E$1581=O486)*(CAT_Procesos!$F$2:$F$1581=_xlfn.TEXTJOIN(" + ",TRUE,IF((TRIM(P486:S486)="")+(LOWER(TRIM(P486:S486))="(seleccione)"),"",PROPER(TRIM(P486:S486)))))*(CAT_Procesos!$D$2:$D$1581=IFERROR(VLOOKUP(N486&amp;"*",CAT_Procesos!$D:$D,1,FALSE),"")))*(CAT_Procesos!$G$2:$G$1581=INDEX(CAT_Procesos!$G$2:$G$1581,MATCH(1,(CAT_Procesos!$E$2:$E$1581=O486)*(CAT_Procesos!$F$2:$F$1581=_xlfn.TEXTJOIN(" + ",TRUE,IF((TRIM(P486:S486)="")+(LOWER(TRIM(P486:S486))="(seleccione)"),"",PROPER(TRIM(P486:S486)))))*(CAT_Procesos!$D$2:$D$1581=IFERROR(VLOOKUP(N486&amp;"*",CAT_Procesos!$D:$D,1,FALSE),"")),0))))=SUMPRODUCT(--((CAT_Procesos!$E$2:$E$1581=O486)*(CAT_Procesos!$F$2:$F$1581=_xlfn.TEXTJOIN(" + ",TRUE,IF((TRIM(P486:S486)="")+(LOWER(TRIM(P486:S486))="(seleccione)"),"",PROPER(TRIM(P486:S486)))))*(CAT_Procesos!$D$2:$D$1581=IFERROR(VLOOKUP(N486&amp;"*",CAT_Procesos!$D:$D,1,FALSE),"")))),INDEX(CAT_Procesos!$G$2:$G$1581,MATCH(1,(CAT_Procesos!$E$2:$E$1581=O486)*(CAT_Procesos!$F$2:$F$1581=_xlfn.TEXTJOIN(" + ",TRUE,IF((TRIM(P486:S486)="")+(LOWER(TRIM(P486:S486))="(seleccione)"),"",PROPER(TRIM(P486:S486)))))*(CAT_Procesos!$D$2:$D$1581=IFERROR(VLOOKUP(N486&amp;"*",CAT_Procesos!$D:$D,1,FALSE),"")),0)),"(seleccione)"))</f>
        <v>Combinación no existente</v>
      </c>
      <c r="V486" s="55" t="s">
        <v>73</v>
      </c>
      <c r="W486" s="56" t="s">
        <v>73</v>
      </c>
      <c r="X486" s="57" t="str">
        <f t="shared" si="28"/>
        <v/>
      </c>
      <c r="Y486" s="58" t="s">
        <v>73</v>
      </c>
      <c r="Z486" s="57" t="str">
        <f t="shared" si="29"/>
        <v/>
      </c>
      <c r="AA486" s="58" t="s">
        <v>73</v>
      </c>
      <c r="AB486" s="57" t="str">
        <f t="shared" si="30"/>
        <v/>
      </c>
      <c r="AC486" s="58" t="s">
        <v>73</v>
      </c>
      <c r="AD486" s="57" t="str">
        <f t="shared" si="31"/>
        <v/>
      </c>
      <c r="AE486" s="59"/>
      <c r="AF486" s="59"/>
      <c r="AG486" s="59"/>
      <c r="AH486" s="59"/>
      <c r="AI486" s="59" t="s">
        <v>73</v>
      </c>
      <c r="AJ486" s="59"/>
      <c r="AK486" s="59" t="s">
        <v>73</v>
      </c>
      <c r="AL486" s="59"/>
      <c r="AM486" s="59" t="s">
        <v>73</v>
      </c>
      <c r="AN486" s="59"/>
      <c r="AO486" s="59" t="s">
        <v>73</v>
      </c>
      <c r="AP486" s="59"/>
      <c r="AQ486" s="59" t="s">
        <v>73</v>
      </c>
      <c r="AR486" s="59"/>
      <c r="AS486" s="59" t="s">
        <v>72</v>
      </c>
      <c r="AT486" s="59"/>
      <c r="AU486" s="59"/>
      <c r="AV486" s="59"/>
      <c r="AW486" s="59"/>
      <c r="AX486" s="59"/>
      <c r="AY486" s="60" t="str">
        <f>IF('Cálculo MP'!K496="","",'Cálculo MP'!K496)</f>
        <v/>
      </c>
      <c r="AZ486" s="60" t="str">
        <f>IF('Cálculo MP'!L496="","",'Cálculo MP'!L496)</f>
        <v/>
      </c>
      <c r="BA486" s="60" t="str">
        <f>IF('Cálculo MP'!M496="","",'Cálculo MP'!M496)</f>
        <v/>
      </c>
      <c r="BB486" s="60" t="str">
        <f>IF('Cálculo MP'!N496="","",'Cálculo MP'!N496)</f>
        <v/>
      </c>
      <c r="BC486" s="60" t="str">
        <f>IF('Cálculo MP'!O496="","",'Cálculo MP'!O496)</f>
        <v/>
      </c>
      <c r="BD486" s="60" t="str">
        <f>IF('Cálculo MP'!P496="","",'Cálculo MP'!P496)</f>
        <v/>
      </c>
      <c r="BE486" s="60" t="str">
        <f>IF('Cálculo MP'!Q496="","",'Cálculo MP'!Q496)</f>
        <v/>
      </c>
      <c r="BF486" s="60" t="str">
        <f>IF('Cálculo MP'!R496="","",'Cálculo MP'!R496)</f>
        <v/>
      </c>
      <c r="BG486" s="60" t="str">
        <f>IF('Cálculo MP'!S496="","",'Cálculo MP'!S496)</f>
        <v/>
      </c>
      <c r="BH486" s="59"/>
      <c r="BI486" s="59"/>
      <c r="BJ486" s="59"/>
      <c r="BK486" s="59"/>
      <c r="BL486" s="59"/>
      <c r="BM486" s="59"/>
      <c r="BN486" s="59"/>
      <c r="BO486" s="59"/>
    </row>
    <row r="487" spans="1:67" ht="19.5" customHeight="1" x14ac:dyDescent="0.15">
      <c r="A487" s="123" t="s">
        <v>1856</v>
      </c>
      <c r="B487" s="122" t="s">
        <v>1854</v>
      </c>
      <c r="C487" s="49"/>
      <c r="D487" s="48" t="s">
        <v>73</v>
      </c>
      <c r="E487" s="49"/>
      <c r="F487" s="50"/>
      <c r="G487" s="62"/>
      <c r="H487" s="48" t="s">
        <v>72</v>
      </c>
      <c r="I487" s="52">
        <v>1</v>
      </c>
      <c r="J487" s="52"/>
      <c r="K487" s="52" t="s">
        <v>73</v>
      </c>
      <c r="L487" s="52" t="s">
        <v>74</v>
      </c>
      <c r="M487" s="53" t="s">
        <v>942</v>
      </c>
      <c r="N487" s="58" t="s">
        <v>73</v>
      </c>
      <c r="O487" s="48" t="s">
        <v>72</v>
      </c>
      <c r="P487" s="48" t="s">
        <v>73</v>
      </c>
      <c r="Q487" s="54" t="s">
        <v>73</v>
      </c>
      <c r="R487" s="55" t="s">
        <v>73</v>
      </c>
      <c r="S487" s="48" t="s">
        <v>73</v>
      </c>
      <c r="T487" s="130"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8" t="str" cm="1">
        <f t="array" ref="U487">IF(SUMPRODUCT(--((CAT_Procesos!$E$2:$E$1581=O487)*(CAT_Procesos!$F$2:$F$1581=_xlfn.TEXTJOIN(" + ",TRUE,IF((TRIM(P487:S487)="")+(LOWER(TRIM(P487:S487))="(seleccione)"),"",PROPER(TRIM(P487:S487)))))*(CAT_Procesos!$D$2:$D$1581=IFERROR(VLOOKUP(N487&amp;"*",CAT_Procesos!$D:$D,1,FALSE),""))))=0,"Combinación no existente",IF(SUMPRODUCT(((CAT_Procesos!$E$2:$E$1581=O487)*(CAT_Procesos!$F$2:$F$1581=_xlfn.TEXTJOIN(" + ",TRUE,IF((TRIM(P487:S487)="")+(LOWER(TRIM(P487:S487))="(seleccione)"),"",PROPER(TRIM(P487:S487)))))*(CAT_Procesos!$D$2:$D$1581=IFERROR(VLOOKUP(N487&amp;"*",CAT_Procesos!$D:$D,1,FALSE),"")))*(CAT_Procesos!$G$2:$G$1581=INDEX(CAT_Procesos!$G$2:$G$1581,MATCH(1,(CAT_Procesos!$E$2:$E$1581=O487)*(CAT_Procesos!$F$2:$F$1581=_xlfn.TEXTJOIN(" + ",TRUE,IF((TRIM(P487:S487)="")+(LOWER(TRIM(P487:S487))="(seleccione)"),"",PROPER(TRIM(P487:S487)))))*(CAT_Procesos!$D$2:$D$1581=IFERROR(VLOOKUP(N487&amp;"*",CAT_Procesos!$D:$D,1,FALSE),"")),0))))=SUMPRODUCT(--((CAT_Procesos!$E$2:$E$1581=O487)*(CAT_Procesos!$F$2:$F$1581=_xlfn.TEXTJOIN(" + ",TRUE,IF((TRIM(P487:S487)="")+(LOWER(TRIM(P487:S487))="(seleccione)"),"",PROPER(TRIM(P487:S487)))))*(CAT_Procesos!$D$2:$D$1581=IFERROR(VLOOKUP(N487&amp;"*",CAT_Procesos!$D:$D,1,FALSE),"")))),INDEX(CAT_Procesos!$G$2:$G$1581,MATCH(1,(CAT_Procesos!$E$2:$E$1581=O487)*(CAT_Procesos!$F$2:$F$1581=_xlfn.TEXTJOIN(" + ",TRUE,IF((TRIM(P487:S487)="")+(LOWER(TRIM(P487:S487))="(seleccione)"),"",PROPER(TRIM(P487:S487)))))*(CAT_Procesos!$D$2:$D$1581=IFERROR(VLOOKUP(N487&amp;"*",CAT_Procesos!$D:$D,1,FALSE),"")),0)),"(seleccione)"))</f>
        <v>Combinación no existente</v>
      </c>
      <c r="V487" s="55" t="s">
        <v>73</v>
      </c>
      <c r="W487" s="56" t="s">
        <v>73</v>
      </c>
      <c r="X487" s="57" t="str">
        <f t="shared" si="28"/>
        <v/>
      </c>
      <c r="Y487" s="58" t="s">
        <v>73</v>
      </c>
      <c r="Z487" s="57" t="str">
        <f t="shared" si="29"/>
        <v/>
      </c>
      <c r="AA487" s="58" t="s">
        <v>73</v>
      </c>
      <c r="AB487" s="57" t="str">
        <f t="shared" si="30"/>
        <v/>
      </c>
      <c r="AC487" s="58" t="s">
        <v>73</v>
      </c>
      <c r="AD487" s="57" t="str">
        <f t="shared" si="31"/>
        <v/>
      </c>
      <c r="AE487" s="59"/>
      <c r="AF487" s="59"/>
      <c r="AG487" s="59"/>
      <c r="AH487" s="59"/>
      <c r="AI487" s="59" t="s">
        <v>73</v>
      </c>
      <c r="AJ487" s="59"/>
      <c r="AK487" s="59" t="s">
        <v>73</v>
      </c>
      <c r="AL487" s="59"/>
      <c r="AM487" s="59" t="s">
        <v>73</v>
      </c>
      <c r="AN487" s="59"/>
      <c r="AO487" s="59" t="s">
        <v>73</v>
      </c>
      <c r="AP487" s="59"/>
      <c r="AQ487" s="59" t="s">
        <v>73</v>
      </c>
      <c r="AR487" s="59"/>
      <c r="AS487" s="59" t="s">
        <v>72</v>
      </c>
      <c r="AT487" s="59"/>
      <c r="AU487" s="59"/>
      <c r="AV487" s="59"/>
      <c r="AW487" s="59"/>
      <c r="AX487" s="59"/>
      <c r="AY487" s="60" t="str">
        <f>IF('Cálculo MP'!K497="","",'Cálculo MP'!K497)</f>
        <v/>
      </c>
      <c r="AZ487" s="60" t="str">
        <f>IF('Cálculo MP'!L497="","",'Cálculo MP'!L497)</f>
        <v/>
      </c>
      <c r="BA487" s="60" t="str">
        <f>IF('Cálculo MP'!M497="","",'Cálculo MP'!M497)</f>
        <v/>
      </c>
      <c r="BB487" s="60" t="str">
        <f>IF('Cálculo MP'!N497="","",'Cálculo MP'!N497)</f>
        <v/>
      </c>
      <c r="BC487" s="60" t="str">
        <f>IF('Cálculo MP'!O497="","",'Cálculo MP'!O497)</f>
        <v/>
      </c>
      <c r="BD487" s="60" t="str">
        <f>IF('Cálculo MP'!P497="","",'Cálculo MP'!P497)</f>
        <v/>
      </c>
      <c r="BE487" s="60" t="str">
        <f>IF('Cálculo MP'!Q497="","",'Cálculo MP'!Q497)</f>
        <v/>
      </c>
      <c r="BF487" s="60" t="str">
        <f>IF('Cálculo MP'!R497="","",'Cálculo MP'!R497)</f>
        <v/>
      </c>
      <c r="BG487" s="60" t="str">
        <f>IF('Cálculo MP'!S497="","",'Cálculo MP'!S497)</f>
        <v/>
      </c>
      <c r="BH487" s="59"/>
      <c r="BI487" s="59"/>
      <c r="BJ487" s="59"/>
      <c r="BK487" s="59"/>
      <c r="BL487" s="59"/>
      <c r="BM487" s="59"/>
      <c r="BN487" s="59"/>
      <c r="BO487" s="59"/>
    </row>
    <row r="488" spans="1:67" ht="19.5" customHeight="1" x14ac:dyDescent="0.15">
      <c r="A488" s="123" t="s">
        <v>1856</v>
      </c>
      <c r="B488" s="122" t="s">
        <v>1854</v>
      </c>
      <c r="C488" s="49"/>
      <c r="D488" s="48" t="s">
        <v>73</v>
      </c>
      <c r="E488" s="49"/>
      <c r="F488" s="50"/>
      <c r="G488" s="62"/>
      <c r="H488" s="48" t="s">
        <v>72</v>
      </c>
      <c r="I488" s="52">
        <v>1</v>
      </c>
      <c r="J488" s="52"/>
      <c r="K488" s="52" t="s">
        <v>73</v>
      </c>
      <c r="L488" s="52" t="s">
        <v>74</v>
      </c>
      <c r="M488" s="53" t="s">
        <v>942</v>
      </c>
      <c r="N488" s="58" t="s">
        <v>73</v>
      </c>
      <c r="O488" s="48" t="s">
        <v>72</v>
      </c>
      <c r="P488" s="48" t="s">
        <v>73</v>
      </c>
      <c r="Q488" s="54" t="s">
        <v>73</v>
      </c>
      <c r="R488" s="55" t="s">
        <v>73</v>
      </c>
      <c r="S488" s="48" t="s">
        <v>73</v>
      </c>
      <c r="T488" s="130"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8" t="str" cm="1">
        <f t="array" ref="U488">IF(SUMPRODUCT(--((CAT_Procesos!$E$2:$E$1581=O488)*(CAT_Procesos!$F$2:$F$1581=_xlfn.TEXTJOIN(" + ",TRUE,IF((TRIM(P488:S488)="")+(LOWER(TRIM(P488:S488))="(seleccione)"),"",PROPER(TRIM(P488:S488)))))*(CAT_Procesos!$D$2:$D$1581=IFERROR(VLOOKUP(N488&amp;"*",CAT_Procesos!$D:$D,1,FALSE),""))))=0,"Combinación no existente",IF(SUMPRODUCT(((CAT_Procesos!$E$2:$E$1581=O488)*(CAT_Procesos!$F$2:$F$1581=_xlfn.TEXTJOIN(" + ",TRUE,IF((TRIM(P488:S488)="")+(LOWER(TRIM(P488:S488))="(seleccione)"),"",PROPER(TRIM(P488:S488)))))*(CAT_Procesos!$D$2:$D$1581=IFERROR(VLOOKUP(N488&amp;"*",CAT_Procesos!$D:$D,1,FALSE),"")))*(CAT_Procesos!$G$2:$G$1581=INDEX(CAT_Procesos!$G$2:$G$1581,MATCH(1,(CAT_Procesos!$E$2:$E$1581=O488)*(CAT_Procesos!$F$2:$F$1581=_xlfn.TEXTJOIN(" + ",TRUE,IF((TRIM(P488:S488)="")+(LOWER(TRIM(P488:S488))="(seleccione)"),"",PROPER(TRIM(P488:S488)))))*(CAT_Procesos!$D$2:$D$1581=IFERROR(VLOOKUP(N488&amp;"*",CAT_Procesos!$D:$D,1,FALSE),"")),0))))=SUMPRODUCT(--((CAT_Procesos!$E$2:$E$1581=O488)*(CAT_Procesos!$F$2:$F$1581=_xlfn.TEXTJOIN(" + ",TRUE,IF((TRIM(P488:S488)="")+(LOWER(TRIM(P488:S488))="(seleccione)"),"",PROPER(TRIM(P488:S488)))))*(CAT_Procesos!$D$2:$D$1581=IFERROR(VLOOKUP(N488&amp;"*",CAT_Procesos!$D:$D,1,FALSE),"")))),INDEX(CAT_Procesos!$G$2:$G$1581,MATCH(1,(CAT_Procesos!$E$2:$E$1581=O488)*(CAT_Procesos!$F$2:$F$1581=_xlfn.TEXTJOIN(" + ",TRUE,IF((TRIM(P488:S488)="")+(LOWER(TRIM(P488:S488))="(seleccione)"),"",PROPER(TRIM(P488:S488)))))*(CAT_Procesos!$D$2:$D$1581=IFERROR(VLOOKUP(N488&amp;"*",CAT_Procesos!$D:$D,1,FALSE),"")),0)),"(seleccione)"))</f>
        <v>Combinación no existente</v>
      </c>
      <c r="V488" s="55" t="s">
        <v>73</v>
      </c>
      <c r="W488" s="56" t="s">
        <v>73</v>
      </c>
      <c r="X488" s="57" t="str">
        <f t="shared" si="28"/>
        <v/>
      </c>
      <c r="Y488" s="58" t="s">
        <v>73</v>
      </c>
      <c r="Z488" s="57" t="str">
        <f t="shared" si="29"/>
        <v/>
      </c>
      <c r="AA488" s="58" t="s">
        <v>73</v>
      </c>
      <c r="AB488" s="57" t="str">
        <f t="shared" si="30"/>
        <v/>
      </c>
      <c r="AC488" s="58" t="s">
        <v>73</v>
      </c>
      <c r="AD488" s="57" t="str">
        <f t="shared" si="31"/>
        <v/>
      </c>
      <c r="AE488" s="59"/>
      <c r="AF488" s="59"/>
      <c r="AG488" s="59"/>
      <c r="AH488" s="59"/>
      <c r="AI488" s="59" t="s">
        <v>73</v>
      </c>
      <c r="AJ488" s="59"/>
      <c r="AK488" s="59" t="s">
        <v>73</v>
      </c>
      <c r="AL488" s="59"/>
      <c r="AM488" s="59" t="s">
        <v>73</v>
      </c>
      <c r="AN488" s="59"/>
      <c r="AO488" s="59" t="s">
        <v>73</v>
      </c>
      <c r="AP488" s="59"/>
      <c r="AQ488" s="59" t="s">
        <v>73</v>
      </c>
      <c r="AR488" s="59"/>
      <c r="AS488" s="59" t="s">
        <v>72</v>
      </c>
      <c r="AT488" s="59"/>
      <c r="AU488" s="59"/>
      <c r="AV488" s="59"/>
      <c r="AW488" s="59"/>
      <c r="AX488" s="59"/>
      <c r="AY488" s="60" t="str">
        <f>IF('Cálculo MP'!K498="","",'Cálculo MP'!K498)</f>
        <v/>
      </c>
      <c r="AZ488" s="60" t="str">
        <f>IF('Cálculo MP'!L498="","",'Cálculo MP'!L498)</f>
        <v/>
      </c>
      <c r="BA488" s="60" t="str">
        <f>IF('Cálculo MP'!M498="","",'Cálculo MP'!M498)</f>
        <v/>
      </c>
      <c r="BB488" s="60" t="str">
        <f>IF('Cálculo MP'!N498="","",'Cálculo MP'!N498)</f>
        <v/>
      </c>
      <c r="BC488" s="60" t="str">
        <f>IF('Cálculo MP'!O498="","",'Cálculo MP'!O498)</f>
        <v/>
      </c>
      <c r="BD488" s="60" t="str">
        <f>IF('Cálculo MP'!P498="","",'Cálculo MP'!P498)</f>
        <v/>
      </c>
      <c r="BE488" s="60" t="str">
        <f>IF('Cálculo MP'!Q498="","",'Cálculo MP'!Q498)</f>
        <v/>
      </c>
      <c r="BF488" s="60" t="str">
        <f>IF('Cálculo MP'!R498="","",'Cálculo MP'!R498)</f>
        <v/>
      </c>
      <c r="BG488" s="60" t="str">
        <f>IF('Cálculo MP'!S498="","",'Cálculo MP'!S498)</f>
        <v/>
      </c>
      <c r="BH488" s="59"/>
      <c r="BI488" s="59"/>
      <c r="BJ488" s="59"/>
      <c r="BK488" s="59"/>
      <c r="BL488" s="59"/>
      <c r="BM488" s="59"/>
      <c r="BN488" s="59"/>
      <c r="BO488" s="59"/>
    </row>
    <row r="489" spans="1:67" ht="19.5" customHeight="1" x14ac:dyDescent="0.15">
      <c r="A489" s="123" t="s">
        <v>1856</v>
      </c>
      <c r="B489" s="122" t="s">
        <v>1854</v>
      </c>
      <c r="C489" s="49"/>
      <c r="D489" s="48" t="s">
        <v>73</v>
      </c>
      <c r="E489" s="49"/>
      <c r="F489" s="50"/>
      <c r="G489" s="62"/>
      <c r="H489" s="48" t="s">
        <v>72</v>
      </c>
      <c r="I489" s="52">
        <v>1</v>
      </c>
      <c r="J489" s="52"/>
      <c r="K489" s="52" t="s">
        <v>73</v>
      </c>
      <c r="L489" s="52" t="s">
        <v>74</v>
      </c>
      <c r="M489" s="53" t="s">
        <v>942</v>
      </c>
      <c r="N489" s="58" t="s">
        <v>73</v>
      </c>
      <c r="O489" s="48" t="s">
        <v>72</v>
      </c>
      <c r="P489" s="48" t="s">
        <v>73</v>
      </c>
      <c r="Q489" s="54" t="s">
        <v>73</v>
      </c>
      <c r="R489" s="55" t="s">
        <v>73</v>
      </c>
      <c r="S489" s="48" t="s">
        <v>73</v>
      </c>
      <c r="T489" s="130"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8" t="str" cm="1">
        <f t="array" ref="U489">IF(SUMPRODUCT(--((CAT_Procesos!$E$2:$E$1581=O489)*(CAT_Procesos!$F$2:$F$1581=_xlfn.TEXTJOIN(" + ",TRUE,IF((TRIM(P489:S489)="")+(LOWER(TRIM(P489:S489))="(seleccione)"),"",PROPER(TRIM(P489:S489)))))*(CAT_Procesos!$D$2:$D$1581=IFERROR(VLOOKUP(N489&amp;"*",CAT_Procesos!$D:$D,1,FALSE),""))))=0,"Combinación no existente",IF(SUMPRODUCT(((CAT_Procesos!$E$2:$E$1581=O489)*(CAT_Procesos!$F$2:$F$1581=_xlfn.TEXTJOIN(" + ",TRUE,IF((TRIM(P489:S489)="")+(LOWER(TRIM(P489:S489))="(seleccione)"),"",PROPER(TRIM(P489:S489)))))*(CAT_Procesos!$D$2:$D$1581=IFERROR(VLOOKUP(N489&amp;"*",CAT_Procesos!$D:$D,1,FALSE),"")))*(CAT_Procesos!$G$2:$G$1581=INDEX(CAT_Procesos!$G$2:$G$1581,MATCH(1,(CAT_Procesos!$E$2:$E$1581=O489)*(CAT_Procesos!$F$2:$F$1581=_xlfn.TEXTJOIN(" + ",TRUE,IF((TRIM(P489:S489)="")+(LOWER(TRIM(P489:S489))="(seleccione)"),"",PROPER(TRIM(P489:S489)))))*(CAT_Procesos!$D$2:$D$1581=IFERROR(VLOOKUP(N489&amp;"*",CAT_Procesos!$D:$D,1,FALSE),"")),0))))=SUMPRODUCT(--((CAT_Procesos!$E$2:$E$1581=O489)*(CAT_Procesos!$F$2:$F$1581=_xlfn.TEXTJOIN(" + ",TRUE,IF((TRIM(P489:S489)="")+(LOWER(TRIM(P489:S489))="(seleccione)"),"",PROPER(TRIM(P489:S489)))))*(CAT_Procesos!$D$2:$D$1581=IFERROR(VLOOKUP(N489&amp;"*",CAT_Procesos!$D:$D,1,FALSE),"")))),INDEX(CAT_Procesos!$G$2:$G$1581,MATCH(1,(CAT_Procesos!$E$2:$E$1581=O489)*(CAT_Procesos!$F$2:$F$1581=_xlfn.TEXTJOIN(" + ",TRUE,IF((TRIM(P489:S489)="")+(LOWER(TRIM(P489:S489))="(seleccione)"),"",PROPER(TRIM(P489:S489)))))*(CAT_Procesos!$D$2:$D$1581=IFERROR(VLOOKUP(N489&amp;"*",CAT_Procesos!$D:$D,1,FALSE),"")),0)),"(seleccione)"))</f>
        <v>Combinación no existente</v>
      </c>
      <c r="V489" s="55" t="s">
        <v>73</v>
      </c>
      <c r="W489" s="56" t="s">
        <v>73</v>
      </c>
      <c r="X489" s="57" t="str">
        <f t="shared" si="28"/>
        <v/>
      </c>
      <c r="Y489" s="58" t="s">
        <v>73</v>
      </c>
      <c r="Z489" s="57" t="str">
        <f t="shared" si="29"/>
        <v/>
      </c>
      <c r="AA489" s="58" t="s">
        <v>73</v>
      </c>
      <c r="AB489" s="57" t="str">
        <f t="shared" si="30"/>
        <v/>
      </c>
      <c r="AC489" s="58" t="s">
        <v>73</v>
      </c>
      <c r="AD489" s="57" t="str">
        <f t="shared" si="31"/>
        <v/>
      </c>
      <c r="AE489" s="59"/>
      <c r="AF489" s="59"/>
      <c r="AG489" s="59"/>
      <c r="AH489" s="59"/>
      <c r="AI489" s="59" t="s">
        <v>73</v>
      </c>
      <c r="AJ489" s="59"/>
      <c r="AK489" s="59" t="s">
        <v>73</v>
      </c>
      <c r="AL489" s="59"/>
      <c r="AM489" s="59" t="s">
        <v>73</v>
      </c>
      <c r="AN489" s="59"/>
      <c r="AO489" s="59" t="s">
        <v>73</v>
      </c>
      <c r="AP489" s="59"/>
      <c r="AQ489" s="59" t="s">
        <v>73</v>
      </c>
      <c r="AR489" s="59"/>
      <c r="AS489" s="59" t="s">
        <v>72</v>
      </c>
      <c r="AT489" s="59"/>
      <c r="AU489" s="59"/>
      <c r="AV489" s="59"/>
      <c r="AW489" s="59"/>
      <c r="AX489" s="59"/>
      <c r="AY489" s="60" t="str">
        <f>IF('Cálculo MP'!K499="","",'Cálculo MP'!K499)</f>
        <v/>
      </c>
      <c r="AZ489" s="60" t="str">
        <f>IF('Cálculo MP'!L499="","",'Cálculo MP'!L499)</f>
        <v/>
      </c>
      <c r="BA489" s="60" t="str">
        <f>IF('Cálculo MP'!M499="","",'Cálculo MP'!M499)</f>
        <v/>
      </c>
      <c r="BB489" s="60" t="str">
        <f>IF('Cálculo MP'!N499="","",'Cálculo MP'!N499)</f>
        <v/>
      </c>
      <c r="BC489" s="60" t="str">
        <f>IF('Cálculo MP'!O499="","",'Cálculo MP'!O499)</f>
        <v/>
      </c>
      <c r="BD489" s="60" t="str">
        <f>IF('Cálculo MP'!P499="","",'Cálculo MP'!P499)</f>
        <v/>
      </c>
      <c r="BE489" s="60" t="str">
        <f>IF('Cálculo MP'!Q499="","",'Cálculo MP'!Q499)</f>
        <v/>
      </c>
      <c r="BF489" s="60" t="str">
        <f>IF('Cálculo MP'!R499="","",'Cálculo MP'!R499)</f>
        <v/>
      </c>
      <c r="BG489" s="60" t="str">
        <f>IF('Cálculo MP'!S499="","",'Cálculo MP'!S499)</f>
        <v/>
      </c>
      <c r="BH489" s="59"/>
      <c r="BI489" s="59"/>
      <c r="BJ489" s="59"/>
      <c r="BK489" s="59"/>
      <c r="BL489" s="59"/>
      <c r="BM489" s="59"/>
      <c r="BN489" s="59"/>
      <c r="BO489" s="59"/>
    </row>
    <row r="490" spans="1:67" ht="19.5" customHeight="1" x14ac:dyDescent="0.15">
      <c r="A490" s="123" t="s">
        <v>1856</v>
      </c>
      <c r="B490" s="122" t="s">
        <v>1854</v>
      </c>
      <c r="C490" s="49"/>
      <c r="D490" s="48" t="s">
        <v>73</v>
      </c>
      <c r="E490" s="49"/>
      <c r="F490" s="50"/>
      <c r="G490" s="62"/>
      <c r="H490" s="48" t="s">
        <v>72</v>
      </c>
      <c r="I490" s="52">
        <v>1</v>
      </c>
      <c r="J490" s="52"/>
      <c r="K490" s="52" t="s">
        <v>73</v>
      </c>
      <c r="L490" s="52" t="s">
        <v>74</v>
      </c>
      <c r="M490" s="53" t="s">
        <v>942</v>
      </c>
      <c r="N490" s="58" t="s">
        <v>73</v>
      </c>
      <c r="O490" s="48" t="s">
        <v>72</v>
      </c>
      <c r="P490" s="48" t="s">
        <v>73</v>
      </c>
      <c r="Q490" s="54" t="s">
        <v>73</v>
      </c>
      <c r="R490" s="55" t="s">
        <v>73</v>
      </c>
      <c r="S490" s="48" t="s">
        <v>73</v>
      </c>
      <c r="T490" s="130"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8" t="str" cm="1">
        <f t="array" ref="U490">IF(SUMPRODUCT(--((CAT_Procesos!$E$2:$E$1581=O490)*(CAT_Procesos!$F$2:$F$1581=_xlfn.TEXTJOIN(" + ",TRUE,IF((TRIM(P490:S490)="")+(LOWER(TRIM(P490:S490))="(seleccione)"),"",PROPER(TRIM(P490:S490)))))*(CAT_Procesos!$D$2:$D$1581=IFERROR(VLOOKUP(N490&amp;"*",CAT_Procesos!$D:$D,1,FALSE),""))))=0,"Combinación no existente",IF(SUMPRODUCT(((CAT_Procesos!$E$2:$E$1581=O490)*(CAT_Procesos!$F$2:$F$1581=_xlfn.TEXTJOIN(" + ",TRUE,IF((TRIM(P490:S490)="")+(LOWER(TRIM(P490:S490))="(seleccione)"),"",PROPER(TRIM(P490:S490)))))*(CAT_Procesos!$D$2:$D$1581=IFERROR(VLOOKUP(N490&amp;"*",CAT_Procesos!$D:$D,1,FALSE),"")))*(CAT_Procesos!$G$2:$G$1581=INDEX(CAT_Procesos!$G$2:$G$1581,MATCH(1,(CAT_Procesos!$E$2:$E$1581=O490)*(CAT_Procesos!$F$2:$F$1581=_xlfn.TEXTJOIN(" + ",TRUE,IF((TRIM(P490:S490)="")+(LOWER(TRIM(P490:S490))="(seleccione)"),"",PROPER(TRIM(P490:S490)))))*(CAT_Procesos!$D$2:$D$1581=IFERROR(VLOOKUP(N490&amp;"*",CAT_Procesos!$D:$D,1,FALSE),"")),0))))=SUMPRODUCT(--((CAT_Procesos!$E$2:$E$1581=O490)*(CAT_Procesos!$F$2:$F$1581=_xlfn.TEXTJOIN(" + ",TRUE,IF((TRIM(P490:S490)="")+(LOWER(TRIM(P490:S490))="(seleccione)"),"",PROPER(TRIM(P490:S490)))))*(CAT_Procesos!$D$2:$D$1581=IFERROR(VLOOKUP(N490&amp;"*",CAT_Procesos!$D:$D,1,FALSE),"")))),INDEX(CAT_Procesos!$G$2:$G$1581,MATCH(1,(CAT_Procesos!$E$2:$E$1581=O490)*(CAT_Procesos!$F$2:$F$1581=_xlfn.TEXTJOIN(" + ",TRUE,IF((TRIM(P490:S490)="")+(LOWER(TRIM(P490:S490))="(seleccione)"),"",PROPER(TRIM(P490:S490)))))*(CAT_Procesos!$D$2:$D$1581=IFERROR(VLOOKUP(N490&amp;"*",CAT_Procesos!$D:$D,1,FALSE),"")),0)),"(seleccione)"))</f>
        <v>Combinación no existente</v>
      </c>
      <c r="V490" s="55" t="s">
        <v>73</v>
      </c>
      <c r="W490" s="56" t="s">
        <v>73</v>
      </c>
      <c r="X490" s="57" t="str">
        <f t="shared" si="28"/>
        <v/>
      </c>
      <c r="Y490" s="58" t="s">
        <v>73</v>
      </c>
      <c r="Z490" s="57" t="str">
        <f t="shared" si="29"/>
        <v/>
      </c>
      <c r="AA490" s="58" t="s">
        <v>73</v>
      </c>
      <c r="AB490" s="57" t="str">
        <f t="shared" si="30"/>
        <v/>
      </c>
      <c r="AC490" s="58" t="s">
        <v>73</v>
      </c>
      <c r="AD490" s="57" t="str">
        <f t="shared" si="31"/>
        <v/>
      </c>
      <c r="AE490" s="59"/>
      <c r="AF490" s="59"/>
      <c r="AG490" s="59"/>
      <c r="AH490" s="59"/>
      <c r="AI490" s="59" t="s">
        <v>73</v>
      </c>
      <c r="AJ490" s="59"/>
      <c r="AK490" s="59" t="s">
        <v>73</v>
      </c>
      <c r="AL490" s="59"/>
      <c r="AM490" s="59" t="s">
        <v>73</v>
      </c>
      <c r="AN490" s="59"/>
      <c r="AO490" s="59" t="s">
        <v>73</v>
      </c>
      <c r="AP490" s="59"/>
      <c r="AQ490" s="59" t="s">
        <v>73</v>
      </c>
      <c r="AR490" s="59"/>
      <c r="AS490" s="59" t="s">
        <v>72</v>
      </c>
      <c r="AT490" s="59"/>
      <c r="AU490" s="59"/>
      <c r="AV490" s="59"/>
      <c r="AW490" s="59"/>
      <c r="AX490" s="59"/>
      <c r="AY490" s="60" t="str">
        <f>IF('Cálculo MP'!K500="","",'Cálculo MP'!K500)</f>
        <v/>
      </c>
      <c r="AZ490" s="60" t="str">
        <f>IF('Cálculo MP'!L500="","",'Cálculo MP'!L500)</f>
        <v/>
      </c>
      <c r="BA490" s="60" t="str">
        <f>IF('Cálculo MP'!M500="","",'Cálculo MP'!M500)</f>
        <v/>
      </c>
      <c r="BB490" s="60" t="str">
        <f>IF('Cálculo MP'!N500="","",'Cálculo MP'!N500)</f>
        <v/>
      </c>
      <c r="BC490" s="60" t="str">
        <f>IF('Cálculo MP'!O500="","",'Cálculo MP'!O500)</f>
        <v/>
      </c>
      <c r="BD490" s="60" t="str">
        <f>IF('Cálculo MP'!P500="","",'Cálculo MP'!P500)</f>
        <v/>
      </c>
      <c r="BE490" s="60" t="str">
        <f>IF('Cálculo MP'!Q500="","",'Cálculo MP'!Q500)</f>
        <v/>
      </c>
      <c r="BF490" s="60" t="str">
        <f>IF('Cálculo MP'!R500="","",'Cálculo MP'!R500)</f>
        <v/>
      </c>
      <c r="BG490" s="60" t="str">
        <f>IF('Cálculo MP'!S500="","",'Cálculo MP'!S500)</f>
        <v/>
      </c>
      <c r="BH490" s="59"/>
      <c r="BI490" s="59"/>
      <c r="BJ490" s="59"/>
      <c r="BK490" s="59"/>
      <c r="BL490" s="59"/>
      <c r="BM490" s="59"/>
      <c r="BN490" s="59"/>
      <c r="BO490" s="59"/>
    </row>
    <row r="491" spans="1:67" ht="19.5" customHeight="1" x14ac:dyDescent="0.15">
      <c r="A491" s="123" t="s">
        <v>1856</v>
      </c>
      <c r="B491" s="122" t="s">
        <v>1854</v>
      </c>
      <c r="C491" s="49"/>
      <c r="D491" s="48" t="s">
        <v>73</v>
      </c>
      <c r="E491" s="49"/>
      <c r="F491" s="50"/>
      <c r="G491" s="62"/>
      <c r="H491" s="48" t="s">
        <v>72</v>
      </c>
      <c r="I491" s="52">
        <v>1</v>
      </c>
      <c r="J491" s="52"/>
      <c r="K491" s="52" t="s">
        <v>73</v>
      </c>
      <c r="L491" s="52" t="s">
        <v>74</v>
      </c>
      <c r="M491" s="53" t="s">
        <v>942</v>
      </c>
      <c r="N491" s="58" t="s">
        <v>73</v>
      </c>
      <c r="O491" s="48" t="s">
        <v>72</v>
      </c>
      <c r="P491" s="48" t="s">
        <v>73</v>
      </c>
      <c r="Q491" s="54" t="s">
        <v>73</v>
      </c>
      <c r="R491" s="55" t="s">
        <v>73</v>
      </c>
      <c r="S491" s="48" t="s">
        <v>73</v>
      </c>
      <c r="T491" s="130"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8" t="str" cm="1">
        <f t="array" ref="U491">IF(SUMPRODUCT(--((CAT_Procesos!$E$2:$E$1581=O491)*(CAT_Procesos!$F$2:$F$1581=_xlfn.TEXTJOIN(" + ",TRUE,IF((TRIM(P491:S491)="")+(LOWER(TRIM(P491:S491))="(seleccione)"),"",PROPER(TRIM(P491:S491)))))*(CAT_Procesos!$D$2:$D$1581=IFERROR(VLOOKUP(N491&amp;"*",CAT_Procesos!$D:$D,1,FALSE),""))))=0,"Combinación no existente",IF(SUMPRODUCT(((CAT_Procesos!$E$2:$E$1581=O491)*(CAT_Procesos!$F$2:$F$1581=_xlfn.TEXTJOIN(" + ",TRUE,IF((TRIM(P491:S491)="")+(LOWER(TRIM(P491:S491))="(seleccione)"),"",PROPER(TRIM(P491:S491)))))*(CAT_Procesos!$D$2:$D$1581=IFERROR(VLOOKUP(N491&amp;"*",CAT_Procesos!$D:$D,1,FALSE),"")))*(CAT_Procesos!$G$2:$G$1581=INDEX(CAT_Procesos!$G$2:$G$1581,MATCH(1,(CAT_Procesos!$E$2:$E$1581=O491)*(CAT_Procesos!$F$2:$F$1581=_xlfn.TEXTJOIN(" + ",TRUE,IF((TRIM(P491:S491)="")+(LOWER(TRIM(P491:S491))="(seleccione)"),"",PROPER(TRIM(P491:S491)))))*(CAT_Procesos!$D$2:$D$1581=IFERROR(VLOOKUP(N491&amp;"*",CAT_Procesos!$D:$D,1,FALSE),"")),0))))=SUMPRODUCT(--((CAT_Procesos!$E$2:$E$1581=O491)*(CAT_Procesos!$F$2:$F$1581=_xlfn.TEXTJOIN(" + ",TRUE,IF((TRIM(P491:S491)="")+(LOWER(TRIM(P491:S491))="(seleccione)"),"",PROPER(TRIM(P491:S491)))))*(CAT_Procesos!$D$2:$D$1581=IFERROR(VLOOKUP(N491&amp;"*",CAT_Procesos!$D:$D,1,FALSE),"")))),INDEX(CAT_Procesos!$G$2:$G$1581,MATCH(1,(CAT_Procesos!$E$2:$E$1581=O491)*(CAT_Procesos!$F$2:$F$1581=_xlfn.TEXTJOIN(" + ",TRUE,IF((TRIM(P491:S491)="")+(LOWER(TRIM(P491:S491))="(seleccione)"),"",PROPER(TRIM(P491:S491)))))*(CAT_Procesos!$D$2:$D$1581=IFERROR(VLOOKUP(N491&amp;"*",CAT_Procesos!$D:$D,1,FALSE),"")),0)),"(seleccione)"))</f>
        <v>Combinación no existente</v>
      </c>
      <c r="V491" s="55" t="s">
        <v>73</v>
      </c>
      <c r="W491" s="56" t="s">
        <v>73</v>
      </c>
      <c r="X491" s="57" t="str">
        <f t="shared" si="28"/>
        <v/>
      </c>
      <c r="Y491" s="58" t="s">
        <v>73</v>
      </c>
      <c r="Z491" s="57" t="str">
        <f t="shared" si="29"/>
        <v/>
      </c>
      <c r="AA491" s="58" t="s">
        <v>73</v>
      </c>
      <c r="AB491" s="57" t="str">
        <f t="shared" si="30"/>
        <v/>
      </c>
      <c r="AC491" s="58" t="s">
        <v>73</v>
      </c>
      <c r="AD491" s="57" t="str">
        <f t="shared" si="31"/>
        <v/>
      </c>
      <c r="AE491" s="59"/>
      <c r="AF491" s="59"/>
      <c r="AG491" s="59"/>
      <c r="AH491" s="59"/>
      <c r="AI491" s="59" t="s">
        <v>73</v>
      </c>
      <c r="AJ491" s="59"/>
      <c r="AK491" s="59" t="s">
        <v>73</v>
      </c>
      <c r="AL491" s="59"/>
      <c r="AM491" s="59" t="s">
        <v>73</v>
      </c>
      <c r="AN491" s="59"/>
      <c r="AO491" s="59" t="s">
        <v>73</v>
      </c>
      <c r="AP491" s="59"/>
      <c r="AQ491" s="59" t="s">
        <v>73</v>
      </c>
      <c r="AR491" s="59"/>
      <c r="AS491" s="59" t="s">
        <v>72</v>
      </c>
      <c r="AT491" s="59"/>
      <c r="AU491" s="59"/>
      <c r="AV491" s="59"/>
      <c r="AW491" s="59"/>
      <c r="AX491" s="59"/>
      <c r="AY491" s="60" t="str">
        <f>IF('Cálculo MP'!K501="","",'Cálculo MP'!K501)</f>
        <v/>
      </c>
      <c r="AZ491" s="60" t="str">
        <f>IF('Cálculo MP'!L501="","",'Cálculo MP'!L501)</f>
        <v/>
      </c>
      <c r="BA491" s="60" t="str">
        <f>IF('Cálculo MP'!M501="","",'Cálculo MP'!M501)</f>
        <v/>
      </c>
      <c r="BB491" s="60" t="str">
        <f>IF('Cálculo MP'!N501="","",'Cálculo MP'!N501)</f>
        <v/>
      </c>
      <c r="BC491" s="60" t="str">
        <f>IF('Cálculo MP'!O501="","",'Cálculo MP'!O501)</f>
        <v/>
      </c>
      <c r="BD491" s="60" t="str">
        <f>IF('Cálculo MP'!P501="","",'Cálculo MP'!P501)</f>
        <v/>
      </c>
      <c r="BE491" s="60" t="str">
        <f>IF('Cálculo MP'!Q501="","",'Cálculo MP'!Q501)</f>
        <v/>
      </c>
      <c r="BF491" s="60" t="str">
        <f>IF('Cálculo MP'!R501="","",'Cálculo MP'!R501)</f>
        <v/>
      </c>
      <c r="BG491" s="60" t="str">
        <f>IF('Cálculo MP'!S501="","",'Cálculo MP'!S501)</f>
        <v/>
      </c>
      <c r="BH491" s="59"/>
      <c r="BI491" s="59"/>
      <c r="BJ491" s="59"/>
      <c r="BK491" s="59"/>
      <c r="BL491" s="59"/>
      <c r="BM491" s="59"/>
      <c r="BN491" s="59"/>
      <c r="BO491" s="59"/>
    </row>
    <row r="492" spans="1:67" ht="19.5" customHeight="1" x14ac:dyDescent="0.15">
      <c r="A492" s="123" t="s">
        <v>1856</v>
      </c>
      <c r="B492" s="122" t="s">
        <v>1854</v>
      </c>
      <c r="C492" s="49"/>
      <c r="D492" s="48" t="s">
        <v>73</v>
      </c>
      <c r="E492" s="49"/>
      <c r="F492" s="50"/>
      <c r="G492" s="62"/>
      <c r="H492" s="48" t="s">
        <v>72</v>
      </c>
      <c r="I492" s="52">
        <v>1</v>
      </c>
      <c r="J492" s="52"/>
      <c r="K492" s="52" t="s">
        <v>73</v>
      </c>
      <c r="L492" s="52" t="s">
        <v>74</v>
      </c>
      <c r="M492" s="53" t="s">
        <v>942</v>
      </c>
      <c r="N492" s="58" t="s">
        <v>73</v>
      </c>
      <c r="O492" s="48" t="s">
        <v>72</v>
      </c>
      <c r="P492" s="48" t="s">
        <v>73</v>
      </c>
      <c r="Q492" s="54" t="s">
        <v>73</v>
      </c>
      <c r="R492" s="55" t="s">
        <v>73</v>
      </c>
      <c r="S492" s="48" t="s">
        <v>73</v>
      </c>
      <c r="T492" s="130"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8" t="str" cm="1">
        <f t="array" ref="U492">IF(SUMPRODUCT(--((CAT_Procesos!$E$2:$E$1581=O492)*(CAT_Procesos!$F$2:$F$1581=_xlfn.TEXTJOIN(" + ",TRUE,IF((TRIM(P492:S492)="")+(LOWER(TRIM(P492:S492))="(seleccione)"),"",PROPER(TRIM(P492:S492)))))*(CAT_Procesos!$D$2:$D$1581=IFERROR(VLOOKUP(N492&amp;"*",CAT_Procesos!$D:$D,1,FALSE),""))))=0,"Combinación no existente",IF(SUMPRODUCT(((CAT_Procesos!$E$2:$E$1581=O492)*(CAT_Procesos!$F$2:$F$1581=_xlfn.TEXTJOIN(" + ",TRUE,IF((TRIM(P492:S492)="")+(LOWER(TRIM(P492:S492))="(seleccione)"),"",PROPER(TRIM(P492:S492)))))*(CAT_Procesos!$D$2:$D$1581=IFERROR(VLOOKUP(N492&amp;"*",CAT_Procesos!$D:$D,1,FALSE),"")))*(CAT_Procesos!$G$2:$G$1581=INDEX(CAT_Procesos!$G$2:$G$1581,MATCH(1,(CAT_Procesos!$E$2:$E$1581=O492)*(CAT_Procesos!$F$2:$F$1581=_xlfn.TEXTJOIN(" + ",TRUE,IF((TRIM(P492:S492)="")+(LOWER(TRIM(P492:S492))="(seleccione)"),"",PROPER(TRIM(P492:S492)))))*(CAT_Procesos!$D$2:$D$1581=IFERROR(VLOOKUP(N492&amp;"*",CAT_Procesos!$D:$D,1,FALSE),"")),0))))=SUMPRODUCT(--((CAT_Procesos!$E$2:$E$1581=O492)*(CAT_Procesos!$F$2:$F$1581=_xlfn.TEXTJOIN(" + ",TRUE,IF((TRIM(P492:S492)="")+(LOWER(TRIM(P492:S492))="(seleccione)"),"",PROPER(TRIM(P492:S492)))))*(CAT_Procesos!$D$2:$D$1581=IFERROR(VLOOKUP(N492&amp;"*",CAT_Procesos!$D:$D,1,FALSE),"")))),INDEX(CAT_Procesos!$G$2:$G$1581,MATCH(1,(CAT_Procesos!$E$2:$E$1581=O492)*(CAT_Procesos!$F$2:$F$1581=_xlfn.TEXTJOIN(" + ",TRUE,IF((TRIM(P492:S492)="")+(LOWER(TRIM(P492:S492))="(seleccione)"),"",PROPER(TRIM(P492:S492)))))*(CAT_Procesos!$D$2:$D$1581=IFERROR(VLOOKUP(N492&amp;"*",CAT_Procesos!$D:$D,1,FALSE),"")),0)),"(seleccione)"))</f>
        <v>Combinación no existente</v>
      </c>
      <c r="V492" s="55" t="s">
        <v>73</v>
      </c>
      <c r="W492" s="56" t="s">
        <v>73</v>
      </c>
      <c r="X492" s="57" t="str">
        <f t="shared" si="28"/>
        <v/>
      </c>
      <c r="Y492" s="58" t="s">
        <v>73</v>
      </c>
      <c r="Z492" s="57" t="str">
        <f t="shared" si="29"/>
        <v/>
      </c>
      <c r="AA492" s="58" t="s">
        <v>73</v>
      </c>
      <c r="AB492" s="57" t="str">
        <f t="shared" si="30"/>
        <v/>
      </c>
      <c r="AC492" s="58" t="s">
        <v>73</v>
      </c>
      <c r="AD492" s="57" t="str">
        <f t="shared" si="31"/>
        <v/>
      </c>
      <c r="AE492" s="59"/>
      <c r="AF492" s="59"/>
      <c r="AG492" s="59"/>
      <c r="AH492" s="59"/>
      <c r="AI492" s="59" t="s">
        <v>73</v>
      </c>
      <c r="AJ492" s="59"/>
      <c r="AK492" s="59" t="s">
        <v>73</v>
      </c>
      <c r="AL492" s="59"/>
      <c r="AM492" s="59" t="s">
        <v>73</v>
      </c>
      <c r="AN492" s="59"/>
      <c r="AO492" s="59" t="s">
        <v>73</v>
      </c>
      <c r="AP492" s="59"/>
      <c r="AQ492" s="59" t="s">
        <v>73</v>
      </c>
      <c r="AR492" s="59"/>
      <c r="AS492" s="59" t="s">
        <v>72</v>
      </c>
      <c r="AT492" s="59"/>
      <c r="AU492" s="59"/>
      <c r="AV492" s="59"/>
      <c r="AW492" s="59"/>
      <c r="AX492" s="59"/>
      <c r="AY492" s="60" t="str">
        <f>IF('Cálculo MP'!K502="","",'Cálculo MP'!K502)</f>
        <v/>
      </c>
      <c r="AZ492" s="60" t="str">
        <f>IF('Cálculo MP'!L502="","",'Cálculo MP'!L502)</f>
        <v/>
      </c>
      <c r="BA492" s="60" t="str">
        <f>IF('Cálculo MP'!M502="","",'Cálculo MP'!M502)</f>
        <v/>
      </c>
      <c r="BB492" s="60" t="str">
        <f>IF('Cálculo MP'!N502="","",'Cálculo MP'!N502)</f>
        <v/>
      </c>
      <c r="BC492" s="60" t="str">
        <f>IF('Cálculo MP'!O502="","",'Cálculo MP'!O502)</f>
        <v/>
      </c>
      <c r="BD492" s="60" t="str">
        <f>IF('Cálculo MP'!P502="","",'Cálculo MP'!P502)</f>
        <v/>
      </c>
      <c r="BE492" s="60" t="str">
        <f>IF('Cálculo MP'!Q502="","",'Cálculo MP'!Q502)</f>
        <v/>
      </c>
      <c r="BF492" s="60" t="str">
        <f>IF('Cálculo MP'!R502="","",'Cálculo MP'!R502)</f>
        <v/>
      </c>
      <c r="BG492" s="60" t="str">
        <f>IF('Cálculo MP'!S502="","",'Cálculo MP'!S502)</f>
        <v/>
      </c>
      <c r="BH492" s="59"/>
      <c r="BI492" s="59"/>
      <c r="BJ492" s="59"/>
      <c r="BK492" s="59"/>
      <c r="BL492" s="59"/>
      <c r="BM492" s="59"/>
      <c r="BN492" s="59"/>
      <c r="BO492" s="59"/>
    </row>
    <row r="493" spans="1:67" ht="19.5" customHeight="1" x14ac:dyDescent="0.15">
      <c r="A493" s="123" t="s">
        <v>1856</v>
      </c>
      <c r="B493" s="122" t="s">
        <v>1854</v>
      </c>
      <c r="C493" s="49"/>
      <c r="D493" s="48" t="s">
        <v>73</v>
      </c>
      <c r="E493" s="49"/>
      <c r="F493" s="50"/>
      <c r="G493" s="62"/>
      <c r="H493" s="48" t="s">
        <v>72</v>
      </c>
      <c r="I493" s="52">
        <v>1</v>
      </c>
      <c r="J493" s="52"/>
      <c r="K493" s="52" t="s">
        <v>73</v>
      </c>
      <c r="L493" s="52" t="s">
        <v>74</v>
      </c>
      <c r="M493" s="53" t="s">
        <v>942</v>
      </c>
      <c r="N493" s="58" t="s">
        <v>73</v>
      </c>
      <c r="O493" s="48" t="s">
        <v>72</v>
      </c>
      <c r="P493" s="48" t="s">
        <v>73</v>
      </c>
      <c r="Q493" s="54" t="s">
        <v>73</v>
      </c>
      <c r="R493" s="55" t="s">
        <v>73</v>
      </c>
      <c r="S493" s="48" t="s">
        <v>73</v>
      </c>
      <c r="T493" s="130"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8" t="str" cm="1">
        <f t="array" ref="U493">IF(SUMPRODUCT(--((CAT_Procesos!$E$2:$E$1581=O493)*(CAT_Procesos!$F$2:$F$1581=_xlfn.TEXTJOIN(" + ",TRUE,IF((TRIM(P493:S493)="")+(LOWER(TRIM(P493:S493))="(seleccione)"),"",PROPER(TRIM(P493:S493)))))*(CAT_Procesos!$D$2:$D$1581=IFERROR(VLOOKUP(N493&amp;"*",CAT_Procesos!$D:$D,1,FALSE),""))))=0,"Combinación no existente",IF(SUMPRODUCT(((CAT_Procesos!$E$2:$E$1581=O493)*(CAT_Procesos!$F$2:$F$1581=_xlfn.TEXTJOIN(" + ",TRUE,IF((TRIM(P493:S493)="")+(LOWER(TRIM(P493:S493))="(seleccione)"),"",PROPER(TRIM(P493:S493)))))*(CAT_Procesos!$D$2:$D$1581=IFERROR(VLOOKUP(N493&amp;"*",CAT_Procesos!$D:$D,1,FALSE),"")))*(CAT_Procesos!$G$2:$G$1581=INDEX(CAT_Procesos!$G$2:$G$1581,MATCH(1,(CAT_Procesos!$E$2:$E$1581=O493)*(CAT_Procesos!$F$2:$F$1581=_xlfn.TEXTJOIN(" + ",TRUE,IF((TRIM(P493:S493)="")+(LOWER(TRIM(P493:S493))="(seleccione)"),"",PROPER(TRIM(P493:S493)))))*(CAT_Procesos!$D$2:$D$1581=IFERROR(VLOOKUP(N493&amp;"*",CAT_Procesos!$D:$D,1,FALSE),"")),0))))=SUMPRODUCT(--((CAT_Procesos!$E$2:$E$1581=O493)*(CAT_Procesos!$F$2:$F$1581=_xlfn.TEXTJOIN(" + ",TRUE,IF((TRIM(P493:S493)="")+(LOWER(TRIM(P493:S493))="(seleccione)"),"",PROPER(TRIM(P493:S493)))))*(CAT_Procesos!$D$2:$D$1581=IFERROR(VLOOKUP(N493&amp;"*",CAT_Procesos!$D:$D,1,FALSE),"")))),INDEX(CAT_Procesos!$G$2:$G$1581,MATCH(1,(CAT_Procesos!$E$2:$E$1581=O493)*(CAT_Procesos!$F$2:$F$1581=_xlfn.TEXTJOIN(" + ",TRUE,IF((TRIM(P493:S493)="")+(LOWER(TRIM(P493:S493))="(seleccione)"),"",PROPER(TRIM(P493:S493)))))*(CAT_Procesos!$D$2:$D$1581=IFERROR(VLOOKUP(N493&amp;"*",CAT_Procesos!$D:$D,1,FALSE),"")),0)),"(seleccione)"))</f>
        <v>Combinación no existente</v>
      </c>
      <c r="V493" s="55" t="s">
        <v>73</v>
      </c>
      <c r="W493" s="56" t="s">
        <v>73</v>
      </c>
      <c r="X493" s="57" t="str">
        <f t="shared" si="28"/>
        <v/>
      </c>
      <c r="Y493" s="58" t="s">
        <v>73</v>
      </c>
      <c r="Z493" s="57" t="str">
        <f t="shared" si="29"/>
        <v/>
      </c>
      <c r="AA493" s="58" t="s">
        <v>73</v>
      </c>
      <c r="AB493" s="57" t="str">
        <f t="shared" si="30"/>
        <v/>
      </c>
      <c r="AC493" s="58" t="s">
        <v>73</v>
      </c>
      <c r="AD493" s="57" t="str">
        <f t="shared" si="31"/>
        <v/>
      </c>
      <c r="AE493" s="59"/>
      <c r="AF493" s="59"/>
      <c r="AG493" s="59"/>
      <c r="AH493" s="59"/>
      <c r="AI493" s="59" t="s">
        <v>73</v>
      </c>
      <c r="AJ493" s="59"/>
      <c r="AK493" s="59" t="s">
        <v>73</v>
      </c>
      <c r="AL493" s="59"/>
      <c r="AM493" s="59" t="s">
        <v>73</v>
      </c>
      <c r="AN493" s="59"/>
      <c r="AO493" s="59" t="s">
        <v>73</v>
      </c>
      <c r="AP493" s="59"/>
      <c r="AQ493" s="59" t="s">
        <v>73</v>
      </c>
      <c r="AR493" s="59"/>
      <c r="AS493" s="59" t="s">
        <v>72</v>
      </c>
      <c r="AT493" s="59"/>
      <c r="AU493" s="59"/>
      <c r="AV493" s="59"/>
      <c r="AW493" s="59"/>
      <c r="AX493" s="59"/>
      <c r="AY493" s="60" t="str">
        <f>IF('Cálculo MP'!K503="","",'Cálculo MP'!K503)</f>
        <v/>
      </c>
      <c r="AZ493" s="60" t="str">
        <f>IF('Cálculo MP'!L503="","",'Cálculo MP'!L503)</f>
        <v/>
      </c>
      <c r="BA493" s="60" t="str">
        <f>IF('Cálculo MP'!M503="","",'Cálculo MP'!M503)</f>
        <v/>
      </c>
      <c r="BB493" s="60" t="str">
        <f>IF('Cálculo MP'!N503="","",'Cálculo MP'!N503)</f>
        <v/>
      </c>
      <c r="BC493" s="60" t="str">
        <f>IF('Cálculo MP'!O503="","",'Cálculo MP'!O503)</f>
        <v/>
      </c>
      <c r="BD493" s="60" t="str">
        <f>IF('Cálculo MP'!P503="","",'Cálculo MP'!P503)</f>
        <v/>
      </c>
      <c r="BE493" s="60" t="str">
        <f>IF('Cálculo MP'!Q503="","",'Cálculo MP'!Q503)</f>
        <v/>
      </c>
      <c r="BF493" s="60" t="str">
        <f>IF('Cálculo MP'!R503="","",'Cálculo MP'!R503)</f>
        <v/>
      </c>
      <c r="BG493" s="60" t="str">
        <f>IF('Cálculo MP'!S503="","",'Cálculo MP'!S503)</f>
        <v/>
      </c>
      <c r="BH493" s="59"/>
      <c r="BI493" s="59"/>
      <c r="BJ493" s="59"/>
      <c r="BK493" s="59"/>
      <c r="BL493" s="59"/>
      <c r="BM493" s="59"/>
      <c r="BN493" s="59"/>
      <c r="BO493" s="59"/>
    </row>
    <row r="494" spans="1:67" ht="19.5" customHeight="1" x14ac:dyDescent="0.15">
      <c r="A494" s="123" t="s">
        <v>1856</v>
      </c>
      <c r="B494" s="122" t="s">
        <v>1854</v>
      </c>
      <c r="C494" s="49"/>
      <c r="D494" s="48" t="s">
        <v>73</v>
      </c>
      <c r="E494" s="49"/>
      <c r="F494" s="50"/>
      <c r="G494" s="62"/>
      <c r="H494" s="48" t="s">
        <v>72</v>
      </c>
      <c r="I494" s="52">
        <v>1</v>
      </c>
      <c r="J494" s="52"/>
      <c r="K494" s="52" t="s">
        <v>73</v>
      </c>
      <c r="L494" s="52" t="s">
        <v>74</v>
      </c>
      <c r="M494" s="53" t="s">
        <v>942</v>
      </c>
      <c r="N494" s="58" t="s">
        <v>73</v>
      </c>
      <c r="O494" s="48" t="s">
        <v>72</v>
      </c>
      <c r="P494" s="48" t="s">
        <v>73</v>
      </c>
      <c r="Q494" s="54" t="s">
        <v>73</v>
      </c>
      <c r="R494" s="55" t="s">
        <v>73</v>
      </c>
      <c r="S494" s="48" t="s">
        <v>73</v>
      </c>
      <c r="T494" s="130"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8" t="str" cm="1">
        <f t="array" ref="U494">IF(SUMPRODUCT(--((CAT_Procesos!$E$2:$E$1581=O494)*(CAT_Procesos!$F$2:$F$1581=_xlfn.TEXTJOIN(" + ",TRUE,IF((TRIM(P494:S494)="")+(LOWER(TRIM(P494:S494))="(seleccione)"),"",PROPER(TRIM(P494:S494)))))*(CAT_Procesos!$D$2:$D$1581=IFERROR(VLOOKUP(N494&amp;"*",CAT_Procesos!$D:$D,1,FALSE),""))))=0,"Combinación no existente",IF(SUMPRODUCT(((CAT_Procesos!$E$2:$E$1581=O494)*(CAT_Procesos!$F$2:$F$1581=_xlfn.TEXTJOIN(" + ",TRUE,IF((TRIM(P494:S494)="")+(LOWER(TRIM(P494:S494))="(seleccione)"),"",PROPER(TRIM(P494:S494)))))*(CAT_Procesos!$D$2:$D$1581=IFERROR(VLOOKUP(N494&amp;"*",CAT_Procesos!$D:$D,1,FALSE),"")))*(CAT_Procesos!$G$2:$G$1581=INDEX(CAT_Procesos!$G$2:$G$1581,MATCH(1,(CAT_Procesos!$E$2:$E$1581=O494)*(CAT_Procesos!$F$2:$F$1581=_xlfn.TEXTJOIN(" + ",TRUE,IF((TRIM(P494:S494)="")+(LOWER(TRIM(P494:S494))="(seleccione)"),"",PROPER(TRIM(P494:S494)))))*(CAT_Procesos!$D$2:$D$1581=IFERROR(VLOOKUP(N494&amp;"*",CAT_Procesos!$D:$D,1,FALSE),"")),0))))=SUMPRODUCT(--((CAT_Procesos!$E$2:$E$1581=O494)*(CAT_Procesos!$F$2:$F$1581=_xlfn.TEXTJOIN(" + ",TRUE,IF((TRIM(P494:S494)="")+(LOWER(TRIM(P494:S494))="(seleccione)"),"",PROPER(TRIM(P494:S494)))))*(CAT_Procesos!$D$2:$D$1581=IFERROR(VLOOKUP(N494&amp;"*",CAT_Procesos!$D:$D,1,FALSE),"")))),INDEX(CAT_Procesos!$G$2:$G$1581,MATCH(1,(CAT_Procesos!$E$2:$E$1581=O494)*(CAT_Procesos!$F$2:$F$1581=_xlfn.TEXTJOIN(" + ",TRUE,IF((TRIM(P494:S494)="")+(LOWER(TRIM(P494:S494))="(seleccione)"),"",PROPER(TRIM(P494:S494)))))*(CAT_Procesos!$D$2:$D$1581=IFERROR(VLOOKUP(N494&amp;"*",CAT_Procesos!$D:$D,1,FALSE),"")),0)),"(seleccione)"))</f>
        <v>Combinación no existente</v>
      </c>
      <c r="V494" s="55" t="s">
        <v>73</v>
      </c>
      <c r="W494" s="56" t="s">
        <v>73</v>
      </c>
      <c r="X494" s="57" t="str">
        <f t="shared" si="28"/>
        <v/>
      </c>
      <c r="Y494" s="58" t="s">
        <v>73</v>
      </c>
      <c r="Z494" s="57" t="str">
        <f t="shared" si="29"/>
        <v/>
      </c>
      <c r="AA494" s="58" t="s">
        <v>73</v>
      </c>
      <c r="AB494" s="57" t="str">
        <f t="shared" si="30"/>
        <v/>
      </c>
      <c r="AC494" s="58" t="s">
        <v>73</v>
      </c>
      <c r="AD494" s="57" t="str">
        <f t="shared" si="31"/>
        <v/>
      </c>
      <c r="AE494" s="59"/>
      <c r="AF494" s="59"/>
      <c r="AG494" s="59"/>
      <c r="AH494" s="59"/>
      <c r="AI494" s="59" t="s">
        <v>73</v>
      </c>
      <c r="AJ494" s="59"/>
      <c r="AK494" s="59" t="s">
        <v>73</v>
      </c>
      <c r="AL494" s="59"/>
      <c r="AM494" s="59" t="s">
        <v>73</v>
      </c>
      <c r="AN494" s="59"/>
      <c r="AO494" s="59" t="s">
        <v>73</v>
      </c>
      <c r="AP494" s="59"/>
      <c r="AQ494" s="59" t="s">
        <v>73</v>
      </c>
      <c r="AR494" s="59"/>
      <c r="AS494" s="59" t="s">
        <v>72</v>
      </c>
      <c r="AT494" s="59"/>
      <c r="AU494" s="59"/>
      <c r="AV494" s="59"/>
      <c r="AW494" s="59"/>
      <c r="AX494" s="59"/>
      <c r="AY494" s="60" t="str">
        <f>IF('Cálculo MP'!K504="","",'Cálculo MP'!K504)</f>
        <v/>
      </c>
      <c r="AZ494" s="60" t="str">
        <f>IF('Cálculo MP'!L504="","",'Cálculo MP'!L504)</f>
        <v/>
      </c>
      <c r="BA494" s="60" t="str">
        <f>IF('Cálculo MP'!M504="","",'Cálculo MP'!M504)</f>
        <v/>
      </c>
      <c r="BB494" s="60" t="str">
        <f>IF('Cálculo MP'!N504="","",'Cálculo MP'!N504)</f>
        <v/>
      </c>
      <c r="BC494" s="60" t="str">
        <f>IF('Cálculo MP'!O504="","",'Cálculo MP'!O504)</f>
        <v/>
      </c>
      <c r="BD494" s="60" t="str">
        <f>IF('Cálculo MP'!P504="","",'Cálculo MP'!P504)</f>
        <v/>
      </c>
      <c r="BE494" s="60" t="str">
        <f>IF('Cálculo MP'!Q504="","",'Cálculo MP'!Q504)</f>
        <v/>
      </c>
      <c r="BF494" s="60" t="str">
        <f>IF('Cálculo MP'!R504="","",'Cálculo MP'!R504)</f>
        <v/>
      </c>
      <c r="BG494" s="60" t="str">
        <f>IF('Cálculo MP'!S504="","",'Cálculo MP'!S504)</f>
        <v/>
      </c>
      <c r="BH494" s="59"/>
      <c r="BI494" s="59"/>
      <c r="BJ494" s="59"/>
      <c r="BK494" s="59"/>
      <c r="BL494" s="59"/>
      <c r="BM494" s="59"/>
      <c r="BN494" s="59"/>
      <c r="BO494" s="59"/>
    </row>
    <row r="495" spans="1:67" ht="19.5" customHeight="1" x14ac:dyDescent="0.15">
      <c r="A495" s="123" t="s">
        <v>1856</v>
      </c>
      <c r="B495" s="122" t="s">
        <v>1854</v>
      </c>
      <c r="C495" s="49"/>
      <c r="D495" s="48" t="s">
        <v>73</v>
      </c>
      <c r="E495" s="49"/>
      <c r="F495" s="50"/>
      <c r="G495" s="62"/>
      <c r="H495" s="48" t="s">
        <v>72</v>
      </c>
      <c r="I495" s="52">
        <v>1</v>
      </c>
      <c r="J495" s="52"/>
      <c r="K495" s="52" t="s">
        <v>73</v>
      </c>
      <c r="L495" s="52" t="s">
        <v>74</v>
      </c>
      <c r="M495" s="53" t="s">
        <v>942</v>
      </c>
      <c r="N495" s="58" t="s">
        <v>73</v>
      </c>
      <c r="O495" s="48" t="s">
        <v>72</v>
      </c>
      <c r="P495" s="48" t="s">
        <v>73</v>
      </c>
      <c r="Q495" s="54" t="s">
        <v>73</v>
      </c>
      <c r="R495" s="55" t="s">
        <v>73</v>
      </c>
      <c r="S495" s="48" t="s">
        <v>73</v>
      </c>
      <c r="T495" s="130"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8" t="str" cm="1">
        <f t="array" ref="U495">IF(SUMPRODUCT(--((CAT_Procesos!$E$2:$E$1581=O495)*(CAT_Procesos!$F$2:$F$1581=_xlfn.TEXTJOIN(" + ",TRUE,IF((TRIM(P495:S495)="")+(LOWER(TRIM(P495:S495))="(seleccione)"),"",PROPER(TRIM(P495:S495)))))*(CAT_Procesos!$D$2:$D$1581=IFERROR(VLOOKUP(N495&amp;"*",CAT_Procesos!$D:$D,1,FALSE),""))))=0,"Combinación no existente",IF(SUMPRODUCT(((CAT_Procesos!$E$2:$E$1581=O495)*(CAT_Procesos!$F$2:$F$1581=_xlfn.TEXTJOIN(" + ",TRUE,IF((TRIM(P495:S495)="")+(LOWER(TRIM(P495:S495))="(seleccione)"),"",PROPER(TRIM(P495:S495)))))*(CAT_Procesos!$D$2:$D$1581=IFERROR(VLOOKUP(N495&amp;"*",CAT_Procesos!$D:$D,1,FALSE),"")))*(CAT_Procesos!$G$2:$G$1581=INDEX(CAT_Procesos!$G$2:$G$1581,MATCH(1,(CAT_Procesos!$E$2:$E$1581=O495)*(CAT_Procesos!$F$2:$F$1581=_xlfn.TEXTJOIN(" + ",TRUE,IF((TRIM(P495:S495)="")+(LOWER(TRIM(P495:S495))="(seleccione)"),"",PROPER(TRIM(P495:S495)))))*(CAT_Procesos!$D$2:$D$1581=IFERROR(VLOOKUP(N495&amp;"*",CAT_Procesos!$D:$D,1,FALSE),"")),0))))=SUMPRODUCT(--((CAT_Procesos!$E$2:$E$1581=O495)*(CAT_Procesos!$F$2:$F$1581=_xlfn.TEXTJOIN(" + ",TRUE,IF((TRIM(P495:S495)="")+(LOWER(TRIM(P495:S495))="(seleccione)"),"",PROPER(TRIM(P495:S495)))))*(CAT_Procesos!$D$2:$D$1581=IFERROR(VLOOKUP(N495&amp;"*",CAT_Procesos!$D:$D,1,FALSE),"")))),INDEX(CAT_Procesos!$G$2:$G$1581,MATCH(1,(CAT_Procesos!$E$2:$E$1581=O495)*(CAT_Procesos!$F$2:$F$1581=_xlfn.TEXTJOIN(" + ",TRUE,IF((TRIM(P495:S495)="")+(LOWER(TRIM(P495:S495))="(seleccione)"),"",PROPER(TRIM(P495:S495)))))*(CAT_Procesos!$D$2:$D$1581=IFERROR(VLOOKUP(N495&amp;"*",CAT_Procesos!$D:$D,1,FALSE),"")),0)),"(seleccione)"))</f>
        <v>Combinación no existente</v>
      </c>
      <c r="V495" s="55" t="s">
        <v>73</v>
      </c>
      <c r="W495" s="56" t="s">
        <v>73</v>
      </c>
      <c r="X495" s="57" t="str">
        <f t="shared" si="28"/>
        <v/>
      </c>
      <c r="Y495" s="58" t="s">
        <v>73</v>
      </c>
      <c r="Z495" s="57" t="str">
        <f t="shared" si="29"/>
        <v/>
      </c>
      <c r="AA495" s="58" t="s">
        <v>73</v>
      </c>
      <c r="AB495" s="57" t="str">
        <f t="shared" si="30"/>
        <v/>
      </c>
      <c r="AC495" s="58" t="s">
        <v>73</v>
      </c>
      <c r="AD495" s="57" t="str">
        <f t="shared" si="31"/>
        <v/>
      </c>
      <c r="AE495" s="59"/>
      <c r="AF495" s="59"/>
      <c r="AG495" s="59"/>
      <c r="AH495" s="59"/>
      <c r="AI495" s="59" t="s">
        <v>73</v>
      </c>
      <c r="AJ495" s="59"/>
      <c r="AK495" s="59" t="s">
        <v>73</v>
      </c>
      <c r="AL495" s="59"/>
      <c r="AM495" s="59" t="s">
        <v>73</v>
      </c>
      <c r="AN495" s="59"/>
      <c r="AO495" s="59" t="s">
        <v>73</v>
      </c>
      <c r="AP495" s="59"/>
      <c r="AQ495" s="59" t="s">
        <v>73</v>
      </c>
      <c r="AR495" s="59"/>
      <c r="AS495" s="59" t="s">
        <v>72</v>
      </c>
      <c r="AT495" s="59"/>
      <c r="AU495" s="59"/>
      <c r="AV495" s="59"/>
      <c r="AW495" s="59"/>
      <c r="AX495" s="59"/>
      <c r="AY495" s="60" t="str">
        <f>IF('Cálculo MP'!K505="","",'Cálculo MP'!K505)</f>
        <v/>
      </c>
      <c r="AZ495" s="60" t="str">
        <f>IF('Cálculo MP'!L505="","",'Cálculo MP'!L505)</f>
        <v/>
      </c>
      <c r="BA495" s="60" t="str">
        <f>IF('Cálculo MP'!M505="","",'Cálculo MP'!M505)</f>
        <v/>
      </c>
      <c r="BB495" s="60" t="str">
        <f>IF('Cálculo MP'!N505="","",'Cálculo MP'!N505)</f>
        <v/>
      </c>
      <c r="BC495" s="60" t="str">
        <f>IF('Cálculo MP'!O505="","",'Cálculo MP'!O505)</f>
        <v/>
      </c>
      <c r="BD495" s="60" t="str">
        <f>IF('Cálculo MP'!P505="","",'Cálculo MP'!P505)</f>
        <v/>
      </c>
      <c r="BE495" s="60" t="str">
        <f>IF('Cálculo MP'!Q505="","",'Cálculo MP'!Q505)</f>
        <v/>
      </c>
      <c r="BF495" s="60" t="str">
        <f>IF('Cálculo MP'!R505="","",'Cálculo MP'!R505)</f>
        <v/>
      </c>
      <c r="BG495" s="60" t="str">
        <f>IF('Cálculo MP'!S505="","",'Cálculo MP'!S505)</f>
        <v/>
      </c>
      <c r="BH495" s="59"/>
      <c r="BI495" s="59"/>
      <c r="BJ495" s="59"/>
      <c r="BK495" s="59"/>
      <c r="BL495" s="59"/>
      <c r="BM495" s="59"/>
      <c r="BN495" s="59"/>
      <c r="BO495" s="59"/>
    </row>
    <row r="496" spans="1:67" ht="19.5" customHeight="1" x14ac:dyDescent="0.15">
      <c r="A496" s="123" t="s">
        <v>1856</v>
      </c>
      <c r="B496" s="122" t="s">
        <v>1854</v>
      </c>
      <c r="C496" s="49"/>
      <c r="D496" s="48" t="s">
        <v>73</v>
      </c>
      <c r="E496" s="49"/>
      <c r="F496" s="50"/>
      <c r="G496" s="62"/>
      <c r="H496" s="48" t="s">
        <v>72</v>
      </c>
      <c r="I496" s="52">
        <v>1</v>
      </c>
      <c r="J496" s="52"/>
      <c r="K496" s="52" t="s">
        <v>73</v>
      </c>
      <c r="L496" s="52" t="s">
        <v>74</v>
      </c>
      <c r="M496" s="53" t="s">
        <v>942</v>
      </c>
      <c r="N496" s="58" t="s">
        <v>73</v>
      </c>
      <c r="O496" s="48" t="s">
        <v>72</v>
      </c>
      <c r="P496" s="48" t="s">
        <v>73</v>
      </c>
      <c r="Q496" s="54" t="s">
        <v>73</v>
      </c>
      <c r="R496" s="55" t="s">
        <v>73</v>
      </c>
      <c r="S496" s="48" t="s">
        <v>73</v>
      </c>
      <c r="T496" s="130"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8" t="str" cm="1">
        <f t="array" ref="U496">IF(SUMPRODUCT(--((CAT_Procesos!$E$2:$E$1581=O496)*(CAT_Procesos!$F$2:$F$1581=_xlfn.TEXTJOIN(" + ",TRUE,IF((TRIM(P496:S496)="")+(LOWER(TRIM(P496:S496))="(seleccione)"),"",PROPER(TRIM(P496:S496)))))*(CAT_Procesos!$D$2:$D$1581=IFERROR(VLOOKUP(N496&amp;"*",CAT_Procesos!$D:$D,1,FALSE),""))))=0,"Combinación no existente",IF(SUMPRODUCT(((CAT_Procesos!$E$2:$E$1581=O496)*(CAT_Procesos!$F$2:$F$1581=_xlfn.TEXTJOIN(" + ",TRUE,IF((TRIM(P496:S496)="")+(LOWER(TRIM(P496:S496))="(seleccione)"),"",PROPER(TRIM(P496:S496)))))*(CAT_Procesos!$D$2:$D$1581=IFERROR(VLOOKUP(N496&amp;"*",CAT_Procesos!$D:$D,1,FALSE),"")))*(CAT_Procesos!$G$2:$G$1581=INDEX(CAT_Procesos!$G$2:$G$1581,MATCH(1,(CAT_Procesos!$E$2:$E$1581=O496)*(CAT_Procesos!$F$2:$F$1581=_xlfn.TEXTJOIN(" + ",TRUE,IF((TRIM(P496:S496)="")+(LOWER(TRIM(P496:S496))="(seleccione)"),"",PROPER(TRIM(P496:S496)))))*(CAT_Procesos!$D$2:$D$1581=IFERROR(VLOOKUP(N496&amp;"*",CAT_Procesos!$D:$D,1,FALSE),"")),0))))=SUMPRODUCT(--((CAT_Procesos!$E$2:$E$1581=O496)*(CAT_Procesos!$F$2:$F$1581=_xlfn.TEXTJOIN(" + ",TRUE,IF((TRIM(P496:S496)="")+(LOWER(TRIM(P496:S496))="(seleccione)"),"",PROPER(TRIM(P496:S496)))))*(CAT_Procesos!$D$2:$D$1581=IFERROR(VLOOKUP(N496&amp;"*",CAT_Procesos!$D:$D,1,FALSE),"")))),INDEX(CAT_Procesos!$G$2:$G$1581,MATCH(1,(CAT_Procesos!$E$2:$E$1581=O496)*(CAT_Procesos!$F$2:$F$1581=_xlfn.TEXTJOIN(" + ",TRUE,IF((TRIM(P496:S496)="")+(LOWER(TRIM(P496:S496))="(seleccione)"),"",PROPER(TRIM(P496:S496)))))*(CAT_Procesos!$D$2:$D$1581=IFERROR(VLOOKUP(N496&amp;"*",CAT_Procesos!$D:$D,1,FALSE),"")),0)),"(seleccione)"))</f>
        <v>Combinación no existente</v>
      </c>
      <c r="V496" s="55" t="s">
        <v>73</v>
      </c>
      <c r="W496" s="56" t="s">
        <v>73</v>
      </c>
      <c r="X496" s="57" t="str">
        <f t="shared" si="28"/>
        <v/>
      </c>
      <c r="Y496" s="58" t="s">
        <v>73</v>
      </c>
      <c r="Z496" s="57" t="str">
        <f t="shared" si="29"/>
        <v/>
      </c>
      <c r="AA496" s="58" t="s">
        <v>73</v>
      </c>
      <c r="AB496" s="57" t="str">
        <f t="shared" si="30"/>
        <v/>
      </c>
      <c r="AC496" s="58" t="s">
        <v>73</v>
      </c>
      <c r="AD496" s="57" t="str">
        <f t="shared" si="31"/>
        <v/>
      </c>
      <c r="AE496" s="59"/>
      <c r="AF496" s="59"/>
      <c r="AG496" s="59"/>
      <c r="AH496" s="59"/>
      <c r="AI496" s="59" t="s">
        <v>73</v>
      </c>
      <c r="AJ496" s="59"/>
      <c r="AK496" s="59" t="s">
        <v>73</v>
      </c>
      <c r="AL496" s="59"/>
      <c r="AM496" s="59" t="s">
        <v>73</v>
      </c>
      <c r="AN496" s="59"/>
      <c r="AO496" s="59" t="s">
        <v>73</v>
      </c>
      <c r="AP496" s="59"/>
      <c r="AQ496" s="59" t="s">
        <v>73</v>
      </c>
      <c r="AR496" s="59"/>
      <c r="AS496" s="59" t="s">
        <v>72</v>
      </c>
      <c r="AT496" s="59"/>
      <c r="AU496" s="59"/>
      <c r="AV496" s="59"/>
      <c r="AW496" s="59"/>
      <c r="AX496" s="59"/>
      <c r="AY496" s="60" t="str">
        <f>IF('Cálculo MP'!K506="","",'Cálculo MP'!K506)</f>
        <v/>
      </c>
      <c r="AZ496" s="60" t="str">
        <f>IF('Cálculo MP'!L506="","",'Cálculo MP'!L506)</f>
        <v/>
      </c>
      <c r="BA496" s="60" t="str">
        <f>IF('Cálculo MP'!M506="","",'Cálculo MP'!M506)</f>
        <v/>
      </c>
      <c r="BB496" s="60" t="str">
        <f>IF('Cálculo MP'!N506="","",'Cálculo MP'!N506)</f>
        <v/>
      </c>
      <c r="BC496" s="60" t="str">
        <f>IF('Cálculo MP'!O506="","",'Cálculo MP'!O506)</f>
        <v/>
      </c>
      <c r="BD496" s="60" t="str">
        <f>IF('Cálculo MP'!P506="","",'Cálculo MP'!P506)</f>
        <v/>
      </c>
      <c r="BE496" s="60" t="str">
        <f>IF('Cálculo MP'!Q506="","",'Cálculo MP'!Q506)</f>
        <v/>
      </c>
      <c r="BF496" s="60" t="str">
        <f>IF('Cálculo MP'!R506="","",'Cálculo MP'!R506)</f>
        <v/>
      </c>
      <c r="BG496" s="60" t="str">
        <f>IF('Cálculo MP'!S506="","",'Cálculo MP'!S506)</f>
        <v/>
      </c>
      <c r="BH496" s="59"/>
      <c r="BI496" s="59"/>
      <c r="BJ496" s="59"/>
      <c r="BK496" s="59"/>
      <c r="BL496" s="59"/>
      <c r="BM496" s="59"/>
      <c r="BN496" s="59"/>
      <c r="BO496" s="59"/>
    </row>
    <row r="497" spans="1:67" ht="19.5" customHeight="1" x14ac:dyDescent="0.15">
      <c r="A497" s="123" t="s">
        <v>1856</v>
      </c>
      <c r="B497" s="122" t="s">
        <v>1854</v>
      </c>
      <c r="C497" s="49"/>
      <c r="D497" s="48" t="s">
        <v>73</v>
      </c>
      <c r="E497" s="49"/>
      <c r="F497" s="50"/>
      <c r="G497" s="62"/>
      <c r="H497" s="48" t="s">
        <v>72</v>
      </c>
      <c r="I497" s="52">
        <v>1</v>
      </c>
      <c r="J497" s="52"/>
      <c r="K497" s="52" t="s">
        <v>73</v>
      </c>
      <c r="L497" s="52" t="s">
        <v>74</v>
      </c>
      <c r="M497" s="53" t="s">
        <v>942</v>
      </c>
      <c r="N497" s="58" t="s">
        <v>73</v>
      </c>
      <c r="O497" s="48" t="s">
        <v>72</v>
      </c>
      <c r="P497" s="48" t="s">
        <v>73</v>
      </c>
      <c r="Q497" s="54" t="s">
        <v>73</v>
      </c>
      <c r="R497" s="55" t="s">
        <v>73</v>
      </c>
      <c r="S497" s="48" t="s">
        <v>73</v>
      </c>
      <c r="T497" s="130"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8" t="str" cm="1">
        <f t="array" ref="U497">IF(SUMPRODUCT(--((CAT_Procesos!$E$2:$E$1581=O497)*(CAT_Procesos!$F$2:$F$1581=_xlfn.TEXTJOIN(" + ",TRUE,IF((TRIM(P497:S497)="")+(LOWER(TRIM(P497:S497))="(seleccione)"),"",PROPER(TRIM(P497:S497)))))*(CAT_Procesos!$D$2:$D$1581=IFERROR(VLOOKUP(N497&amp;"*",CAT_Procesos!$D:$D,1,FALSE),""))))=0,"Combinación no existente",IF(SUMPRODUCT(((CAT_Procesos!$E$2:$E$1581=O497)*(CAT_Procesos!$F$2:$F$1581=_xlfn.TEXTJOIN(" + ",TRUE,IF((TRIM(P497:S497)="")+(LOWER(TRIM(P497:S497))="(seleccione)"),"",PROPER(TRIM(P497:S497)))))*(CAT_Procesos!$D$2:$D$1581=IFERROR(VLOOKUP(N497&amp;"*",CAT_Procesos!$D:$D,1,FALSE),"")))*(CAT_Procesos!$G$2:$G$1581=INDEX(CAT_Procesos!$G$2:$G$1581,MATCH(1,(CAT_Procesos!$E$2:$E$1581=O497)*(CAT_Procesos!$F$2:$F$1581=_xlfn.TEXTJOIN(" + ",TRUE,IF((TRIM(P497:S497)="")+(LOWER(TRIM(P497:S497))="(seleccione)"),"",PROPER(TRIM(P497:S497)))))*(CAT_Procesos!$D$2:$D$1581=IFERROR(VLOOKUP(N497&amp;"*",CAT_Procesos!$D:$D,1,FALSE),"")),0))))=SUMPRODUCT(--((CAT_Procesos!$E$2:$E$1581=O497)*(CAT_Procesos!$F$2:$F$1581=_xlfn.TEXTJOIN(" + ",TRUE,IF((TRIM(P497:S497)="")+(LOWER(TRIM(P497:S497))="(seleccione)"),"",PROPER(TRIM(P497:S497)))))*(CAT_Procesos!$D$2:$D$1581=IFERROR(VLOOKUP(N497&amp;"*",CAT_Procesos!$D:$D,1,FALSE),"")))),INDEX(CAT_Procesos!$G$2:$G$1581,MATCH(1,(CAT_Procesos!$E$2:$E$1581=O497)*(CAT_Procesos!$F$2:$F$1581=_xlfn.TEXTJOIN(" + ",TRUE,IF((TRIM(P497:S497)="")+(LOWER(TRIM(P497:S497))="(seleccione)"),"",PROPER(TRIM(P497:S497)))))*(CAT_Procesos!$D$2:$D$1581=IFERROR(VLOOKUP(N497&amp;"*",CAT_Procesos!$D:$D,1,FALSE),"")),0)),"(seleccione)"))</f>
        <v>Combinación no existente</v>
      </c>
      <c r="V497" s="55" t="s">
        <v>73</v>
      </c>
      <c r="W497" s="56" t="s">
        <v>73</v>
      </c>
      <c r="X497" s="57" t="str">
        <f t="shared" si="28"/>
        <v/>
      </c>
      <c r="Y497" s="58" t="s">
        <v>73</v>
      </c>
      <c r="Z497" s="57" t="str">
        <f t="shared" si="29"/>
        <v/>
      </c>
      <c r="AA497" s="58" t="s">
        <v>73</v>
      </c>
      <c r="AB497" s="57" t="str">
        <f t="shared" si="30"/>
        <v/>
      </c>
      <c r="AC497" s="58" t="s">
        <v>73</v>
      </c>
      <c r="AD497" s="57" t="str">
        <f t="shared" si="31"/>
        <v/>
      </c>
      <c r="AE497" s="59"/>
      <c r="AF497" s="59"/>
      <c r="AG497" s="59"/>
      <c r="AH497" s="59"/>
      <c r="AI497" s="59" t="s">
        <v>73</v>
      </c>
      <c r="AJ497" s="59"/>
      <c r="AK497" s="59" t="s">
        <v>73</v>
      </c>
      <c r="AL497" s="59"/>
      <c r="AM497" s="59" t="s">
        <v>73</v>
      </c>
      <c r="AN497" s="59"/>
      <c r="AO497" s="59" t="s">
        <v>73</v>
      </c>
      <c r="AP497" s="59"/>
      <c r="AQ497" s="59" t="s">
        <v>73</v>
      </c>
      <c r="AR497" s="59"/>
      <c r="AS497" s="59" t="s">
        <v>72</v>
      </c>
      <c r="AT497" s="59"/>
      <c r="AU497" s="59"/>
      <c r="AV497" s="59"/>
      <c r="AW497" s="59"/>
      <c r="AX497" s="59"/>
      <c r="AY497" s="60" t="str">
        <f>IF('Cálculo MP'!K507="","",'Cálculo MP'!K507)</f>
        <v/>
      </c>
      <c r="AZ497" s="60" t="str">
        <f>IF('Cálculo MP'!L507="","",'Cálculo MP'!L507)</f>
        <v/>
      </c>
      <c r="BA497" s="60" t="str">
        <f>IF('Cálculo MP'!M507="","",'Cálculo MP'!M507)</f>
        <v/>
      </c>
      <c r="BB497" s="60" t="str">
        <f>IF('Cálculo MP'!N507="","",'Cálculo MP'!N507)</f>
        <v/>
      </c>
      <c r="BC497" s="60" t="str">
        <f>IF('Cálculo MP'!O507="","",'Cálculo MP'!O507)</f>
        <v/>
      </c>
      <c r="BD497" s="60" t="str">
        <f>IF('Cálculo MP'!P507="","",'Cálculo MP'!P507)</f>
        <v/>
      </c>
      <c r="BE497" s="60" t="str">
        <f>IF('Cálculo MP'!Q507="","",'Cálculo MP'!Q507)</f>
        <v/>
      </c>
      <c r="BF497" s="60" t="str">
        <f>IF('Cálculo MP'!R507="","",'Cálculo MP'!R507)</f>
        <v/>
      </c>
      <c r="BG497" s="60" t="str">
        <f>IF('Cálculo MP'!S507="","",'Cálculo MP'!S507)</f>
        <v/>
      </c>
      <c r="BH497" s="59"/>
      <c r="BI497" s="59"/>
      <c r="BJ497" s="59"/>
      <c r="BK497" s="59"/>
      <c r="BL497" s="59"/>
      <c r="BM497" s="59"/>
      <c r="BN497" s="59"/>
      <c r="BO497" s="59"/>
    </row>
    <row r="498" spans="1:67" ht="19.5" customHeight="1" x14ac:dyDescent="0.15">
      <c r="A498" s="123" t="s">
        <v>1856</v>
      </c>
      <c r="B498" s="122" t="s">
        <v>1854</v>
      </c>
      <c r="C498" s="49"/>
      <c r="D498" s="48" t="s">
        <v>73</v>
      </c>
      <c r="E498" s="49"/>
      <c r="F498" s="50"/>
      <c r="G498" s="62"/>
      <c r="H498" s="48" t="s">
        <v>72</v>
      </c>
      <c r="I498" s="52">
        <v>1</v>
      </c>
      <c r="J498" s="52"/>
      <c r="K498" s="52" t="s">
        <v>73</v>
      </c>
      <c r="L498" s="52" t="s">
        <v>74</v>
      </c>
      <c r="M498" s="53" t="s">
        <v>942</v>
      </c>
      <c r="N498" s="58" t="s">
        <v>73</v>
      </c>
      <c r="O498" s="48" t="s">
        <v>72</v>
      </c>
      <c r="P498" s="48" t="s">
        <v>73</v>
      </c>
      <c r="Q498" s="54" t="s">
        <v>73</v>
      </c>
      <c r="R498" s="55" t="s">
        <v>73</v>
      </c>
      <c r="S498" s="48" t="s">
        <v>73</v>
      </c>
      <c r="T498" s="130"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8" t="str" cm="1">
        <f t="array" ref="U498">IF(SUMPRODUCT(--((CAT_Procesos!$E$2:$E$1581=O498)*(CAT_Procesos!$F$2:$F$1581=_xlfn.TEXTJOIN(" + ",TRUE,IF((TRIM(P498:S498)="")+(LOWER(TRIM(P498:S498))="(seleccione)"),"",PROPER(TRIM(P498:S498)))))*(CAT_Procesos!$D$2:$D$1581=IFERROR(VLOOKUP(N498&amp;"*",CAT_Procesos!$D:$D,1,FALSE),""))))=0,"Combinación no existente",IF(SUMPRODUCT(((CAT_Procesos!$E$2:$E$1581=O498)*(CAT_Procesos!$F$2:$F$1581=_xlfn.TEXTJOIN(" + ",TRUE,IF((TRIM(P498:S498)="")+(LOWER(TRIM(P498:S498))="(seleccione)"),"",PROPER(TRIM(P498:S498)))))*(CAT_Procesos!$D$2:$D$1581=IFERROR(VLOOKUP(N498&amp;"*",CAT_Procesos!$D:$D,1,FALSE),"")))*(CAT_Procesos!$G$2:$G$1581=INDEX(CAT_Procesos!$G$2:$G$1581,MATCH(1,(CAT_Procesos!$E$2:$E$1581=O498)*(CAT_Procesos!$F$2:$F$1581=_xlfn.TEXTJOIN(" + ",TRUE,IF((TRIM(P498:S498)="")+(LOWER(TRIM(P498:S498))="(seleccione)"),"",PROPER(TRIM(P498:S498)))))*(CAT_Procesos!$D$2:$D$1581=IFERROR(VLOOKUP(N498&amp;"*",CAT_Procesos!$D:$D,1,FALSE),"")),0))))=SUMPRODUCT(--((CAT_Procesos!$E$2:$E$1581=O498)*(CAT_Procesos!$F$2:$F$1581=_xlfn.TEXTJOIN(" + ",TRUE,IF((TRIM(P498:S498)="")+(LOWER(TRIM(P498:S498))="(seleccione)"),"",PROPER(TRIM(P498:S498)))))*(CAT_Procesos!$D$2:$D$1581=IFERROR(VLOOKUP(N498&amp;"*",CAT_Procesos!$D:$D,1,FALSE),"")))),INDEX(CAT_Procesos!$G$2:$G$1581,MATCH(1,(CAT_Procesos!$E$2:$E$1581=O498)*(CAT_Procesos!$F$2:$F$1581=_xlfn.TEXTJOIN(" + ",TRUE,IF((TRIM(P498:S498)="")+(LOWER(TRIM(P498:S498))="(seleccione)"),"",PROPER(TRIM(P498:S498)))))*(CAT_Procesos!$D$2:$D$1581=IFERROR(VLOOKUP(N498&amp;"*",CAT_Procesos!$D:$D,1,FALSE),"")),0)),"(seleccione)"))</f>
        <v>Combinación no existente</v>
      </c>
      <c r="V498" s="55" t="s">
        <v>73</v>
      </c>
      <c r="W498" s="56" t="s">
        <v>73</v>
      </c>
      <c r="X498" s="57" t="str">
        <f t="shared" si="28"/>
        <v/>
      </c>
      <c r="Y498" s="58" t="s">
        <v>73</v>
      </c>
      <c r="Z498" s="57" t="str">
        <f t="shared" si="29"/>
        <v/>
      </c>
      <c r="AA498" s="58" t="s">
        <v>73</v>
      </c>
      <c r="AB498" s="57" t="str">
        <f t="shared" si="30"/>
        <v/>
      </c>
      <c r="AC498" s="58" t="s">
        <v>73</v>
      </c>
      <c r="AD498" s="57" t="str">
        <f t="shared" si="31"/>
        <v/>
      </c>
      <c r="AE498" s="59"/>
      <c r="AF498" s="59"/>
      <c r="AG498" s="59"/>
      <c r="AH498" s="59"/>
      <c r="AI498" s="59" t="s">
        <v>73</v>
      </c>
      <c r="AJ498" s="59"/>
      <c r="AK498" s="59" t="s">
        <v>73</v>
      </c>
      <c r="AL498" s="59"/>
      <c r="AM498" s="59" t="s">
        <v>73</v>
      </c>
      <c r="AN498" s="59"/>
      <c r="AO498" s="59" t="s">
        <v>73</v>
      </c>
      <c r="AP498" s="59"/>
      <c r="AQ498" s="59" t="s">
        <v>73</v>
      </c>
      <c r="AR498" s="59"/>
      <c r="AS498" s="59" t="s">
        <v>72</v>
      </c>
      <c r="AT498" s="59"/>
      <c r="AU498" s="59"/>
      <c r="AV498" s="59"/>
      <c r="AW498" s="59"/>
      <c r="AX498" s="59"/>
      <c r="AY498" s="60" t="str">
        <f>IF('Cálculo MP'!K508="","",'Cálculo MP'!K508)</f>
        <v/>
      </c>
      <c r="AZ498" s="60" t="str">
        <f>IF('Cálculo MP'!L508="","",'Cálculo MP'!L508)</f>
        <v/>
      </c>
      <c r="BA498" s="60" t="str">
        <f>IF('Cálculo MP'!M508="","",'Cálculo MP'!M508)</f>
        <v/>
      </c>
      <c r="BB498" s="60" t="str">
        <f>IF('Cálculo MP'!N508="","",'Cálculo MP'!N508)</f>
        <v/>
      </c>
      <c r="BC498" s="60" t="str">
        <f>IF('Cálculo MP'!O508="","",'Cálculo MP'!O508)</f>
        <v/>
      </c>
      <c r="BD498" s="60" t="str">
        <f>IF('Cálculo MP'!P508="","",'Cálculo MP'!P508)</f>
        <v/>
      </c>
      <c r="BE498" s="60" t="str">
        <f>IF('Cálculo MP'!Q508="","",'Cálculo MP'!Q508)</f>
        <v/>
      </c>
      <c r="BF498" s="60" t="str">
        <f>IF('Cálculo MP'!R508="","",'Cálculo MP'!R508)</f>
        <v/>
      </c>
      <c r="BG498" s="60" t="str">
        <f>IF('Cálculo MP'!S508="","",'Cálculo MP'!S508)</f>
        <v/>
      </c>
      <c r="BH498" s="59"/>
      <c r="BI498" s="59"/>
      <c r="BJ498" s="59"/>
      <c r="BK498" s="59"/>
      <c r="BL498" s="59"/>
      <c r="BM498" s="59"/>
      <c r="BN498" s="59"/>
      <c r="BO498" s="59"/>
    </row>
    <row r="499" spans="1:67" ht="19.5" customHeight="1" x14ac:dyDescent="0.15">
      <c r="A499" s="123" t="s">
        <v>1856</v>
      </c>
      <c r="B499" s="122" t="s">
        <v>1854</v>
      </c>
      <c r="C499" s="49"/>
      <c r="D499" s="48" t="s">
        <v>73</v>
      </c>
      <c r="E499" s="49"/>
      <c r="F499" s="50"/>
      <c r="G499" s="62"/>
      <c r="H499" s="48" t="s">
        <v>72</v>
      </c>
      <c r="I499" s="52">
        <v>1</v>
      </c>
      <c r="J499" s="52"/>
      <c r="K499" s="52" t="s">
        <v>73</v>
      </c>
      <c r="L499" s="52" t="s">
        <v>74</v>
      </c>
      <c r="M499" s="53" t="s">
        <v>942</v>
      </c>
      <c r="N499" s="58" t="s">
        <v>73</v>
      </c>
      <c r="O499" s="48" t="s">
        <v>72</v>
      </c>
      <c r="P499" s="48" t="s">
        <v>73</v>
      </c>
      <c r="Q499" s="54" t="s">
        <v>73</v>
      </c>
      <c r="R499" s="55" t="s">
        <v>73</v>
      </c>
      <c r="S499" s="48" t="s">
        <v>73</v>
      </c>
      <c r="T499" s="130"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8" t="str" cm="1">
        <f t="array" ref="U499">IF(SUMPRODUCT(--((CAT_Procesos!$E$2:$E$1581=O499)*(CAT_Procesos!$F$2:$F$1581=_xlfn.TEXTJOIN(" + ",TRUE,IF((TRIM(P499:S499)="")+(LOWER(TRIM(P499:S499))="(seleccione)"),"",PROPER(TRIM(P499:S499)))))*(CAT_Procesos!$D$2:$D$1581=IFERROR(VLOOKUP(N499&amp;"*",CAT_Procesos!$D:$D,1,FALSE),""))))=0,"Combinación no existente",IF(SUMPRODUCT(((CAT_Procesos!$E$2:$E$1581=O499)*(CAT_Procesos!$F$2:$F$1581=_xlfn.TEXTJOIN(" + ",TRUE,IF((TRIM(P499:S499)="")+(LOWER(TRIM(P499:S499))="(seleccione)"),"",PROPER(TRIM(P499:S499)))))*(CAT_Procesos!$D$2:$D$1581=IFERROR(VLOOKUP(N499&amp;"*",CAT_Procesos!$D:$D,1,FALSE),"")))*(CAT_Procesos!$G$2:$G$1581=INDEX(CAT_Procesos!$G$2:$G$1581,MATCH(1,(CAT_Procesos!$E$2:$E$1581=O499)*(CAT_Procesos!$F$2:$F$1581=_xlfn.TEXTJOIN(" + ",TRUE,IF((TRIM(P499:S499)="")+(LOWER(TRIM(P499:S499))="(seleccione)"),"",PROPER(TRIM(P499:S499)))))*(CAT_Procesos!$D$2:$D$1581=IFERROR(VLOOKUP(N499&amp;"*",CAT_Procesos!$D:$D,1,FALSE),"")),0))))=SUMPRODUCT(--((CAT_Procesos!$E$2:$E$1581=O499)*(CAT_Procesos!$F$2:$F$1581=_xlfn.TEXTJOIN(" + ",TRUE,IF((TRIM(P499:S499)="")+(LOWER(TRIM(P499:S499))="(seleccione)"),"",PROPER(TRIM(P499:S499)))))*(CAT_Procesos!$D$2:$D$1581=IFERROR(VLOOKUP(N499&amp;"*",CAT_Procesos!$D:$D,1,FALSE),"")))),INDEX(CAT_Procesos!$G$2:$G$1581,MATCH(1,(CAT_Procesos!$E$2:$E$1581=O499)*(CAT_Procesos!$F$2:$F$1581=_xlfn.TEXTJOIN(" + ",TRUE,IF((TRIM(P499:S499)="")+(LOWER(TRIM(P499:S499))="(seleccione)"),"",PROPER(TRIM(P499:S499)))))*(CAT_Procesos!$D$2:$D$1581=IFERROR(VLOOKUP(N499&amp;"*",CAT_Procesos!$D:$D,1,FALSE),"")),0)),"(seleccione)"))</f>
        <v>Combinación no existente</v>
      </c>
      <c r="V499" s="55" t="s">
        <v>73</v>
      </c>
      <c r="W499" s="56" t="s">
        <v>73</v>
      </c>
      <c r="X499" s="57" t="str">
        <f t="shared" si="28"/>
        <v/>
      </c>
      <c r="Y499" s="58" t="s">
        <v>73</v>
      </c>
      <c r="Z499" s="57" t="str">
        <f t="shared" si="29"/>
        <v/>
      </c>
      <c r="AA499" s="58" t="s">
        <v>73</v>
      </c>
      <c r="AB499" s="57" t="str">
        <f t="shared" si="30"/>
        <v/>
      </c>
      <c r="AC499" s="58" t="s">
        <v>73</v>
      </c>
      <c r="AD499" s="57" t="str">
        <f t="shared" si="31"/>
        <v/>
      </c>
      <c r="AE499" s="59"/>
      <c r="AF499" s="59"/>
      <c r="AG499" s="59"/>
      <c r="AH499" s="59"/>
      <c r="AI499" s="59" t="s">
        <v>73</v>
      </c>
      <c r="AJ499" s="59"/>
      <c r="AK499" s="59" t="s">
        <v>73</v>
      </c>
      <c r="AL499" s="59"/>
      <c r="AM499" s="59" t="s">
        <v>73</v>
      </c>
      <c r="AN499" s="59"/>
      <c r="AO499" s="59" t="s">
        <v>73</v>
      </c>
      <c r="AP499" s="59"/>
      <c r="AQ499" s="59" t="s">
        <v>73</v>
      </c>
      <c r="AR499" s="59"/>
      <c r="AS499" s="59" t="s">
        <v>72</v>
      </c>
      <c r="AT499" s="59"/>
      <c r="AU499" s="59"/>
      <c r="AV499" s="59"/>
      <c r="AW499" s="59"/>
      <c r="AX499" s="59"/>
      <c r="AY499" s="60" t="str">
        <f>IF('Cálculo MP'!K509="","",'Cálculo MP'!K509)</f>
        <v/>
      </c>
      <c r="AZ499" s="60" t="str">
        <f>IF('Cálculo MP'!L509="","",'Cálculo MP'!L509)</f>
        <v/>
      </c>
      <c r="BA499" s="60" t="str">
        <f>IF('Cálculo MP'!M509="","",'Cálculo MP'!M509)</f>
        <v/>
      </c>
      <c r="BB499" s="60" t="str">
        <f>IF('Cálculo MP'!N509="","",'Cálculo MP'!N509)</f>
        <v/>
      </c>
      <c r="BC499" s="60" t="str">
        <f>IF('Cálculo MP'!O509="","",'Cálculo MP'!O509)</f>
        <v/>
      </c>
      <c r="BD499" s="60" t="str">
        <f>IF('Cálculo MP'!P509="","",'Cálculo MP'!P509)</f>
        <v/>
      </c>
      <c r="BE499" s="60" t="str">
        <f>IF('Cálculo MP'!Q509="","",'Cálculo MP'!Q509)</f>
        <v/>
      </c>
      <c r="BF499" s="60" t="str">
        <f>IF('Cálculo MP'!R509="","",'Cálculo MP'!R509)</f>
        <v/>
      </c>
      <c r="BG499" s="60" t="str">
        <f>IF('Cálculo MP'!S509="","",'Cálculo MP'!S509)</f>
        <v/>
      </c>
      <c r="BH499" s="59"/>
      <c r="BI499" s="59"/>
      <c r="BJ499" s="59"/>
      <c r="BK499" s="59"/>
      <c r="BL499" s="59"/>
      <c r="BM499" s="59"/>
      <c r="BN499" s="59"/>
      <c r="BO499" s="59"/>
    </row>
    <row r="500" spans="1:67" ht="19.5" customHeight="1" x14ac:dyDescent="0.15">
      <c r="A500" s="123" t="s">
        <v>1856</v>
      </c>
      <c r="B500" s="122" t="s">
        <v>1854</v>
      </c>
      <c r="C500" s="49"/>
      <c r="D500" s="48" t="s">
        <v>73</v>
      </c>
      <c r="E500" s="49"/>
      <c r="F500" s="50"/>
      <c r="G500" s="62"/>
      <c r="H500" s="48" t="s">
        <v>72</v>
      </c>
      <c r="I500" s="52">
        <v>1</v>
      </c>
      <c r="J500" s="52"/>
      <c r="K500" s="52" t="s">
        <v>73</v>
      </c>
      <c r="L500" s="52" t="s">
        <v>74</v>
      </c>
      <c r="M500" s="53" t="s">
        <v>942</v>
      </c>
      <c r="N500" s="58" t="s">
        <v>73</v>
      </c>
      <c r="O500" s="48" t="s">
        <v>72</v>
      </c>
      <c r="P500" s="48" t="s">
        <v>73</v>
      </c>
      <c r="Q500" s="54" t="s">
        <v>73</v>
      </c>
      <c r="R500" s="55" t="s">
        <v>73</v>
      </c>
      <c r="S500" s="48" t="s">
        <v>73</v>
      </c>
      <c r="T500" s="130"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8" t="str" cm="1">
        <f t="array" ref="U500">IF(SUMPRODUCT(--((CAT_Procesos!$E$2:$E$1581=O500)*(CAT_Procesos!$F$2:$F$1581=_xlfn.TEXTJOIN(" + ",TRUE,IF((TRIM(P500:S500)="")+(LOWER(TRIM(P500:S500))="(seleccione)"),"",PROPER(TRIM(P500:S500)))))*(CAT_Procesos!$D$2:$D$1581=IFERROR(VLOOKUP(N500&amp;"*",CAT_Procesos!$D:$D,1,FALSE),""))))=0,"Combinación no existente",IF(SUMPRODUCT(((CAT_Procesos!$E$2:$E$1581=O500)*(CAT_Procesos!$F$2:$F$1581=_xlfn.TEXTJOIN(" + ",TRUE,IF((TRIM(P500:S500)="")+(LOWER(TRIM(P500:S500))="(seleccione)"),"",PROPER(TRIM(P500:S500)))))*(CAT_Procesos!$D$2:$D$1581=IFERROR(VLOOKUP(N500&amp;"*",CAT_Procesos!$D:$D,1,FALSE),"")))*(CAT_Procesos!$G$2:$G$1581=INDEX(CAT_Procesos!$G$2:$G$1581,MATCH(1,(CAT_Procesos!$E$2:$E$1581=O500)*(CAT_Procesos!$F$2:$F$1581=_xlfn.TEXTJOIN(" + ",TRUE,IF((TRIM(P500:S500)="")+(LOWER(TRIM(P500:S500))="(seleccione)"),"",PROPER(TRIM(P500:S500)))))*(CAT_Procesos!$D$2:$D$1581=IFERROR(VLOOKUP(N500&amp;"*",CAT_Procesos!$D:$D,1,FALSE),"")),0))))=SUMPRODUCT(--((CAT_Procesos!$E$2:$E$1581=O500)*(CAT_Procesos!$F$2:$F$1581=_xlfn.TEXTJOIN(" + ",TRUE,IF((TRIM(P500:S500)="")+(LOWER(TRIM(P500:S500))="(seleccione)"),"",PROPER(TRIM(P500:S500)))))*(CAT_Procesos!$D$2:$D$1581=IFERROR(VLOOKUP(N500&amp;"*",CAT_Procesos!$D:$D,1,FALSE),"")))),INDEX(CAT_Procesos!$G$2:$G$1581,MATCH(1,(CAT_Procesos!$E$2:$E$1581=O500)*(CAT_Procesos!$F$2:$F$1581=_xlfn.TEXTJOIN(" + ",TRUE,IF((TRIM(P500:S500)="")+(LOWER(TRIM(P500:S500))="(seleccione)"),"",PROPER(TRIM(P500:S500)))))*(CAT_Procesos!$D$2:$D$1581=IFERROR(VLOOKUP(N500&amp;"*",CAT_Procesos!$D:$D,1,FALSE),"")),0)),"(seleccione)"))</f>
        <v>Combinación no existente</v>
      </c>
      <c r="V500" s="55" t="s">
        <v>73</v>
      </c>
      <c r="W500" s="56" t="s">
        <v>73</v>
      </c>
      <c r="X500" s="57" t="str">
        <f t="shared" si="28"/>
        <v/>
      </c>
      <c r="Y500" s="58" t="s">
        <v>73</v>
      </c>
      <c r="Z500" s="57" t="str">
        <f t="shared" si="29"/>
        <v/>
      </c>
      <c r="AA500" s="58" t="s">
        <v>73</v>
      </c>
      <c r="AB500" s="57" t="str">
        <f t="shared" si="30"/>
        <v/>
      </c>
      <c r="AC500" s="58" t="s">
        <v>73</v>
      </c>
      <c r="AD500" s="57" t="str">
        <f t="shared" si="31"/>
        <v/>
      </c>
      <c r="AE500" s="59"/>
      <c r="AF500" s="59"/>
      <c r="AG500" s="59"/>
      <c r="AH500" s="59"/>
      <c r="AI500" s="59" t="s">
        <v>73</v>
      </c>
      <c r="AJ500" s="59"/>
      <c r="AK500" s="59" t="s">
        <v>73</v>
      </c>
      <c r="AL500" s="59"/>
      <c r="AM500" s="59" t="s">
        <v>73</v>
      </c>
      <c r="AN500" s="59"/>
      <c r="AO500" s="59" t="s">
        <v>73</v>
      </c>
      <c r="AP500" s="59"/>
      <c r="AQ500" s="59" t="s">
        <v>73</v>
      </c>
      <c r="AR500" s="59"/>
      <c r="AS500" s="59" t="s">
        <v>72</v>
      </c>
      <c r="AT500" s="59"/>
      <c r="AU500" s="59"/>
      <c r="AV500" s="59"/>
      <c r="AW500" s="59"/>
      <c r="AX500" s="59"/>
      <c r="AY500" s="60" t="str">
        <f>IF('Cálculo MP'!K510="","",'Cálculo MP'!K510)</f>
        <v/>
      </c>
      <c r="AZ500" s="60" t="str">
        <f>IF('Cálculo MP'!L510="","",'Cálculo MP'!L510)</f>
        <v/>
      </c>
      <c r="BA500" s="60" t="str">
        <f>IF('Cálculo MP'!M510="","",'Cálculo MP'!M510)</f>
        <v/>
      </c>
      <c r="BB500" s="60" t="str">
        <f>IF('Cálculo MP'!N510="","",'Cálculo MP'!N510)</f>
        <v/>
      </c>
      <c r="BC500" s="60" t="str">
        <f>IF('Cálculo MP'!O510="","",'Cálculo MP'!O510)</f>
        <v/>
      </c>
      <c r="BD500" s="60" t="str">
        <f>IF('Cálculo MP'!P510="","",'Cálculo MP'!P510)</f>
        <v/>
      </c>
      <c r="BE500" s="60" t="str">
        <f>IF('Cálculo MP'!Q510="","",'Cálculo MP'!Q510)</f>
        <v/>
      </c>
      <c r="BF500" s="60" t="str">
        <f>IF('Cálculo MP'!R510="","",'Cálculo MP'!R510)</f>
        <v/>
      </c>
      <c r="BG500" s="60" t="str">
        <f>IF('Cálculo MP'!S510="","",'Cálculo MP'!S510)</f>
        <v/>
      </c>
      <c r="BH500" s="59"/>
      <c r="BI500" s="59"/>
      <c r="BJ500" s="59"/>
      <c r="BK500" s="59"/>
      <c r="BL500" s="59"/>
      <c r="BM500" s="59"/>
      <c r="BN500" s="59"/>
      <c r="BO500" s="59"/>
    </row>
    <row r="501" spans="1:67" ht="19.5" customHeight="1" x14ac:dyDescent="0.15">
      <c r="A501" s="123" t="s">
        <v>1856</v>
      </c>
      <c r="B501" s="122" t="s">
        <v>1854</v>
      </c>
      <c r="C501" s="49"/>
      <c r="D501" s="48" t="s">
        <v>73</v>
      </c>
      <c r="E501" s="49"/>
      <c r="F501" s="50"/>
      <c r="G501" s="62"/>
      <c r="H501" s="48" t="s">
        <v>72</v>
      </c>
      <c r="I501" s="52">
        <v>1</v>
      </c>
      <c r="J501" s="52"/>
      <c r="K501" s="52" t="s">
        <v>73</v>
      </c>
      <c r="L501" s="52" t="s">
        <v>74</v>
      </c>
      <c r="M501" s="53" t="s">
        <v>942</v>
      </c>
      <c r="N501" s="58" t="s">
        <v>73</v>
      </c>
      <c r="O501" s="48" t="s">
        <v>72</v>
      </c>
      <c r="P501" s="48" t="s">
        <v>73</v>
      </c>
      <c r="Q501" s="54" t="s">
        <v>73</v>
      </c>
      <c r="R501" s="55" t="s">
        <v>73</v>
      </c>
      <c r="S501" s="48" t="s">
        <v>73</v>
      </c>
      <c r="T501" s="130"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8" t="str" cm="1">
        <f t="array" ref="U501">IF(SUMPRODUCT(--((CAT_Procesos!$E$2:$E$1581=O501)*(CAT_Procesos!$F$2:$F$1581=_xlfn.TEXTJOIN(" + ",TRUE,IF((TRIM(P501:S501)="")+(LOWER(TRIM(P501:S501))="(seleccione)"),"",PROPER(TRIM(P501:S501)))))*(CAT_Procesos!$D$2:$D$1581=IFERROR(VLOOKUP(N501&amp;"*",CAT_Procesos!$D:$D,1,FALSE),""))))=0,"Combinación no existente",IF(SUMPRODUCT(((CAT_Procesos!$E$2:$E$1581=O501)*(CAT_Procesos!$F$2:$F$1581=_xlfn.TEXTJOIN(" + ",TRUE,IF((TRIM(P501:S501)="")+(LOWER(TRIM(P501:S501))="(seleccione)"),"",PROPER(TRIM(P501:S501)))))*(CAT_Procesos!$D$2:$D$1581=IFERROR(VLOOKUP(N501&amp;"*",CAT_Procesos!$D:$D,1,FALSE),"")))*(CAT_Procesos!$G$2:$G$1581=INDEX(CAT_Procesos!$G$2:$G$1581,MATCH(1,(CAT_Procesos!$E$2:$E$1581=O501)*(CAT_Procesos!$F$2:$F$1581=_xlfn.TEXTJOIN(" + ",TRUE,IF((TRIM(P501:S501)="")+(LOWER(TRIM(P501:S501))="(seleccione)"),"",PROPER(TRIM(P501:S501)))))*(CAT_Procesos!$D$2:$D$1581=IFERROR(VLOOKUP(N501&amp;"*",CAT_Procesos!$D:$D,1,FALSE),"")),0))))=SUMPRODUCT(--((CAT_Procesos!$E$2:$E$1581=O501)*(CAT_Procesos!$F$2:$F$1581=_xlfn.TEXTJOIN(" + ",TRUE,IF((TRIM(P501:S501)="")+(LOWER(TRIM(P501:S501))="(seleccione)"),"",PROPER(TRIM(P501:S501)))))*(CAT_Procesos!$D$2:$D$1581=IFERROR(VLOOKUP(N501&amp;"*",CAT_Procesos!$D:$D,1,FALSE),"")))),INDEX(CAT_Procesos!$G$2:$G$1581,MATCH(1,(CAT_Procesos!$E$2:$E$1581=O501)*(CAT_Procesos!$F$2:$F$1581=_xlfn.TEXTJOIN(" + ",TRUE,IF((TRIM(P501:S501)="")+(LOWER(TRIM(P501:S501))="(seleccione)"),"",PROPER(TRIM(P501:S501)))))*(CAT_Procesos!$D$2:$D$1581=IFERROR(VLOOKUP(N501&amp;"*",CAT_Procesos!$D:$D,1,FALSE),"")),0)),"(seleccione)"))</f>
        <v>Combinación no existente</v>
      </c>
      <c r="V501" s="55" t="s">
        <v>73</v>
      </c>
      <c r="W501" s="56" t="s">
        <v>73</v>
      </c>
      <c r="X501" s="57" t="str">
        <f t="shared" si="28"/>
        <v/>
      </c>
      <c r="Y501" s="58" t="s">
        <v>73</v>
      </c>
      <c r="Z501" s="57" t="str">
        <f t="shared" si="29"/>
        <v/>
      </c>
      <c r="AA501" s="58" t="s">
        <v>73</v>
      </c>
      <c r="AB501" s="57" t="str">
        <f t="shared" si="30"/>
        <v/>
      </c>
      <c r="AC501" s="58" t="s">
        <v>73</v>
      </c>
      <c r="AD501" s="57" t="str">
        <f t="shared" si="31"/>
        <v/>
      </c>
      <c r="AE501" s="59"/>
      <c r="AF501" s="59"/>
      <c r="AG501" s="59"/>
      <c r="AH501" s="59"/>
      <c r="AI501" s="59" t="s">
        <v>73</v>
      </c>
      <c r="AJ501" s="59"/>
      <c r="AK501" s="59" t="s">
        <v>73</v>
      </c>
      <c r="AL501" s="59"/>
      <c r="AM501" s="59" t="s">
        <v>73</v>
      </c>
      <c r="AN501" s="59"/>
      <c r="AO501" s="59" t="s">
        <v>73</v>
      </c>
      <c r="AP501" s="59"/>
      <c r="AQ501" s="59" t="s">
        <v>73</v>
      </c>
      <c r="AR501" s="59"/>
      <c r="AS501" s="59" t="s">
        <v>72</v>
      </c>
      <c r="AT501" s="59"/>
      <c r="AU501" s="59"/>
      <c r="AV501" s="59"/>
      <c r="AW501" s="59"/>
      <c r="AX501" s="59"/>
      <c r="AY501" s="60" t="str">
        <f>IF('Cálculo MP'!K511="","",'Cálculo MP'!K511)</f>
        <v/>
      </c>
      <c r="AZ501" s="60" t="str">
        <f>IF('Cálculo MP'!L511="","",'Cálculo MP'!L511)</f>
        <v/>
      </c>
      <c r="BA501" s="60" t="str">
        <f>IF('Cálculo MP'!M511="","",'Cálculo MP'!M511)</f>
        <v/>
      </c>
      <c r="BB501" s="60" t="str">
        <f>IF('Cálculo MP'!N511="","",'Cálculo MP'!N511)</f>
        <v/>
      </c>
      <c r="BC501" s="60" t="str">
        <f>IF('Cálculo MP'!O511="","",'Cálculo MP'!O511)</f>
        <v/>
      </c>
      <c r="BD501" s="60" t="str">
        <f>IF('Cálculo MP'!P511="","",'Cálculo MP'!P511)</f>
        <v/>
      </c>
      <c r="BE501" s="60" t="str">
        <f>IF('Cálculo MP'!Q511="","",'Cálculo MP'!Q511)</f>
        <v/>
      </c>
      <c r="BF501" s="60" t="str">
        <f>IF('Cálculo MP'!R511="","",'Cálculo MP'!R511)</f>
        <v/>
      </c>
      <c r="BG501" s="60" t="str">
        <f>IF('Cálculo MP'!S511="","",'Cálculo MP'!S511)</f>
        <v/>
      </c>
      <c r="BH501" s="59"/>
      <c r="BI501" s="59"/>
      <c r="BJ501" s="59"/>
      <c r="BK501" s="59"/>
      <c r="BL501" s="59"/>
      <c r="BM501" s="59"/>
      <c r="BN501" s="59"/>
      <c r="BO501" s="59"/>
    </row>
    <row r="502" spans="1:67" ht="19.5" customHeight="1" x14ac:dyDescent="0.15">
      <c r="A502" s="123" t="s">
        <v>1856</v>
      </c>
      <c r="B502" s="122" t="s">
        <v>1854</v>
      </c>
      <c r="C502" s="49"/>
      <c r="D502" s="48" t="s">
        <v>73</v>
      </c>
      <c r="E502" s="49"/>
      <c r="F502" s="50"/>
      <c r="G502" s="62"/>
      <c r="H502" s="48" t="s">
        <v>72</v>
      </c>
      <c r="I502" s="52">
        <v>1</v>
      </c>
      <c r="J502" s="52"/>
      <c r="K502" s="52" t="s">
        <v>73</v>
      </c>
      <c r="L502" s="52" t="s">
        <v>74</v>
      </c>
      <c r="M502" s="53" t="s">
        <v>942</v>
      </c>
      <c r="N502" s="58" t="s">
        <v>73</v>
      </c>
      <c r="O502" s="48" t="s">
        <v>72</v>
      </c>
      <c r="P502" s="48" t="s">
        <v>73</v>
      </c>
      <c r="Q502" s="54" t="s">
        <v>73</v>
      </c>
      <c r="R502" s="55" t="s">
        <v>73</v>
      </c>
      <c r="S502" s="48" t="s">
        <v>73</v>
      </c>
      <c r="T502" s="130"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8" t="str" cm="1">
        <f t="array" ref="U502">IF(SUMPRODUCT(--((CAT_Procesos!$E$2:$E$1581=O502)*(CAT_Procesos!$F$2:$F$1581=_xlfn.TEXTJOIN(" + ",TRUE,IF((TRIM(P502:S502)="")+(LOWER(TRIM(P502:S502))="(seleccione)"),"",PROPER(TRIM(P502:S502)))))*(CAT_Procesos!$D$2:$D$1581=IFERROR(VLOOKUP(N502&amp;"*",CAT_Procesos!$D:$D,1,FALSE),""))))=0,"Combinación no existente",IF(SUMPRODUCT(((CAT_Procesos!$E$2:$E$1581=O502)*(CAT_Procesos!$F$2:$F$1581=_xlfn.TEXTJOIN(" + ",TRUE,IF((TRIM(P502:S502)="")+(LOWER(TRIM(P502:S502))="(seleccione)"),"",PROPER(TRIM(P502:S502)))))*(CAT_Procesos!$D$2:$D$1581=IFERROR(VLOOKUP(N502&amp;"*",CAT_Procesos!$D:$D,1,FALSE),"")))*(CAT_Procesos!$G$2:$G$1581=INDEX(CAT_Procesos!$G$2:$G$1581,MATCH(1,(CAT_Procesos!$E$2:$E$1581=O502)*(CAT_Procesos!$F$2:$F$1581=_xlfn.TEXTJOIN(" + ",TRUE,IF((TRIM(P502:S502)="")+(LOWER(TRIM(P502:S502))="(seleccione)"),"",PROPER(TRIM(P502:S502)))))*(CAT_Procesos!$D$2:$D$1581=IFERROR(VLOOKUP(N502&amp;"*",CAT_Procesos!$D:$D,1,FALSE),"")),0))))=SUMPRODUCT(--((CAT_Procesos!$E$2:$E$1581=O502)*(CAT_Procesos!$F$2:$F$1581=_xlfn.TEXTJOIN(" + ",TRUE,IF((TRIM(P502:S502)="")+(LOWER(TRIM(P502:S502))="(seleccione)"),"",PROPER(TRIM(P502:S502)))))*(CAT_Procesos!$D$2:$D$1581=IFERROR(VLOOKUP(N502&amp;"*",CAT_Procesos!$D:$D,1,FALSE),"")))),INDEX(CAT_Procesos!$G$2:$G$1581,MATCH(1,(CAT_Procesos!$E$2:$E$1581=O502)*(CAT_Procesos!$F$2:$F$1581=_xlfn.TEXTJOIN(" + ",TRUE,IF((TRIM(P502:S502)="")+(LOWER(TRIM(P502:S502))="(seleccione)"),"",PROPER(TRIM(P502:S502)))))*(CAT_Procesos!$D$2:$D$1581=IFERROR(VLOOKUP(N502&amp;"*",CAT_Procesos!$D:$D,1,FALSE),"")),0)),"(seleccione)"))</f>
        <v>Combinación no existente</v>
      </c>
      <c r="V502" s="55" t="s">
        <v>73</v>
      </c>
      <c r="W502" s="56" t="s">
        <v>73</v>
      </c>
      <c r="X502" s="57" t="str">
        <f t="shared" si="28"/>
        <v/>
      </c>
      <c r="Y502" s="58" t="s">
        <v>73</v>
      </c>
      <c r="Z502" s="57" t="str">
        <f t="shared" si="29"/>
        <v/>
      </c>
      <c r="AA502" s="58" t="s">
        <v>73</v>
      </c>
      <c r="AB502" s="57" t="str">
        <f t="shared" si="30"/>
        <v/>
      </c>
      <c r="AC502" s="58" t="s">
        <v>73</v>
      </c>
      <c r="AD502" s="57" t="str">
        <f t="shared" si="31"/>
        <v/>
      </c>
      <c r="AE502" s="59"/>
      <c r="AF502" s="59"/>
      <c r="AG502" s="59"/>
      <c r="AH502" s="59"/>
      <c r="AI502" s="59" t="s">
        <v>73</v>
      </c>
      <c r="AJ502" s="59"/>
      <c r="AK502" s="59" t="s">
        <v>73</v>
      </c>
      <c r="AL502" s="59"/>
      <c r="AM502" s="59" t="s">
        <v>73</v>
      </c>
      <c r="AN502" s="59"/>
      <c r="AO502" s="59" t="s">
        <v>73</v>
      </c>
      <c r="AP502" s="59"/>
      <c r="AQ502" s="59" t="s">
        <v>73</v>
      </c>
      <c r="AR502" s="59"/>
      <c r="AS502" s="59" t="s">
        <v>72</v>
      </c>
      <c r="AT502" s="59"/>
      <c r="AU502" s="59"/>
      <c r="AV502" s="59"/>
      <c r="AW502" s="59"/>
      <c r="AX502" s="59"/>
      <c r="AY502" s="60" t="str">
        <f>IF('Cálculo MP'!K512="","",'Cálculo MP'!K512)</f>
        <v/>
      </c>
      <c r="AZ502" s="60" t="str">
        <f>IF('Cálculo MP'!L512="","",'Cálculo MP'!L512)</f>
        <v/>
      </c>
      <c r="BA502" s="60" t="str">
        <f>IF('Cálculo MP'!M512="","",'Cálculo MP'!M512)</f>
        <v/>
      </c>
      <c r="BB502" s="60" t="str">
        <f>IF('Cálculo MP'!N512="","",'Cálculo MP'!N512)</f>
        <v/>
      </c>
      <c r="BC502" s="60" t="str">
        <f>IF('Cálculo MP'!O512="","",'Cálculo MP'!O512)</f>
        <v/>
      </c>
      <c r="BD502" s="60" t="str">
        <f>IF('Cálculo MP'!P512="","",'Cálculo MP'!P512)</f>
        <v/>
      </c>
      <c r="BE502" s="60" t="str">
        <f>IF('Cálculo MP'!Q512="","",'Cálculo MP'!Q512)</f>
        <v/>
      </c>
      <c r="BF502" s="60" t="str">
        <f>IF('Cálculo MP'!R512="","",'Cálculo MP'!R512)</f>
        <v/>
      </c>
      <c r="BG502" s="60" t="str">
        <f>IF('Cálculo MP'!S512="","",'Cálculo MP'!S512)</f>
        <v/>
      </c>
      <c r="BH502" s="59"/>
      <c r="BI502" s="59"/>
      <c r="BJ502" s="59"/>
      <c r="BK502" s="59"/>
      <c r="BL502" s="59"/>
      <c r="BM502" s="59"/>
      <c r="BN502" s="59"/>
      <c r="BO502" s="59"/>
    </row>
    <row r="503" spans="1:67" ht="19.5" customHeight="1" x14ac:dyDescent="0.15">
      <c r="A503" s="123" t="s">
        <v>1856</v>
      </c>
      <c r="B503" s="122" t="s">
        <v>1854</v>
      </c>
      <c r="C503" s="49"/>
      <c r="D503" s="48" t="s">
        <v>73</v>
      </c>
      <c r="E503" s="49"/>
      <c r="F503" s="50"/>
      <c r="G503" s="62"/>
      <c r="H503" s="48" t="s">
        <v>72</v>
      </c>
      <c r="I503" s="52">
        <v>1</v>
      </c>
      <c r="J503" s="52"/>
      <c r="K503" s="52" t="s">
        <v>73</v>
      </c>
      <c r="L503" s="52" t="s">
        <v>74</v>
      </c>
      <c r="M503" s="53" t="s">
        <v>942</v>
      </c>
      <c r="N503" s="58" t="s">
        <v>73</v>
      </c>
      <c r="O503" s="48" t="s">
        <v>72</v>
      </c>
      <c r="P503" s="48" t="s">
        <v>73</v>
      </c>
      <c r="Q503" s="54" t="s">
        <v>73</v>
      </c>
      <c r="R503" s="55" t="s">
        <v>73</v>
      </c>
      <c r="S503" s="48" t="s">
        <v>73</v>
      </c>
      <c r="T503" s="130"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8" t="str" cm="1">
        <f t="array" ref="U503">IF(SUMPRODUCT(--((CAT_Procesos!$E$2:$E$1581=O503)*(CAT_Procesos!$F$2:$F$1581=_xlfn.TEXTJOIN(" + ",TRUE,IF((TRIM(P503:S503)="")+(LOWER(TRIM(P503:S503))="(seleccione)"),"",PROPER(TRIM(P503:S503)))))*(CAT_Procesos!$D$2:$D$1581=IFERROR(VLOOKUP(N503&amp;"*",CAT_Procesos!$D:$D,1,FALSE),""))))=0,"Combinación no existente",IF(SUMPRODUCT(((CAT_Procesos!$E$2:$E$1581=O503)*(CAT_Procesos!$F$2:$F$1581=_xlfn.TEXTJOIN(" + ",TRUE,IF((TRIM(P503:S503)="")+(LOWER(TRIM(P503:S503))="(seleccione)"),"",PROPER(TRIM(P503:S503)))))*(CAT_Procesos!$D$2:$D$1581=IFERROR(VLOOKUP(N503&amp;"*",CAT_Procesos!$D:$D,1,FALSE),"")))*(CAT_Procesos!$G$2:$G$1581=INDEX(CAT_Procesos!$G$2:$G$1581,MATCH(1,(CAT_Procesos!$E$2:$E$1581=O503)*(CAT_Procesos!$F$2:$F$1581=_xlfn.TEXTJOIN(" + ",TRUE,IF((TRIM(P503:S503)="")+(LOWER(TRIM(P503:S503))="(seleccione)"),"",PROPER(TRIM(P503:S503)))))*(CAT_Procesos!$D$2:$D$1581=IFERROR(VLOOKUP(N503&amp;"*",CAT_Procesos!$D:$D,1,FALSE),"")),0))))=SUMPRODUCT(--((CAT_Procesos!$E$2:$E$1581=O503)*(CAT_Procesos!$F$2:$F$1581=_xlfn.TEXTJOIN(" + ",TRUE,IF((TRIM(P503:S503)="")+(LOWER(TRIM(P503:S503))="(seleccione)"),"",PROPER(TRIM(P503:S503)))))*(CAT_Procesos!$D$2:$D$1581=IFERROR(VLOOKUP(N503&amp;"*",CAT_Procesos!$D:$D,1,FALSE),"")))),INDEX(CAT_Procesos!$G$2:$G$1581,MATCH(1,(CAT_Procesos!$E$2:$E$1581=O503)*(CAT_Procesos!$F$2:$F$1581=_xlfn.TEXTJOIN(" + ",TRUE,IF((TRIM(P503:S503)="")+(LOWER(TRIM(P503:S503))="(seleccione)"),"",PROPER(TRIM(P503:S503)))))*(CAT_Procesos!$D$2:$D$1581=IFERROR(VLOOKUP(N503&amp;"*",CAT_Procesos!$D:$D,1,FALSE),"")),0)),"(seleccione)"))</f>
        <v>Combinación no existente</v>
      </c>
      <c r="V503" s="55" t="s">
        <v>73</v>
      </c>
      <c r="W503" s="56" t="s">
        <v>73</v>
      </c>
      <c r="X503" s="57" t="str">
        <f t="shared" si="28"/>
        <v/>
      </c>
      <c r="Y503" s="58" t="s">
        <v>73</v>
      </c>
      <c r="Z503" s="57" t="str">
        <f t="shared" si="29"/>
        <v/>
      </c>
      <c r="AA503" s="58" t="s">
        <v>73</v>
      </c>
      <c r="AB503" s="57" t="str">
        <f t="shared" si="30"/>
        <v/>
      </c>
      <c r="AC503" s="58" t="s">
        <v>73</v>
      </c>
      <c r="AD503" s="57" t="str">
        <f t="shared" si="31"/>
        <v/>
      </c>
      <c r="AE503" s="59"/>
      <c r="AF503" s="59"/>
      <c r="AG503" s="59"/>
      <c r="AH503" s="59"/>
      <c r="AI503" s="59" t="s">
        <v>73</v>
      </c>
      <c r="AJ503" s="59"/>
      <c r="AK503" s="59" t="s">
        <v>73</v>
      </c>
      <c r="AL503" s="59"/>
      <c r="AM503" s="59" t="s">
        <v>73</v>
      </c>
      <c r="AN503" s="59"/>
      <c r="AO503" s="59" t="s">
        <v>73</v>
      </c>
      <c r="AP503" s="59"/>
      <c r="AQ503" s="59" t="s">
        <v>73</v>
      </c>
      <c r="AR503" s="59"/>
      <c r="AS503" s="59" t="s">
        <v>72</v>
      </c>
      <c r="AT503" s="59"/>
      <c r="AU503" s="59"/>
      <c r="AV503" s="59"/>
      <c r="AW503" s="59"/>
      <c r="AX503" s="59"/>
      <c r="AY503" s="60" t="str">
        <f>IF('Cálculo MP'!K513="","",'Cálculo MP'!K513)</f>
        <v/>
      </c>
      <c r="AZ503" s="60" t="str">
        <f>IF('Cálculo MP'!L513="","",'Cálculo MP'!L513)</f>
        <v/>
      </c>
      <c r="BA503" s="60" t="str">
        <f>IF('Cálculo MP'!M513="","",'Cálculo MP'!M513)</f>
        <v/>
      </c>
      <c r="BB503" s="60" t="str">
        <f>IF('Cálculo MP'!N513="","",'Cálculo MP'!N513)</f>
        <v/>
      </c>
      <c r="BC503" s="60" t="str">
        <f>IF('Cálculo MP'!O513="","",'Cálculo MP'!O513)</f>
        <v/>
      </c>
      <c r="BD503" s="60" t="str">
        <f>IF('Cálculo MP'!P513="","",'Cálculo MP'!P513)</f>
        <v/>
      </c>
      <c r="BE503" s="60" t="str">
        <f>IF('Cálculo MP'!Q513="","",'Cálculo MP'!Q513)</f>
        <v/>
      </c>
      <c r="BF503" s="60" t="str">
        <f>IF('Cálculo MP'!R513="","",'Cálculo MP'!R513)</f>
        <v/>
      </c>
      <c r="BG503" s="60" t="str">
        <f>IF('Cálculo MP'!S513="","",'Cálculo MP'!S513)</f>
        <v/>
      </c>
      <c r="BH503" s="59"/>
      <c r="BI503" s="59"/>
      <c r="BJ503" s="59"/>
      <c r="BK503" s="59"/>
      <c r="BL503" s="59"/>
      <c r="BM503" s="59"/>
      <c r="BN503" s="59"/>
      <c r="BO503" s="59"/>
    </row>
    <row r="504" spans="1:67" ht="19.5" customHeight="1" x14ac:dyDescent="0.15">
      <c r="A504" s="123" t="s">
        <v>1856</v>
      </c>
      <c r="B504" s="122" t="s">
        <v>1854</v>
      </c>
      <c r="C504" s="49"/>
      <c r="D504" s="48" t="s">
        <v>73</v>
      </c>
      <c r="E504" s="49"/>
      <c r="F504" s="50"/>
      <c r="G504" s="62"/>
      <c r="H504" s="48" t="s">
        <v>72</v>
      </c>
      <c r="I504" s="52">
        <v>1</v>
      </c>
      <c r="J504" s="52"/>
      <c r="K504" s="52" t="s">
        <v>73</v>
      </c>
      <c r="L504" s="52" t="s">
        <v>74</v>
      </c>
      <c r="M504" s="53" t="s">
        <v>942</v>
      </c>
      <c r="N504" s="58" t="s">
        <v>73</v>
      </c>
      <c r="O504" s="48" t="s">
        <v>72</v>
      </c>
      <c r="P504" s="48" t="s">
        <v>73</v>
      </c>
      <c r="Q504" s="54" t="s">
        <v>73</v>
      </c>
      <c r="R504" s="55" t="s">
        <v>73</v>
      </c>
      <c r="S504" s="48" t="s">
        <v>73</v>
      </c>
      <c r="T504" s="130"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8" t="str" cm="1">
        <f t="array" ref="U504">IF(SUMPRODUCT(--((CAT_Procesos!$E$2:$E$1581=O504)*(CAT_Procesos!$F$2:$F$1581=_xlfn.TEXTJOIN(" + ",TRUE,IF((TRIM(P504:S504)="")+(LOWER(TRIM(P504:S504))="(seleccione)"),"",PROPER(TRIM(P504:S504)))))*(CAT_Procesos!$D$2:$D$1581=IFERROR(VLOOKUP(N504&amp;"*",CAT_Procesos!$D:$D,1,FALSE),""))))=0,"Combinación no existente",IF(SUMPRODUCT(((CAT_Procesos!$E$2:$E$1581=O504)*(CAT_Procesos!$F$2:$F$1581=_xlfn.TEXTJOIN(" + ",TRUE,IF((TRIM(P504:S504)="")+(LOWER(TRIM(P504:S504))="(seleccione)"),"",PROPER(TRIM(P504:S504)))))*(CAT_Procesos!$D$2:$D$1581=IFERROR(VLOOKUP(N504&amp;"*",CAT_Procesos!$D:$D,1,FALSE),"")))*(CAT_Procesos!$G$2:$G$1581=INDEX(CAT_Procesos!$G$2:$G$1581,MATCH(1,(CAT_Procesos!$E$2:$E$1581=O504)*(CAT_Procesos!$F$2:$F$1581=_xlfn.TEXTJOIN(" + ",TRUE,IF((TRIM(P504:S504)="")+(LOWER(TRIM(P504:S504))="(seleccione)"),"",PROPER(TRIM(P504:S504)))))*(CAT_Procesos!$D$2:$D$1581=IFERROR(VLOOKUP(N504&amp;"*",CAT_Procesos!$D:$D,1,FALSE),"")),0))))=SUMPRODUCT(--((CAT_Procesos!$E$2:$E$1581=O504)*(CAT_Procesos!$F$2:$F$1581=_xlfn.TEXTJOIN(" + ",TRUE,IF((TRIM(P504:S504)="")+(LOWER(TRIM(P504:S504))="(seleccione)"),"",PROPER(TRIM(P504:S504)))))*(CAT_Procesos!$D$2:$D$1581=IFERROR(VLOOKUP(N504&amp;"*",CAT_Procesos!$D:$D,1,FALSE),"")))),INDEX(CAT_Procesos!$G$2:$G$1581,MATCH(1,(CAT_Procesos!$E$2:$E$1581=O504)*(CAT_Procesos!$F$2:$F$1581=_xlfn.TEXTJOIN(" + ",TRUE,IF((TRIM(P504:S504)="")+(LOWER(TRIM(P504:S504))="(seleccione)"),"",PROPER(TRIM(P504:S504)))))*(CAT_Procesos!$D$2:$D$1581=IFERROR(VLOOKUP(N504&amp;"*",CAT_Procesos!$D:$D,1,FALSE),"")),0)),"(seleccione)"))</f>
        <v>Combinación no existente</v>
      </c>
      <c r="V504" s="55" t="s">
        <v>73</v>
      </c>
      <c r="W504" s="56" t="s">
        <v>73</v>
      </c>
      <c r="X504" s="57" t="str">
        <f t="shared" si="28"/>
        <v/>
      </c>
      <c r="Y504" s="58" t="s">
        <v>73</v>
      </c>
      <c r="Z504" s="57" t="str">
        <f t="shared" si="29"/>
        <v/>
      </c>
      <c r="AA504" s="58" t="s">
        <v>73</v>
      </c>
      <c r="AB504" s="57" t="str">
        <f t="shared" si="30"/>
        <v/>
      </c>
      <c r="AC504" s="58" t="s">
        <v>73</v>
      </c>
      <c r="AD504" s="57" t="str">
        <f t="shared" si="31"/>
        <v/>
      </c>
      <c r="AE504" s="59"/>
      <c r="AF504" s="59"/>
      <c r="AG504" s="59"/>
      <c r="AH504" s="59"/>
      <c r="AI504" s="59" t="s">
        <v>73</v>
      </c>
      <c r="AJ504" s="59"/>
      <c r="AK504" s="59" t="s">
        <v>73</v>
      </c>
      <c r="AL504" s="59"/>
      <c r="AM504" s="59" t="s">
        <v>73</v>
      </c>
      <c r="AN504" s="59"/>
      <c r="AO504" s="59" t="s">
        <v>73</v>
      </c>
      <c r="AP504" s="59"/>
      <c r="AQ504" s="59" t="s">
        <v>73</v>
      </c>
      <c r="AR504" s="59"/>
      <c r="AS504" s="59" t="s">
        <v>72</v>
      </c>
      <c r="AT504" s="59"/>
      <c r="AU504" s="59"/>
      <c r="AV504" s="59"/>
      <c r="AW504" s="59"/>
      <c r="AX504" s="59"/>
      <c r="AY504" s="60" t="str">
        <f>IF('Cálculo MP'!K514="","",'Cálculo MP'!K514)</f>
        <v/>
      </c>
      <c r="AZ504" s="60" t="str">
        <f>IF('Cálculo MP'!L514="","",'Cálculo MP'!L514)</f>
        <v/>
      </c>
      <c r="BA504" s="60" t="str">
        <f>IF('Cálculo MP'!M514="","",'Cálculo MP'!M514)</f>
        <v/>
      </c>
      <c r="BB504" s="60" t="str">
        <f>IF('Cálculo MP'!N514="","",'Cálculo MP'!N514)</f>
        <v/>
      </c>
      <c r="BC504" s="60" t="str">
        <f>IF('Cálculo MP'!O514="","",'Cálculo MP'!O514)</f>
        <v/>
      </c>
      <c r="BD504" s="60" t="str">
        <f>IF('Cálculo MP'!P514="","",'Cálculo MP'!P514)</f>
        <v/>
      </c>
      <c r="BE504" s="60" t="str">
        <f>IF('Cálculo MP'!Q514="","",'Cálculo MP'!Q514)</f>
        <v/>
      </c>
      <c r="BF504" s="60" t="str">
        <f>IF('Cálculo MP'!R514="","",'Cálculo MP'!R514)</f>
        <v/>
      </c>
      <c r="BG504" s="60" t="str">
        <f>IF('Cálculo MP'!S514="","",'Cálculo MP'!S514)</f>
        <v/>
      </c>
      <c r="BH504" s="59"/>
      <c r="BI504" s="59"/>
      <c r="BJ504" s="59"/>
      <c r="BK504" s="59"/>
      <c r="BL504" s="59"/>
      <c r="BM504" s="59"/>
      <c r="BN504" s="59"/>
      <c r="BO504" s="59"/>
    </row>
    <row r="505" spans="1:67" ht="19.5" customHeight="1" x14ac:dyDescent="0.15">
      <c r="A505" s="123" t="s">
        <v>1856</v>
      </c>
      <c r="B505" s="122" t="s">
        <v>1854</v>
      </c>
      <c r="C505" s="49"/>
      <c r="D505" s="48" t="s">
        <v>73</v>
      </c>
      <c r="E505" s="49"/>
      <c r="F505" s="50"/>
      <c r="G505" s="62"/>
      <c r="H505" s="48" t="s">
        <v>72</v>
      </c>
      <c r="I505" s="52">
        <v>1</v>
      </c>
      <c r="J505" s="52"/>
      <c r="K505" s="52" t="s">
        <v>73</v>
      </c>
      <c r="L505" s="52" t="s">
        <v>74</v>
      </c>
      <c r="M505" s="53" t="s">
        <v>942</v>
      </c>
      <c r="N505" s="58" t="s">
        <v>73</v>
      </c>
      <c r="O505" s="48" t="s">
        <v>72</v>
      </c>
      <c r="P505" s="48" t="s">
        <v>73</v>
      </c>
      <c r="Q505" s="54" t="s">
        <v>73</v>
      </c>
      <c r="R505" s="55" t="s">
        <v>73</v>
      </c>
      <c r="S505" s="48" t="s">
        <v>73</v>
      </c>
      <c r="T505" s="130"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8" t="str" cm="1">
        <f t="array" ref="U505">IF(SUMPRODUCT(--((CAT_Procesos!$E$2:$E$1581=O505)*(CAT_Procesos!$F$2:$F$1581=_xlfn.TEXTJOIN(" + ",TRUE,IF((TRIM(P505:S505)="")+(LOWER(TRIM(P505:S505))="(seleccione)"),"",PROPER(TRIM(P505:S505)))))*(CAT_Procesos!$D$2:$D$1581=IFERROR(VLOOKUP(N505&amp;"*",CAT_Procesos!$D:$D,1,FALSE),""))))=0,"Combinación no existente",IF(SUMPRODUCT(((CAT_Procesos!$E$2:$E$1581=O505)*(CAT_Procesos!$F$2:$F$1581=_xlfn.TEXTJOIN(" + ",TRUE,IF((TRIM(P505:S505)="")+(LOWER(TRIM(P505:S505))="(seleccione)"),"",PROPER(TRIM(P505:S505)))))*(CAT_Procesos!$D$2:$D$1581=IFERROR(VLOOKUP(N505&amp;"*",CAT_Procesos!$D:$D,1,FALSE),"")))*(CAT_Procesos!$G$2:$G$1581=INDEX(CAT_Procesos!$G$2:$G$1581,MATCH(1,(CAT_Procesos!$E$2:$E$1581=O505)*(CAT_Procesos!$F$2:$F$1581=_xlfn.TEXTJOIN(" + ",TRUE,IF((TRIM(P505:S505)="")+(LOWER(TRIM(P505:S505))="(seleccione)"),"",PROPER(TRIM(P505:S505)))))*(CAT_Procesos!$D$2:$D$1581=IFERROR(VLOOKUP(N505&amp;"*",CAT_Procesos!$D:$D,1,FALSE),"")),0))))=SUMPRODUCT(--((CAT_Procesos!$E$2:$E$1581=O505)*(CAT_Procesos!$F$2:$F$1581=_xlfn.TEXTJOIN(" + ",TRUE,IF((TRIM(P505:S505)="")+(LOWER(TRIM(P505:S505))="(seleccione)"),"",PROPER(TRIM(P505:S505)))))*(CAT_Procesos!$D$2:$D$1581=IFERROR(VLOOKUP(N505&amp;"*",CAT_Procesos!$D:$D,1,FALSE),"")))),INDEX(CAT_Procesos!$G$2:$G$1581,MATCH(1,(CAT_Procesos!$E$2:$E$1581=O505)*(CAT_Procesos!$F$2:$F$1581=_xlfn.TEXTJOIN(" + ",TRUE,IF((TRIM(P505:S505)="")+(LOWER(TRIM(P505:S505))="(seleccione)"),"",PROPER(TRIM(P505:S505)))))*(CAT_Procesos!$D$2:$D$1581=IFERROR(VLOOKUP(N505&amp;"*",CAT_Procesos!$D:$D,1,FALSE),"")),0)),"(seleccione)"))</f>
        <v>Combinación no existente</v>
      </c>
      <c r="V505" s="55" t="s">
        <v>73</v>
      </c>
      <c r="W505" s="56" t="s">
        <v>73</v>
      </c>
      <c r="X505" s="57" t="str">
        <f t="shared" si="28"/>
        <v/>
      </c>
      <c r="Y505" s="58" t="s">
        <v>73</v>
      </c>
      <c r="Z505" s="57" t="str">
        <f t="shared" si="29"/>
        <v/>
      </c>
      <c r="AA505" s="58" t="s">
        <v>73</v>
      </c>
      <c r="AB505" s="57" t="str">
        <f t="shared" si="30"/>
        <v/>
      </c>
      <c r="AC505" s="58" t="s">
        <v>73</v>
      </c>
      <c r="AD505" s="57" t="str">
        <f t="shared" si="31"/>
        <v/>
      </c>
      <c r="AE505" s="59"/>
      <c r="AF505" s="59"/>
      <c r="AG505" s="59"/>
      <c r="AH505" s="59"/>
      <c r="AI505" s="59" t="s">
        <v>73</v>
      </c>
      <c r="AJ505" s="59"/>
      <c r="AK505" s="59" t="s">
        <v>73</v>
      </c>
      <c r="AL505" s="59"/>
      <c r="AM505" s="59" t="s">
        <v>73</v>
      </c>
      <c r="AN505" s="59"/>
      <c r="AO505" s="59" t="s">
        <v>73</v>
      </c>
      <c r="AP505" s="59"/>
      <c r="AQ505" s="59" t="s">
        <v>73</v>
      </c>
      <c r="AR505" s="59"/>
      <c r="AS505" s="59" t="s">
        <v>72</v>
      </c>
      <c r="AT505" s="59"/>
      <c r="AU505" s="59"/>
      <c r="AV505" s="59"/>
      <c r="AW505" s="59"/>
      <c r="AX505" s="59"/>
      <c r="AY505" s="60" t="str">
        <f>IF('Cálculo MP'!K515="","",'Cálculo MP'!K515)</f>
        <v/>
      </c>
      <c r="AZ505" s="60" t="str">
        <f>IF('Cálculo MP'!L515="","",'Cálculo MP'!L515)</f>
        <v/>
      </c>
      <c r="BA505" s="60" t="str">
        <f>IF('Cálculo MP'!M515="","",'Cálculo MP'!M515)</f>
        <v/>
      </c>
      <c r="BB505" s="60" t="str">
        <f>IF('Cálculo MP'!N515="","",'Cálculo MP'!N515)</f>
        <v/>
      </c>
      <c r="BC505" s="60" t="str">
        <f>IF('Cálculo MP'!O515="","",'Cálculo MP'!O515)</f>
        <v/>
      </c>
      <c r="BD505" s="60" t="str">
        <f>IF('Cálculo MP'!P515="","",'Cálculo MP'!P515)</f>
        <v/>
      </c>
      <c r="BE505" s="60" t="str">
        <f>IF('Cálculo MP'!Q515="","",'Cálculo MP'!Q515)</f>
        <v/>
      </c>
      <c r="BF505" s="60" t="str">
        <f>IF('Cálculo MP'!R515="","",'Cálculo MP'!R515)</f>
        <v/>
      </c>
      <c r="BG505" s="60" t="str">
        <f>IF('Cálculo MP'!S515="","",'Cálculo MP'!S515)</f>
        <v/>
      </c>
      <c r="BH505" s="59"/>
      <c r="BI505" s="59"/>
      <c r="BJ505" s="59"/>
      <c r="BK505" s="59"/>
      <c r="BL505" s="59"/>
      <c r="BM505" s="59"/>
      <c r="BN505" s="59"/>
      <c r="BO505" s="59"/>
    </row>
    <row r="506" spans="1:67" ht="19.5" customHeight="1" x14ac:dyDescent="0.15">
      <c r="A506" s="123" t="s">
        <v>1856</v>
      </c>
      <c r="B506" s="122" t="s">
        <v>1854</v>
      </c>
      <c r="C506" s="49"/>
      <c r="D506" s="48" t="s">
        <v>73</v>
      </c>
      <c r="E506" s="49"/>
      <c r="F506" s="50"/>
      <c r="G506" s="62"/>
      <c r="H506" s="48" t="s">
        <v>72</v>
      </c>
      <c r="I506" s="52">
        <v>1</v>
      </c>
      <c r="J506" s="52"/>
      <c r="K506" s="52" t="s">
        <v>73</v>
      </c>
      <c r="L506" s="52" t="s">
        <v>74</v>
      </c>
      <c r="M506" s="53" t="s">
        <v>942</v>
      </c>
      <c r="N506" s="58" t="s">
        <v>73</v>
      </c>
      <c r="O506" s="48" t="s">
        <v>72</v>
      </c>
      <c r="P506" s="48" t="s">
        <v>73</v>
      </c>
      <c r="Q506" s="54" t="s">
        <v>73</v>
      </c>
      <c r="R506" s="55" t="s">
        <v>73</v>
      </c>
      <c r="S506" s="48" t="s">
        <v>73</v>
      </c>
      <c r="T506" s="130"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8" t="str" cm="1">
        <f t="array" ref="U506">IF(SUMPRODUCT(--((CAT_Procesos!$E$2:$E$1581=O506)*(CAT_Procesos!$F$2:$F$1581=_xlfn.TEXTJOIN(" + ",TRUE,IF((TRIM(P506:S506)="")+(LOWER(TRIM(P506:S506))="(seleccione)"),"",PROPER(TRIM(P506:S506)))))*(CAT_Procesos!$D$2:$D$1581=IFERROR(VLOOKUP(N506&amp;"*",CAT_Procesos!$D:$D,1,FALSE),""))))=0,"Combinación no existente",IF(SUMPRODUCT(((CAT_Procesos!$E$2:$E$1581=O506)*(CAT_Procesos!$F$2:$F$1581=_xlfn.TEXTJOIN(" + ",TRUE,IF((TRIM(P506:S506)="")+(LOWER(TRIM(P506:S506))="(seleccione)"),"",PROPER(TRIM(P506:S506)))))*(CAT_Procesos!$D$2:$D$1581=IFERROR(VLOOKUP(N506&amp;"*",CAT_Procesos!$D:$D,1,FALSE),"")))*(CAT_Procesos!$G$2:$G$1581=INDEX(CAT_Procesos!$G$2:$G$1581,MATCH(1,(CAT_Procesos!$E$2:$E$1581=O506)*(CAT_Procesos!$F$2:$F$1581=_xlfn.TEXTJOIN(" + ",TRUE,IF((TRIM(P506:S506)="")+(LOWER(TRIM(P506:S506))="(seleccione)"),"",PROPER(TRIM(P506:S506)))))*(CAT_Procesos!$D$2:$D$1581=IFERROR(VLOOKUP(N506&amp;"*",CAT_Procesos!$D:$D,1,FALSE),"")),0))))=SUMPRODUCT(--((CAT_Procesos!$E$2:$E$1581=O506)*(CAT_Procesos!$F$2:$F$1581=_xlfn.TEXTJOIN(" + ",TRUE,IF((TRIM(P506:S506)="")+(LOWER(TRIM(P506:S506))="(seleccione)"),"",PROPER(TRIM(P506:S506)))))*(CAT_Procesos!$D$2:$D$1581=IFERROR(VLOOKUP(N506&amp;"*",CAT_Procesos!$D:$D,1,FALSE),"")))),INDEX(CAT_Procesos!$G$2:$G$1581,MATCH(1,(CAT_Procesos!$E$2:$E$1581=O506)*(CAT_Procesos!$F$2:$F$1581=_xlfn.TEXTJOIN(" + ",TRUE,IF((TRIM(P506:S506)="")+(LOWER(TRIM(P506:S506))="(seleccione)"),"",PROPER(TRIM(P506:S506)))))*(CAT_Procesos!$D$2:$D$1581=IFERROR(VLOOKUP(N506&amp;"*",CAT_Procesos!$D:$D,1,FALSE),"")),0)),"(seleccione)"))</f>
        <v>Combinación no existente</v>
      </c>
      <c r="V506" s="55" t="s">
        <v>73</v>
      </c>
      <c r="W506" s="56" t="s">
        <v>73</v>
      </c>
      <c r="X506" s="57" t="str">
        <f t="shared" si="28"/>
        <v/>
      </c>
      <c r="Y506" s="58" t="s">
        <v>73</v>
      </c>
      <c r="Z506" s="57" t="str">
        <f t="shared" si="29"/>
        <v/>
      </c>
      <c r="AA506" s="58" t="s">
        <v>73</v>
      </c>
      <c r="AB506" s="57" t="str">
        <f t="shared" si="30"/>
        <v/>
      </c>
      <c r="AC506" s="58" t="s">
        <v>73</v>
      </c>
      <c r="AD506" s="57" t="str">
        <f t="shared" si="31"/>
        <v/>
      </c>
      <c r="AE506" s="59"/>
      <c r="AF506" s="59"/>
      <c r="AG506" s="59"/>
      <c r="AH506" s="59"/>
      <c r="AI506" s="59" t="s">
        <v>73</v>
      </c>
      <c r="AJ506" s="59"/>
      <c r="AK506" s="59" t="s">
        <v>73</v>
      </c>
      <c r="AL506" s="59"/>
      <c r="AM506" s="59" t="s">
        <v>73</v>
      </c>
      <c r="AN506" s="59"/>
      <c r="AO506" s="59" t="s">
        <v>73</v>
      </c>
      <c r="AP506" s="59"/>
      <c r="AQ506" s="59" t="s">
        <v>73</v>
      </c>
      <c r="AR506" s="59"/>
      <c r="AS506" s="59" t="s">
        <v>72</v>
      </c>
      <c r="AT506" s="59"/>
      <c r="AU506" s="59"/>
      <c r="AV506" s="59"/>
      <c r="AW506" s="59"/>
      <c r="AX506" s="59"/>
      <c r="AY506" s="60" t="str">
        <f>IF('Cálculo MP'!K516="","",'Cálculo MP'!K516)</f>
        <v/>
      </c>
      <c r="AZ506" s="60" t="str">
        <f>IF('Cálculo MP'!L516="","",'Cálculo MP'!L516)</f>
        <v/>
      </c>
      <c r="BA506" s="60" t="str">
        <f>IF('Cálculo MP'!M516="","",'Cálculo MP'!M516)</f>
        <v/>
      </c>
      <c r="BB506" s="60" t="str">
        <f>IF('Cálculo MP'!N516="","",'Cálculo MP'!N516)</f>
        <v/>
      </c>
      <c r="BC506" s="60" t="str">
        <f>IF('Cálculo MP'!O516="","",'Cálculo MP'!O516)</f>
        <v/>
      </c>
      <c r="BD506" s="60" t="str">
        <f>IF('Cálculo MP'!P516="","",'Cálculo MP'!P516)</f>
        <v/>
      </c>
      <c r="BE506" s="60" t="str">
        <f>IF('Cálculo MP'!Q516="","",'Cálculo MP'!Q516)</f>
        <v/>
      </c>
      <c r="BF506" s="60" t="str">
        <f>IF('Cálculo MP'!R516="","",'Cálculo MP'!R516)</f>
        <v/>
      </c>
      <c r="BG506" s="60" t="str">
        <f>IF('Cálculo MP'!S516="","",'Cálculo MP'!S516)</f>
        <v/>
      </c>
      <c r="BH506" s="59"/>
      <c r="BI506" s="59"/>
      <c r="BJ506" s="59"/>
      <c r="BK506" s="59"/>
      <c r="BL506" s="59"/>
      <c r="BM506" s="59"/>
      <c r="BN506" s="59"/>
      <c r="BO506" s="59"/>
    </row>
    <row r="507" spans="1:67" ht="19.5" customHeight="1" x14ac:dyDescent="0.15">
      <c r="A507" s="123" t="s">
        <v>1856</v>
      </c>
      <c r="B507" s="122" t="s">
        <v>1854</v>
      </c>
      <c r="C507" s="49"/>
      <c r="D507" s="48" t="s">
        <v>73</v>
      </c>
      <c r="E507" s="49"/>
      <c r="F507" s="50"/>
      <c r="G507" s="62"/>
      <c r="H507" s="48" t="s">
        <v>72</v>
      </c>
      <c r="I507" s="52">
        <v>1</v>
      </c>
      <c r="J507" s="52"/>
      <c r="K507" s="52" t="s">
        <v>73</v>
      </c>
      <c r="L507" s="52" t="s">
        <v>74</v>
      </c>
      <c r="M507" s="53" t="s">
        <v>942</v>
      </c>
      <c r="N507" s="58" t="s">
        <v>73</v>
      </c>
      <c r="O507" s="48" t="s">
        <v>72</v>
      </c>
      <c r="P507" s="48" t="s">
        <v>73</v>
      </c>
      <c r="Q507" s="54" t="s">
        <v>73</v>
      </c>
      <c r="R507" s="55" t="s">
        <v>73</v>
      </c>
      <c r="S507" s="48" t="s">
        <v>73</v>
      </c>
      <c r="T507" s="130"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8" t="str" cm="1">
        <f t="array" ref="U507">IF(SUMPRODUCT(--((CAT_Procesos!$E$2:$E$1581=O507)*(CAT_Procesos!$F$2:$F$1581=_xlfn.TEXTJOIN(" + ",TRUE,IF((TRIM(P507:S507)="")+(LOWER(TRIM(P507:S507))="(seleccione)"),"",PROPER(TRIM(P507:S507)))))*(CAT_Procesos!$D$2:$D$1581=IFERROR(VLOOKUP(N507&amp;"*",CAT_Procesos!$D:$D,1,FALSE),""))))=0,"Combinación no existente",IF(SUMPRODUCT(((CAT_Procesos!$E$2:$E$1581=O507)*(CAT_Procesos!$F$2:$F$1581=_xlfn.TEXTJOIN(" + ",TRUE,IF((TRIM(P507:S507)="")+(LOWER(TRIM(P507:S507))="(seleccione)"),"",PROPER(TRIM(P507:S507)))))*(CAT_Procesos!$D$2:$D$1581=IFERROR(VLOOKUP(N507&amp;"*",CAT_Procesos!$D:$D,1,FALSE),"")))*(CAT_Procesos!$G$2:$G$1581=INDEX(CAT_Procesos!$G$2:$G$1581,MATCH(1,(CAT_Procesos!$E$2:$E$1581=O507)*(CAT_Procesos!$F$2:$F$1581=_xlfn.TEXTJOIN(" + ",TRUE,IF((TRIM(P507:S507)="")+(LOWER(TRIM(P507:S507))="(seleccione)"),"",PROPER(TRIM(P507:S507)))))*(CAT_Procesos!$D$2:$D$1581=IFERROR(VLOOKUP(N507&amp;"*",CAT_Procesos!$D:$D,1,FALSE),"")),0))))=SUMPRODUCT(--((CAT_Procesos!$E$2:$E$1581=O507)*(CAT_Procesos!$F$2:$F$1581=_xlfn.TEXTJOIN(" + ",TRUE,IF((TRIM(P507:S507)="")+(LOWER(TRIM(P507:S507))="(seleccione)"),"",PROPER(TRIM(P507:S507)))))*(CAT_Procesos!$D$2:$D$1581=IFERROR(VLOOKUP(N507&amp;"*",CAT_Procesos!$D:$D,1,FALSE),"")))),INDEX(CAT_Procesos!$G$2:$G$1581,MATCH(1,(CAT_Procesos!$E$2:$E$1581=O507)*(CAT_Procesos!$F$2:$F$1581=_xlfn.TEXTJOIN(" + ",TRUE,IF((TRIM(P507:S507)="")+(LOWER(TRIM(P507:S507))="(seleccione)"),"",PROPER(TRIM(P507:S507)))))*(CAT_Procesos!$D$2:$D$1581=IFERROR(VLOOKUP(N507&amp;"*",CAT_Procesos!$D:$D,1,FALSE),"")),0)),"(seleccione)"))</f>
        <v>Combinación no existente</v>
      </c>
      <c r="V507" s="55" t="s">
        <v>73</v>
      </c>
      <c r="W507" s="56" t="s">
        <v>73</v>
      </c>
      <c r="X507" s="57" t="str">
        <f t="shared" si="28"/>
        <v/>
      </c>
      <c r="Y507" s="58" t="s">
        <v>73</v>
      </c>
      <c r="Z507" s="57" t="str">
        <f t="shared" si="29"/>
        <v/>
      </c>
      <c r="AA507" s="58" t="s">
        <v>73</v>
      </c>
      <c r="AB507" s="57" t="str">
        <f t="shared" si="30"/>
        <v/>
      </c>
      <c r="AC507" s="58" t="s">
        <v>73</v>
      </c>
      <c r="AD507" s="57" t="str">
        <f t="shared" si="31"/>
        <v/>
      </c>
      <c r="AE507" s="59"/>
      <c r="AF507" s="59"/>
      <c r="AG507" s="59"/>
      <c r="AH507" s="59"/>
      <c r="AI507" s="59" t="s">
        <v>73</v>
      </c>
      <c r="AJ507" s="59"/>
      <c r="AK507" s="59" t="s">
        <v>73</v>
      </c>
      <c r="AL507" s="59"/>
      <c r="AM507" s="59" t="s">
        <v>73</v>
      </c>
      <c r="AN507" s="59"/>
      <c r="AO507" s="59" t="s">
        <v>73</v>
      </c>
      <c r="AP507" s="59"/>
      <c r="AQ507" s="59" t="s">
        <v>73</v>
      </c>
      <c r="AR507" s="59"/>
      <c r="AS507" s="59" t="s">
        <v>72</v>
      </c>
      <c r="AT507" s="59"/>
      <c r="AU507" s="59"/>
      <c r="AV507" s="59"/>
      <c r="AW507" s="59"/>
      <c r="AX507" s="59"/>
      <c r="AY507" s="60" t="str">
        <f>IF('Cálculo MP'!K517="","",'Cálculo MP'!K517)</f>
        <v/>
      </c>
      <c r="AZ507" s="60" t="str">
        <f>IF('Cálculo MP'!L517="","",'Cálculo MP'!L517)</f>
        <v/>
      </c>
      <c r="BA507" s="60" t="str">
        <f>IF('Cálculo MP'!M517="","",'Cálculo MP'!M517)</f>
        <v/>
      </c>
      <c r="BB507" s="60" t="str">
        <f>IF('Cálculo MP'!N517="","",'Cálculo MP'!N517)</f>
        <v/>
      </c>
      <c r="BC507" s="60" t="str">
        <f>IF('Cálculo MP'!O517="","",'Cálculo MP'!O517)</f>
        <v/>
      </c>
      <c r="BD507" s="60" t="str">
        <f>IF('Cálculo MP'!P517="","",'Cálculo MP'!P517)</f>
        <v/>
      </c>
      <c r="BE507" s="60" t="str">
        <f>IF('Cálculo MP'!Q517="","",'Cálculo MP'!Q517)</f>
        <v/>
      </c>
      <c r="BF507" s="60" t="str">
        <f>IF('Cálculo MP'!R517="","",'Cálculo MP'!R517)</f>
        <v/>
      </c>
      <c r="BG507" s="60" t="str">
        <f>IF('Cálculo MP'!S517="","",'Cálculo MP'!S517)</f>
        <v/>
      </c>
      <c r="BH507" s="59"/>
      <c r="BI507" s="59"/>
      <c r="BJ507" s="59"/>
      <c r="BK507" s="59"/>
      <c r="BL507" s="59"/>
      <c r="BM507" s="59"/>
      <c r="BN507" s="59"/>
      <c r="BO507" s="59"/>
    </row>
    <row r="508" spans="1:67" ht="19.5" customHeight="1" x14ac:dyDescent="0.15">
      <c r="A508" s="123" t="s">
        <v>1856</v>
      </c>
      <c r="B508" s="122" t="s">
        <v>1854</v>
      </c>
      <c r="C508" s="49"/>
      <c r="D508" s="48" t="s">
        <v>73</v>
      </c>
      <c r="E508" s="49"/>
      <c r="F508" s="50"/>
      <c r="G508" s="62"/>
      <c r="H508" s="48" t="s">
        <v>72</v>
      </c>
      <c r="I508" s="52">
        <v>1</v>
      </c>
      <c r="J508" s="52"/>
      <c r="K508" s="52" t="s">
        <v>73</v>
      </c>
      <c r="L508" s="52" t="s">
        <v>74</v>
      </c>
      <c r="M508" s="53" t="s">
        <v>942</v>
      </c>
      <c r="N508" s="58" t="s">
        <v>73</v>
      </c>
      <c r="O508" s="48" t="s">
        <v>72</v>
      </c>
      <c r="P508" s="48" t="s">
        <v>73</v>
      </c>
      <c r="Q508" s="54" t="s">
        <v>73</v>
      </c>
      <c r="R508" s="55" t="s">
        <v>73</v>
      </c>
      <c r="S508" s="48" t="s">
        <v>73</v>
      </c>
      <c r="T508" s="130"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8" t="str" cm="1">
        <f t="array" ref="U508">IF(SUMPRODUCT(--((CAT_Procesos!$E$2:$E$1581=O508)*(CAT_Procesos!$F$2:$F$1581=_xlfn.TEXTJOIN(" + ",TRUE,IF((TRIM(P508:S508)="")+(LOWER(TRIM(P508:S508))="(seleccione)"),"",PROPER(TRIM(P508:S508)))))*(CAT_Procesos!$D$2:$D$1581=IFERROR(VLOOKUP(N508&amp;"*",CAT_Procesos!$D:$D,1,FALSE),""))))=0,"Combinación no existente",IF(SUMPRODUCT(((CAT_Procesos!$E$2:$E$1581=O508)*(CAT_Procesos!$F$2:$F$1581=_xlfn.TEXTJOIN(" + ",TRUE,IF((TRIM(P508:S508)="")+(LOWER(TRIM(P508:S508))="(seleccione)"),"",PROPER(TRIM(P508:S508)))))*(CAT_Procesos!$D$2:$D$1581=IFERROR(VLOOKUP(N508&amp;"*",CAT_Procesos!$D:$D,1,FALSE),"")))*(CAT_Procesos!$G$2:$G$1581=INDEX(CAT_Procesos!$G$2:$G$1581,MATCH(1,(CAT_Procesos!$E$2:$E$1581=O508)*(CAT_Procesos!$F$2:$F$1581=_xlfn.TEXTJOIN(" + ",TRUE,IF((TRIM(P508:S508)="")+(LOWER(TRIM(P508:S508))="(seleccione)"),"",PROPER(TRIM(P508:S508)))))*(CAT_Procesos!$D$2:$D$1581=IFERROR(VLOOKUP(N508&amp;"*",CAT_Procesos!$D:$D,1,FALSE),"")),0))))=SUMPRODUCT(--((CAT_Procesos!$E$2:$E$1581=O508)*(CAT_Procesos!$F$2:$F$1581=_xlfn.TEXTJOIN(" + ",TRUE,IF((TRIM(P508:S508)="")+(LOWER(TRIM(P508:S508))="(seleccione)"),"",PROPER(TRIM(P508:S508)))))*(CAT_Procesos!$D$2:$D$1581=IFERROR(VLOOKUP(N508&amp;"*",CAT_Procesos!$D:$D,1,FALSE),"")))),INDEX(CAT_Procesos!$G$2:$G$1581,MATCH(1,(CAT_Procesos!$E$2:$E$1581=O508)*(CAT_Procesos!$F$2:$F$1581=_xlfn.TEXTJOIN(" + ",TRUE,IF((TRIM(P508:S508)="")+(LOWER(TRIM(P508:S508))="(seleccione)"),"",PROPER(TRIM(P508:S508)))))*(CAT_Procesos!$D$2:$D$1581=IFERROR(VLOOKUP(N508&amp;"*",CAT_Procesos!$D:$D,1,FALSE),"")),0)),"(seleccione)"))</f>
        <v>Combinación no existente</v>
      </c>
      <c r="V508" s="55" t="s">
        <v>73</v>
      </c>
      <c r="W508" s="56" t="s">
        <v>73</v>
      </c>
      <c r="X508" s="57" t="str">
        <f t="shared" ref="X508" si="32">IFERROR(((VALUE(TRIM(LEFT(MID(W508,FIND("|",W508)+1,99),FIND("-",MID(W508,FIND("|",W508)+1,99))-1)))+VALUE(TRIM(SUBSTITUTE(SUBSTITUTE(SUBSTITUTE(SUBSTITUTE(SUBSTITUTE(MID(MID(W508,FIND("|",W508)+1,99),FIND("-",MID(W508,FIND("|",W508)+1,99))+1,20),"µm",""),"μm",""),"mils",""),"mil",""),"",""))))/2)*IF(ISNUMBER(SEARCH("mil",MID(W508,FIND("|",W508)+1,99))),25.4,1),"")</f>
        <v/>
      </c>
      <c r="Y508" s="58" t="s">
        <v>73</v>
      </c>
      <c r="Z508" s="57" t="str">
        <f t="shared" ref="Z508" si="33">IFERROR(((VALUE(TRIM(LEFT(MID(Y508,FIND("|",Y508)+1,99),FIND("-",MID(Y508,FIND("|",Y508)+1,99))-1)))+VALUE(TRIM(SUBSTITUTE(SUBSTITUTE(SUBSTITUTE(SUBSTITUTE(SUBSTITUTE(MID(MID(Y508,FIND("|",Y508)+1,99),FIND("-",MID(Y508,FIND("|",Y508)+1,99))+1,20),"µm",""),"μm",""),"mils",""),"mil",""),"",""))))/2)*IF(ISNUMBER(SEARCH("mil",MID(Y508,FIND("|",Y508)+1,99))),25.4,1),"")</f>
        <v/>
      </c>
      <c r="AA508" s="58" t="s">
        <v>73</v>
      </c>
      <c r="AB508" s="57" t="str">
        <f t="shared" ref="AB508" si="34">IFERROR(((VALUE(TRIM(LEFT(MID(AA508,FIND("|",AA508)+1,99),FIND("-",MID(AA508,FIND("|",AA508)+1,99))-1)))+VALUE(TRIM(SUBSTITUTE(SUBSTITUTE(SUBSTITUTE(SUBSTITUTE(SUBSTITUTE(MID(MID(AA508,FIND("|",AA508)+1,99),FIND("-",MID(AA508,FIND("|",AA508)+1,99))+1,20),"µm",""),"μm",""),"mils",""),"mil",""),"",""))))/2)*IF(ISNUMBER(SEARCH("mil",MID(AA508,FIND("|",AA508)+1,99))),25.4,1),"")</f>
        <v/>
      </c>
      <c r="AC508" s="58" t="s">
        <v>73</v>
      </c>
      <c r="AD508" s="57" t="str">
        <f t="shared" ref="AD508" si="35">IFERROR(((VALUE(TRIM(LEFT(MID(AC508,FIND("|",AC508)+1,99),FIND("-",MID(AC508,FIND("|",AC508)+1,99))-1)))+VALUE(TRIM(SUBSTITUTE(SUBSTITUTE(SUBSTITUTE(SUBSTITUTE(SUBSTITUTE(MID(MID(AC508,FIND("|",AC508)+1,99),FIND("-",MID(AC508,FIND("|",AC508)+1,99))+1,20),"µm",""),"μm",""),"mils",""),"mil",""),"",""))))/2)*IF(ISNUMBER(SEARCH("mil",MID(AC508,FIND("|",AC508)+1,99))),25.4,1),"")</f>
        <v/>
      </c>
      <c r="AE508" s="59"/>
      <c r="AF508" s="59"/>
      <c r="AG508" s="59"/>
      <c r="AH508" s="59"/>
      <c r="AI508" s="59" t="s">
        <v>73</v>
      </c>
      <c r="AJ508" s="59"/>
      <c r="AK508" s="59" t="s">
        <v>73</v>
      </c>
      <c r="AL508" s="59"/>
      <c r="AM508" s="59" t="s">
        <v>73</v>
      </c>
      <c r="AN508" s="59"/>
      <c r="AO508" s="59" t="s">
        <v>73</v>
      </c>
      <c r="AP508" s="59"/>
      <c r="AQ508" s="59" t="s">
        <v>73</v>
      </c>
      <c r="AR508" s="59"/>
      <c r="AS508" s="59" t="s">
        <v>72</v>
      </c>
      <c r="AT508" s="59"/>
      <c r="AU508" s="59"/>
      <c r="AV508" s="59"/>
      <c r="AW508" s="59"/>
      <c r="AX508" s="59"/>
      <c r="AY508" s="60" t="str">
        <f>IF('Cálculo MP'!K518="","",'Cálculo MP'!K518)</f>
        <v/>
      </c>
      <c r="AZ508" s="60" t="str">
        <f>IF('Cálculo MP'!L518="","",'Cálculo MP'!L518)</f>
        <v/>
      </c>
      <c r="BA508" s="60" t="str">
        <f>IF('Cálculo MP'!M518="","",'Cálculo MP'!M518)</f>
        <v/>
      </c>
      <c r="BB508" s="60" t="str">
        <f>IF('Cálculo MP'!N518="","",'Cálculo MP'!N518)</f>
        <v/>
      </c>
      <c r="BC508" s="60" t="str">
        <f>IF('Cálculo MP'!O518="","",'Cálculo MP'!O518)</f>
        <v/>
      </c>
      <c r="BD508" s="60" t="str">
        <f>IF('Cálculo MP'!P518="","",'Cálculo MP'!P518)</f>
        <v/>
      </c>
      <c r="BE508" s="60" t="str">
        <f>IF('Cálculo MP'!Q518="","",'Cálculo MP'!Q518)</f>
        <v/>
      </c>
      <c r="BF508" s="60" t="str">
        <f>IF('Cálculo MP'!R518="","",'Cálculo MP'!R518)</f>
        <v/>
      </c>
      <c r="BG508" s="60" t="str">
        <f>IF('Cálculo MP'!S518="","",'Cálculo MP'!S518)</f>
        <v/>
      </c>
      <c r="BH508" s="59"/>
      <c r="BI508" s="59"/>
      <c r="BJ508" s="59"/>
      <c r="BK508" s="59"/>
      <c r="BL508" s="59"/>
      <c r="BM508" s="59"/>
      <c r="BN508" s="59"/>
      <c r="BO508" s="59"/>
    </row>
  </sheetData>
  <mergeCells count="13">
    <mergeCell ref="BH6:BO6"/>
    <mergeCell ref="AY6:BG6"/>
    <mergeCell ref="J3:M4"/>
    <mergeCell ref="AS6:AX6"/>
    <mergeCell ref="W6:AD6"/>
    <mergeCell ref="AI6:AR6"/>
    <mergeCell ref="A2:H2"/>
    <mergeCell ref="Q3:S4"/>
    <mergeCell ref="AE6:AH6"/>
    <mergeCell ref="I6:M6"/>
    <mergeCell ref="C6:H6"/>
    <mergeCell ref="N6:T6"/>
    <mergeCell ref="A6:B6"/>
  </mergeCells>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Q9:S508 P10:P508</xm:sqref>
        </x14:dataValidation>
        <x14:dataValidation type="list" allowBlank="1" showInputMessage="1" showErrorMessage="1" xr:uid="{C3BB4041-3786-5F47-BC50-C8E25CD1E128}">
          <x14:formula1>
            <xm:f>OFFSET(Listas!$F$2,0,0,COUNTA(Listas!$F:$F)-1,1)</xm:f>
          </x14:formula1>
          <xm:sqref>AI9:AI508 AK9:AK508 AM9:AM508 AO9:AO508 AQ9:AQ508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AS9:AS508</xm:sqref>
        </x14:dataValidation>
        <x14:dataValidation type="list" allowBlank="1" showInputMessage="1" showErrorMessage="1" xr:uid="{242C2BD5-1EBE-BF4A-9CDB-5129D1952E34}">
          <x14:formula1>
            <xm:f>OFFSET(CAT_Specs!$G$2,0,0,COUNTA(CAT_Specs!$G:$G)-1,1)</xm:f>
          </x14:formula1>
          <xm:sqref>W9:W508 Y9:Y508 AA9:AA508 AC9:AC508</xm:sqref>
        </x14:dataValidation>
        <x14:dataValidation type="list" allowBlank="1" showInputMessage="1" showErrorMessage="1" xr:uid="{E7F7ECCC-49EC-3F42-9664-82FB93C48E46}">
          <x14:formula1>
            <xm:f>OFFSET(CAT_Procesos!$M$2,0,0,COUNTA(CAT_Procesos!$M:$M)-1,1)</xm:f>
          </x14:formula1>
          <xm:sqref>U9:U508</xm:sqref>
        </x14:dataValidation>
        <x14:dataValidation type="list" allowBlank="1" showInputMessage="1" showErrorMessage="1" xr:uid="{3E6F5B54-86F5-0741-8406-80C8D9724883}">
          <x14:formula1>
            <xm:f>OFFSET(CAT_Productos!$A2,0,0,COUNTA(CAT_Productos!$A:$A)-1,1)</xm:f>
          </x14:formula1>
          <xm:sqref>V9:V508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715"/>
  <sheetViews>
    <sheetView topLeftCell="B1" workbookViewId="0">
      <pane ySplit="1" topLeftCell="A2" activePane="bottomLeft" state="frozen"/>
      <selection pane="bottomLeft" activeCell="E22" sqref="E22"/>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76</v>
      </c>
      <c r="B1" s="6" t="s">
        <v>77</v>
      </c>
      <c r="C1" s="6" t="s">
        <v>78</v>
      </c>
      <c r="D1" s="6" t="s">
        <v>79</v>
      </c>
      <c r="E1" s="6" t="s">
        <v>80</v>
      </c>
      <c r="F1" s="6" t="s">
        <v>81</v>
      </c>
      <c r="G1" s="6" t="s">
        <v>82</v>
      </c>
      <c r="H1" s="6" t="s">
        <v>83</v>
      </c>
      <c r="I1" s="6" t="s">
        <v>84</v>
      </c>
      <c r="J1" s="6" t="s">
        <v>85</v>
      </c>
      <c r="K1" s="6" t="s">
        <v>86</v>
      </c>
      <c r="L1" s="6" t="s">
        <v>87</v>
      </c>
      <c r="M1" s="6" t="s">
        <v>88</v>
      </c>
      <c r="N1" s="6" t="s">
        <v>1415</v>
      </c>
    </row>
    <row r="2" spans="1:14" x14ac:dyDescent="0.2">
      <c r="A2" s="168" t="s">
        <v>73</v>
      </c>
      <c r="B2" s="168" t="s">
        <v>73</v>
      </c>
      <c r="C2" s="168" t="s">
        <v>73</v>
      </c>
      <c r="D2" s="168" t="s">
        <v>73</v>
      </c>
      <c r="E2" s="168" t="s">
        <v>73</v>
      </c>
      <c r="F2" s="168" t="s">
        <v>73</v>
      </c>
      <c r="G2" s="168" t="s">
        <v>73</v>
      </c>
      <c r="H2" s="168" t="s">
        <v>73</v>
      </c>
      <c r="I2" s="168" t="s">
        <v>72</v>
      </c>
      <c r="J2" s="168" t="s">
        <v>73</v>
      </c>
      <c r="K2" s="168" t="s">
        <v>73</v>
      </c>
      <c r="L2" s="168" t="s">
        <v>73</v>
      </c>
      <c r="M2" s="168" t="s">
        <v>72</v>
      </c>
      <c r="N2" s="168" t="s">
        <v>72</v>
      </c>
    </row>
    <row r="3" spans="1:14" x14ac:dyDescent="0.2">
      <c r="A3" s="168" t="s">
        <v>993</v>
      </c>
      <c r="B3" s="168" t="s">
        <v>993</v>
      </c>
      <c r="C3" s="168" t="s">
        <v>993</v>
      </c>
      <c r="D3" s="168" t="s">
        <v>993</v>
      </c>
      <c r="E3" s="168" t="s">
        <v>993</v>
      </c>
      <c r="F3" s="168" t="s">
        <v>993</v>
      </c>
      <c r="G3" s="168" t="s">
        <v>993</v>
      </c>
      <c r="H3" s="168" t="s">
        <v>993</v>
      </c>
      <c r="I3" s="168" t="s">
        <v>993</v>
      </c>
      <c r="J3" s="168" t="s">
        <v>993</v>
      </c>
      <c r="K3" s="168" t="s">
        <v>993</v>
      </c>
      <c r="L3" s="168" t="s">
        <v>993</v>
      </c>
      <c r="M3" s="168" t="s">
        <v>993</v>
      </c>
      <c r="N3" s="168" t="s">
        <v>993</v>
      </c>
    </row>
    <row r="4" spans="1:14" x14ac:dyDescent="0.2">
      <c r="A4" t="s">
        <v>998</v>
      </c>
      <c r="B4" t="s">
        <v>146</v>
      </c>
      <c r="C4" t="s">
        <v>90</v>
      </c>
      <c r="D4" t="s">
        <v>91</v>
      </c>
      <c r="E4" t="s">
        <v>1300</v>
      </c>
      <c r="F4" t="s">
        <v>92</v>
      </c>
      <c r="G4">
        <v>204</v>
      </c>
      <c r="H4" t="s">
        <v>75</v>
      </c>
      <c r="I4" t="s">
        <v>94</v>
      </c>
      <c r="J4" t="s">
        <v>958</v>
      </c>
      <c r="K4" t="s">
        <v>95</v>
      </c>
      <c r="L4" t="s">
        <v>96</v>
      </c>
      <c r="M4" t="s">
        <v>1396</v>
      </c>
      <c r="N4" t="s">
        <v>1412</v>
      </c>
    </row>
    <row r="5" spans="1:14" x14ac:dyDescent="0.2">
      <c r="A5" t="s">
        <v>999</v>
      </c>
      <c r="B5" t="s">
        <v>1834</v>
      </c>
      <c r="C5" t="s">
        <v>98</v>
      </c>
      <c r="D5" t="s">
        <v>99</v>
      </c>
      <c r="E5" t="s">
        <v>100</v>
      </c>
      <c r="F5" t="s">
        <v>101</v>
      </c>
      <c r="G5" t="s">
        <v>93</v>
      </c>
      <c r="H5" t="s">
        <v>102</v>
      </c>
      <c r="I5" t="s">
        <v>103</v>
      </c>
      <c r="J5" t="s">
        <v>959</v>
      </c>
      <c r="K5" t="s">
        <v>104</v>
      </c>
      <c r="L5" t="s">
        <v>105</v>
      </c>
      <c r="M5" t="s">
        <v>2040</v>
      </c>
      <c r="N5" t="s">
        <v>1407</v>
      </c>
    </row>
    <row r="6" spans="1:14" x14ac:dyDescent="0.2">
      <c r="A6" t="s">
        <v>1883</v>
      </c>
      <c r="B6" t="s">
        <v>1040</v>
      </c>
      <c r="C6" t="s">
        <v>107</v>
      </c>
      <c r="D6" t="s">
        <v>1288</v>
      </c>
      <c r="E6" t="s">
        <v>1301</v>
      </c>
      <c r="F6" t="s">
        <v>108</v>
      </c>
      <c r="G6" t="s">
        <v>92</v>
      </c>
      <c r="H6" t="s">
        <v>109</v>
      </c>
      <c r="I6" t="s">
        <v>110</v>
      </c>
      <c r="J6" t="s">
        <v>960</v>
      </c>
      <c r="K6" t="s">
        <v>111</v>
      </c>
      <c r="L6" t="s">
        <v>2203</v>
      </c>
      <c r="M6" t="s">
        <v>97</v>
      </c>
      <c r="N6" t="s">
        <v>1413</v>
      </c>
    </row>
    <row r="7" spans="1:14" x14ac:dyDescent="0.2">
      <c r="A7" t="s">
        <v>89</v>
      </c>
      <c r="B7" t="s">
        <v>1041</v>
      </c>
      <c r="C7" t="s">
        <v>955</v>
      </c>
      <c r="D7" t="s">
        <v>122</v>
      </c>
      <c r="E7" t="s">
        <v>1302</v>
      </c>
      <c r="F7" t="s">
        <v>115</v>
      </c>
      <c r="G7" t="s">
        <v>101</v>
      </c>
      <c r="H7" t="s">
        <v>116</v>
      </c>
      <c r="I7" t="s">
        <v>117</v>
      </c>
      <c r="J7" t="s">
        <v>961</v>
      </c>
      <c r="K7" t="s">
        <v>118</v>
      </c>
      <c r="L7" t="s">
        <v>112</v>
      </c>
      <c r="M7" t="s">
        <v>2212</v>
      </c>
      <c r="N7" t="s">
        <v>1402</v>
      </c>
    </row>
    <row r="8" spans="1:14" x14ac:dyDescent="0.2">
      <c r="A8" t="s">
        <v>1000</v>
      </c>
      <c r="B8" t="s">
        <v>1042</v>
      </c>
      <c r="C8" t="s">
        <v>121</v>
      </c>
      <c r="D8" t="s">
        <v>1905</v>
      </c>
      <c r="E8" t="s">
        <v>2258</v>
      </c>
      <c r="F8" t="s">
        <v>1376</v>
      </c>
      <c r="G8" t="s">
        <v>108</v>
      </c>
      <c r="H8" t="s">
        <v>125</v>
      </c>
      <c r="I8" t="s">
        <v>126</v>
      </c>
      <c r="J8" t="s">
        <v>962</v>
      </c>
      <c r="K8" t="s">
        <v>127</v>
      </c>
      <c r="L8" t="s">
        <v>119</v>
      </c>
      <c r="M8" t="s">
        <v>2041</v>
      </c>
      <c r="N8" t="s">
        <v>1411</v>
      </c>
    </row>
    <row r="9" spans="1:14" x14ac:dyDescent="0.2">
      <c r="A9" t="s">
        <v>2245</v>
      </c>
      <c r="B9" t="s">
        <v>1043</v>
      </c>
      <c r="C9" t="s">
        <v>130</v>
      </c>
      <c r="D9" t="s">
        <v>131</v>
      </c>
      <c r="E9" t="s">
        <v>1303</v>
      </c>
      <c r="F9" t="s">
        <v>123</v>
      </c>
      <c r="G9" t="s">
        <v>124</v>
      </c>
      <c r="H9" t="s">
        <v>134</v>
      </c>
      <c r="I9" t="s">
        <v>135</v>
      </c>
      <c r="J9" t="s">
        <v>963</v>
      </c>
      <c r="K9" t="s">
        <v>136</v>
      </c>
      <c r="L9" t="s">
        <v>128</v>
      </c>
      <c r="M9" t="s">
        <v>2042</v>
      </c>
      <c r="N9" t="s">
        <v>1414</v>
      </c>
    </row>
    <row r="10" spans="1:14" x14ac:dyDescent="0.2">
      <c r="A10" t="s">
        <v>1001</v>
      </c>
      <c r="B10" t="s">
        <v>1044</v>
      </c>
      <c r="C10" t="s">
        <v>138</v>
      </c>
      <c r="D10" t="s">
        <v>1906</v>
      </c>
      <c r="E10" t="s">
        <v>2259</v>
      </c>
      <c r="F10" t="s">
        <v>132</v>
      </c>
      <c r="G10" t="s">
        <v>133</v>
      </c>
      <c r="H10" t="s">
        <v>142</v>
      </c>
      <c r="I10" t="s">
        <v>97</v>
      </c>
      <c r="J10" t="s">
        <v>964</v>
      </c>
      <c r="K10" t="s">
        <v>143</v>
      </c>
      <c r="L10" t="s">
        <v>137</v>
      </c>
      <c r="M10" t="s">
        <v>1397</v>
      </c>
      <c r="N10" t="s">
        <v>1404</v>
      </c>
    </row>
    <row r="11" spans="1:14" x14ac:dyDescent="0.2">
      <c r="A11" t="s">
        <v>1002</v>
      </c>
      <c r="B11" t="s">
        <v>1045</v>
      </c>
      <c r="C11" t="s">
        <v>147</v>
      </c>
      <c r="D11" t="s">
        <v>1907</v>
      </c>
      <c r="E11" t="s">
        <v>2260</v>
      </c>
      <c r="F11" t="s">
        <v>1377</v>
      </c>
      <c r="G11" t="s">
        <v>141</v>
      </c>
      <c r="H11" t="s">
        <v>151</v>
      </c>
      <c r="I11" t="s">
        <v>990</v>
      </c>
      <c r="J11" t="s">
        <v>965</v>
      </c>
      <c r="K11" t="s">
        <v>152</v>
      </c>
      <c r="L11" t="s">
        <v>1946</v>
      </c>
      <c r="M11" t="s">
        <v>106</v>
      </c>
      <c r="N11" t="s">
        <v>1401</v>
      </c>
    </row>
    <row r="12" spans="1:14" x14ac:dyDescent="0.2">
      <c r="A12" t="s">
        <v>1003</v>
      </c>
      <c r="B12" t="s">
        <v>1046</v>
      </c>
      <c r="C12" t="s">
        <v>156</v>
      </c>
      <c r="D12" t="s">
        <v>1908</v>
      </c>
      <c r="E12" t="s">
        <v>2261</v>
      </c>
      <c r="F12" t="s">
        <v>140</v>
      </c>
      <c r="G12" t="s">
        <v>150</v>
      </c>
      <c r="H12" t="s">
        <v>159</v>
      </c>
      <c r="I12" t="s">
        <v>991</v>
      </c>
      <c r="J12" t="s">
        <v>966</v>
      </c>
      <c r="K12" t="s">
        <v>984</v>
      </c>
      <c r="L12" t="s">
        <v>153</v>
      </c>
      <c r="M12" t="s">
        <v>2213</v>
      </c>
      <c r="N12" t="s">
        <v>1405</v>
      </c>
    </row>
    <row r="13" spans="1:14" x14ac:dyDescent="0.2">
      <c r="A13" t="s">
        <v>1004</v>
      </c>
      <c r="B13" t="s">
        <v>1047</v>
      </c>
      <c r="C13" t="s">
        <v>164</v>
      </c>
      <c r="D13" t="s">
        <v>139</v>
      </c>
      <c r="E13" t="s">
        <v>1304</v>
      </c>
      <c r="F13" t="s">
        <v>149</v>
      </c>
      <c r="G13" t="s">
        <v>158</v>
      </c>
      <c r="H13" t="s">
        <v>989</v>
      </c>
      <c r="I13" t="s">
        <v>1378</v>
      </c>
      <c r="J13" t="s">
        <v>967</v>
      </c>
      <c r="K13" t="s">
        <v>160</v>
      </c>
      <c r="L13" t="s">
        <v>161</v>
      </c>
      <c r="M13" t="s">
        <v>113</v>
      </c>
      <c r="N13" t="s">
        <v>1409</v>
      </c>
    </row>
    <row r="14" spans="1:14" x14ac:dyDescent="0.2">
      <c r="A14" t="s">
        <v>1005</v>
      </c>
      <c r="B14" t="s">
        <v>1048</v>
      </c>
      <c r="C14" t="s">
        <v>169</v>
      </c>
      <c r="D14" t="s">
        <v>148</v>
      </c>
      <c r="E14" t="s">
        <v>1305</v>
      </c>
      <c r="F14" t="s">
        <v>157</v>
      </c>
      <c r="G14" t="s">
        <v>166</v>
      </c>
      <c r="J14" t="s">
        <v>968</v>
      </c>
      <c r="K14" t="s">
        <v>172</v>
      </c>
      <c r="L14" t="s">
        <v>167</v>
      </c>
      <c r="M14" t="s">
        <v>120</v>
      </c>
      <c r="N14" t="s">
        <v>2779</v>
      </c>
    </row>
    <row r="15" spans="1:14" x14ac:dyDescent="0.2">
      <c r="A15" t="s">
        <v>145</v>
      </c>
      <c r="B15" t="s">
        <v>1049</v>
      </c>
      <c r="C15" t="s">
        <v>177</v>
      </c>
      <c r="D15" t="s">
        <v>1798</v>
      </c>
      <c r="E15" t="s">
        <v>2262</v>
      </c>
      <c r="F15" t="s">
        <v>165</v>
      </c>
      <c r="G15" t="s">
        <v>171</v>
      </c>
      <c r="J15" t="s">
        <v>969</v>
      </c>
      <c r="K15" t="s">
        <v>985</v>
      </c>
      <c r="L15" t="s">
        <v>173</v>
      </c>
      <c r="M15" t="s">
        <v>129</v>
      </c>
      <c r="N15" t="s">
        <v>1403</v>
      </c>
    </row>
    <row r="16" spans="1:14" x14ac:dyDescent="0.2">
      <c r="A16" t="s">
        <v>947</v>
      </c>
      <c r="B16" t="s">
        <v>1050</v>
      </c>
      <c r="C16" t="s">
        <v>184</v>
      </c>
      <c r="D16" t="s">
        <v>1909</v>
      </c>
      <c r="E16" t="s">
        <v>1306</v>
      </c>
      <c r="F16" t="s">
        <v>170</v>
      </c>
      <c r="G16" t="s">
        <v>179</v>
      </c>
      <c r="J16" t="s">
        <v>970</v>
      </c>
      <c r="K16" t="s">
        <v>194</v>
      </c>
      <c r="L16" t="s">
        <v>180</v>
      </c>
      <c r="M16" t="s">
        <v>1924</v>
      </c>
      <c r="N16" t="s">
        <v>1406</v>
      </c>
    </row>
    <row r="17" spans="1:14" x14ac:dyDescent="0.2">
      <c r="A17" t="s">
        <v>155</v>
      </c>
      <c r="B17" t="s">
        <v>1051</v>
      </c>
      <c r="C17" t="s">
        <v>190</v>
      </c>
      <c r="D17" t="s">
        <v>94</v>
      </c>
      <c r="E17" t="s">
        <v>2083</v>
      </c>
      <c r="F17" t="s">
        <v>178</v>
      </c>
      <c r="G17" t="s">
        <v>186</v>
      </c>
      <c r="J17" t="s">
        <v>971</v>
      </c>
      <c r="K17" t="s">
        <v>202</v>
      </c>
      <c r="L17" t="s">
        <v>187</v>
      </c>
      <c r="M17" t="s">
        <v>2043</v>
      </c>
      <c r="N17" t="s">
        <v>1408</v>
      </c>
    </row>
    <row r="18" spans="1:14" x14ac:dyDescent="0.2">
      <c r="A18" t="s">
        <v>163</v>
      </c>
      <c r="B18" t="s">
        <v>1052</v>
      </c>
      <c r="C18" t="s">
        <v>198</v>
      </c>
      <c r="D18" t="s">
        <v>1289</v>
      </c>
      <c r="E18" t="s">
        <v>2263</v>
      </c>
      <c r="F18" t="s">
        <v>185</v>
      </c>
      <c r="G18" t="s">
        <v>193</v>
      </c>
      <c r="J18" t="s">
        <v>972</v>
      </c>
      <c r="K18" t="s">
        <v>986</v>
      </c>
      <c r="L18" t="s">
        <v>195</v>
      </c>
      <c r="M18" t="s">
        <v>144</v>
      </c>
      <c r="N18" t="s">
        <v>1410</v>
      </c>
    </row>
    <row r="19" spans="1:14" x14ac:dyDescent="0.2">
      <c r="A19" t="s">
        <v>1006</v>
      </c>
      <c r="B19" t="s">
        <v>1054</v>
      </c>
      <c r="C19" t="s">
        <v>205</v>
      </c>
      <c r="D19" t="s">
        <v>191</v>
      </c>
      <c r="E19" t="s">
        <v>2084</v>
      </c>
      <c r="F19" t="s">
        <v>192</v>
      </c>
      <c r="G19" t="s">
        <v>201</v>
      </c>
      <c r="J19" t="s">
        <v>973</v>
      </c>
      <c r="K19" t="s">
        <v>987</v>
      </c>
      <c r="L19" t="s">
        <v>203</v>
      </c>
      <c r="M19" t="s">
        <v>154</v>
      </c>
    </row>
    <row r="20" spans="1:14" x14ac:dyDescent="0.2">
      <c r="A20" t="s">
        <v>1007</v>
      </c>
      <c r="B20" t="s">
        <v>2247</v>
      </c>
      <c r="C20" t="s">
        <v>210</v>
      </c>
      <c r="D20" t="s">
        <v>1290</v>
      </c>
      <c r="E20" t="s">
        <v>2264</v>
      </c>
      <c r="F20" t="s">
        <v>200</v>
      </c>
      <c r="G20" t="s">
        <v>207</v>
      </c>
      <c r="J20" t="s">
        <v>974</v>
      </c>
      <c r="K20" t="s">
        <v>988</v>
      </c>
      <c r="L20" t="s">
        <v>208</v>
      </c>
      <c r="M20" t="s">
        <v>162</v>
      </c>
    </row>
    <row r="21" spans="1:14" x14ac:dyDescent="0.2">
      <c r="A21" t="s">
        <v>175</v>
      </c>
      <c r="B21" t="s">
        <v>1055</v>
      </c>
      <c r="C21" t="s">
        <v>122</v>
      </c>
      <c r="D21" t="s">
        <v>199</v>
      </c>
      <c r="E21" t="s">
        <v>2085</v>
      </c>
      <c r="F21" t="s">
        <v>206</v>
      </c>
      <c r="G21" t="s">
        <v>213</v>
      </c>
      <c r="J21" t="s">
        <v>2765</v>
      </c>
      <c r="K21" t="s">
        <v>2202</v>
      </c>
      <c r="L21" t="s">
        <v>215</v>
      </c>
      <c r="M21" t="s">
        <v>168</v>
      </c>
    </row>
    <row r="22" spans="1:14" x14ac:dyDescent="0.2">
      <c r="A22" t="s">
        <v>182</v>
      </c>
      <c r="B22" t="s">
        <v>1056</v>
      </c>
      <c r="C22" t="s">
        <v>222</v>
      </c>
      <c r="D22" t="s">
        <v>211</v>
      </c>
      <c r="E22" t="s">
        <v>2265</v>
      </c>
      <c r="F22" t="s">
        <v>212</v>
      </c>
      <c r="G22" t="s">
        <v>219</v>
      </c>
      <c r="J22" t="s">
        <v>975</v>
      </c>
      <c r="K22" t="s">
        <v>214</v>
      </c>
      <c r="L22" t="s">
        <v>220</v>
      </c>
      <c r="M22" t="s">
        <v>174</v>
      </c>
    </row>
    <row r="23" spans="1:14" x14ac:dyDescent="0.2">
      <c r="A23" t="s">
        <v>1884</v>
      </c>
      <c r="B23" t="s">
        <v>1058</v>
      </c>
      <c r="C23" t="s">
        <v>131</v>
      </c>
      <c r="D23" t="s">
        <v>217</v>
      </c>
      <c r="E23" t="s">
        <v>2086</v>
      </c>
      <c r="F23" t="s">
        <v>218</v>
      </c>
      <c r="G23" t="s">
        <v>225</v>
      </c>
      <c r="J23" t="s">
        <v>976</v>
      </c>
      <c r="L23" t="s">
        <v>232</v>
      </c>
      <c r="M23" t="s">
        <v>181</v>
      </c>
    </row>
    <row r="24" spans="1:14" x14ac:dyDescent="0.2">
      <c r="A24" t="s">
        <v>1008</v>
      </c>
      <c r="B24" t="s">
        <v>1059</v>
      </c>
      <c r="C24" t="s">
        <v>227</v>
      </c>
      <c r="D24" t="s">
        <v>1910</v>
      </c>
      <c r="E24" t="s">
        <v>2266</v>
      </c>
      <c r="F24" t="s">
        <v>224</v>
      </c>
      <c r="G24" t="s">
        <v>231</v>
      </c>
      <c r="J24" t="s">
        <v>977</v>
      </c>
      <c r="L24" t="s">
        <v>1947</v>
      </c>
      <c r="M24" t="s">
        <v>188</v>
      </c>
    </row>
    <row r="25" spans="1:14" x14ac:dyDescent="0.2">
      <c r="A25" t="s">
        <v>1009</v>
      </c>
      <c r="B25" t="s">
        <v>1060</v>
      </c>
      <c r="C25" t="s">
        <v>139</v>
      </c>
      <c r="D25" t="s">
        <v>223</v>
      </c>
      <c r="E25" t="s">
        <v>2267</v>
      </c>
      <c r="F25" t="s">
        <v>230</v>
      </c>
      <c r="G25" t="s">
        <v>236</v>
      </c>
      <c r="J25" t="s">
        <v>978</v>
      </c>
      <c r="L25" t="s">
        <v>237</v>
      </c>
      <c r="M25" t="s">
        <v>196</v>
      </c>
    </row>
    <row r="26" spans="1:14" x14ac:dyDescent="0.2">
      <c r="A26" t="s">
        <v>1010</v>
      </c>
      <c r="B26" t="s">
        <v>1061</v>
      </c>
      <c r="C26" t="s">
        <v>239</v>
      </c>
      <c r="D26" t="s">
        <v>228</v>
      </c>
      <c r="E26" t="s">
        <v>2268</v>
      </c>
      <c r="F26" t="s">
        <v>235</v>
      </c>
      <c r="G26" t="s">
        <v>241</v>
      </c>
      <c r="J26" t="s">
        <v>979</v>
      </c>
      <c r="L26" t="s">
        <v>242</v>
      </c>
      <c r="M26" t="s">
        <v>2214</v>
      </c>
    </row>
    <row r="27" spans="1:14" x14ac:dyDescent="0.2">
      <c r="A27" t="s">
        <v>1011</v>
      </c>
      <c r="B27" t="s">
        <v>1062</v>
      </c>
      <c r="C27" t="s">
        <v>244</v>
      </c>
      <c r="D27" t="s">
        <v>319</v>
      </c>
      <c r="E27" t="s">
        <v>2269</v>
      </c>
      <c r="F27" t="s">
        <v>240</v>
      </c>
      <c r="G27" t="s">
        <v>248</v>
      </c>
      <c r="J27" t="s">
        <v>980</v>
      </c>
      <c r="L27" t="s">
        <v>249</v>
      </c>
      <c r="M27" t="s">
        <v>1398</v>
      </c>
    </row>
    <row r="28" spans="1:14" x14ac:dyDescent="0.2">
      <c r="A28" t="s">
        <v>1885</v>
      </c>
      <c r="B28" t="s">
        <v>1063</v>
      </c>
      <c r="C28" t="s">
        <v>252</v>
      </c>
      <c r="D28" t="s">
        <v>234</v>
      </c>
      <c r="E28" t="s">
        <v>2270</v>
      </c>
      <c r="F28" t="s">
        <v>247</v>
      </c>
      <c r="G28" t="s">
        <v>115</v>
      </c>
      <c r="J28" t="s">
        <v>981</v>
      </c>
      <c r="L28" t="s">
        <v>256</v>
      </c>
      <c r="M28" t="s">
        <v>2778</v>
      </c>
    </row>
    <row r="29" spans="1:14" x14ac:dyDescent="0.2">
      <c r="A29" t="s">
        <v>1012</v>
      </c>
      <c r="B29" t="s">
        <v>1064</v>
      </c>
      <c r="C29" t="s">
        <v>258</v>
      </c>
      <c r="D29" t="s">
        <v>1911</v>
      </c>
      <c r="E29" t="s">
        <v>2271</v>
      </c>
      <c r="F29" t="s">
        <v>255</v>
      </c>
      <c r="G29" t="s">
        <v>262</v>
      </c>
      <c r="J29" t="s">
        <v>1379</v>
      </c>
      <c r="L29" t="s">
        <v>1836</v>
      </c>
      <c r="M29" t="s">
        <v>2215</v>
      </c>
    </row>
    <row r="30" spans="1:14" x14ac:dyDescent="0.2">
      <c r="A30" t="s">
        <v>1013</v>
      </c>
      <c r="B30" t="s">
        <v>1065</v>
      </c>
      <c r="C30" t="s">
        <v>1904</v>
      </c>
      <c r="D30" t="s">
        <v>1912</v>
      </c>
      <c r="E30" t="s">
        <v>1307</v>
      </c>
      <c r="F30" t="s">
        <v>261</v>
      </c>
      <c r="G30" t="s">
        <v>269</v>
      </c>
      <c r="J30" t="s">
        <v>2766</v>
      </c>
      <c r="L30" t="s">
        <v>263</v>
      </c>
      <c r="M30" t="s">
        <v>1399</v>
      </c>
    </row>
    <row r="31" spans="1:14" x14ac:dyDescent="0.2">
      <c r="A31" t="s">
        <v>250</v>
      </c>
      <c r="B31" t="s">
        <v>1066</v>
      </c>
      <c r="C31" t="s">
        <v>265</v>
      </c>
      <c r="D31" t="s">
        <v>1913</v>
      </c>
      <c r="E31" t="s">
        <v>2272</v>
      </c>
      <c r="F31" t="s">
        <v>268</v>
      </c>
      <c r="G31" t="s">
        <v>1942</v>
      </c>
      <c r="J31" t="s">
        <v>982</v>
      </c>
      <c r="L31" t="s">
        <v>270</v>
      </c>
      <c r="M31" t="s">
        <v>2216</v>
      </c>
    </row>
    <row r="32" spans="1:14" x14ac:dyDescent="0.2">
      <c r="A32" t="s">
        <v>1014</v>
      </c>
      <c r="B32" t="s">
        <v>176</v>
      </c>
      <c r="C32" t="s">
        <v>272</v>
      </c>
      <c r="D32" t="s">
        <v>245</v>
      </c>
      <c r="E32" t="s">
        <v>2273</v>
      </c>
      <c r="F32" t="s">
        <v>274</v>
      </c>
      <c r="G32" t="s">
        <v>1376</v>
      </c>
      <c r="J32" t="s">
        <v>983</v>
      </c>
      <c r="L32" t="s">
        <v>275</v>
      </c>
    </row>
    <row r="33" spans="1:12" x14ac:dyDescent="0.2">
      <c r="A33" t="s">
        <v>1015</v>
      </c>
      <c r="B33" t="s">
        <v>1067</v>
      </c>
      <c r="C33" t="s">
        <v>277</v>
      </c>
      <c r="D33" t="s">
        <v>253</v>
      </c>
      <c r="E33" t="s">
        <v>2087</v>
      </c>
      <c r="F33" t="s">
        <v>278</v>
      </c>
      <c r="G33" t="s">
        <v>1943</v>
      </c>
      <c r="J33" t="s">
        <v>1381</v>
      </c>
      <c r="L33" t="s">
        <v>279</v>
      </c>
    </row>
    <row r="34" spans="1:12" x14ac:dyDescent="0.2">
      <c r="A34" t="s">
        <v>1016</v>
      </c>
      <c r="B34" t="s">
        <v>183</v>
      </c>
      <c r="C34" t="s">
        <v>281</v>
      </c>
      <c r="D34" t="s">
        <v>259</v>
      </c>
      <c r="E34" t="s">
        <v>2274</v>
      </c>
      <c r="F34" t="s">
        <v>283</v>
      </c>
      <c r="G34" t="s">
        <v>123</v>
      </c>
      <c r="L34" t="s">
        <v>2204</v>
      </c>
    </row>
    <row r="35" spans="1:12" x14ac:dyDescent="0.2">
      <c r="A35" t="s">
        <v>284</v>
      </c>
      <c r="B35" t="s">
        <v>1068</v>
      </c>
      <c r="C35" t="s">
        <v>2253</v>
      </c>
      <c r="D35" t="s">
        <v>956</v>
      </c>
      <c r="E35" t="s">
        <v>2088</v>
      </c>
      <c r="F35" t="s">
        <v>287</v>
      </c>
      <c r="G35" t="s">
        <v>132</v>
      </c>
      <c r="L35" t="s">
        <v>289</v>
      </c>
    </row>
    <row r="36" spans="1:12" x14ac:dyDescent="0.2">
      <c r="A36" t="s">
        <v>290</v>
      </c>
      <c r="B36" t="s">
        <v>189</v>
      </c>
      <c r="C36" t="s">
        <v>228</v>
      </c>
      <c r="D36" t="s">
        <v>340</v>
      </c>
      <c r="E36" t="s">
        <v>2275</v>
      </c>
      <c r="F36" t="s">
        <v>293</v>
      </c>
      <c r="G36" t="s">
        <v>1377</v>
      </c>
      <c r="L36" t="s">
        <v>1382</v>
      </c>
    </row>
    <row r="37" spans="1:12" x14ac:dyDescent="0.2">
      <c r="A37" t="s">
        <v>296</v>
      </c>
      <c r="B37" t="s">
        <v>1069</v>
      </c>
      <c r="C37" t="s">
        <v>292</v>
      </c>
      <c r="D37" t="s">
        <v>266</v>
      </c>
      <c r="E37" t="s">
        <v>2276</v>
      </c>
      <c r="G37" t="s">
        <v>1944</v>
      </c>
      <c r="L37" t="s">
        <v>295</v>
      </c>
    </row>
    <row r="38" spans="1:12" x14ac:dyDescent="0.2">
      <c r="A38" t="s">
        <v>302</v>
      </c>
      <c r="B38" t="s">
        <v>204</v>
      </c>
      <c r="C38" t="s">
        <v>298</v>
      </c>
      <c r="D38" t="s">
        <v>273</v>
      </c>
      <c r="E38" t="s">
        <v>2277</v>
      </c>
      <c r="G38" t="s">
        <v>140</v>
      </c>
      <c r="L38" t="s">
        <v>301</v>
      </c>
    </row>
    <row r="39" spans="1:12" x14ac:dyDescent="0.2">
      <c r="A39" t="s">
        <v>1886</v>
      </c>
      <c r="B39" t="s">
        <v>1070</v>
      </c>
      <c r="C39" t="s">
        <v>304</v>
      </c>
      <c r="D39" t="s">
        <v>2254</v>
      </c>
      <c r="E39" t="s">
        <v>2278</v>
      </c>
      <c r="G39" t="s">
        <v>288</v>
      </c>
      <c r="L39" t="s">
        <v>307</v>
      </c>
    </row>
    <row r="40" spans="1:12" x14ac:dyDescent="0.2">
      <c r="A40" t="s">
        <v>308</v>
      </c>
      <c r="B40" t="s">
        <v>209</v>
      </c>
      <c r="C40" t="s">
        <v>310</v>
      </c>
      <c r="D40" t="s">
        <v>1291</v>
      </c>
      <c r="E40" t="s">
        <v>2279</v>
      </c>
      <c r="G40" t="s">
        <v>294</v>
      </c>
      <c r="L40" t="s">
        <v>312</v>
      </c>
    </row>
    <row r="41" spans="1:12" x14ac:dyDescent="0.2">
      <c r="A41" t="s">
        <v>1017</v>
      </c>
      <c r="B41" t="s">
        <v>216</v>
      </c>
      <c r="C41" t="s">
        <v>314</v>
      </c>
      <c r="D41" t="s">
        <v>282</v>
      </c>
      <c r="E41" t="s">
        <v>2089</v>
      </c>
      <c r="G41" t="s">
        <v>300</v>
      </c>
      <c r="L41" t="s">
        <v>317</v>
      </c>
    </row>
    <row r="42" spans="1:12" x14ac:dyDescent="0.2">
      <c r="A42" t="s">
        <v>318</v>
      </c>
      <c r="B42" t="s">
        <v>221</v>
      </c>
      <c r="C42" t="s">
        <v>319</v>
      </c>
      <c r="D42" t="s">
        <v>2080</v>
      </c>
      <c r="E42" t="s">
        <v>2090</v>
      </c>
      <c r="G42" t="s">
        <v>306</v>
      </c>
      <c r="L42" t="s">
        <v>322</v>
      </c>
    </row>
    <row r="43" spans="1:12" x14ac:dyDescent="0.2">
      <c r="A43" t="s">
        <v>323</v>
      </c>
      <c r="B43" t="s">
        <v>226</v>
      </c>
      <c r="C43" t="s">
        <v>325</v>
      </c>
      <c r="D43" t="s">
        <v>286</v>
      </c>
      <c r="E43" t="s">
        <v>2091</v>
      </c>
      <c r="G43" t="s">
        <v>311</v>
      </c>
      <c r="L43" t="s">
        <v>328</v>
      </c>
    </row>
    <row r="44" spans="1:12" x14ac:dyDescent="0.2">
      <c r="A44" t="s">
        <v>1018</v>
      </c>
      <c r="B44" t="s">
        <v>1071</v>
      </c>
      <c r="C44" t="s">
        <v>245</v>
      </c>
      <c r="D44" t="s">
        <v>79</v>
      </c>
      <c r="E44" t="s">
        <v>2092</v>
      </c>
      <c r="G44" t="s">
        <v>316</v>
      </c>
      <c r="L44" t="s">
        <v>332</v>
      </c>
    </row>
    <row r="45" spans="1:12" x14ac:dyDescent="0.2">
      <c r="A45" t="s">
        <v>338</v>
      </c>
      <c r="B45" t="s">
        <v>1072</v>
      </c>
      <c r="C45" t="s">
        <v>334</v>
      </c>
      <c r="D45" t="s">
        <v>299</v>
      </c>
      <c r="E45" t="s">
        <v>2093</v>
      </c>
      <c r="G45" t="s">
        <v>321</v>
      </c>
      <c r="L45" t="s">
        <v>337</v>
      </c>
    </row>
    <row r="46" spans="1:12" x14ac:dyDescent="0.2">
      <c r="A46" t="s">
        <v>1019</v>
      </c>
      <c r="B46" t="s">
        <v>1073</v>
      </c>
      <c r="C46" t="s">
        <v>340</v>
      </c>
      <c r="D46" t="s">
        <v>1914</v>
      </c>
      <c r="E46" t="s">
        <v>2094</v>
      </c>
      <c r="G46" t="s">
        <v>327</v>
      </c>
      <c r="L46" t="s">
        <v>343</v>
      </c>
    </row>
    <row r="47" spans="1:12" x14ac:dyDescent="0.2">
      <c r="A47" t="s">
        <v>347</v>
      </c>
      <c r="B47" t="s">
        <v>1074</v>
      </c>
      <c r="C47" t="s">
        <v>344</v>
      </c>
      <c r="D47" t="s">
        <v>1915</v>
      </c>
      <c r="E47" t="s">
        <v>2095</v>
      </c>
      <c r="G47" t="s">
        <v>331</v>
      </c>
      <c r="L47" t="s">
        <v>346</v>
      </c>
    </row>
    <row r="48" spans="1:12" x14ac:dyDescent="0.2">
      <c r="A48" t="s">
        <v>1020</v>
      </c>
      <c r="B48" t="s">
        <v>1075</v>
      </c>
      <c r="C48" t="s">
        <v>349</v>
      </c>
      <c r="D48" t="s">
        <v>305</v>
      </c>
      <c r="E48" t="s">
        <v>2096</v>
      </c>
      <c r="G48" t="s">
        <v>336</v>
      </c>
      <c r="L48" t="s">
        <v>351</v>
      </c>
    </row>
    <row r="49" spans="1:12" x14ac:dyDescent="0.2">
      <c r="A49" t="s">
        <v>1021</v>
      </c>
      <c r="B49" t="s">
        <v>1076</v>
      </c>
      <c r="C49" t="s">
        <v>353</v>
      </c>
      <c r="D49" t="s">
        <v>1521</v>
      </c>
      <c r="E49" t="s">
        <v>2097</v>
      </c>
      <c r="G49" t="s">
        <v>342</v>
      </c>
      <c r="L49" t="s">
        <v>355</v>
      </c>
    </row>
    <row r="50" spans="1:12" x14ac:dyDescent="0.2">
      <c r="A50" t="s">
        <v>356</v>
      </c>
      <c r="B50" t="s">
        <v>1077</v>
      </c>
      <c r="C50" t="s">
        <v>358</v>
      </c>
      <c r="D50" t="s">
        <v>315</v>
      </c>
      <c r="E50" t="s">
        <v>2098</v>
      </c>
      <c r="G50" t="s">
        <v>149</v>
      </c>
      <c r="L50" t="s">
        <v>360</v>
      </c>
    </row>
    <row r="51" spans="1:12" x14ac:dyDescent="0.2">
      <c r="A51" t="s">
        <v>1887</v>
      </c>
      <c r="B51" t="s">
        <v>1078</v>
      </c>
      <c r="C51" t="s">
        <v>362</v>
      </c>
      <c r="D51" t="s">
        <v>320</v>
      </c>
      <c r="E51" t="s">
        <v>2099</v>
      </c>
      <c r="G51" t="s">
        <v>157</v>
      </c>
      <c r="L51" t="s">
        <v>365</v>
      </c>
    </row>
    <row r="52" spans="1:12" x14ac:dyDescent="0.2">
      <c r="A52" t="s">
        <v>1022</v>
      </c>
      <c r="B52" t="s">
        <v>1081</v>
      </c>
      <c r="C52" t="s">
        <v>368</v>
      </c>
      <c r="D52" t="s">
        <v>1916</v>
      </c>
      <c r="E52" t="s">
        <v>2100</v>
      </c>
      <c r="G52" t="s">
        <v>165</v>
      </c>
      <c r="L52" t="s">
        <v>373</v>
      </c>
    </row>
    <row r="53" spans="1:12" x14ac:dyDescent="0.2">
      <c r="A53" t="s">
        <v>366</v>
      </c>
      <c r="B53" t="s">
        <v>1082</v>
      </c>
      <c r="C53" t="s">
        <v>371</v>
      </c>
      <c r="D53" t="s">
        <v>326</v>
      </c>
      <c r="E53" t="s">
        <v>2101</v>
      </c>
      <c r="G53" t="s">
        <v>170</v>
      </c>
      <c r="L53" t="s">
        <v>376</v>
      </c>
    </row>
    <row r="54" spans="1:12" x14ac:dyDescent="0.2">
      <c r="A54" t="s">
        <v>1888</v>
      </c>
      <c r="B54" t="s">
        <v>1083</v>
      </c>
      <c r="C54" t="s">
        <v>374</v>
      </c>
      <c r="D54" t="s">
        <v>2255</v>
      </c>
      <c r="E54" t="s">
        <v>2102</v>
      </c>
      <c r="G54" t="s">
        <v>364</v>
      </c>
      <c r="L54" t="s">
        <v>381</v>
      </c>
    </row>
    <row r="55" spans="1:12" x14ac:dyDescent="0.2">
      <c r="A55" t="s">
        <v>1023</v>
      </c>
      <c r="B55" t="s">
        <v>243</v>
      </c>
      <c r="C55" t="s">
        <v>379</v>
      </c>
      <c r="D55" t="s">
        <v>1917</v>
      </c>
      <c r="E55" t="s">
        <v>2103</v>
      </c>
      <c r="G55" t="s">
        <v>178</v>
      </c>
      <c r="L55" t="s">
        <v>385</v>
      </c>
    </row>
    <row r="56" spans="1:12" x14ac:dyDescent="0.2">
      <c r="A56" t="s">
        <v>1024</v>
      </c>
      <c r="B56" t="s">
        <v>251</v>
      </c>
      <c r="C56" t="s">
        <v>383</v>
      </c>
      <c r="D56" t="s">
        <v>1918</v>
      </c>
      <c r="E56" t="s">
        <v>2104</v>
      </c>
      <c r="G56" t="s">
        <v>185</v>
      </c>
      <c r="L56" t="s">
        <v>387</v>
      </c>
    </row>
    <row r="57" spans="1:12" x14ac:dyDescent="0.2">
      <c r="A57" t="s">
        <v>377</v>
      </c>
      <c r="B57" t="s">
        <v>1084</v>
      </c>
      <c r="C57" t="s">
        <v>330</v>
      </c>
      <c r="D57" t="s">
        <v>1919</v>
      </c>
      <c r="E57" t="s">
        <v>2105</v>
      </c>
      <c r="G57" t="s">
        <v>192</v>
      </c>
      <c r="L57" t="s">
        <v>392</v>
      </c>
    </row>
    <row r="58" spans="1:12" x14ac:dyDescent="0.2">
      <c r="A58" t="s">
        <v>1025</v>
      </c>
      <c r="B58" t="s">
        <v>257</v>
      </c>
      <c r="C58" t="s">
        <v>389</v>
      </c>
      <c r="D58" t="s">
        <v>1920</v>
      </c>
      <c r="E58" t="s">
        <v>2106</v>
      </c>
      <c r="G58" t="s">
        <v>200</v>
      </c>
      <c r="L58" t="s">
        <v>395</v>
      </c>
    </row>
    <row r="59" spans="1:12" x14ac:dyDescent="0.2">
      <c r="A59" t="s">
        <v>1026</v>
      </c>
      <c r="B59" t="s">
        <v>1085</v>
      </c>
      <c r="C59" t="s">
        <v>335</v>
      </c>
      <c r="D59" t="s">
        <v>1292</v>
      </c>
      <c r="E59" t="s">
        <v>2107</v>
      </c>
      <c r="G59" t="s">
        <v>206</v>
      </c>
      <c r="L59" t="s">
        <v>400</v>
      </c>
    </row>
    <row r="60" spans="1:12" x14ac:dyDescent="0.2">
      <c r="A60" t="s">
        <v>2050</v>
      </c>
      <c r="B60" t="s">
        <v>264</v>
      </c>
      <c r="C60" t="s">
        <v>397</v>
      </c>
      <c r="D60" t="s">
        <v>335</v>
      </c>
      <c r="E60" t="s">
        <v>2108</v>
      </c>
      <c r="G60" t="s">
        <v>391</v>
      </c>
      <c r="L60" t="s">
        <v>405</v>
      </c>
    </row>
    <row r="61" spans="1:12" x14ac:dyDescent="0.2">
      <c r="A61" t="s">
        <v>2051</v>
      </c>
      <c r="B61" t="s">
        <v>271</v>
      </c>
      <c r="C61" t="s">
        <v>402</v>
      </c>
      <c r="D61" t="s">
        <v>341</v>
      </c>
      <c r="E61" t="s">
        <v>2109</v>
      </c>
      <c r="G61" t="s">
        <v>394</v>
      </c>
      <c r="L61" t="s">
        <v>409</v>
      </c>
    </row>
    <row r="62" spans="1:12" x14ac:dyDescent="0.2">
      <c r="A62" t="s">
        <v>1027</v>
      </c>
      <c r="B62" t="s">
        <v>276</v>
      </c>
      <c r="C62" t="s">
        <v>406</v>
      </c>
      <c r="D62" t="s">
        <v>1293</v>
      </c>
      <c r="E62" t="s">
        <v>2110</v>
      </c>
      <c r="G62" t="s">
        <v>399</v>
      </c>
      <c r="L62" t="s">
        <v>1383</v>
      </c>
    </row>
    <row r="63" spans="1:12" x14ac:dyDescent="0.2">
      <c r="A63" t="s">
        <v>401</v>
      </c>
      <c r="B63" t="s">
        <v>1086</v>
      </c>
      <c r="C63" t="s">
        <v>411</v>
      </c>
      <c r="D63" t="s">
        <v>345</v>
      </c>
      <c r="E63" t="s">
        <v>2111</v>
      </c>
      <c r="G63" t="s">
        <v>404</v>
      </c>
      <c r="L63" t="s">
        <v>414</v>
      </c>
    </row>
    <row r="64" spans="1:12" x14ac:dyDescent="0.2">
      <c r="A64" t="s">
        <v>1028</v>
      </c>
      <c r="B64" t="s">
        <v>280</v>
      </c>
      <c r="C64" t="s">
        <v>416</v>
      </c>
      <c r="D64" t="s">
        <v>350</v>
      </c>
      <c r="E64" t="s">
        <v>2112</v>
      </c>
      <c r="G64" t="s">
        <v>408</v>
      </c>
      <c r="L64" t="s">
        <v>419</v>
      </c>
    </row>
    <row r="65" spans="1:12" x14ac:dyDescent="0.2">
      <c r="A65" t="s">
        <v>410</v>
      </c>
      <c r="B65" t="s">
        <v>285</v>
      </c>
      <c r="C65" t="s">
        <v>420</v>
      </c>
      <c r="D65" t="s">
        <v>354</v>
      </c>
      <c r="E65" t="s">
        <v>2113</v>
      </c>
      <c r="G65" t="s">
        <v>413</v>
      </c>
      <c r="L65" t="s">
        <v>423</v>
      </c>
    </row>
    <row r="66" spans="1:12" x14ac:dyDescent="0.2">
      <c r="A66" t="s">
        <v>948</v>
      </c>
      <c r="B66" t="s">
        <v>1087</v>
      </c>
      <c r="C66" t="s">
        <v>425</v>
      </c>
      <c r="D66" t="s">
        <v>49</v>
      </c>
      <c r="E66" t="s">
        <v>2114</v>
      </c>
      <c r="G66" t="s">
        <v>418</v>
      </c>
      <c r="L66" t="s">
        <v>427</v>
      </c>
    </row>
    <row r="67" spans="1:12" x14ac:dyDescent="0.2">
      <c r="A67" t="s">
        <v>415</v>
      </c>
      <c r="B67" t="s">
        <v>1088</v>
      </c>
      <c r="C67" t="s">
        <v>429</v>
      </c>
      <c r="D67" t="s">
        <v>1294</v>
      </c>
      <c r="E67" t="s">
        <v>2115</v>
      </c>
      <c r="G67" t="s">
        <v>422</v>
      </c>
      <c r="L67" t="s">
        <v>430</v>
      </c>
    </row>
    <row r="68" spans="1:12" x14ac:dyDescent="0.2">
      <c r="A68" t="s">
        <v>2052</v>
      </c>
      <c r="B68" t="s">
        <v>1089</v>
      </c>
      <c r="C68" t="s">
        <v>432</v>
      </c>
      <c r="D68" t="s">
        <v>1921</v>
      </c>
      <c r="E68" t="s">
        <v>2116</v>
      </c>
      <c r="G68" t="s">
        <v>212</v>
      </c>
      <c r="L68" t="s">
        <v>435</v>
      </c>
    </row>
    <row r="69" spans="1:12" x14ac:dyDescent="0.2">
      <c r="A69" t="s">
        <v>424</v>
      </c>
      <c r="B69" t="s">
        <v>1090</v>
      </c>
      <c r="C69" t="s">
        <v>436</v>
      </c>
      <c r="D69" t="s">
        <v>359</v>
      </c>
      <c r="E69" t="s">
        <v>2117</v>
      </c>
      <c r="G69" t="s">
        <v>218</v>
      </c>
      <c r="L69" t="s">
        <v>438</v>
      </c>
    </row>
    <row r="70" spans="1:12" x14ac:dyDescent="0.2">
      <c r="A70" t="s">
        <v>428</v>
      </c>
      <c r="B70" t="s">
        <v>1091</v>
      </c>
      <c r="C70" t="s">
        <v>393</v>
      </c>
      <c r="D70" t="s">
        <v>363</v>
      </c>
      <c r="E70" t="s">
        <v>2118</v>
      </c>
      <c r="G70" t="s">
        <v>434</v>
      </c>
      <c r="L70" t="s">
        <v>2767</v>
      </c>
    </row>
    <row r="71" spans="1:12" x14ac:dyDescent="0.2">
      <c r="A71" t="s">
        <v>431</v>
      </c>
      <c r="B71" t="s">
        <v>1092</v>
      </c>
      <c r="C71" t="s">
        <v>398</v>
      </c>
      <c r="D71" t="s">
        <v>369</v>
      </c>
      <c r="E71" t="s">
        <v>2119</v>
      </c>
      <c r="G71" t="s">
        <v>224</v>
      </c>
      <c r="L71" t="s">
        <v>441</v>
      </c>
    </row>
    <row r="72" spans="1:12" x14ac:dyDescent="0.2">
      <c r="A72" t="s">
        <v>1029</v>
      </c>
      <c r="B72" t="s">
        <v>1093</v>
      </c>
      <c r="C72" t="s">
        <v>442</v>
      </c>
      <c r="D72" t="s">
        <v>372</v>
      </c>
      <c r="E72" t="s">
        <v>2120</v>
      </c>
      <c r="G72" t="s">
        <v>230</v>
      </c>
      <c r="L72" t="s">
        <v>444</v>
      </c>
    </row>
    <row r="73" spans="1:12" x14ac:dyDescent="0.2">
      <c r="A73" t="s">
        <v>439</v>
      </c>
      <c r="B73" t="s">
        <v>1094</v>
      </c>
      <c r="C73" t="s">
        <v>445</v>
      </c>
      <c r="D73" t="s">
        <v>375</v>
      </c>
      <c r="E73" t="s">
        <v>2121</v>
      </c>
      <c r="G73" t="s">
        <v>235</v>
      </c>
      <c r="L73" t="s">
        <v>446</v>
      </c>
    </row>
    <row r="74" spans="1:12" x14ac:dyDescent="0.2">
      <c r="A74" t="s">
        <v>1030</v>
      </c>
      <c r="B74" t="s">
        <v>1095</v>
      </c>
      <c r="C74" t="s">
        <v>447</v>
      </c>
      <c r="D74" t="s">
        <v>1295</v>
      </c>
      <c r="E74" t="s">
        <v>2122</v>
      </c>
      <c r="G74" t="s">
        <v>240</v>
      </c>
      <c r="L74" t="s">
        <v>450</v>
      </c>
    </row>
    <row r="75" spans="1:12" x14ac:dyDescent="0.2">
      <c r="A75" t="s">
        <v>1031</v>
      </c>
      <c r="B75" t="s">
        <v>1096</v>
      </c>
      <c r="C75" t="s">
        <v>451</v>
      </c>
      <c r="D75" t="s">
        <v>380</v>
      </c>
      <c r="E75" t="s">
        <v>2123</v>
      </c>
      <c r="G75" t="s">
        <v>247</v>
      </c>
      <c r="L75" t="s">
        <v>453</v>
      </c>
    </row>
    <row r="76" spans="1:12" x14ac:dyDescent="0.2">
      <c r="A76" t="s">
        <v>1032</v>
      </c>
      <c r="B76" t="s">
        <v>1097</v>
      </c>
      <c r="C76" t="s">
        <v>454</v>
      </c>
      <c r="D76" t="s">
        <v>1296</v>
      </c>
      <c r="E76" t="s">
        <v>2124</v>
      </c>
      <c r="G76" t="s">
        <v>449</v>
      </c>
      <c r="L76" t="s">
        <v>456</v>
      </c>
    </row>
    <row r="77" spans="1:12" x14ac:dyDescent="0.2">
      <c r="A77" t="s">
        <v>2246</v>
      </c>
      <c r="B77" t="s">
        <v>1098</v>
      </c>
      <c r="C77" t="s">
        <v>457</v>
      </c>
      <c r="D77" t="s">
        <v>384</v>
      </c>
      <c r="E77" t="s">
        <v>2125</v>
      </c>
      <c r="G77" t="s">
        <v>452</v>
      </c>
      <c r="L77" t="s">
        <v>459</v>
      </c>
    </row>
    <row r="78" spans="1:12" x14ac:dyDescent="0.2">
      <c r="A78" t="s">
        <v>1889</v>
      </c>
      <c r="B78" t="s">
        <v>1099</v>
      </c>
      <c r="C78" t="s">
        <v>460</v>
      </c>
      <c r="D78" t="s">
        <v>386</v>
      </c>
      <c r="E78" t="s">
        <v>2126</v>
      </c>
      <c r="G78" t="s">
        <v>255</v>
      </c>
      <c r="L78" t="s">
        <v>462</v>
      </c>
    </row>
    <row r="79" spans="1:12" x14ac:dyDescent="0.2">
      <c r="A79" t="s">
        <v>1033</v>
      </c>
      <c r="B79" t="s">
        <v>1100</v>
      </c>
      <c r="C79" t="s">
        <v>463</v>
      </c>
      <c r="D79" t="s">
        <v>390</v>
      </c>
      <c r="E79" t="s">
        <v>2127</v>
      </c>
      <c r="G79" t="s">
        <v>261</v>
      </c>
      <c r="L79" t="s">
        <v>466</v>
      </c>
    </row>
    <row r="80" spans="1:12" x14ac:dyDescent="0.2">
      <c r="A80" t="s">
        <v>1034</v>
      </c>
      <c r="B80" t="s">
        <v>1101</v>
      </c>
      <c r="C80" t="s">
        <v>468</v>
      </c>
      <c r="D80" t="s">
        <v>957</v>
      </c>
      <c r="E80" t="s">
        <v>2128</v>
      </c>
      <c r="G80" t="s">
        <v>268</v>
      </c>
      <c r="L80" t="s">
        <v>471</v>
      </c>
    </row>
    <row r="81" spans="1:12" x14ac:dyDescent="0.2">
      <c r="A81" t="s">
        <v>1035</v>
      </c>
      <c r="B81" t="s">
        <v>1102</v>
      </c>
      <c r="C81" t="s">
        <v>473</v>
      </c>
      <c r="D81" t="s">
        <v>1922</v>
      </c>
      <c r="E81" t="s">
        <v>2129</v>
      </c>
      <c r="G81" t="s">
        <v>465</v>
      </c>
      <c r="L81" t="s">
        <v>476</v>
      </c>
    </row>
    <row r="82" spans="1:12" x14ac:dyDescent="0.2">
      <c r="A82" t="s">
        <v>1036</v>
      </c>
      <c r="B82" t="s">
        <v>1103</v>
      </c>
      <c r="C82" t="s">
        <v>477</v>
      </c>
      <c r="D82" t="s">
        <v>2081</v>
      </c>
      <c r="E82" t="s">
        <v>2130</v>
      </c>
      <c r="G82" t="s">
        <v>470</v>
      </c>
      <c r="L82" t="s">
        <v>1384</v>
      </c>
    </row>
    <row r="83" spans="1:12" x14ac:dyDescent="0.2">
      <c r="A83" t="s">
        <v>1037</v>
      </c>
      <c r="B83" t="s">
        <v>1104</v>
      </c>
      <c r="C83" t="s">
        <v>480</v>
      </c>
      <c r="D83" t="s">
        <v>393</v>
      </c>
      <c r="E83" t="s">
        <v>2131</v>
      </c>
      <c r="G83" t="s">
        <v>475</v>
      </c>
      <c r="L83" t="s">
        <v>1837</v>
      </c>
    </row>
    <row r="84" spans="1:12" x14ac:dyDescent="0.2">
      <c r="A84" t="s">
        <v>1890</v>
      </c>
      <c r="B84" t="s">
        <v>1106</v>
      </c>
      <c r="C84" t="s">
        <v>485</v>
      </c>
      <c r="D84" t="s">
        <v>398</v>
      </c>
      <c r="E84" t="s">
        <v>2132</v>
      </c>
      <c r="G84" t="s">
        <v>478</v>
      </c>
      <c r="L84" t="s">
        <v>479</v>
      </c>
    </row>
    <row r="85" spans="1:12" x14ac:dyDescent="0.2">
      <c r="A85" t="s">
        <v>1038</v>
      </c>
      <c r="B85" t="s">
        <v>1108</v>
      </c>
      <c r="C85" t="s">
        <v>489</v>
      </c>
      <c r="D85" t="s">
        <v>403</v>
      </c>
      <c r="E85" t="s">
        <v>2133</v>
      </c>
      <c r="G85" t="s">
        <v>482</v>
      </c>
      <c r="L85" t="s">
        <v>483</v>
      </c>
    </row>
    <row r="86" spans="1:12" x14ac:dyDescent="0.2">
      <c r="A86" t="s">
        <v>467</v>
      </c>
      <c r="B86" t="s">
        <v>1110</v>
      </c>
      <c r="C86" t="s">
        <v>492</v>
      </c>
      <c r="D86" t="s">
        <v>2082</v>
      </c>
      <c r="E86" t="s">
        <v>2134</v>
      </c>
      <c r="G86" t="s">
        <v>274</v>
      </c>
      <c r="L86" t="s">
        <v>1948</v>
      </c>
    </row>
    <row r="87" spans="1:12" x14ac:dyDescent="0.2">
      <c r="A87" t="s">
        <v>472</v>
      </c>
      <c r="B87" t="s">
        <v>1112</v>
      </c>
      <c r="D87" t="s">
        <v>407</v>
      </c>
      <c r="E87" t="s">
        <v>2135</v>
      </c>
      <c r="G87" t="s">
        <v>490</v>
      </c>
      <c r="L87" t="s">
        <v>487</v>
      </c>
    </row>
    <row r="88" spans="1:12" x14ac:dyDescent="0.2">
      <c r="A88" t="s">
        <v>1039</v>
      </c>
      <c r="B88" t="s">
        <v>1113</v>
      </c>
      <c r="D88" t="s">
        <v>412</v>
      </c>
      <c r="E88" t="s">
        <v>2136</v>
      </c>
      <c r="G88" t="s">
        <v>493</v>
      </c>
      <c r="L88" t="s">
        <v>491</v>
      </c>
    </row>
    <row r="89" spans="1:12" x14ac:dyDescent="0.2">
      <c r="A89" t="s">
        <v>1891</v>
      </c>
      <c r="B89" t="s">
        <v>291</v>
      </c>
      <c r="D89" t="s">
        <v>417</v>
      </c>
      <c r="E89" t="s">
        <v>1308</v>
      </c>
      <c r="G89" t="s">
        <v>495</v>
      </c>
      <c r="L89" t="s">
        <v>494</v>
      </c>
    </row>
    <row r="90" spans="1:12" x14ac:dyDescent="0.2">
      <c r="A90" t="s">
        <v>484</v>
      </c>
      <c r="B90" t="s">
        <v>1114</v>
      </c>
      <c r="D90" t="s">
        <v>1923</v>
      </c>
      <c r="E90" t="s">
        <v>2280</v>
      </c>
      <c r="G90" t="s">
        <v>497</v>
      </c>
      <c r="L90" t="s">
        <v>1385</v>
      </c>
    </row>
    <row r="91" spans="1:12" x14ac:dyDescent="0.2">
      <c r="B91" t="s">
        <v>297</v>
      </c>
      <c r="D91" t="s">
        <v>421</v>
      </c>
      <c r="E91" t="s">
        <v>1309</v>
      </c>
      <c r="G91" t="s">
        <v>498</v>
      </c>
      <c r="L91" t="s">
        <v>2768</v>
      </c>
    </row>
    <row r="92" spans="1:12" x14ac:dyDescent="0.2">
      <c r="B92" t="s">
        <v>303</v>
      </c>
      <c r="D92" t="s">
        <v>194</v>
      </c>
      <c r="E92" t="s">
        <v>2281</v>
      </c>
      <c r="G92" t="s">
        <v>500</v>
      </c>
      <c r="L92" t="s">
        <v>1386</v>
      </c>
    </row>
    <row r="93" spans="1:12" x14ac:dyDescent="0.2">
      <c r="B93" t="s">
        <v>309</v>
      </c>
      <c r="D93" t="s">
        <v>1924</v>
      </c>
      <c r="E93" t="s">
        <v>2282</v>
      </c>
      <c r="G93" t="s">
        <v>503</v>
      </c>
      <c r="L93" t="s">
        <v>496</v>
      </c>
    </row>
    <row r="94" spans="1:12" x14ac:dyDescent="0.2">
      <c r="B94" t="s">
        <v>2053</v>
      </c>
      <c r="D94" t="s">
        <v>1925</v>
      </c>
      <c r="E94" t="s">
        <v>1310</v>
      </c>
      <c r="G94" t="s">
        <v>506</v>
      </c>
      <c r="L94" t="s">
        <v>499</v>
      </c>
    </row>
    <row r="95" spans="1:12" x14ac:dyDescent="0.2">
      <c r="B95" t="s">
        <v>2054</v>
      </c>
      <c r="D95" t="s">
        <v>1926</v>
      </c>
      <c r="E95" t="s">
        <v>229</v>
      </c>
      <c r="G95" t="s">
        <v>509</v>
      </c>
      <c r="L95" t="s">
        <v>501</v>
      </c>
    </row>
    <row r="96" spans="1:12" x14ac:dyDescent="0.2">
      <c r="B96" t="s">
        <v>949</v>
      </c>
      <c r="D96" t="s">
        <v>2256</v>
      </c>
      <c r="E96" t="s">
        <v>2283</v>
      </c>
      <c r="G96" t="s">
        <v>512</v>
      </c>
      <c r="L96" t="s">
        <v>504</v>
      </c>
    </row>
    <row r="97" spans="2:12" x14ac:dyDescent="0.2">
      <c r="B97" t="s">
        <v>324</v>
      </c>
      <c r="D97" t="s">
        <v>426</v>
      </c>
      <c r="E97" t="s">
        <v>2284</v>
      </c>
      <c r="G97" t="s">
        <v>515</v>
      </c>
      <c r="L97" t="s">
        <v>507</v>
      </c>
    </row>
    <row r="98" spans="2:12" x14ac:dyDescent="0.2">
      <c r="B98" t="s">
        <v>329</v>
      </c>
      <c r="D98" t="s">
        <v>433</v>
      </c>
      <c r="E98" t="s">
        <v>1311</v>
      </c>
      <c r="G98" t="s">
        <v>518</v>
      </c>
      <c r="L98" t="s">
        <v>510</v>
      </c>
    </row>
    <row r="99" spans="2:12" x14ac:dyDescent="0.2">
      <c r="B99" t="s">
        <v>333</v>
      </c>
      <c r="D99" t="s">
        <v>1927</v>
      </c>
      <c r="E99" t="s">
        <v>2285</v>
      </c>
      <c r="G99" t="s">
        <v>278</v>
      </c>
      <c r="L99" t="s">
        <v>513</v>
      </c>
    </row>
    <row r="100" spans="2:12" x14ac:dyDescent="0.2">
      <c r="B100" t="s">
        <v>339</v>
      </c>
      <c r="D100" t="s">
        <v>1928</v>
      </c>
      <c r="E100" t="s">
        <v>2286</v>
      </c>
      <c r="G100" t="s">
        <v>283</v>
      </c>
      <c r="L100" t="s">
        <v>516</v>
      </c>
    </row>
    <row r="101" spans="2:12" x14ac:dyDescent="0.2">
      <c r="B101" t="s">
        <v>348</v>
      </c>
      <c r="D101" t="s">
        <v>1929</v>
      </c>
      <c r="E101" t="s">
        <v>246</v>
      </c>
      <c r="G101" t="s">
        <v>2764</v>
      </c>
      <c r="L101" t="s">
        <v>519</v>
      </c>
    </row>
    <row r="102" spans="2:12" x14ac:dyDescent="0.2">
      <c r="B102" t="s">
        <v>1115</v>
      </c>
      <c r="D102" t="s">
        <v>437</v>
      </c>
      <c r="E102" t="s">
        <v>254</v>
      </c>
      <c r="G102" t="s">
        <v>287</v>
      </c>
      <c r="L102" t="s">
        <v>521</v>
      </c>
    </row>
    <row r="103" spans="2:12" x14ac:dyDescent="0.2">
      <c r="B103" t="s">
        <v>1116</v>
      </c>
      <c r="D103" t="s">
        <v>440</v>
      </c>
      <c r="E103" t="s">
        <v>260</v>
      </c>
      <c r="G103" t="s">
        <v>1945</v>
      </c>
      <c r="L103" t="s">
        <v>523</v>
      </c>
    </row>
    <row r="104" spans="2:12" x14ac:dyDescent="0.2">
      <c r="B104" t="s">
        <v>352</v>
      </c>
      <c r="D104" t="s">
        <v>1930</v>
      </c>
      <c r="E104" t="s">
        <v>267</v>
      </c>
      <c r="G104" t="s">
        <v>293</v>
      </c>
      <c r="L104" t="s">
        <v>525</v>
      </c>
    </row>
    <row r="105" spans="2:12" x14ac:dyDescent="0.2">
      <c r="B105" t="s">
        <v>1117</v>
      </c>
      <c r="D105" t="s">
        <v>443</v>
      </c>
      <c r="E105" t="s">
        <v>2287</v>
      </c>
      <c r="L105" t="s">
        <v>527</v>
      </c>
    </row>
    <row r="106" spans="2:12" x14ac:dyDescent="0.2">
      <c r="B106" t="s">
        <v>357</v>
      </c>
      <c r="D106" t="s">
        <v>1931</v>
      </c>
      <c r="E106" t="s">
        <v>2288</v>
      </c>
      <c r="L106" t="s">
        <v>531</v>
      </c>
    </row>
    <row r="107" spans="2:12" x14ac:dyDescent="0.2">
      <c r="B107" t="s">
        <v>361</v>
      </c>
      <c r="D107" t="s">
        <v>448</v>
      </c>
      <c r="E107" t="s">
        <v>2289</v>
      </c>
      <c r="L107" t="s">
        <v>533</v>
      </c>
    </row>
    <row r="108" spans="2:12" x14ac:dyDescent="0.2">
      <c r="B108" t="s">
        <v>367</v>
      </c>
      <c r="D108" t="s">
        <v>1398</v>
      </c>
      <c r="E108" t="s">
        <v>2290</v>
      </c>
      <c r="L108" t="s">
        <v>535</v>
      </c>
    </row>
    <row r="109" spans="2:12" x14ac:dyDescent="0.2">
      <c r="B109" t="s">
        <v>370</v>
      </c>
      <c r="D109" t="s">
        <v>1863</v>
      </c>
      <c r="E109" t="s">
        <v>2137</v>
      </c>
      <c r="L109" t="s">
        <v>536</v>
      </c>
    </row>
    <row r="110" spans="2:12" x14ac:dyDescent="0.2">
      <c r="B110" t="s">
        <v>1118</v>
      </c>
      <c r="D110" t="s">
        <v>1297</v>
      </c>
      <c r="E110" t="s">
        <v>2291</v>
      </c>
      <c r="L110" t="s">
        <v>538</v>
      </c>
    </row>
    <row r="111" spans="2:12" x14ac:dyDescent="0.2">
      <c r="B111" t="s">
        <v>1119</v>
      </c>
      <c r="D111" t="s">
        <v>1932</v>
      </c>
      <c r="E111" t="s">
        <v>2138</v>
      </c>
      <c r="L111" t="s">
        <v>540</v>
      </c>
    </row>
    <row r="112" spans="2:12" x14ac:dyDescent="0.2">
      <c r="B112" t="s">
        <v>1120</v>
      </c>
      <c r="D112" t="s">
        <v>455</v>
      </c>
      <c r="E112" t="s">
        <v>2292</v>
      </c>
      <c r="L112" t="s">
        <v>542</v>
      </c>
    </row>
    <row r="113" spans="2:12" x14ac:dyDescent="0.2">
      <c r="B113" t="s">
        <v>378</v>
      </c>
      <c r="D113" t="s">
        <v>458</v>
      </c>
      <c r="E113" t="s">
        <v>2139</v>
      </c>
      <c r="L113" t="s">
        <v>544</v>
      </c>
    </row>
    <row r="114" spans="2:12" x14ac:dyDescent="0.2">
      <c r="B114" t="s">
        <v>382</v>
      </c>
      <c r="D114" t="s">
        <v>1298</v>
      </c>
      <c r="E114" t="s">
        <v>2293</v>
      </c>
      <c r="L114" t="s">
        <v>546</v>
      </c>
    </row>
    <row r="115" spans="2:12" x14ac:dyDescent="0.2">
      <c r="B115" t="s">
        <v>1121</v>
      </c>
      <c r="D115" t="s">
        <v>2257</v>
      </c>
      <c r="E115" t="s">
        <v>2140</v>
      </c>
      <c r="L115" t="s">
        <v>548</v>
      </c>
    </row>
    <row r="116" spans="2:12" x14ac:dyDescent="0.2">
      <c r="B116" t="s">
        <v>1892</v>
      </c>
      <c r="D116" t="s">
        <v>1933</v>
      </c>
      <c r="E116" t="s">
        <v>2294</v>
      </c>
      <c r="L116" t="s">
        <v>2769</v>
      </c>
    </row>
    <row r="117" spans="2:12" x14ac:dyDescent="0.2">
      <c r="B117" t="s">
        <v>1122</v>
      </c>
      <c r="D117" t="s">
        <v>461</v>
      </c>
      <c r="E117" t="s">
        <v>2295</v>
      </c>
      <c r="L117" t="s">
        <v>550</v>
      </c>
    </row>
    <row r="118" spans="2:12" x14ac:dyDescent="0.2">
      <c r="B118" t="s">
        <v>1123</v>
      </c>
      <c r="D118" t="s">
        <v>464</v>
      </c>
      <c r="E118" t="s">
        <v>2296</v>
      </c>
      <c r="L118" t="s">
        <v>1838</v>
      </c>
    </row>
    <row r="119" spans="2:12" x14ac:dyDescent="0.2">
      <c r="B119" t="s">
        <v>1124</v>
      </c>
      <c r="D119" t="s">
        <v>469</v>
      </c>
      <c r="E119" t="s">
        <v>2141</v>
      </c>
      <c r="L119" t="s">
        <v>552</v>
      </c>
    </row>
    <row r="120" spans="2:12" x14ac:dyDescent="0.2">
      <c r="B120" t="s">
        <v>1125</v>
      </c>
      <c r="D120" t="s">
        <v>474</v>
      </c>
      <c r="E120" t="s">
        <v>2297</v>
      </c>
      <c r="L120" t="s">
        <v>553</v>
      </c>
    </row>
    <row r="121" spans="2:12" x14ac:dyDescent="0.2">
      <c r="B121" t="s">
        <v>1126</v>
      </c>
      <c r="D121" t="s">
        <v>1299</v>
      </c>
      <c r="E121" t="s">
        <v>2298</v>
      </c>
      <c r="L121" t="s">
        <v>554</v>
      </c>
    </row>
    <row r="122" spans="2:12" x14ac:dyDescent="0.2">
      <c r="B122" t="s">
        <v>1127</v>
      </c>
      <c r="D122" t="s">
        <v>481</v>
      </c>
      <c r="E122" t="s">
        <v>2299</v>
      </c>
      <c r="L122" t="s">
        <v>555</v>
      </c>
    </row>
    <row r="123" spans="2:12" x14ac:dyDescent="0.2">
      <c r="B123" t="s">
        <v>388</v>
      </c>
      <c r="D123" t="s">
        <v>1934</v>
      </c>
      <c r="E123" t="s">
        <v>1312</v>
      </c>
      <c r="L123" t="s">
        <v>556</v>
      </c>
    </row>
    <row r="124" spans="2:12" x14ac:dyDescent="0.2">
      <c r="B124" t="s">
        <v>1128</v>
      </c>
      <c r="D124" t="s">
        <v>1935</v>
      </c>
      <c r="E124" t="s">
        <v>1313</v>
      </c>
      <c r="L124" t="s">
        <v>557</v>
      </c>
    </row>
    <row r="125" spans="2:12" x14ac:dyDescent="0.2">
      <c r="B125" t="s">
        <v>1129</v>
      </c>
      <c r="D125" t="s">
        <v>1936</v>
      </c>
      <c r="E125" t="s">
        <v>1314</v>
      </c>
      <c r="L125" t="s">
        <v>558</v>
      </c>
    </row>
    <row r="126" spans="2:12" x14ac:dyDescent="0.2">
      <c r="B126" t="s">
        <v>396</v>
      </c>
      <c r="D126" t="s">
        <v>1937</v>
      </c>
      <c r="E126" t="s">
        <v>1315</v>
      </c>
      <c r="L126" t="s">
        <v>560</v>
      </c>
    </row>
    <row r="127" spans="2:12" x14ac:dyDescent="0.2">
      <c r="B127" t="s">
        <v>1131</v>
      </c>
      <c r="D127" t="s">
        <v>1938</v>
      </c>
      <c r="E127" t="s">
        <v>2300</v>
      </c>
      <c r="L127" t="s">
        <v>562</v>
      </c>
    </row>
    <row r="128" spans="2:12" x14ac:dyDescent="0.2">
      <c r="B128" t="s">
        <v>2055</v>
      </c>
      <c r="D128" t="s">
        <v>1697</v>
      </c>
      <c r="E128" t="s">
        <v>2301</v>
      </c>
      <c r="L128" t="s">
        <v>564</v>
      </c>
    </row>
    <row r="129" spans="2:12" x14ac:dyDescent="0.2">
      <c r="B129" t="s">
        <v>1893</v>
      </c>
      <c r="D129" t="s">
        <v>486</v>
      </c>
      <c r="E129" t="s">
        <v>2302</v>
      </c>
      <c r="L129" t="s">
        <v>1387</v>
      </c>
    </row>
    <row r="130" spans="2:12" x14ac:dyDescent="0.2">
      <c r="B130" t="s">
        <v>1137</v>
      </c>
      <c r="D130" t="s">
        <v>489</v>
      </c>
      <c r="E130" t="s">
        <v>2303</v>
      </c>
      <c r="L130" t="s">
        <v>566</v>
      </c>
    </row>
    <row r="131" spans="2:12" x14ac:dyDescent="0.2">
      <c r="B131" t="s">
        <v>1138</v>
      </c>
      <c r="D131" t="s">
        <v>1695</v>
      </c>
      <c r="E131" t="s">
        <v>2304</v>
      </c>
      <c r="L131" t="s">
        <v>568</v>
      </c>
    </row>
    <row r="132" spans="2:12" x14ac:dyDescent="0.2">
      <c r="B132" t="s">
        <v>1835</v>
      </c>
      <c r="E132" t="s">
        <v>2305</v>
      </c>
      <c r="L132" t="s">
        <v>569</v>
      </c>
    </row>
    <row r="133" spans="2:12" x14ac:dyDescent="0.2">
      <c r="B133" t="s">
        <v>1140</v>
      </c>
      <c r="E133" t="s">
        <v>2306</v>
      </c>
      <c r="L133" t="s">
        <v>1839</v>
      </c>
    </row>
    <row r="134" spans="2:12" x14ac:dyDescent="0.2">
      <c r="B134" t="s">
        <v>1141</v>
      </c>
      <c r="E134" t="s">
        <v>2307</v>
      </c>
      <c r="L134" t="s">
        <v>572</v>
      </c>
    </row>
    <row r="135" spans="2:12" x14ac:dyDescent="0.2">
      <c r="B135" t="s">
        <v>1142</v>
      </c>
      <c r="E135" t="s">
        <v>2308</v>
      </c>
      <c r="L135" t="s">
        <v>2205</v>
      </c>
    </row>
    <row r="136" spans="2:12" x14ac:dyDescent="0.2">
      <c r="B136" t="s">
        <v>1143</v>
      </c>
      <c r="E136" t="s">
        <v>2309</v>
      </c>
      <c r="L136" t="s">
        <v>574</v>
      </c>
    </row>
    <row r="137" spans="2:12" x14ac:dyDescent="0.2">
      <c r="B137" t="s">
        <v>1144</v>
      </c>
      <c r="E137" t="s">
        <v>2310</v>
      </c>
      <c r="L137" t="s">
        <v>576</v>
      </c>
    </row>
    <row r="138" spans="2:12" x14ac:dyDescent="0.2">
      <c r="B138" t="s">
        <v>1145</v>
      </c>
      <c r="E138" t="s">
        <v>2311</v>
      </c>
      <c r="L138" t="s">
        <v>1840</v>
      </c>
    </row>
    <row r="139" spans="2:12" x14ac:dyDescent="0.2">
      <c r="B139" t="s">
        <v>1146</v>
      </c>
      <c r="E139" t="s">
        <v>2312</v>
      </c>
      <c r="L139" t="s">
        <v>578</v>
      </c>
    </row>
    <row r="140" spans="2:12" x14ac:dyDescent="0.2">
      <c r="B140" t="s">
        <v>1147</v>
      </c>
      <c r="E140" t="s">
        <v>2313</v>
      </c>
      <c r="L140" t="s">
        <v>580</v>
      </c>
    </row>
    <row r="141" spans="2:12" x14ac:dyDescent="0.2">
      <c r="B141" t="s">
        <v>1148</v>
      </c>
      <c r="E141" t="s">
        <v>2314</v>
      </c>
      <c r="L141" t="s">
        <v>581</v>
      </c>
    </row>
    <row r="142" spans="2:12" x14ac:dyDescent="0.2">
      <c r="B142" t="s">
        <v>1149</v>
      </c>
      <c r="E142" t="s">
        <v>2315</v>
      </c>
      <c r="L142" t="s">
        <v>1388</v>
      </c>
    </row>
    <row r="143" spans="2:12" x14ac:dyDescent="0.2">
      <c r="B143" t="s">
        <v>1150</v>
      </c>
      <c r="E143" t="s">
        <v>2316</v>
      </c>
      <c r="L143" t="s">
        <v>582</v>
      </c>
    </row>
    <row r="144" spans="2:12" x14ac:dyDescent="0.2">
      <c r="B144" t="s">
        <v>1151</v>
      </c>
      <c r="E144" t="s">
        <v>2317</v>
      </c>
      <c r="L144" t="s">
        <v>2770</v>
      </c>
    </row>
    <row r="145" spans="2:12" x14ac:dyDescent="0.2">
      <c r="B145" t="s">
        <v>1152</v>
      </c>
      <c r="E145" t="s">
        <v>2318</v>
      </c>
      <c r="L145" t="s">
        <v>584</v>
      </c>
    </row>
    <row r="146" spans="2:12" x14ac:dyDescent="0.2">
      <c r="B146" t="s">
        <v>1153</v>
      </c>
      <c r="E146" t="s">
        <v>2319</v>
      </c>
      <c r="L146" t="s">
        <v>586</v>
      </c>
    </row>
    <row r="147" spans="2:12" x14ac:dyDescent="0.2">
      <c r="B147" t="s">
        <v>1154</v>
      </c>
      <c r="E147" t="s">
        <v>2320</v>
      </c>
      <c r="L147" t="s">
        <v>2771</v>
      </c>
    </row>
    <row r="148" spans="2:12" x14ac:dyDescent="0.2">
      <c r="B148" t="s">
        <v>1155</v>
      </c>
      <c r="E148" t="s">
        <v>2321</v>
      </c>
      <c r="L148" t="s">
        <v>588</v>
      </c>
    </row>
    <row r="149" spans="2:12" x14ac:dyDescent="0.2">
      <c r="B149" t="s">
        <v>1156</v>
      </c>
      <c r="E149" t="s">
        <v>2322</v>
      </c>
      <c r="L149" t="s">
        <v>589</v>
      </c>
    </row>
    <row r="150" spans="2:12" x14ac:dyDescent="0.2">
      <c r="B150" t="s">
        <v>1157</v>
      </c>
      <c r="E150" t="s">
        <v>2323</v>
      </c>
      <c r="L150" t="s">
        <v>590</v>
      </c>
    </row>
    <row r="151" spans="2:12" x14ac:dyDescent="0.2">
      <c r="B151" t="s">
        <v>1158</v>
      </c>
      <c r="E151" t="s">
        <v>2324</v>
      </c>
      <c r="L151" t="s">
        <v>591</v>
      </c>
    </row>
    <row r="152" spans="2:12" x14ac:dyDescent="0.2">
      <c r="B152" t="s">
        <v>1159</v>
      </c>
      <c r="E152" t="s">
        <v>2325</v>
      </c>
      <c r="L152" t="s">
        <v>593</v>
      </c>
    </row>
    <row r="153" spans="2:12" x14ac:dyDescent="0.2">
      <c r="B153" t="s">
        <v>1160</v>
      </c>
      <c r="E153" t="s">
        <v>2326</v>
      </c>
      <c r="L153" t="s">
        <v>594</v>
      </c>
    </row>
    <row r="154" spans="2:12" x14ac:dyDescent="0.2">
      <c r="B154" t="s">
        <v>1161</v>
      </c>
      <c r="E154" t="s">
        <v>2327</v>
      </c>
      <c r="L154" t="s">
        <v>596</v>
      </c>
    </row>
    <row r="155" spans="2:12" x14ac:dyDescent="0.2">
      <c r="B155" t="s">
        <v>1894</v>
      </c>
      <c r="E155" t="s">
        <v>2328</v>
      </c>
      <c r="L155" t="s">
        <v>598</v>
      </c>
    </row>
    <row r="156" spans="2:12" x14ac:dyDescent="0.2">
      <c r="B156" t="s">
        <v>1162</v>
      </c>
      <c r="E156" t="s">
        <v>2329</v>
      </c>
      <c r="L156" t="s">
        <v>599</v>
      </c>
    </row>
    <row r="157" spans="2:12" x14ac:dyDescent="0.2">
      <c r="B157" t="s">
        <v>1163</v>
      </c>
      <c r="E157" t="s">
        <v>2330</v>
      </c>
      <c r="L157" t="s">
        <v>600</v>
      </c>
    </row>
    <row r="158" spans="2:12" x14ac:dyDescent="0.2">
      <c r="B158" t="s">
        <v>1164</v>
      </c>
      <c r="E158" t="s">
        <v>2331</v>
      </c>
      <c r="L158" t="s">
        <v>1841</v>
      </c>
    </row>
    <row r="159" spans="2:12" x14ac:dyDescent="0.2">
      <c r="B159" t="s">
        <v>1165</v>
      </c>
      <c r="E159" t="s">
        <v>2332</v>
      </c>
      <c r="L159" t="s">
        <v>602</v>
      </c>
    </row>
    <row r="160" spans="2:12" x14ac:dyDescent="0.2">
      <c r="B160" t="s">
        <v>1166</v>
      </c>
      <c r="E160" t="s">
        <v>2333</v>
      </c>
      <c r="L160" t="s">
        <v>604</v>
      </c>
    </row>
    <row r="161" spans="2:12" x14ac:dyDescent="0.2">
      <c r="B161" t="s">
        <v>1167</v>
      </c>
      <c r="E161" t="s">
        <v>2334</v>
      </c>
      <c r="L161" t="s">
        <v>606</v>
      </c>
    </row>
    <row r="162" spans="2:12" x14ac:dyDescent="0.2">
      <c r="B162" t="s">
        <v>1168</v>
      </c>
      <c r="E162" t="s">
        <v>1316</v>
      </c>
      <c r="L162" t="s">
        <v>608</v>
      </c>
    </row>
    <row r="163" spans="2:12" x14ac:dyDescent="0.2">
      <c r="B163" t="s">
        <v>1169</v>
      </c>
      <c r="E163" t="s">
        <v>1317</v>
      </c>
      <c r="L163" t="s">
        <v>609</v>
      </c>
    </row>
    <row r="164" spans="2:12" x14ac:dyDescent="0.2">
      <c r="B164" t="s">
        <v>1170</v>
      </c>
      <c r="E164" t="s">
        <v>2335</v>
      </c>
      <c r="L164" t="s">
        <v>610</v>
      </c>
    </row>
    <row r="165" spans="2:12" x14ac:dyDescent="0.2">
      <c r="B165" t="s">
        <v>1171</v>
      </c>
      <c r="E165" t="s">
        <v>1318</v>
      </c>
      <c r="L165" t="s">
        <v>612</v>
      </c>
    </row>
    <row r="166" spans="2:12" x14ac:dyDescent="0.2">
      <c r="B166" t="s">
        <v>1172</v>
      </c>
      <c r="E166" t="s">
        <v>2336</v>
      </c>
      <c r="L166" t="s">
        <v>613</v>
      </c>
    </row>
    <row r="167" spans="2:12" x14ac:dyDescent="0.2">
      <c r="B167" t="s">
        <v>1173</v>
      </c>
      <c r="E167" t="s">
        <v>1319</v>
      </c>
      <c r="L167" t="s">
        <v>615</v>
      </c>
    </row>
    <row r="168" spans="2:12" x14ac:dyDescent="0.2">
      <c r="B168" t="s">
        <v>1174</v>
      </c>
      <c r="E168" t="s">
        <v>1320</v>
      </c>
      <c r="L168" t="s">
        <v>616</v>
      </c>
    </row>
    <row r="169" spans="2:12" x14ac:dyDescent="0.2">
      <c r="B169" t="s">
        <v>1175</v>
      </c>
      <c r="E169" t="s">
        <v>1321</v>
      </c>
      <c r="L169" t="s">
        <v>618</v>
      </c>
    </row>
    <row r="170" spans="2:12" x14ac:dyDescent="0.2">
      <c r="B170" t="s">
        <v>1176</v>
      </c>
      <c r="E170" t="s">
        <v>1322</v>
      </c>
      <c r="L170" t="s">
        <v>619</v>
      </c>
    </row>
    <row r="171" spans="2:12" x14ac:dyDescent="0.2">
      <c r="B171" t="s">
        <v>1177</v>
      </c>
      <c r="E171" t="s">
        <v>1323</v>
      </c>
      <c r="L171" t="s">
        <v>621</v>
      </c>
    </row>
    <row r="172" spans="2:12" x14ac:dyDescent="0.2">
      <c r="B172" t="s">
        <v>1179</v>
      </c>
      <c r="E172" t="s">
        <v>2337</v>
      </c>
      <c r="L172" t="s">
        <v>622</v>
      </c>
    </row>
    <row r="173" spans="2:12" x14ac:dyDescent="0.2">
      <c r="B173" t="s">
        <v>1180</v>
      </c>
      <c r="E173" t="s">
        <v>2338</v>
      </c>
      <c r="L173" t="s">
        <v>623</v>
      </c>
    </row>
    <row r="174" spans="2:12" x14ac:dyDescent="0.2">
      <c r="B174" t="s">
        <v>1181</v>
      </c>
      <c r="E174" t="s">
        <v>2339</v>
      </c>
      <c r="L174" t="s">
        <v>625</v>
      </c>
    </row>
    <row r="175" spans="2:12" x14ac:dyDescent="0.2">
      <c r="B175" t="s">
        <v>1182</v>
      </c>
      <c r="E175" t="s">
        <v>2142</v>
      </c>
      <c r="L175" t="s">
        <v>627</v>
      </c>
    </row>
    <row r="176" spans="2:12" x14ac:dyDescent="0.2">
      <c r="B176" t="s">
        <v>488</v>
      </c>
      <c r="E176" t="s">
        <v>2340</v>
      </c>
      <c r="L176" t="s">
        <v>628</v>
      </c>
    </row>
    <row r="177" spans="2:12" x14ac:dyDescent="0.2">
      <c r="B177" t="s">
        <v>1183</v>
      </c>
      <c r="E177" t="s">
        <v>2143</v>
      </c>
      <c r="L177" t="s">
        <v>2206</v>
      </c>
    </row>
    <row r="178" spans="2:12" x14ac:dyDescent="0.2">
      <c r="B178" t="s">
        <v>1184</v>
      </c>
      <c r="E178" t="s">
        <v>2341</v>
      </c>
      <c r="L178" t="s">
        <v>629</v>
      </c>
    </row>
    <row r="179" spans="2:12" x14ac:dyDescent="0.2">
      <c r="B179" t="s">
        <v>1185</v>
      </c>
      <c r="E179" t="s">
        <v>2342</v>
      </c>
      <c r="L179" t="s">
        <v>630</v>
      </c>
    </row>
    <row r="180" spans="2:12" x14ac:dyDescent="0.2">
      <c r="B180" t="s">
        <v>1186</v>
      </c>
      <c r="E180" t="s">
        <v>2343</v>
      </c>
      <c r="L180" t="s">
        <v>631</v>
      </c>
    </row>
    <row r="181" spans="2:12" x14ac:dyDescent="0.2">
      <c r="B181" t="s">
        <v>1895</v>
      </c>
      <c r="E181" t="s">
        <v>2344</v>
      </c>
      <c r="L181" t="s">
        <v>632</v>
      </c>
    </row>
    <row r="182" spans="2:12" x14ac:dyDescent="0.2">
      <c r="B182" t="s">
        <v>1190</v>
      </c>
      <c r="E182" t="s">
        <v>2345</v>
      </c>
      <c r="L182" t="s">
        <v>633</v>
      </c>
    </row>
    <row r="183" spans="2:12" x14ac:dyDescent="0.2">
      <c r="B183" t="s">
        <v>1896</v>
      </c>
      <c r="E183" t="s">
        <v>2346</v>
      </c>
      <c r="L183" t="s">
        <v>634</v>
      </c>
    </row>
    <row r="184" spans="2:12" x14ac:dyDescent="0.2">
      <c r="B184" t="s">
        <v>2248</v>
      </c>
      <c r="E184" t="s">
        <v>2347</v>
      </c>
      <c r="L184" t="s">
        <v>635</v>
      </c>
    </row>
    <row r="185" spans="2:12" x14ac:dyDescent="0.2">
      <c r="B185" t="s">
        <v>2249</v>
      </c>
      <c r="E185" t="s">
        <v>1324</v>
      </c>
      <c r="L185" t="s">
        <v>636</v>
      </c>
    </row>
    <row r="186" spans="2:12" x14ac:dyDescent="0.2">
      <c r="B186" t="s">
        <v>2250</v>
      </c>
      <c r="E186" t="s">
        <v>2348</v>
      </c>
      <c r="L186" t="s">
        <v>637</v>
      </c>
    </row>
    <row r="187" spans="2:12" x14ac:dyDescent="0.2">
      <c r="B187" t="s">
        <v>950</v>
      </c>
      <c r="E187" t="s">
        <v>2349</v>
      </c>
      <c r="L187" t="s">
        <v>638</v>
      </c>
    </row>
    <row r="188" spans="2:12" x14ac:dyDescent="0.2">
      <c r="B188" t="s">
        <v>502</v>
      </c>
      <c r="E188" t="s">
        <v>1325</v>
      </c>
      <c r="L188" t="s">
        <v>639</v>
      </c>
    </row>
    <row r="189" spans="2:12" x14ac:dyDescent="0.2">
      <c r="B189" t="s">
        <v>505</v>
      </c>
      <c r="E189" t="s">
        <v>1326</v>
      </c>
      <c r="L189" t="s">
        <v>640</v>
      </c>
    </row>
    <row r="190" spans="2:12" x14ac:dyDescent="0.2">
      <c r="B190" t="s">
        <v>2251</v>
      </c>
      <c r="E190" t="s">
        <v>1327</v>
      </c>
      <c r="L190" t="s">
        <v>641</v>
      </c>
    </row>
    <row r="191" spans="2:12" x14ac:dyDescent="0.2">
      <c r="B191" t="s">
        <v>1192</v>
      </c>
      <c r="E191" t="s">
        <v>2144</v>
      </c>
      <c r="L191" t="s">
        <v>642</v>
      </c>
    </row>
    <row r="192" spans="2:12" x14ac:dyDescent="0.2">
      <c r="B192" t="s">
        <v>508</v>
      </c>
      <c r="E192" t="s">
        <v>2350</v>
      </c>
      <c r="L192" t="s">
        <v>643</v>
      </c>
    </row>
    <row r="193" spans="2:12" x14ac:dyDescent="0.2">
      <c r="B193" t="s">
        <v>511</v>
      </c>
      <c r="E193" t="s">
        <v>2351</v>
      </c>
      <c r="L193" t="s">
        <v>644</v>
      </c>
    </row>
    <row r="194" spans="2:12" x14ac:dyDescent="0.2">
      <c r="B194" t="s">
        <v>514</v>
      </c>
      <c r="E194" t="s">
        <v>2145</v>
      </c>
      <c r="L194" t="s">
        <v>645</v>
      </c>
    </row>
    <row r="195" spans="2:12" x14ac:dyDescent="0.2">
      <c r="B195" t="s">
        <v>1193</v>
      </c>
      <c r="E195" t="s">
        <v>2352</v>
      </c>
      <c r="L195" t="s">
        <v>646</v>
      </c>
    </row>
    <row r="196" spans="2:12" x14ac:dyDescent="0.2">
      <c r="B196" t="s">
        <v>517</v>
      </c>
      <c r="E196" t="s">
        <v>2353</v>
      </c>
      <c r="L196" t="s">
        <v>1949</v>
      </c>
    </row>
    <row r="197" spans="2:12" x14ac:dyDescent="0.2">
      <c r="B197" t="s">
        <v>1897</v>
      </c>
      <c r="E197" t="s">
        <v>2354</v>
      </c>
      <c r="L197" t="s">
        <v>647</v>
      </c>
    </row>
    <row r="198" spans="2:12" x14ac:dyDescent="0.2">
      <c r="B198" t="s">
        <v>1194</v>
      </c>
      <c r="E198" t="s">
        <v>2146</v>
      </c>
      <c r="L198" t="s">
        <v>648</v>
      </c>
    </row>
    <row r="199" spans="2:12" x14ac:dyDescent="0.2">
      <c r="B199" t="s">
        <v>2056</v>
      </c>
      <c r="E199" t="s">
        <v>2355</v>
      </c>
      <c r="L199" t="s">
        <v>1389</v>
      </c>
    </row>
    <row r="200" spans="2:12" x14ac:dyDescent="0.2">
      <c r="B200" t="s">
        <v>1196</v>
      </c>
      <c r="E200" t="s">
        <v>2356</v>
      </c>
      <c r="L200" t="s">
        <v>649</v>
      </c>
    </row>
    <row r="201" spans="2:12" x14ac:dyDescent="0.2">
      <c r="B201" t="s">
        <v>2057</v>
      </c>
      <c r="E201" t="s">
        <v>2357</v>
      </c>
      <c r="L201" t="s">
        <v>650</v>
      </c>
    </row>
    <row r="202" spans="2:12" x14ac:dyDescent="0.2">
      <c r="B202" t="s">
        <v>522</v>
      </c>
      <c r="E202" t="s">
        <v>2147</v>
      </c>
      <c r="L202" t="s">
        <v>651</v>
      </c>
    </row>
    <row r="203" spans="2:12" x14ac:dyDescent="0.2">
      <c r="B203" t="s">
        <v>524</v>
      </c>
      <c r="E203" t="s">
        <v>2358</v>
      </c>
      <c r="L203" t="s">
        <v>652</v>
      </c>
    </row>
    <row r="204" spans="2:12" x14ac:dyDescent="0.2">
      <c r="B204" t="s">
        <v>526</v>
      </c>
      <c r="E204" t="s">
        <v>2359</v>
      </c>
      <c r="L204" t="s">
        <v>653</v>
      </c>
    </row>
    <row r="205" spans="2:12" x14ac:dyDescent="0.2">
      <c r="B205" t="s">
        <v>1198</v>
      </c>
      <c r="E205" t="s">
        <v>2360</v>
      </c>
      <c r="L205" t="s">
        <v>654</v>
      </c>
    </row>
    <row r="206" spans="2:12" x14ac:dyDescent="0.2">
      <c r="B206" t="s">
        <v>1199</v>
      </c>
      <c r="E206" t="s">
        <v>2148</v>
      </c>
      <c r="L206" t="s">
        <v>655</v>
      </c>
    </row>
    <row r="207" spans="2:12" x14ac:dyDescent="0.2">
      <c r="B207" t="s">
        <v>528</v>
      </c>
      <c r="E207" t="s">
        <v>2361</v>
      </c>
      <c r="L207" t="s">
        <v>656</v>
      </c>
    </row>
    <row r="208" spans="2:12" x14ac:dyDescent="0.2">
      <c r="B208" t="s">
        <v>529</v>
      </c>
      <c r="E208" t="s">
        <v>2362</v>
      </c>
      <c r="L208" t="s">
        <v>657</v>
      </c>
    </row>
    <row r="209" spans="2:12" x14ac:dyDescent="0.2">
      <c r="B209" t="s">
        <v>530</v>
      </c>
      <c r="E209" t="s">
        <v>2363</v>
      </c>
      <c r="L209" t="s">
        <v>658</v>
      </c>
    </row>
    <row r="210" spans="2:12" x14ac:dyDescent="0.2">
      <c r="B210" t="s">
        <v>532</v>
      </c>
      <c r="E210" t="s">
        <v>2149</v>
      </c>
      <c r="L210" t="s">
        <v>659</v>
      </c>
    </row>
    <row r="211" spans="2:12" x14ac:dyDescent="0.2">
      <c r="B211" t="s">
        <v>534</v>
      </c>
      <c r="E211" t="s">
        <v>2364</v>
      </c>
      <c r="L211" t="s">
        <v>660</v>
      </c>
    </row>
    <row r="212" spans="2:12" x14ac:dyDescent="0.2">
      <c r="B212" t="s">
        <v>537</v>
      </c>
      <c r="E212" t="s">
        <v>2365</v>
      </c>
      <c r="L212" t="s">
        <v>661</v>
      </c>
    </row>
    <row r="213" spans="2:12" x14ac:dyDescent="0.2">
      <c r="B213" t="s">
        <v>543</v>
      </c>
      <c r="E213" t="s">
        <v>2366</v>
      </c>
      <c r="L213" t="s">
        <v>662</v>
      </c>
    </row>
    <row r="214" spans="2:12" x14ac:dyDescent="0.2">
      <c r="B214" t="s">
        <v>545</v>
      </c>
      <c r="E214" t="s">
        <v>2150</v>
      </c>
      <c r="L214" t="s">
        <v>2207</v>
      </c>
    </row>
    <row r="215" spans="2:12" x14ac:dyDescent="0.2">
      <c r="B215" t="s">
        <v>547</v>
      </c>
      <c r="E215" t="s">
        <v>2367</v>
      </c>
      <c r="L215" t="s">
        <v>2772</v>
      </c>
    </row>
    <row r="216" spans="2:12" x14ac:dyDescent="0.2">
      <c r="B216" t="s">
        <v>549</v>
      </c>
      <c r="E216" t="s">
        <v>2368</v>
      </c>
      <c r="L216" t="s">
        <v>663</v>
      </c>
    </row>
    <row r="217" spans="2:12" x14ac:dyDescent="0.2">
      <c r="B217" t="s">
        <v>551</v>
      </c>
      <c r="E217" t="s">
        <v>2369</v>
      </c>
      <c r="L217" t="s">
        <v>664</v>
      </c>
    </row>
    <row r="218" spans="2:12" x14ac:dyDescent="0.2">
      <c r="B218" t="s">
        <v>1201</v>
      </c>
      <c r="E218" t="s">
        <v>1328</v>
      </c>
      <c r="L218" t="s">
        <v>665</v>
      </c>
    </row>
    <row r="219" spans="2:12" x14ac:dyDescent="0.2">
      <c r="B219" t="s">
        <v>1202</v>
      </c>
      <c r="E219" t="s">
        <v>2370</v>
      </c>
      <c r="L219" t="s">
        <v>1390</v>
      </c>
    </row>
    <row r="220" spans="2:12" x14ac:dyDescent="0.2">
      <c r="B220" t="s">
        <v>1203</v>
      </c>
      <c r="E220" t="s">
        <v>2371</v>
      </c>
      <c r="L220" t="s">
        <v>666</v>
      </c>
    </row>
    <row r="221" spans="2:12" x14ac:dyDescent="0.2">
      <c r="B221" t="s">
        <v>1204</v>
      </c>
      <c r="E221" t="s">
        <v>2372</v>
      </c>
      <c r="L221" t="s">
        <v>1842</v>
      </c>
    </row>
    <row r="222" spans="2:12" x14ac:dyDescent="0.2">
      <c r="B222" t="s">
        <v>1205</v>
      </c>
      <c r="E222" t="s">
        <v>1329</v>
      </c>
      <c r="L222" t="s">
        <v>1950</v>
      </c>
    </row>
    <row r="223" spans="2:12" x14ac:dyDescent="0.2">
      <c r="B223" t="s">
        <v>1206</v>
      </c>
      <c r="E223" t="s">
        <v>2373</v>
      </c>
      <c r="L223" t="s">
        <v>667</v>
      </c>
    </row>
    <row r="224" spans="2:12" x14ac:dyDescent="0.2">
      <c r="B224" t="s">
        <v>1207</v>
      </c>
      <c r="E224" t="s">
        <v>2374</v>
      </c>
      <c r="L224" t="s">
        <v>668</v>
      </c>
    </row>
    <row r="225" spans="2:12" x14ac:dyDescent="0.2">
      <c r="B225" t="s">
        <v>1898</v>
      </c>
      <c r="E225" t="s">
        <v>2375</v>
      </c>
      <c r="L225" t="s">
        <v>669</v>
      </c>
    </row>
    <row r="226" spans="2:12" x14ac:dyDescent="0.2">
      <c r="B226" t="s">
        <v>559</v>
      </c>
      <c r="E226" t="s">
        <v>2376</v>
      </c>
      <c r="L226" t="s">
        <v>670</v>
      </c>
    </row>
    <row r="227" spans="2:12" x14ac:dyDescent="0.2">
      <c r="B227" t="s">
        <v>561</v>
      </c>
      <c r="E227" t="s">
        <v>2377</v>
      </c>
      <c r="L227" t="s">
        <v>1843</v>
      </c>
    </row>
    <row r="228" spans="2:12" x14ac:dyDescent="0.2">
      <c r="B228" t="s">
        <v>563</v>
      </c>
      <c r="E228" t="s">
        <v>2378</v>
      </c>
      <c r="L228" t="s">
        <v>671</v>
      </c>
    </row>
    <row r="229" spans="2:12" x14ac:dyDescent="0.2">
      <c r="B229" t="s">
        <v>565</v>
      </c>
      <c r="E229" t="s">
        <v>2379</v>
      </c>
      <c r="L229" t="s">
        <v>1844</v>
      </c>
    </row>
    <row r="230" spans="2:12" x14ac:dyDescent="0.2">
      <c r="B230" t="s">
        <v>1208</v>
      </c>
      <c r="E230" t="s">
        <v>2380</v>
      </c>
      <c r="L230" t="s">
        <v>672</v>
      </c>
    </row>
    <row r="231" spans="2:12" x14ac:dyDescent="0.2">
      <c r="B231" t="s">
        <v>567</v>
      </c>
      <c r="E231" t="s">
        <v>2151</v>
      </c>
      <c r="L231" t="s">
        <v>1391</v>
      </c>
    </row>
    <row r="232" spans="2:12" x14ac:dyDescent="0.2">
      <c r="B232" t="s">
        <v>1209</v>
      </c>
      <c r="E232" t="s">
        <v>2381</v>
      </c>
      <c r="L232" t="s">
        <v>673</v>
      </c>
    </row>
    <row r="233" spans="2:12" x14ac:dyDescent="0.2">
      <c r="B233" t="s">
        <v>951</v>
      </c>
      <c r="E233" t="s">
        <v>1330</v>
      </c>
      <c r="L233" t="s">
        <v>674</v>
      </c>
    </row>
    <row r="234" spans="2:12" x14ac:dyDescent="0.2">
      <c r="B234" t="s">
        <v>952</v>
      </c>
      <c r="E234" t="s">
        <v>1939</v>
      </c>
      <c r="L234" t="s">
        <v>675</v>
      </c>
    </row>
    <row r="235" spans="2:12" x14ac:dyDescent="0.2">
      <c r="B235" t="s">
        <v>953</v>
      </c>
      <c r="E235" t="s">
        <v>1331</v>
      </c>
      <c r="L235" t="s">
        <v>676</v>
      </c>
    </row>
    <row r="236" spans="2:12" x14ac:dyDescent="0.2">
      <c r="B236" t="s">
        <v>570</v>
      </c>
      <c r="E236" t="s">
        <v>2382</v>
      </c>
      <c r="L236" t="s">
        <v>677</v>
      </c>
    </row>
    <row r="237" spans="2:12" x14ac:dyDescent="0.2">
      <c r="B237" t="s">
        <v>571</v>
      </c>
      <c r="E237" t="s">
        <v>2383</v>
      </c>
      <c r="L237" t="s">
        <v>678</v>
      </c>
    </row>
    <row r="238" spans="2:12" x14ac:dyDescent="0.2">
      <c r="B238" t="s">
        <v>573</v>
      </c>
      <c r="E238" t="s">
        <v>2384</v>
      </c>
      <c r="L238" t="s">
        <v>679</v>
      </c>
    </row>
    <row r="239" spans="2:12" x14ac:dyDescent="0.2">
      <c r="B239" t="s">
        <v>575</v>
      </c>
      <c r="E239" t="s">
        <v>1332</v>
      </c>
      <c r="L239" t="s">
        <v>680</v>
      </c>
    </row>
    <row r="240" spans="2:12" x14ac:dyDescent="0.2">
      <c r="B240" t="s">
        <v>1210</v>
      </c>
      <c r="E240" t="s">
        <v>1333</v>
      </c>
      <c r="L240" t="s">
        <v>1392</v>
      </c>
    </row>
    <row r="241" spans="2:12" x14ac:dyDescent="0.2">
      <c r="B241" t="s">
        <v>577</v>
      </c>
      <c r="E241" t="s">
        <v>1334</v>
      </c>
      <c r="L241" t="s">
        <v>681</v>
      </c>
    </row>
    <row r="242" spans="2:12" x14ac:dyDescent="0.2">
      <c r="B242" t="s">
        <v>579</v>
      </c>
      <c r="E242" t="s">
        <v>1335</v>
      </c>
      <c r="L242" t="s">
        <v>682</v>
      </c>
    </row>
    <row r="243" spans="2:12" x14ac:dyDescent="0.2">
      <c r="B243" t="s">
        <v>2058</v>
      </c>
      <c r="E243" t="s">
        <v>2152</v>
      </c>
      <c r="L243" t="s">
        <v>683</v>
      </c>
    </row>
    <row r="244" spans="2:12" x14ac:dyDescent="0.2">
      <c r="B244" t="s">
        <v>1211</v>
      </c>
      <c r="E244" t="s">
        <v>2153</v>
      </c>
      <c r="L244" t="s">
        <v>684</v>
      </c>
    </row>
    <row r="245" spans="2:12" x14ac:dyDescent="0.2">
      <c r="B245" t="s">
        <v>2059</v>
      </c>
      <c r="E245" t="s">
        <v>1336</v>
      </c>
      <c r="L245" t="s">
        <v>1845</v>
      </c>
    </row>
    <row r="246" spans="2:12" x14ac:dyDescent="0.2">
      <c r="B246" t="s">
        <v>1213</v>
      </c>
      <c r="E246" t="s">
        <v>1337</v>
      </c>
      <c r="L246" t="s">
        <v>685</v>
      </c>
    </row>
    <row r="247" spans="2:12" x14ac:dyDescent="0.2">
      <c r="B247" t="s">
        <v>2060</v>
      </c>
      <c r="E247" t="s">
        <v>994</v>
      </c>
      <c r="L247" t="s">
        <v>686</v>
      </c>
    </row>
    <row r="248" spans="2:12" x14ac:dyDescent="0.2">
      <c r="B248" t="s">
        <v>1215</v>
      </c>
      <c r="E248" t="s">
        <v>2154</v>
      </c>
      <c r="L248" t="s">
        <v>687</v>
      </c>
    </row>
    <row r="249" spans="2:12" x14ac:dyDescent="0.2">
      <c r="B249" t="s">
        <v>1216</v>
      </c>
      <c r="E249" t="s">
        <v>2155</v>
      </c>
      <c r="L249" t="s">
        <v>2773</v>
      </c>
    </row>
    <row r="250" spans="2:12" x14ac:dyDescent="0.2">
      <c r="B250" t="s">
        <v>2061</v>
      </c>
      <c r="E250" t="s">
        <v>2156</v>
      </c>
      <c r="L250" t="s">
        <v>688</v>
      </c>
    </row>
    <row r="251" spans="2:12" x14ac:dyDescent="0.2">
      <c r="B251" t="s">
        <v>1218</v>
      </c>
      <c r="E251" t="s">
        <v>2157</v>
      </c>
      <c r="L251" t="s">
        <v>2774</v>
      </c>
    </row>
    <row r="252" spans="2:12" x14ac:dyDescent="0.2">
      <c r="B252" t="s">
        <v>2062</v>
      </c>
      <c r="E252" t="s">
        <v>2158</v>
      </c>
      <c r="L252" t="s">
        <v>689</v>
      </c>
    </row>
    <row r="253" spans="2:12" x14ac:dyDescent="0.2">
      <c r="B253" t="s">
        <v>583</v>
      </c>
      <c r="E253" t="s">
        <v>2159</v>
      </c>
      <c r="L253" t="s">
        <v>690</v>
      </c>
    </row>
    <row r="254" spans="2:12" x14ac:dyDescent="0.2">
      <c r="B254" t="s">
        <v>1220</v>
      </c>
      <c r="E254" t="s">
        <v>2160</v>
      </c>
      <c r="L254" t="s">
        <v>691</v>
      </c>
    </row>
    <row r="255" spans="2:12" x14ac:dyDescent="0.2">
      <c r="B255" t="s">
        <v>1221</v>
      </c>
      <c r="E255" t="s">
        <v>2161</v>
      </c>
      <c r="L255" t="s">
        <v>1846</v>
      </c>
    </row>
    <row r="256" spans="2:12" x14ac:dyDescent="0.2">
      <c r="B256" t="s">
        <v>1222</v>
      </c>
      <c r="E256" t="s">
        <v>2162</v>
      </c>
      <c r="L256" t="s">
        <v>1847</v>
      </c>
    </row>
    <row r="257" spans="2:12" x14ac:dyDescent="0.2">
      <c r="B257" t="s">
        <v>1223</v>
      </c>
      <c r="E257" t="s">
        <v>2163</v>
      </c>
      <c r="L257" t="s">
        <v>2208</v>
      </c>
    </row>
    <row r="258" spans="2:12" x14ac:dyDescent="0.2">
      <c r="B258" t="s">
        <v>1224</v>
      </c>
      <c r="E258" t="s">
        <v>2164</v>
      </c>
      <c r="L258" t="s">
        <v>692</v>
      </c>
    </row>
    <row r="259" spans="2:12" x14ac:dyDescent="0.2">
      <c r="B259" t="s">
        <v>1225</v>
      </c>
      <c r="E259" t="s">
        <v>2165</v>
      </c>
      <c r="L259" t="s">
        <v>693</v>
      </c>
    </row>
    <row r="260" spans="2:12" x14ac:dyDescent="0.2">
      <c r="B260" t="s">
        <v>1226</v>
      </c>
      <c r="E260" t="s">
        <v>2166</v>
      </c>
      <c r="L260" t="s">
        <v>694</v>
      </c>
    </row>
    <row r="261" spans="2:12" x14ac:dyDescent="0.2">
      <c r="B261" t="s">
        <v>1227</v>
      </c>
      <c r="E261" t="s">
        <v>2167</v>
      </c>
      <c r="L261" t="s">
        <v>695</v>
      </c>
    </row>
    <row r="262" spans="2:12" x14ac:dyDescent="0.2">
      <c r="B262" t="s">
        <v>1228</v>
      </c>
      <c r="E262" t="s">
        <v>2168</v>
      </c>
      <c r="L262" t="s">
        <v>696</v>
      </c>
    </row>
    <row r="263" spans="2:12" x14ac:dyDescent="0.2">
      <c r="B263" t="s">
        <v>1229</v>
      </c>
      <c r="E263" t="s">
        <v>2169</v>
      </c>
      <c r="L263" t="s">
        <v>697</v>
      </c>
    </row>
    <row r="264" spans="2:12" x14ac:dyDescent="0.2">
      <c r="B264" t="s">
        <v>2252</v>
      </c>
      <c r="E264" t="s">
        <v>2170</v>
      </c>
      <c r="L264" t="s">
        <v>698</v>
      </c>
    </row>
    <row r="265" spans="2:12" x14ac:dyDescent="0.2">
      <c r="B265" t="s">
        <v>1231</v>
      </c>
      <c r="E265" t="s">
        <v>2171</v>
      </c>
      <c r="L265" t="s">
        <v>1951</v>
      </c>
    </row>
    <row r="266" spans="2:12" x14ac:dyDescent="0.2">
      <c r="B266" t="s">
        <v>2063</v>
      </c>
      <c r="E266" t="s">
        <v>2172</v>
      </c>
      <c r="L266" t="s">
        <v>1952</v>
      </c>
    </row>
    <row r="267" spans="2:12" x14ac:dyDescent="0.2">
      <c r="B267" t="s">
        <v>1232</v>
      </c>
      <c r="E267" t="s">
        <v>2173</v>
      </c>
      <c r="L267" t="s">
        <v>1953</v>
      </c>
    </row>
    <row r="268" spans="2:12" x14ac:dyDescent="0.2">
      <c r="B268" t="s">
        <v>1234</v>
      </c>
      <c r="E268" t="s">
        <v>2174</v>
      </c>
      <c r="L268" t="s">
        <v>1954</v>
      </c>
    </row>
    <row r="269" spans="2:12" x14ac:dyDescent="0.2">
      <c r="B269" t="s">
        <v>2064</v>
      </c>
      <c r="E269" t="s">
        <v>2175</v>
      </c>
      <c r="L269" t="s">
        <v>1955</v>
      </c>
    </row>
    <row r="270" spans="2:12" x14ac:dyDescent="0.2">
      <c r="B270" t="s">
        <v>585</v>
      </c>
      <c r="E270" t="s">
        <v>2176</v>
      </c>
      <c r="L270" t="s">
        <v>1956</v>
      </c>
    </row>
    <row r="271" spans="2:12" x14ac:dyDescent="0.2">
      <c r="B271" t="s">
        <v>1237</v>
      </c>
      <c r="E271" t="s">
        <v>2177</v>
      </c>
      <c r="L271" t="s">
        <v>1957</v>
      </c>
    </row>
    <row r="272" spans="2:12" x14ac:dyDescent="0.2">
      <c r="B272" t="s">
        <v>1238</v>
      </c>
      <c r="E272" t="s">
        <v>2178</v>
      </c>
      <c r="L272" t="s">
        <v>1958</v>
      </c>
    </row>
    <row r="273" spans="2:12" x14ac:dyDescent="0.2">
      <c r="B273" t="s">
        <v>587</v>
      </c>
      <c r="E273" t="s">
        <v>2179</v>
      </c>
      <c r="L273" t="s">
        <v>2209</v>
      </c>
    </row>
    <row r="274" spans="2:12" x14ac:dyDescent="0.2">
      <c r="B274" t="s">
        <v>1239</v>
      </c>
      <c r="E274" t="s">
        <v>2180</v>
      </c>
      <c r="L274" t="s">
        <v>1959</v>
      </c>
    </row>
    <row r="275" spans="2:12" x14ac:dyDescent="0.2">
      <c r="B275" t="s">
        <v>1240</v>
      </c>
      <c r="E275" t="s">
        <v>2181</v>
      </c>
      <c r="L275" t="s">
        <v>1960</v>
      </c>
    </row>
    <row r="276" spans="2:12" x14ac:dyDescent="0.2">
      <c r="B276" t="s">
        <v>2065</v>
      </c>
      <c r="E276" t="s">
        <v>2182</v>
      </c>
      <c r="L276" t="s">
        <v>1961</v>
      </c>
    </row>
    <row r="277" spans="2:12" x14ac:dyDescent="0.2">
      <c r="B277" t="s">
        <v>1241</v>
      </c>
      <c r="E277" t="s">
        <v>2183</v>
      </c>
      <c r="L277" t="s">
        <v>1962</v>
      </c>
    </row>
    <row r="278" spans="2:12" x14ac:dyDescent="0.2">
      <c r="B278" t="s">
        <v>592</v>
      </c>
      <c r="E278" t="s">
        <v>2184</v>
      </c>
      <c r="L278" t="s">
        <v>1963</v>
      </c>
    </row>
    <row r="279" spans="2:12" x14ac:dyDescent="0.2">
      <c r="B279" t="s">
        <v>1242</v>
      </c>
      <c r="E279" t="s">
        <v>2185</v>
      </c>
      <c r="L279" t="s">
        <v>1964</v>
      </c>
    </row>
    <row r="280" spans="2:12" x14ac:dyDescent="0.2">
      <c r="B280" t="s">
        <v>1243</v>
      </c>
      <c r="E280" t="s">
        <v>2186</v>
      </c>
      <c r="L280" t="s">
        <v>1965</v>
      </c>
    </row>
    <row r="281" spans="2:12" x14ac:dyDescent="0.2">
      <c r="B281" t="s">
        <v>1244</v>
      </c>
      <c r="E281" t="s">
        <v>2187</v>
      </c>
      <c r="L281" t="s">
        <v>1966</v>
      </c>
    </row>
    <row r="282" spans="2:12" x14ac:dyDescent="0.2">
      <c r="B282" t="s">
        <v>1245</v>
      </c>
      <c r="E282" t="s">
        <v>2188</v>
      </c>
      <c r="L282" t="s">
        <v>1967</v>
      </c>
    </row>
    <row r="283" spans="2:12" x14ac:dyDescent="0.2">
      <c r="B283" t="s">
        <v>954</v>
      </c>
      <c r="E283" t="s">
        <v>2189</v>
      </c>
      <c r="L283" t="s">
        <v>1968</v>
      </c>
    </row>
    <row r="284" spans="2:12" x14ac:dyDescent="0.2">
      <c r="B284" t="s">
        <v>595</v>
      </c>
      <c r="E284" t="s">
        <v>2190</v>
      </c>
      <c r="L284" t="s">
        <v>2775</v>
      </c>
    </row>
    <row r="285" spans="2:12" x14ac:dyDescent="0.2">
      <c r="B285" t="s">
        <v>597</v>
      </c>
      <c r="E285" t="s">
        <v>2191</v>
      </c>
      <c r="L285" t="s">
        <v>1969</v>
      </c>
    </row>
    <row r="286" spans="2:12" x14ac:dyDescent="0.2">
      <c r="B286" t="s">
        <v>1246</v>
      </c>
      <c r="E286" t="s">
        <v>2192</v>
      </c>
      <c r="L286" t="s">
        <v>1970</v>
      </c>
    </row>
    <row r="287" spans="2:12" x14ac:dyDescent="0.2">
      <c r="B287" t="s">
        <v>1247</v>
      </c>
      <c r="E287" t="s">
        <v>2193</v>
      </c>
      <c r="L287" t="s">
        <v>1971</v>
      </c>
    </row>
    <row r="288" spans="2:12" x14ac:dyDescent="0.2">
      <c r="B288" t="s">
        <v>2066</v>
      </c>
      <c r="E288" t="s">
        <v>2194</v>
      </c>
      <c r="L288" t="s">
        <v>1972</v>
      </c>
    </row>
    <row r="289" spans="2:12" x14ac:dyDescent="0.2">
      <c r="B289" t="s">
        <v>1249</v>
      </c>
      <c r="E289" t="s">
        <v>2195</v>
      </c>
      <c r="L289" t="s">
        <v>1973</v>
      </c>
    </row>
    <row r="290" spans="2:12" x14ac:dyDescent="0.2">
      <c r="B290" t="s">
        <v>601</v>
      </c>
      <c r="E290" t="s">
        <v>2196</v>
      </c>
      <c r="L290" t="s">
        <v>1974</v>
      </c>
    </row>
    <row r="291" spans="2:12" x14ac:dyDescent="0.2">
      <c r="B291" t="s">
        <v>603</v>
      </c>
      <c r="E291" t="s">
        <v>2197</v>
      </c>
      <c r="L291" t="s">
        <v>1975</v>
      </c>
    </row>
    <row r="292" spans="2:12" x14ac:dyDescent="0.2">
      <c r="B292" t="s">
        <v>1250</v>
      </c>
      <c r="E292" t="s">
        <v>1338</v>
      </c>
      <c r="L292" t="s">
        <v>1976</v>
      </c>
    </row>
    <row r="293" spans="2:12" x14ac:dyDescent="0.2">
      <c r="B293" t="s">
        <v>1251</v>
      </c>
      <c r="E293" t="s">
        <v>2385</v>
      </c>
      <c r="L293" t="s">
        <v>1977</v>
      </c>
    </row>
    <row r="294" spans="2:12" x14ac:dyDescent="0.2">
      <c r="B294" t="s">
        <v>1252</v>
      </c>
      <c r="E294" t="s">
        <v>2386</v>
      </c>
      <c r="L294" t="s">
        <v>1978</v>
      </c>
    </row>
    <row r="295" spans="2:12" x14ac:dyDescent="0.2">
      <c r="B295" t="s">
        <v>605</v>
      </c>
      <c r="E295" t="s">
        <v>2387</v>
      </c>
      <c r="L295" t="s">
        <v>1979</v>
      </c>
    </row>
    <row r="296" spans="2:12" x14ac:dyDescent="0.2">
      <c r="B296" t="s">
        <v>607</v>
      </c>
      <c r="E296" t="s">
        <v>2388</v>
      </c>
      <c r="L296" t="s">
        <v>1980</v>
      </c>
    </row>
    <row r="297" spans="2:12" x14ac:dyDescent="0.2">
      <c r="B297" t="s">
        <v>1253</v>
      </c>
      <c r="E297" t="s">
        <v>2389</v>
      </c>
      <c r="L297" t="s">
        <v>1981</v>
      </c>
    </row>
    <row r="298" spans="2:12" x14ac:dyDescent="0.2">
      <c r="B298" t="s">
        <v>2067</v>
      </c>
      <c r="E298" t="s">
        <v>2390</v>
      </c>
      <c r="L298" t="s">
        <v>1982</v>
      </c>
    </row>
    <row r="299" spans="2:12" x14ac:dyDescent="0.2">
      <c r="B299" t="s">
        <v>1255</v>
      </c>
      <c r="E299" t="s">
        <v>1339</v>
      </c>
      <c r="L299" t="s">
        <v>1983</v>
      </c>
    </row>
    <row r="300" spans="2:12" x14ac:dyDescent="0.2">
      <c r="B300" t="s">
        <v>611</v>
      </c>
      <c r="E300" t="s">
        <v>2198</v>
      </c>
      <c r="L300" t="s">
        <v>1984</v>
      </c>
    </row>
    <row r="301" spans="2:12" x14ac:dyDescent="0.2">
      <c r="B301" t="s">
        <v>1256</v>
      </c>
      <c r="E301" t="s">
        <v>995</v>
      </c>
      <c r="L301" t="s">
        <v>1985</v>
      </c>
    </row>
    <row r="302" spans="2:12" x14ac:dyDescent="0.2">
      <c r="B302" t="s">
        <v>2068</v>
      </c>
      <c r="E302" t="s">
        <v>1340</v>
      </c>
      <c r="L302" t="s">
        <v>1986</v>
      </c>
    </row>
    <row r="303" spans="2:12" x14ac:dyDescent="0.2">
      <c r="B303" t="s">
        <v>1257</v>
      </c>
      <c r="E303" t="s">
        <v>2391</v>
      </c>
      <c r="L303" t="s">
        <v>1987</v>
      </c>
    </row>
    <row r="304" spans="2:12" x14ac:dyDescent="0.2">
      <c r="B304" t="s">
        <v>2069</v>
      </c>
      <c r="E304" t="s">
        <v>2392</v>
      </c>
      <c r="L304" t="s">
        <v>1988</v>
      </c>
    </row>
    <row r="305" spans="2:12" x14ac:dyDescent="0.2">
      <c r="B305" t="s">
        <v>1259</v>
      </c>
      <c r="E305" t="s">
        <v>2393</v>
      </c>
      <c r="L305" t="s">
        <v>1989</v>
      </c>
    </row>
    <row r="306" spans="2:12" x14ac:dyDescent="0.2">
      <c r="B306" t="s">
        <v>1260</v>
      </c>
      <c r="E306" t="s">
        <v>2394</v>
      </c>
      <c r="L306" t="s">
        <v>1990</v>
      </c>
    </row>
    <row r="307" spans="2:12" x14ac:dyDescent="0.2">
      <c r="B307" t="s">
        <v>1261</v>
      </c>
      <c r="E307" t="s">
        <v>2395</v>
      </c>
      <c r="L307" t="s">
        <v>1991</v>
      </c>
    </row>
    <row r="308" spans="2:12" x14ac:dyDescent="0.2">
      <c r="B308" t="s">
        <v>1262</v>
      </c>
      <c r="E308" t="s">
        <v>2396</v>
      </c>
      <c r="L308" t="s">
        <v>1992</v>
      </c>
    </row>
    <row r="309" spans="2:12" x14ac:dyDescent="0.2">
      <c r="B309" t="s">
        <v>1263</v>
      </c>
      <c r="E309" t="s">
        <v>2397</v>
      </c>
      <c r="L309" t="s">
        <v>1993</v>
      </c>
    </row>
    <row r="310" spans="2:12" x14ac:dyDescent="0.2">
      <c r="B310" t="s">
        <v>2070</v>
      </c>
      <c r="E310" t="s">
        <v>2199</v>
      </c>
      <c r="L310" t="s">
        <v>1994</v>
      </c>
    </row>
    <row r="311" spans="2:12" x14ac:dyDescent="0.2">
      <c r="B311" t="s">
        <v>1265</v>
      </c>
      <c r="E311" t="s">
        <v>2398</v>
      </c>
      <c r="L311" t="s">
        <v>1995</v>
      </c>
    </row>
    <row r="312" spans="2:12" x14ac:dyDescent="0.2">
      <c r="B312" t="s">
        <v>1899</v>
      </c>
      <c r="E312" t="s">
        <v>2399</v>
      </c>
      <c r="L312" t="s">
        <v>1996</v>
      </c>
    </row>
    <row r="313" spans="2:12" x14ac:dyDescent="0.2">
      <c r="B313" t="s">
        <v>1900</v>
      </c>
      <c r="E313" t="s">
        <v>2200</v>
      </c>
      <c r="L313" t="s">
        <v>1997</v>
      </c>
    </row>
    <row r="314" spans="2:12" x14ac:dyDescent="0.2">
      <c r="B314" t="s">
        <v>1901</v>
      </c>
      <c r="E314" t="s">
        <v>1341</v>
      </c>
      <c r="L314" t="s">
        <v>1998</v>
      </c>
    </row>
    <row r="315" spans="2:12" x14ac:dyDescent="0.2">
      <c r="B315" t="s">
        <v>1902</v>
      </c>
      <c r="E315" t="s">
        <v>2400</v>
      </c>
      <c r="L315" t="s">
        <v>1999</v>
      </c>
    </row>
    <row r="316" spans="2:12" x14ac:dyDescent="0.2">
      <c r="B316" t="s">
        <v>617</v>
      </c>
      <c r="E316" t="s">
        <v>1342</v>
      </c>
      <c r="L316" t="s">
        <v>2000</v>
      </c>
    </row>
    <row r="317" spans="2:12" x14ac:dyDescent="0.2">
      <c r="B317" t="s">
        <v>1270</v>
      </c>
      <c r="E317" t="s">
        <v>1343</v>
      </c>
      <c r="L317" t="s">
        <v>2001</v>
      </c>
    </row>
    <row r="318" spans="2:12" x14ac:dyDescent="0.2">
      <c r="B318" t="s">
        <v>1271</v>
      </c>
      <c r="E318" t="s">
        <v>2401</v>
      </c>
      <c r="L318" t="s">
        <v>2210</v>
      </c>
    </row>
    <row r="319" spans="2:12" x14ac:dyDescent="0.2">
      <c r="B319" t="s">
        <v>620</v>
      </c>
      <c r="E319" t="s">
        <v>2402</v>
      </c>
      <c r="L319" t="s">
        <v>2002</v>
      </c>
    </row>
    <row r="320" spans="2:12" x14ac:dyDescent="0.2">
      <c r="B320" t="s">
        <v>2071</v>
      </c>
      <c r="E320" t="s">
        <v>2403</v>
      </c>
      <c r="L320" t="s">
        <v>2003</v>
      </c>
    </row>
    <row r="321" spans="2:12" x14ac:dyDescent="0.2">
      <c r="B321" t="s">
        <v>2072</v>
      </c>
      <c r="E321" t="s">
        <v>2404</v>
      </c>
      <c r="L321" t="s">
        <v>2004</v>
      </c>
    </row>
    <row r="322" spans="2:12" x14ac:dyDescent="0.2">
      <c r="B322" t="s">
        <v>2073</v>
      </c>
      <c r="E322" t="s">
        <v>2405</v>
      </c>
      <c r="L322" t="s">
        <v>2005</v>
      </c>
    </row>
    <row r="323" spans="2:12" x14ac:dyDescent="0.2">
      <c r="B323" t="s">
        <v>2074</v>
      </c>
      <c r="E323" t="s">
        <v>2406</v>
      </c>
      <c r="L323" t="s">
        <v>2006</v>
      </c>
    </row>
    <row r="324" spans="2:12" x14ac:dyDescent="0.2">
      <c r="B324" t="s">
        <v>1276</v>
      </c>
      <c r="E324" t="s">
        <v>2407</v>
      </c>
      <c r="L324" t="s">
        <v>2007</v>
      </c>
    </row>
    <row r="325" spans="2:12" x14ac:dyDescent="0.2">
      <c r="B325" t="s">
        <v>1277</v>
      </c>
      <c r="E325" t="s">
        <v>2408</v>
      </c>
      <c r="L325" t="s">
        <v>2008</v>
      </c>
    </row>
    <row r="326" spans="2:12" x14ac:dyDescent="0.2">
      <c r="B326" t="s">
        <v>624</v>
      </c>
      <c r="E326" t="s">
        <v>2409</v>
      </c>
      <c r="L326" t="s">
        <v>2009</v>
      </c>
    </row>
    <row r="327" spans="2:12" x14ac:dyDescent="0.2">
      <c r="B327" t="s">
        <v>626</v>
      </c>
      <c r="E327" t="s">
        <v>2410</v>
      </c>
      <c r="L327" t="s">
        <v>2010</v>
      </c>
    </row>
    <row r="328" spans="2:12" x14ac:dyDescent="0.2">
      <c r="B328" t="s">
        <v>2075</v>
      </c>
      <c r="E328" t="s">
        <v>2411</v>
      </c>
      <c r="L328" t="s">
        <v>2011</v>
      </c>
    </row>
    <row r="329" spans="2:12" x14ac:dyDescent="0.2">
      <c r="B329" t="s">
        <v>2076</v>
      </c>
      <c r="E329" t="s">
        <v>2412</v>
      </c>
      <c r="L329" t="s">
        <v>2012</v>
      </c>
    </row>
    <row r="330" spans="2:12" x14ac:dyDescent="0.2">
      <c r="B330" t="s">
        <v>1280</v>
      </c>
      <c r="E330" t="s">
        <v>2413</v>
      </c>
      <c r="L330" t="s">
        <v>2013</v>
      </c>
    </row>
    <row r="331" spans="2:12" x14ac:dyDescent="0.2">
      <c r="B331" t="s">
        <v>1281</v>
      </c>
      <c r="E331" t="s">
        <v>1344</v>
      </c>
      <c r="L331" t="s">
        <v>2014</v>
      </c>
    </row>
    <row r="332" spans="2:12" x14ac:dyDescent="0.2">
      <c r="B332" t="s">
        <v>2077</v>
      </c>
      <c r="E332" t="s">
        <v>2414</v>
      </c>
      <c r="L332" t="s">
        <v>2015</v>
      </c>
    </row>
    <row r="333" spans="2:12" x14ac:dyDescent="0.2">
      <c r="B333" t="s">
        <v>2078</v>
      </c>
      <c r="E333" t="s">
        <v>2415</v>
      </c>
      <c r="L333" t="s">
        <v>2016</v>
      </c>
    </row>
    <row r="334" spans="2:12" x14ac:dyDescent="0.2">
      <c r="B334" t="s">
        <v>1284</v>
      </c>
      <c r="E334" t="s">
        <v>1345</v>
      </c>
      <c r="L334" t="s">
        <v>2017</v>
      </c>
    </row>
    <row r="335" spans="2:12" x14ac:dyDescent="0.2">
      <c r="B335" t="s">
        <v>1285</v>
      </c>
      <c r="E335" t="s">
        <v>1940</v>
      </c>
      <c r="L335" t="s">
        <v>2018</v>
      </c>
    </row>
    <row r="336" spans="2:12" x14ac:dyDescent="0.2">
      <c r="B336" t="s">
        <v>1286</v>
      </c>
      <c r="E336" t="s">
        <v>1346</v>
      </c>
      <c r="L336" t="s">
        <v>2019</v>
      </c>
    </row>
    <row r="337" spans="2:12" x14ac:dyDescent="0.2">
      <c r="B337" t="s">
        <v>2079</v>
      </c>
      <c r="E337" t="s">
        <v>1347</v>
      </c>
      <c r="L337" t="s">
        <v>2020</v>
      </c>
    </row>
    <row r="338" spans="2:12" x14ac:dyDescent="0.2">
      <c r="B338" t="s">
        <v>1903</v>
      </c>
      <c r="E338" t="s">
        <v>1348</v>
      </c>
      <c r="L338" t="s">
        <v>2021</v>
      </c>
    </row>
    <row r="339" spans="2:12" x14ac:dyDescent="0.2">
      <c r="B339" t="s">
        <v>1287</v>
      </c>
      <c r="E339" t="s">
        <v>1349</v>
      </c>
      <c r="L339" t="s">
        <v>2776</v>
      </c>
    </row>
    <row r="340" spans="2:12" x14ac:dyDescent="0.2">
      <c r="E340" t="s">
        <v>2416</v>
      </c>
      <c r="L340" t="s">
        <v>2022</v>
      </c>
    </row>
    <row r="341" spans="2:12" x14ac:dyDescent="0.2">
      <c r="E341" t="s">
        <v>2417</v>
      </c>
      <c r="L341" t="s">
        <v>2023</v>
      </c>
    </row>
    <row r="342" spans="2:12" x14ac:dyDescent="0.2">
      <c r="E342" t="s">
        <v>2418</v>
      </c>
      <c r="L342" t="s">
        <v>2024</v>
      </c>
    </row>
    <row r="343" spans="2:12" x14ac:dyDescent="0.2">
      <c r="E343" t="s">
        <v>2419</v>
      </c>
      <c r="L343" t="s">
        <v>2025</v>
      </c>
    </row>
    <row r="344" spans="2:12" x14ac:dyDescent="0.2">
      <c r="E344" t="s">
        <v>2420</v>
      </c>
      <c r="L344" t="s">
        <v>2026</v>
      </c>
    </row>
    <row r="345" spans="2:12" x14ac:dyDescent="0.2">
      <c r="E345" t="s">
        <v>2421</v>
      </c>
      <c r="L345" t="s">
        <v>2211</v>
      </c>
    </row>
    <row r="346" spans="2:12" x14ac:dyDescent="0.2">
      <c r="E346" t="s">
        <v>2422</v>
      </c>
      <c r="L346" t="s">
        <v>2027</v>
      </c>
    </row>
    <row r="347" spans="2:12" x14ac:dyDescent="0.2">
      <c r="E347" t="s">
        <v>2423</v>
      </c>
      <c r="L347" t="s">
        <v>2028</v>
      </c>
    </row>
    <row r="348" spans="2:12" x14ac:dyDescent="0.2">
      <c r="E348" t="s">
        <v>2424</v>
      </c>
      <c r="L348" t="s">
        <v>2029</v>
      </c>
    </row>
    <row r="349" spans="2:12" x14ac:dyDescent="0.2">
      <c r="E349" t="s">
        <v>2425</v>
      </c>
      <c r="L349" t="s">
        <v>2030</v>
      </c>
    </row>
    <row r="350" spans="2:12" x14ac:dyDescent="0.2">
      <c r="E350" t="s">
        <v>2426</v>
      </c>
      <c r="L350" t="s">
        <v>2031</v>
      </c>
    </row>
    <row r="351" spans="2:12" x14ac:dyDescent="0.2">
      <c r="E351" t="s">
        <v>2427</v>
      </c>
      <c r="L351" t="s">
        <v>2032</v>
      </c>
    </row>
    <row r="352" spans="2:12" x14ac:dyDescent="0.2">
      <c r="E352" t="s">
        <v>2428</v>
      </c>
      <c r="L352" t="s">
        <v>2033</v>
      </c>
    </row>
    <row r="353" spans="5:12" x14ac:dyDescent="0.2">
      <c r="E353" t="s">
        <v>2429</v>
      </c>
      <c r="L353" t="s">
        <v>2034</v>
      </c>
    </row>
    <row r="354" spans="5:12" x14ac:dyDescent="0.2">
      <c r="E354" t="s">
        <v>2430</v>
      </c>
      <c r="L354" t="s">
        <v>2035</v>
      </c>
    </row>
    <row r="355" spans="5:12" x14ac:dyDescent="0.2">
      <c r="E355" t="s">
        <v>2431</v>
      </c>
      <c r="L355" t="s">
        <v>2036</v>
      </c>
    </row>
    <row r="356" spans="5:12" x14ac:dyDescent="0.2">
      <c r="E356" t="s">
        <v>2432</v>
      </c>
      <c r="L356" t="s">
        <v>2037</v>
      </c>
    </row>
    <row r="357" spans="5:12" x14ac:dyDescent="0.2">
      <c r="E357" t="s">
        <v>2433</v>
      </c>
      <c r="L357" t="s">
        <v>2038</v>
      </c>
    </row>
    <row r="358" spans="5:12" x14ac:dyDescent="0.2">
      <c r="E358" t="s">
        <v>2434</v>
      </c>
      <c r="L358" t="s">
        <v>8</v>
      </c>
    </row>
    <row r="359" spans="5:12" x14ac:dyDescent="0.2">
      <c r="E359" t="s">
        <v>2435</v>
      </c>
      <c r="L359" t="s">
        <v>699</v>
      </c>
    </row>
    <row r="360" spans="5:12" x14ac:dyDescent="0.2">
      <c r="E360" t="s">
        <v>2436</v>
      </c>
      <c r="L360" t="s">
        <v>700</v>
      </c>
    </row>
    <row r="361" spans="5:12" x14ac:dyDescent="0.2">
      <c r="E361" t="s">
        <v>2437</v>
      </c>
      <c r="L361" t="s">
        <v>701</v>
      </c>
    </row>
    <row r="362" spans="5:12" x14ac:dyDescent="0.2">
      <c r="E362" t="s">
        <v>2438</v>
      </c>
      <c r="L362" t="s">
        <v>702</v>
      </c>
    </row>
    <row r="363" spans="5:12" x14ac:dyDescent="0.2">
      <c r="E363" t="s">
        <v>2439</v>
      </c>
      <c r="L363" t="s">
        <v>703</v>
      </c>
    </row>
    <row r="364" spans="5:12" x14ac:dyDescent="0.2">
      <c r="E364" t="s">
        <v>2440</v>
      </c>
      <c r="L364" t="s">
        <v>704</v>
      </c>
    </row>
    <row r="365" spans="5:12" x14ac:dyDescent="0.2">
      <c r="E365" t="s">
        <v>2441</v>
      </c>
      <c r="L365" t="s">
        <v>705</v>
      </c>
    </row>
    <row r="366" spans="5:12" x14ac:dyDescent="0.2">
      <c r="E366" t="s">
        <v>2442</v>
      </c>
      <c r="L366" t="s">
        <v>706</v>
      </c>
    </row>
    <row r="367" spans="5:12" x14ac:dyDescent="0.2">
      <c r="E367" t="s">
        <v>2443</v>
      </c>
      <c r="L367" t="s">
        <v>707</v>
      </c>
    </row>
    <row r="368" spans="5:12" x14ac:dyDescent="0.2">
      <c r="E368" t="s">
        <v>2444</v>
      </c>
      <c r="L368" t="s">
        <v>708</v>
      </c>
    </row>
    <row r="369" spans="5:12" x14ac:dyDescent="0.2">
      <c r="E369" t="s">
        <v>2445</v>
      </c>
      <c r="L369" t="s">
        <v>709</v>
      </c>
    </row>
    <row r="370" spans="5:12" x14ac:dyDescent="0.2">
      <c r="E370" t="s">
        <v>2446</v>
      </c>
      <c r="L370" t="s">
        <v>710</v>
      </c>
    </row>
    <row r="371" spans="5:12" x14ac:dyDescent="0.2">
      <c r="E371" t="s">
        <v>2447</v>
      </c>
      <c r="L371" t="s">
        <v>711</v>
      </c>
    </row>
    <row r="372" spans="5:12" x14ac:dyDescent="0.2">
      <c r="E372" t="s">
        <v>2448</v>
      </c>
      <c r="L372" t="s">
        <v>712</v>
      </c>
    </row>
    <row r="373" spans="5:12" x14ac:dyDescent="0.2">
      <c r="E373" t="s">
        <v>2449</v>
      </c>
      <c r="L373" t="s">
        <v>2777</v>
      </c>
    </row>
    <row r="374" spans="5:12" x14ac:dyDescent="0.2">
      <c r="E374" t="s">
        <v>2450</v>
      </c>
      <c r="L374" t="s">
        <v>713</v>
      </c>
    </row>
    <row r="375" spans="5:12" x14ac:dyDescent="0.2">
      <c r="E375" t="s">
        <v>2451</v>
      </c>
      <c r="L375" t="s">
        <v>714</v>
      </c>
    </row>
    <row r="376" spans="5:12" x14ac:dyDescent="0.2">
      <c r="E376" t="s">
        <v>2452</v>
      </c>
      <c r="L376" t="s">
        <v>715</v>
      </c>
    </row>
    <row r="377" spans="5:12" x14ac:dyDescent="0.2">
      <c r="E377" t="s">
        <v>2453</v>
      </c>
      <c r="L377" t="s">
        <v>716</v>
      </c>
    </row>
    <row r="378" spans="5:12" x14ac:dyDescent="0.2">
      <c r="E378" t="s">
        <v>2454</v>
      </c>
      <c r="L378" t="s">
        <v>1848</v>
      </c>
    </row>
    <row r="379" spans="5:12" x14ac:dyDescent="0.2">
      <c r="E379" t="s">
        <v>2455</v>
      </c>
      <c r="L379" t="s">
        <v>717</v>
      </c>
    </row>
    <row r="380" spans="5:12" x14ac:dyDescent="0.2">
      <c r="E380" t="s">
        <v>2456</v>
      </c>
      <c r="L380" t="s">
        <v>1393</v>
      </c>
    </row>
    <row r="381" spans="5:12" x14ac:dyDescent="0.2">
      <c r="E381" t="s">
        <v>2457</v>
      </c>
      <c r="L381" t="s">
        <v>718</v>
      </c>
    </row>
    <row r="382" spans="5:12" x14ac:dyDescent="0.2">
      <c r="E382" t="s">
        <v>2458</v>
      </c>
      <c r="L382" t="s">
        <v>719</v>
      </c>
    </row>
    <row r="383" spans="5:12" x14ac:dyDescent="0.2">
      <c r="E383" t="s">
        <v>2459</v>
      </c>
      <c r="L383" t="s">
        <v>720</v>
      </c>
    </row>
    <row r="384" spans="5:12" x14ac:dyDescent="0.2">
      <c r="E384" t="s">
        <v>2460</v>
      </c>
      <c r="L384" t="s">
        <v>721</v>
      </c>
    </row>
    <row r="385" spans="5:12" x14ac:dyDescent="0.2">
      <c r="E385" t="s">
        <v>2461</v>
      </c>
      <c r="L385" t="s">
        <v>722</v>
      </c>
    </row>
    <row r="386" spans="5:12" x14ac:dyDescent="0.2">
      <c r="E386" t="s">
        <v>2462</v>
      </c>
      <c r="L386" t="s">
        <v>723</v>
      </c>
    </row>
    <row r="387" spans="5:12" x14ac:dyDescent="0.2">
      <c r="E387" t="s">
        <v>2463</v>
      </c>
      <c r="L387" t="s">
        <v>724</v>
      </c>
    </row>
    <row r="388" spans="5:12" x14ac:dyDescent="0.2">
      <c r="E388" t="s">
        <v>2464</v>
      </c>
      <c r="L388" t="s">
        <v>725</v>
      </c>
    </row>
    <row r="389" spans="5:12" x14ac:dyDescent="0.2">
      <c r="E389" t="s">
        <v>2465</v>
      </c>
      <c r="L389" t="s">
        <v>726</v>
      </c>
    </row>
    <row r="390" spans="5:12" x14ac:dyDescent="0.2">
      <c r="E390" t="s">
        <v>2466</v>
      </c>
      <c r="L390" t="s">
        <v>727</v>
      </c>
    </row>
    <row r="391" spans="5:12" x14ac:dyDescent="0.2">
      <c r="E391" t="s">
        <v>2467</v>
      </c>
      <c r="L391" t="s">
        <v>728</v>
      </c>
    </row>
    <row r="392" spans="5:12" x14ac:dyDescent="0.2">
      <c r="E392" t="s">
        <v>2468</v>
      </c>
      <c r="L392" t="s">
        <v>729</v>
      </c>
    </row>
    <row r="393" spans="5:12" x14ac:dyDescent="0.2">
      <c r="E393" t="s">
        <v>2469</v>
      </c>
      <c r="L393" t="s">
        <v>1849</v>
      </c>
    </row>
    <row r="394" spans="5:12" x14ac:dyDescent="0.2">
      <c r="E394" t="s">
        <v>2470</v>
      </c>
      <c r="L394" t="s">
        <v>730</v>
      </c>
    </row>
    <row r="395" spans="5:12" x14ac:dyDescent="0.2">
      <c r="E395" t="s">
        <v>2471</v>
      </c>
      <c r="L395" t="s">
        <v>1394</v>
      </c>
    </row>
    <row r="396" spans="5:12" x14ac:dyDescent="0.2">
      <c r="E396" t="s">
        <v>2472</v>
      </c>
      <c r="L396" t="s">
        <v>731</v>
      </c>
    </row>
    <row r="397" spans="5:12" x14ac:dyDescent="0.2">
      <c r="E397" t="s">
        <v>2473</v>
      </c>
      <c r="L397" t="s">
        <v>732</v>
      </c>
    </row>
    <row r="398" spans="5:12" x14ac:dyDescent="0.2">
      <c r="E398" t="s">
        <v>2474</v>
      </c>
      <c r="L398" t="s">
        <v>733</v>
      </c>
    </row>
    <row r="399" spans="5:12" x14ac:dyDescent="0.2">
      <c r="E399" t="s">
        <v>2475</v>
      </c>
      <c r="L399" t="s">
        <v>734</v>
      </c>
    </row>
    <row r="400" spans="5:12" x14ac:dyDescent="0.2">
      <c r="E400" t="s">
        <v>2476</v>
      </c>
      <c r="L400" t="s">
        <v>2039</v>
      </c>
    </row>
    <row r="401" spans="5:12" x14ac:dyDescent="0.2">
      <c r="E401" t="s">
        <v>2477</v>
      </c>
      <c r="L401" t="s">
        <v>735</v>
      </c>
    </row>
    <row r="402" spans="5:12" x14ac:dyDescent="0.2">
      <c r="E402" t="s">
        <v>2478</v>
      </c>
      <c r="L402" t="s">
        <v>736</v>
      </c>
    </row>
    <row r="403" spans="5:12" x14ac:dyDescent="0.2">
      <c r="E403" t="s">
        <v>2479</v>
      </c>
      <c r="L403" t="s">
        <v>737</v>
      </c>
    </row>
    <row r="404" spans="5:12" x14ac:dyDescent="0.2">
      <c r="E404" t="s">
        <v>2480</v>
      </c>
      <c r="L404" t="s">
        <v>738</v>
      </c>
    </row>
    <row r="405" spans="5:12" x14ac:dyDescent="0.2">
      <c r="E405" t="s">
        <v>2481</v>
      </c>
      <c r="L405" t="s">
        <v>739</v>
      </c>
    </row>
    <row r="406" spans="5:12" x14ac:dyDescent="0.2">
      <c r="E406" t="s">
        <v>2482</v>
      </c>
      <c r="L406" t="s">
        <v>740</v>
      </c>
    </row>
    <row r="407" spans="5:12" x14ac:dyDescent="0.2">
      <c r="E407" t="s">
        <v>2483</v>
      </c>
      <c r="L407" t="s">
        <v>1850</v>
      </c>
    </row>
    <row r="408" spans="5:12" x14ac:dyDescent="0.2">
      <c r="E408" t="s">
        <v>2484</v>
      </c>
      <c r="L408" t="s">
        <v>1395</v>
      </c>
    </row>
    <row r="409" spans="5:12" x14ac:dyDescent="0.2">
      <c r="E409" t="s">
        <v>2485</v>
      </c>
      <c r="L409" t="s">
        <v>741</v>
      </c>
    </row>
    <row r="410" spans="5:12" x14ac:dyDescent="0.2">
      <c r="E410" t="s">
        <v>2486</v>
      </c>
    </row>
    <row r="411" spans="5:12" x14ac:dyDescent="0.2">
      <c r="E411" t="s">
        <v>2487</v>
      </c>
    </row>
    <row r="412" spans="5:12" x14ac:dyDescent="0.2">
      <c r="E412" t="s">
        <v>2488</v>
      </c>
    </row>
    <row r="413" spans="5:12" x14ac:dyDescent="0.2">
      <c r="E413" t="s">
        <v>2489</v>
      </c>
    </row>
    <row r="414" spans="5:12" x14ac:dyDescent="0.2">
      <c r="E414" t="s">
        <v>2490</v>
      </c>
    </row>
    <row r="415" spans="5:12" x14ac:dyDescent="0.2">
      <c r="E415" t="s">
        <v>2491</v>
      </c>
    </row>
    <row r="416" spans="5:12" x14ac:dyDescent="0.2">
      <c r="E416" t="s">
        <v>2492</v>
      </c>
    </row>
    <row r="417" spans="5:5" x14ac:dyDescent="0.2">
      <c r="E417" t="s">
        <v>2493</v>
      </c>
    </row>
    <row r="418" spans="5:5" x14ac:dyDescent="0.2">
      <c r="E418" t="s">
        <v>2494</v>
      </c>
    </row>
    <row r="419" spans="5:5" x14ac:dyDescent="0.2">
      <c r="E419" t="s">
        <v>2495</v>
      </c>
    </row>
    <row r="420" spans="5:5" x14ac:dyDescent="0.2">
      <c r="E420" t="s">
        <v>2496</v>
      </c>
    </row>
    <row r="421" spans="5:5" x14ac:dyDescent="0.2">
      <c r="E421" t="s">
        <v>2497</v>
      </c>
    </row>
    <row r="422" spans="5:5" x14ac:dyDescent="0.2">
      <c r="E422" t="s">
        <v>2498</v>
      </c>
    </row>
    <row r="423" spans="5:5" x14ac:dyDescent="0.2">
      <c r="E423" t="s">
        <v>2499</v>
      </c>
    </row>
    <row r="424" spans="5:5" x14ac:dyDescent="0.2">
      <c r="E424" t="s">
        <v>2500</v>
      </c>
    </row>
    <row r="425" spans="5:5" x14ac:dyDescent="0.2">
      <c r="E425" t="s">
        <v>2501</v>
      </c>
    </row>
    <row r="426" spans="5:5" x14ac:dyDescent="0.2">
      <c r="E426" t="s">
        <v>2502</v>
      </c>
    </row>
    <row r="427" spans="5:5" x14ac:dyDescent="0.2">
      <c r="E427" t="s">
        <v>2503</v>
      </c>
    </row>
    <row r="428" spans="5:5" x14ac:dyDescent="0.2">
      <c r="E428" t="s">
        <v>2504</v>
      </c>
    </row>
    <row r="429" spans="5:5" x14ac:dyDescent="0.2">
      <c r="E429" t="s">
        <v>2505</v>
      </c>
    </row>
    <row r="430" spans="5:5" x14ac:dyDescent="0.2">
      <c r="E430" t="s">
        <v>2506</v>
      </c>
    </row>
    <row r="431" spans="5:5" x14ac:dyDescent="0.2">
      <c r="E431" t="s">
        <v>2507</v>
      </c>
    </row>
    <row r="432" spans="5:5" x14ac:dyDescent="0.2">
      <c r="E432" t="s">
        <v>2508</v>
      </c>
    </row>
    <row r="433" spans="5:5" x14ac:dyDescent="0.2">
      <c r="E433" t="s">
        <v>2509</v>
      </c>
    </row>
    <row r="434" spans="5:5" x14ac:dyDescent="0.2">
      <c r="E434" t="s">
        <v>2510</v>
      </c>
    </row>
    <row r="435" spans="5:5" x14ac:dyDescent="0.2">
      <c r="E435" t="s">
        <v>2511</v>
      </c>
    </row>
    <row r="436" spans="5:5" x14ac:dyDescent="0.2">
      <c r="E436" t="s">
        <v>2512</v>
      </c>
    </row>
    <row r="437" spans="5:5" x14ac:dyDescent="0.2">
      <c r="E437" t="s">
        <v>2513</v>
      </c>
    </row>
    <row r="438" spans="5:5" x14ac:dyDescent="0.2">
      <c r="E438" t="s">
        <v>2514</v>
      </c>
    </row>
    <row r="439" spans="5:5" x14ac:dyDescent="0.2">
      <c r="E439" t="s">
        <v>2515</v>
      </c>
    </row>
    <row r="440" spans="5:5" x14ac:dyDescent="0.2">
      <c r="E440" t="s">
        <v>2516</v>
      </c>
    </row>
    <row r="441" spans="5:5" x14ac:dyDescent="0.2">
      <c r="E441" t="s">
        <v>2517</v>
      </c>
    </row>
    <row r="442" spans="5:5" x14ac:dyDescent="0.2">
      <c r="E442" t="s">
        <v>2518</v>
      </c>
    </row>
    <row r="443" spans="5:5" x14ac:dyDescent="0.2">
      <c r="E443" t="s">
        <v>2519</v>
      </c>
    </row>
    <row r="444" spans="5:5" x14ac:dyDescent="0.2">
      <c r="E444" t="s">
        <v>2520</v>
      </c>
    </row>
    <row r="445" spans="5:5" x14ac:dyDescent="0.2">
      <c r="E445" t="s">
        <v>2521</v>
      </c>
    </row>
    <row r="446" spans="5:5" x14ac:dyDescent="0.2">
      <c r="E446" t="s">
        <v>2522</v>
      </c>
    </row>
    <row r="447" spans="5:5" x14ac:dyDescent="0.2">
      <c r="E447" t="s">
        <v>2523</v>
      </c>
    </row>
    <row r="448" spans="5:5" x14ac:dyDescent="0.2">
      <c r="E448" t="s">
        <v>2524</v>
      </c>
    </row>
    <row r="449" spans="5:5" x14ac:dyDescent="0.2">
      <c r="E449" t="s">
        <v>2525</v>
      </c>
    </row>
    <row r="450" spans="5:5" x14ac:dyDescent="0.2">
      <c r="E450" t="s">
        <v>2526</v>
      </c>
    </row>
    <row r="451" spans="5:5" x14ac:dyDescent="0.2">
      <c r="E451" t="s">
        <v>2527</v>
      </c>
    </row>
    <row r="452" spans="5:5" x14ac:dyDescent="0.2">
      <c r="E452" t="s">
        <v>2528</v>
      </c>
    </row>
    <row r="453" spans="5:5" x14ac:dyDescent="0.2">
      <c r="E453" t="s">
        <v>2529</v>
      </c>
    </row>
    <row r="454" spans="5:5" x14ac:dyDescent="0.2">
      <c r="E454" t="s">
        <v>2530</v>
      </c>
    </row>
    <row r="455" spans="5:5" x14ac:dyDescent="0.2">
      <c r="E455" t="s">
        <v>2531</v>
      </c>
    </row>
    <row r="456" spans="5:5" x14ac:dyDescent="0.2">
      <c r="E456" t="s">
        <v>2532</v>
      </c>
    </row>
    <row r="457" spans="5:5" x14ac:dyDescent="0.2">
      <c r="E457" t="s">
        <v>2533</v>
      </c>
    </row>
    <row r="458" spans="5:5" x14ac:dyDescent="0.2">
      <c r="E458" t="s">
        <v>2534</v>
      </c>
    </row>
    <row r="459" spans="5:5" x14ac:dyDescent="0.2">
      <c r="E459" t="s">
        <v>2535</v>
      </c>
    </row>
    <row r="460" spans="5:5" x14ac:dyDescent="0.2">
      <c r="E460" t="s">
        <v>2536</v>
      </c>
    </row>
    <row r="461" spans="5:5" x14ac:dyDescent="0.2">
      <c r="E461" t="s">
        <v>2537</v>
      </c>
    </row>
    <row r="462" spans="5:5" x14ac:dyDescent="0.2">
      <c r="E462" t="s">
        <v>2538</v>
      </c>
    </row>
    <row r="463" spans="5:5" x14ac:dyDescent="0.2">
      <c r="E463" t="s">
        <v>2539</v>
      </c>
    </row>
    <row r="464" spans="5:5" x14ac:dyDescent="0.2">
      <c r="E464" t="s">
        <v>2540</v>
      </c>
    </row>
    <row r="465" spans="5:5" x14ac:dyDescent="0.2">
      <c r="E465" t="s">
        <v>2541</v>
      </c>
    </row>
    <row r="466" spans="5:5" x14ac:dyDescent="0.2">
      <c r="E466" t="s">
        <v>2542</v>
      </c>
    </row>
    <row r="467" spans="5:5" x14ac:dyDescent="0.2">
      <c r="E467" t="s">
        <v>2543</v>
      </c>
    </row>
    <row r="468" spans="5:5" x14ac:dyDescent="0.2">
      <c r="E468" t="s">
        <v>2544</v>
      </c>
    </row>
    <row r="469" spans="5:5" x14ac:dyDescent="0.2">
      <c r="E469" t="s">
        <v>2545</v>
      </c>
    </row>
    <row r="470" spans="5:5" x14ac:dyDescent="0.2">
      <c r="E470" t="s">
        <v>2546</v>
      </c>
    </row>
    <row r="471" spans="5:5" x14ac:dyDescent="0.2">
      <c r="E471" t="s">
        <v>2547</v>
      </c>
    </row>
    <row r="472" spans="5:5" x14ac:dyDescent="0.2">
      <c r="E472" t="s">
        <v>2548</v>
      </c>
    </row>
    <row r="473" spans="5:5" x14ac:dyDescent="0.2">
      <c r="E473" t="s">
        <v>2549</v>
      </c>
    </row>
    <row r="474" spans="5:5" x14ac:dyDescent="0.2">
      <c r="E474" t="s">
        <v>2550</v>
      </c>
    </row>
    <row r="475" spans="5:5" x14ac:dyDescent="0.2">
      <c r="E475" t="s">
        <v>2551</v>
      </c>
    </row>
    <row r="476" spans="5:5" x14ac:dyDescent="0.2">
      <c r="E476" t="s">
        <v>2552</v>
      </c>
    </row>
    <row r="477" spans="5:5" x14ac:dyDescent="0.2">
      <c r="E477" t="s">
        <v>2553</v>
      </c>
    </row>
    <row r="478" spans="5:5" x14ac:dyDescent="0.2">
      <c r="E478" t="s">
        <v>2554</v>
      </c>
    </row>
    <row r="479" spans="5:5" x14ac:dyDescent="0.2">
      <c r="E479" t="s">
        <v>2555</v>
      </c>
    </row>
    <row r="480" spans="5:5" x14ac:dyDescent="0.2">
      <c r="E480" t="s">
        <v>2556</v>
      </c>
    </row>
    <row r="481" spans="5:5" x14ac:dyDescent="0.2">
      <c r="E481" t="s">
        <v>2557</v>
      </c>
    </row>
    <row r="482" spans="5:5" x14ac:dyDescent="0.2">
      <c r="E482" t="s">
        <v>2558</v>
      </c>
    </row>
    <row r="483" spans="5:5" x14ac:dyDescent="0.2">
      <c r="E483" t="s">
        <v>2559</v>
      </c>
    </row>
    <row r="484" spans="5:5" x14ac:dyDescent="0.2">
      <c r="E484" t="s">
        <v>2560</v>
      </c>
    </row>
    <row r="485" spans="5:5" x14ac:dyDescent="0.2">
      <c r="E485" t="s">
        <v>2561</v>
      </c>
    </row>
    <row r="486" spans="5:5" x14ac:dyDescent="0.2">
      <c r="E486" t="s">
        <v>2562</v>
      </c>
    </row>
    <row r="487" spans="5:5" x14ac:dyDescent="0.2">
      <c r="E487" t="s">
        <v>2563</v>
      </c>
    </row>
    <row r="488" spans="5:5" x14ac:dyDescent="0.2">
      <c r="E488" t="s">
        <v>2564</v>
      </c>
    </row>
    <row r="489" spans="5:5" x14ac:dyDescent="0.2">
      <c r="E489" t="s">
        <v>2565</v>
      </c>
    </row>
    <row r="490" spans="5:5" x14ac:dyDescent="0.2">
      <c r="E490" t="s">
        <v>2566</v>
      </c>
    </row>
    <row r="491" spans="5:5" x14ac:dyDescent="0.2">
      <c r="E491" t="s">
        <v>2567</v>
      </c>
    </row>
    <row r="492" spans="5:5" x14ac:dyDescent="0.2">
      <c r="E492" t="s">
        <v>2568</v>
      </c>
    </row>
    <row r="493" spans="5:5" x14ac:dyDescent="0.2">
      <c r="E493" t="s">
        <v>2569</v>
      </c>
    </row>
    <row r="494" spans="5:5" x14ac:dyDescent="0.2">
      <c r="E494" t="s">
        <v>2570</v>
      </c>
    </row>
    <row r="495" spans="5:5" x14ac:dyDescent="0.2">
      <c r="E495" t="s">
        <v>2571</v>
      </c>
    </row>
    <row r="496" spans="5:5" x14ac:dyDescent="0.2">
      <c r="E496" t="s">
        <v>2572</v>
      </c>
    </row>
    <row r="497" spans="5:5" x14ac:dyDescent="0.2">
      <c r="E497" t="s">
        <v>2573</v>
      </c>
    </row>
    <row r="498" spans="5:5" x14ac:dyDescent="0.2">
      <c r="E498" t="s">
        <v>2574</v>
      </c>
    </row>
    <row r="499" spans="5:5" x14ac:dyDescent="0.2">
      <c r="E499" t="s">
        <v>2575</v>
      </c>
    </row>
    <row r="500" spans="5:5" x14ac:dyDescent="0.2">
      <c r="E500" t="s">
        <v>2576</v>
      </c>
    </row>
    <row r="501" spans="5:5" x14ac:dyDescent="0.2">
      <c r="E501" t="s">
        <v>2577</v>
      </c>
    </row>
    <row r="502" spans="5:5" x14ac:dyDescent="0.2">
      <c r="E502" t="s">
        <v>2578</v>
      </c>
    </row>
    <row r="503" spans="5:5" x14ac:dyDescent="0.2">
      <c r="E503" t="s">
        <v>2579</v>
      </c>
    </row>
    <row r="504" spans="5:5" x14ac:dyDescent="0.2">
      <c r="E504" t="s">
        <v>2580</v>
      </c>
    </row>
    <row r="505" spans="5:5" x14ac:dyDescent="0.2">
      <c r="E505" t="s">
        <v>2581</v>
      </c>
    </row>
    <row r="506" spans="5:5" x14ac:dyDescent="0.2">
      <c r="E506" t="s">
        <v>2582</v>
      </c>
    </row>
    <row r="507" spans="5:5" x14ac:dyDescent="0.2">
      <c r="E507" t="s">
        <v>2583</v>
      </c>
    </row>
    <row r="508" spans="5:5" x14ac:dyDescent="0.2">
      <c r="E508" t="s">
        <v>2584</v>
      </c>
    </row>
    <row r="509" spans="5:5" x14ac:dyDescent="0.2">
      <c r="E509" t="s">
        <v>2585</v>
      </c>
    </row>
    <row r="510" spans="5:5" x14ac:dyDescent="0.2">
      <c r="E510" t="s">
        <v>2586</v>
      </c>
    </row>
    <row r="511" spans="5:5" x14ac:dyDescent="0.2">
      <c r="E511" t="s">
        <v>2587</v>
      </c>
    </row>
    <row r="512" spans="5:5" x14ac:dyDescent="0.2">
      <c r="E512" t="s">
        <v>2588</v>
      </c>
    </row>
    <row r="513" spans="5:5" x14ac:dyDescent="0.2">
      <c r="E513" t="s">
        <v>2589</v>
      </c>
    </row>
    <row r="514" spans="5:5" x14ac:dyDescent="0.2">
      <c r="E514" t="s">
        <v>2590</v>
      </c>
    </row>
    <row r="515" spans="5:5" x14ac:dyDescent="0.2">
      <c r="E515" t="s">
        <v>2591</v>
      </c>
    </row>
    <row r="516" spans="5:5" x14ac:dyDescent="0.2">
      <c r="E516" t="s">
        <v>2592</v>
      </c>
    </row>
    <row r="517" spans="5:5" x14ac:dyDescent="0.2">
      <c r="E517" t="s">
        <v>2593</v>
      </c>
    </row>
    <row r="518" spans="5:5" x14ac:dyDescent="0.2">
      <c r="E518" t="s">
        <v>2594</v>
      </c>
    </row>
    <row r="519" spans="5:5" x14ac:dyDescent="0.2">
      <c r="E519" t="s">
        <v>2595</v>
      </c>
    </row>
    <row r="520" spans="5:5" x14ac:dyDescent="0.2">
      <c r="E520" t="s">
        <v>2596</v>
      </c>
    </row>
    <row r="521" spans="5:5" x14ac:dyDescent="0.2">
      <c r="E521" t="s">
        <v>2597</v>
      </c>
    </row>
    <row r="522" spans="5:5" x14ac:dyDescent="0.2">
      <c r="E522" t="s">
        <v>2598</v>
      </c>
    </row>
    <row r="523" spans="5:5" x14ac:dyDescent="0.2">
      <c r="E523" t="s">
        <v>2599</v>
      </c>
    </row>
    <row r="524" spans="5:5" x14ac:dyDescent="0.2">
      <c r="E524" t="s">
        <v>2600</v>
      </c>
    </row>
    <row r="525" spans="5:5" x14ac:dyDescent="0.2">
      <c r="E525" t="s">
        <v>2601</v>
      </c>
    </row>
    <row r="526" spans="5:5" x14ac:dyDescent="0.2">
      <c r="E526" t="s">
        <v>2602</v>
      </c>
    </row>
    <row r="527" spans="5:5" x14ac:dyDescent="0.2">
      <c r="E527" t="s">
        <v>2603</v>
      </c>
    </row>
    <row r="528" spans="5:5" x14ac:dyDescent="0.2">
      <c r="E528" t="s">
        <v>2604</v>
      </c>
    </row>
    <row r="529" spans="5:5" x14ac:dyDescent="0.2">
      <c r="E529" t="s">
        <v>2605</v>
      </c>
    </row>
    <row r="530" spans="5:5" x14ac:dyDescent="0.2">
      <c r="E530" t="s">
        <v>2606</v>
      </c>
    </row>
    <row r="531" spans="5:5" x14ac:dyDescent="0.2">
      <c r="E531" t="s">
        <v>2607</v>
      </c>
    </row>
    <row r="532" spans="5:5" x14ac:dyDescent="0.2">
      <c r="E532" t="s">
        <v>2608</v>
      </c>
    </row>
    <row r="533" spans="5:5" x14ac:dyDescent="0.2">
      <c r="E533" t="s">
        <v>2609</v>
      </c>
    </row>
    <row r="534" spans="5:5" x14ac:dyDescent="0.2">
      <c r="E534" t="s">
        <v>2610</v>
      </c>
    </row>
    <row r="535" spans="5:5" x14ac:dyDescent="0.2">
      <c r="E535" t="s">
        <v>2611</v>
      </c>
    </row>
    <row r="536" spans="5:5" x14ac:dyDescent="0.2">
      <c r="E536" t="s">
        <v>2612</v>
      </c>
    </row>
    <row r="537" spans="5:5" x14ac:dyDescent="0.2">
      <c r="E537" t="s">
        <v>2613</v>
      </c>
    </row>
    <row r="538" spans="5:5" x14ac:dyDescent="0.2">
      <c r="E538" t="s">
        <v>2614</v>
      </c>
    </row>
    <row r="539" spans="5:5" x14ac:dyDescent="0.2">
      <c r="E539" t="s">
        <v>2615</v>
      </c>
    </row>
    <row r="540" spans="5:5" x14ac:dyDescent="0.2">
      <c r="E540" t="s">
        <v>2616</v>
      </c>
    </row>
    <row r="541" spans="5:5" x14ac:dyDescent="0.2">
      <c r="E541" t="s">
        <v>2617</v>
      </c>
    </row>
    <row r="542" spans="5:5" x14ac:dyDescent="0.2">
      <c r="E542" t="s">
        <v>2618</v>
      </c>
    </row>
    <row r="543" spans="5:5" x14ac:dyDescent="0.2">
      <c r="E543" t="s">
        <v>2619</v>
      </c>
    </row>
    <row r="544" spans="5:5" x14ac:dyDescent="0.2">
      <c r="E544" t="s">
        <v>2620</v>
      </c>
    </row>
    <row r="545" spans="5:5" x14ac:dyDescent="0.2">
      <c r="E545" t="s">
        <v>2621</v>
      </c>
    </row>
    <row r="546" spans="5:5" x14ac:dyDescent="0.2">
      <c r="E546" t="s">
        <v>2622</v>
      </c>
    </row>
    <row r="547" spans="5:5" x14ac:dyDescent="0.2">
      <c r="E547" t="s">
        <v>2623</v>
      </c>
    </row>
    <row r="548" spans="5:5" x14ac:dyDescent="0.2">
      <c r="E548" t="s">
        <v>2624</v>
      </c>
    </row>
    <row r="549" spans="5:5" x14ac:dyDescent="0.2">
      <c r="E549" t="s">
        <v>2625</v>
      </c>
    </row>
    <row r="550" spans="5:5" x14ac:dyDescent="0.2">
      <c r="E550" t="s">
        <v>2626</v>
      </c>
    </row>
    <row r="551" spans="5:5" x14ac:dyDescent="0.2">
      <c r="E551" t="s">
        <v>2627</v>
      </c>
    </row>
    <row r="552" spans="5:5" x14ac:dyDescent="0.2">
      <c r="E552" t="s">
        <v>2628</v>
      </c>
    </row>
    <row r="553" spans="5:5" x14ac:dyDescent="0.2">
      <c r="E553" t="s">
        <v>2629</v>
      </c>
    </row>
    <row r="554" spans="5:5" x14ac:dyDescent="0.2">
      <c r="E554" t="s">
        <v>2630</v>
      </c>
    </row>
    <row r="555" spans="5:5" x14ac:dyDescent="0.2">
      <c r="E555" t="s">
        <v>2631</v>
      </c>
    </row>
    <row r="556" spans="5:5" x14ac:dyDescent="0.2">
      <c r="E556" t="s">
        <v>2632</v>
      </c>
    </row>
    <row r="557" spans="5:5" x14ac:dyDescent="0.2">
      <c r="E557" t="s">
        <v>2633</v>
      </c>
    </row>
    <row r="558" spans="5:5" x14ac:dyDescent="0.2">
      <c r="E558" t="s">
        <v>2634</v>
      </c>
    </row>
    <row r="559" spans="5:5" x14ac:dyDescent="0.2">
      <c r="E559" t="s">
        <v>2635</v>
      </c>
    </row>
    <row r="560" spans="5:5" x14ac:dyDescent="0.2">
      <c r="E560" t="s">
        <v>2636</v>
      </c>
    </row>
    <row r="561" spans="5:5" x14ac:dyDescent="0.2">
      <c r="E561" t="s">
        <v>2637</v>
      </c>
    </row>
    <row r="562" spans="5:5" x14ac:dyDescent="0.2">
      <c r="E562" t="s">
        <v>2638</v>
      </c>
    </row>
    <row r="563" spans="5:5" x14ac:dyDescent="0.2">
      <c r="E563" t="s">
        <v>2639</v>
      </c>
    </row>
    <row r="564" spans="5:5" x14ac:dyDescent="0.2">
      <c r="E564" t="s">
        <v>2640</v>
      </c>
    </row>
    <row r="565" spans="5:5" x14ac:dyDescent="0.2">
      <c r="E565" t="s">
        <v>2641</v>
      </c>
    </row>
    <row r="566" spans="5:5" x14ac:dyDescent="0.2">
      <c r="E566" t="s">
        <v>2642</v>
      </c>
    </row>
    <row r="567" spans="5:5" x14ac:dyDescent="0.2">
      <c r="E567" t="s">
        <v>2643</v>
      </c>
    </row>
    <row r="568" spans="5:5" x14ac:dyDescent="0.2">
      <c r="E568" t="s">
        <v>2644</v>
      </c>
    </row>
    <row r="569" spans="5:5" x14ac:dyDescent="0.2">
      <c r="E569" t="s">
        <v>2645</v>
      </c>
    </row>
    <row r="570" spans="5:5" x14ac:dyDescent="0.2">
      <c r="E570" t="s">
        <v>2646</v>
      </c>
    </row>
    <row r="571" spans="5:5" x14ac:dyDescent="0.2">
      <c r="E571" t="s">
        <v>2647</v>
      </c>
    </row>
    <row r="572" spans="5:5" x14ac:dyDescent="0.2">
      <c r="E572" t="s">
        <v>2648</v>
      </c>
    </row>
    <row r="573" spans="5:5" x14ac:dyDescent="0.2">
      <c r="E573" t="s">
        <v>2649</v>
      </c>
    </row>
    <row r="574" spans="5:5" x14ac:dyDescent="0.2">
      <c r="E574" t="s">
        <v>1350</v>
      </c>
    </row>
    <row r="575" spans="5:5" x14ac:dyDescent="0.2">
      <c r="E575" t="s">
        <v>1351</v>
      </c>
    </row>
    <row r="576" spans="5:5" x14ac:dyDescent="0.2">
      <c r="E576" t="s">
        <v>1352</v>
      </c>
    </row>
    <row r="577" spans="5:5" x14ac:dyDescent="0.2">
      <c r="E577" t="s">
        <v>2650</v>
      </c>
    </row>
    <row r="578" spans="5:5" x14ac:dyDescent="0.2">
      <c r="E578" t="s">
        <v>2651</v>
      </c>
    </row>
    <row r="579" spans="5:5" x14ac:dyDescent="0.2">
      <c r="E579" t="s">
        <v>2652</v>
      </c>
    </row>
    <row r="580" spans="5:5" x14ac:dyDescent="0.2">
      <c r="E580" t="s">
        <v>2653</v>
      </c>
    </row>
    <row r="581" spans="5:5" x14ac:dyDescent="0.2">
      <c r="E581" t="s">
        <v>2654</v>
      </c>
    </row>
    <row r="582" spans="5:5" x14ac:dyDescent="0.2">
      <c r="E582" t="s">
        <v>2655</v>
      </c>
    </row>
    <row r="583" spans="5:5" x14ac:dyDescent="0.2">
      <c r="E583" t="s">
        <v>2656</v>
      </c>
    </row>
    <row r="584" spans="5:5" x14ac:dyDescent="0.2">
      <c r="E584" t="s">
        <v>2657</v>
      </c>
    </row>
    <row r="585" spans="5:5" x14ac:dyDescent="0.2">
      <c r="E585" t="s">
        <v>2658</v>
      </c>
    </row>
    <row r="586" spans="5:5" x14ac:dyDescent="0.2">
      <c r="E586" t="s">
        <v>2659</v>
      </c>
    </row>
    <row r="587" spans="5:5" x14ac:dyDescent="0.2">
      <c r="E587" t="s">
        <v>2660</v>
      </c>
    </row>
    <row r="588" spans="5:5" x14ac:dyDescent="0.2">
      <c r="E588" t="s">
        <v>2661</v>
      </c>
    </row>
    <row r="589" spans="5:5" x14ac:dyDescent="0.2">
      <c r="E589" t="s">
        <v>2662</v>
      </c>
    </row>
    <row r="590" spans="5:5" x14ac:dyDescent="0.2">
      <c r="E590" t="s">
        <v>2663</v>
      </c>
    </row>
    <row r="591" spans="5:5" x14ac:dyDescent="0.2">
      <c r="E591" t="s">
        <v>2664</v>
      </c>
    </row>
    <row r="592" spans="5:5" x14ac:dyDescent="0.2">
      <c r="E592" t="s">
        <v>2665</v>
      </c>
    </row>
    <row r="593" spans="5:5" x14ac:dyDescent="0.2">
      <c r="E593" t="s">
        <v>2666</v>
      </c>
    </row>
    <row r="594" spans="5:5" x14ac:dyDescent="0.2">
      <c r="E594" t="s">
        <v>2667</v>
      </c>
    </row>
    <row r="595" spans="5:5" x14ac:dyDescent="0.2">
      <c r="E595" t="s">
        <v>2668</v>
      </c>
    </row>
    <row r="596" spans="5:5" x14ac:dyDescent="0.2">
      <c r="E596" t="s">
        <v>1353</v>
      </c>
    </row>
    <row r="597" spans="5:5" x14ac:dyDescent="0.2">
      <c r="E597" t="s">
        <v>1354</v>
      </c>
    </row>
    <row r="598" spans="5:5" x14ac:dyDescent="0.2">
      <c r="E598" t="s">
        <v>1355</v>
      </c>
    </row>
    <row r="599" spans="5:5" x14ac:dyDescent="0.2">
      <c r="E599" t="s">
        <v>1941</v>
      </c>
    </row>
    <row r="600" spans="5:5" x14ac:dyDescent="0.2">
      <c r="E600" t="s">
        <v>1356</v>
      </c>
    </row>
    <row r="601" spans="5:5" x14ac:dyDescent="0.2">
      <c r="E601" t="s">
        <v>1357</v>
      </c>
    </row>
    <row r="602" spans="5:5" x14ac:dyDescent="0.2">
      <c r="E602" t="s">
        <v>1358</v>
      </c>
    </row>
    <row r="603" spans="5:5" x14ac:dyDescent="0.2">
      <c r="E603" t="s">
        <v>1359</v>
      </c>
    </row>
    <row r="604" spans="5:5" x14ac:dyDescent="0.2">
      <c r="E604" t="s">
        <v>1360</v>
      </c>
    </row>
    <row r="605" spans="5:5" x14ac:dyDescent="0.2">
      <c r="E605" t="s">
        <v>2201</v>
      </c>
    </row>
    <row r="606" spans="5:5" x14ac:dyDescent="0.2">
      <c r="E606" t="s">
        <v>2669</v>
      </c>
    </row>
    <row r="607" spans="5:5" x14ac:dyDescent="0.2">
      <c r="E607" t="s">
        <v>2670</v>
      </c>
    </row>
    <row r="608" spans="5:5" x14ac:dyDescent="0.2">
      <c r="E608" t="s">
        <v>1361</v>
      </c>
    </row>
    <row r="609" spans="5:5" x14ac:dyDescent="0.2">
      <c r="E609" t="s">
        <v>2671</v>
      </c>
    </row>
    <row r="610" spans="5:5" x14ac:dyDescent="0.2">
      <c r="E610" t="s">
        <v>2672</v>
      </c>
    </row>
    <row r="611" spans="5:5" x14ac:dyDescent="0.2">
      <c r="E611" t="s">
        <v>2673</v>
      </c>
    </row>
    <row r="612" spans="5:5" x14ac:dyDescent="0.2">
      <c r="E612" t="s">
        <v>2674</v>
      </c>
    </row>
    <row r="613" spans="5:5" x14ac:dyDescent="0.2">
      <c r="E613" t="s">
        <v>2675</v>
      </c>
    </row>
    <row r="614" spans="5:5" x14ac:dyDescent="0.2">
      <c r="E614" t="s">
        <v>2676</v>
      </c>
    </row>
    <row r="615" spans="5:5" x14ac:dyDescent="0.2">
      <c r="E615" t="s">
        <v>2677</v>
      </c>
    </row>
    <row r="616" spans="5:5" x14ac:dyDescent="0.2">
      <c r="E616" t="s">
        <v>2678</v>
      </c>
    </row>
    <row r="617" spans="5:5" x14ac:dyDescent="0.2">
      <c r="E617" t="s">
        <v>2679</v>
      </c>
    </row>
    <row r="618" spans="5:5" x14ac:dyDescent="0.2">
      <c r="E618" t="s">
        <v>2680</v>
      </c>
    </row>
    <row r="619" spans="5:5" x14ac:dyDescent="0.2">
      <c r="E619" t="s">
        <v>2681</v>
      </c>
    </row>
    <row r="620" spans="5:5" x14ac:dyDescent="0.2">
      <c r="E620" t="s">
        <v>2682</v>
      </c>
    </row>
    <row r="621" spans="5:5" x14ac:dyDescent="0.2">
      <c r="E621" t="s">
        <v>2683</v>
      </c>
    </row>
    <row r="622" spans="5:5" x14ac:dyDescent="0.2">
      <c r="E622" t="s">
        <v>2684</v>
      </c>
    </row>
    <row r="623" spans="5:5" x14ac:dyDescent="0.2">
      <c r="E623" t="s">
        <v>2685</v>
      </c>
    </row>
    <row r="624" spans="5:5" x14ac:dyDescent="0.2">
      <c r="E624" t="s">
        <v>2686</v>
      </c>
    </row>
    <row r="625" spans="5:5" x14ac:dyDescent="0.2">
      <c r="E625" t="s">
        <v>2687</v>
      </c>
    </row>
    <row r="626" spans="5:5" x14ac:dyDescent="0.2">
      <c r="E626" t="s">
        <v>2688</v>
      </c>
    </row>
    <row r="627" spans="5:5" x14ac:dyDescent="0.2">
      <c r="E627" t="s">
        <v>1362</v>
      </c>
    </row>
    <row r="628" spans="5:5" x14ac:dyDescent="0.2">
      <c r="E628" t="s">
        <v>2689</v>
      </c>
    </row>
    <row r="629" spans="5:5" x14ac:dyDescent="0.2">
      <c r="E629" t="s">
        <v>1363</v>
      </c>
    </row>
    <row r="630" spans="5:5" x14ac:dyDescent="0.2">
      <c r="E630" t="s">
        <v>2690</v>
      </c>
    </row>
    <row r="631" spans="5:5" x14ac:dyDescent="0.2">
      <c r="E631" t="s">
        <v>2691</v>
      </c>
    </row>
    <row r="632" spans="5:5" x14ac:dyDescent="0.2">
      <c r="E632" t="s">
        <v>1364</v>
      </c>
    </row>
    <row r="633" spans="5:5" x14ac:dyDescent="0.2">
      <c r="E633" t="s">
        <v>1365</v>
      </c>
    </row>
    <row r="634" spans="5:5" x14ac:dyDescent="0.2">
      <c r="E634" t="s">
        <v>2692</v>
      </c>
    </row>
    <row r="635" spans="5:5" x14ac:dyDescent="0.2">
      <c r="E635" t="s">
        <v>1366</v>
      </c>
    </row>
    <row r="636" spans="5:5" x14ac:dyDescent="0.2">
      <c r="E636" t="s">
        <v>1367</v>
      </c>
    </row>
    <row r="637" spans="5:5" x14ac:dyDescent="0.2">
      <c r="E637" t="s">
        <v>1368</v>
      </c>
    </row>
    <row r="638" spans="5:5" x14ac:dyDescent="0.2">
      <c r="E638" t="s">
        <v>2693</v>
      </c>
    </row>
    <row r="639" spans="5:5" x14ac:dyDescent="0.2">
      <c r="E639" t="s">
        <v>2694</v>
      </c>
    </row>
    <row r="640" spans="5:5" x14ac:dyDescent="0.2">
      <c r="E640" t="s">
        <v>2695</v>
      </c>
    </row>
    <row r="641" spans="5:5" x14ac:dyDescent="0.2">
      <c r="E641" t="s">
        <v>2696</v>
      </c>
    </row>
    <row r="642" spans="5:5" x14ac:dyDescent="0.2">
      <c r="E642" t="s">
        <v>2697</v>
      </c>
    </row>
    <row r="643" spans="5:5" x14ac:dyDescent="0.2">
      <c r="E643" t="s">
        <v>2698</v>
      </c>
    </row>
    <row r="644" spans="5:5" x14ac:dyDescent="0.2">
      <c r="E644" t="s">
        <v>2699</v>
      </c>
    </row>
    <row r="645" spans="5:5" x14ac:dyDescent="0.2">
      <c r="E645" t="s">
        <v>2700</v>
      </c>
    </row>
    <row r="646" spans="5:5" x14ac:dyDescent="0.2">
      <c r="E646" t="s">
        <v>2701</v>
      </c>
    </row>
    <row r="647" spans="5:5" x14ac:dyDescent="0.2">
      <c r="E647" t="s">
        <v>2702</v>
      </c>
    </row>
    <row r="648" spans="5:5" x14ac:dyDescent="0.2">
      <c r="E648" t="s">
        <v>2703</v>
      </c>
    </row>
    <row r="649" spans="5:5" x14ac:dyDescent="0.2">
      <c r="E649" t="s">
        <v>2704</v>
      </c>
    </row>
    <row r="650" spans="5:5" x14ac:dyDescent="0.2">
      <c r="E650" t="s">
        <v>2705</v>
      </c>
    </row>
    <row r="651" spans="5:5" x14ac:dyDescent="0.2">
      <c r="E651" t="s">
        <v>2706</v>
      </c>
    </row>
    <row r="652" spans="5:5" x14ac:dyDescent="0.2">
      <c r="E652" t="s">
        <v>2707</v>
      </c>
    </row>
    <row r="653" spans="5:5" x14ac:dyDescent="0.2">
      <c r="E653" t="s">
        <v>2708</v>
      </c>
    </row>
    <row r="654" spans="5:5" x14ac:dyDescent="0.2">
      <c r="E654" t="s">
        <v>2709</v>
      </c>
    </row>
    <row r="655" spans="5:5" x14ac:dyDescent="0.2">
      <c r="E655" t="s">
        <v>2710</v>
      </c>
    </row>
    <row r="656" spans="5:5" x14ac:dyDescent="0.2">
      <c r="E656" t="s">
        <v>2711</v>
      </c>
    </row>
    <row r="657" spans="5:5" x14ac:dyDescent="0.2">
      <c r="E657" t="s">
        <v>2712</v>
      </c>
    </row>
    <row r="658" spans="5:5" x14ac:dyDescent="0.2">
      <c r="E658" t="s">
        <v>2713</v>
      </c>
    </row>
    <row r="659" spans="5:5" x14ac:dyDescent="0.2">
      <c r="E659" t="s">
        <v>2714</v>
      </c>
    </row>
    <row r="660" spans="5:5" x14ac:dyDescent="0.2">
      <c r="E660" t="s">
        <v>2715</v>
      </c>
    </row>
    <row r="661" spans="5:5" x14ac:dyDescent="0.2">
      <c r="E661" t="s">
        <v>2716</v>
      </c>
    </row>
    <row r="662" spans="5:5" x14ac:dyDescent="0.2">
      <c r="E662" t="s">
        <v>2717</v>
      </c>
    </row>
    <row r="663" spans="5:5" x14ac:dyDescent="0.2">
      <c r="E663" t="s">
        <v>2718</v>
      </c>
    </row>
    <row r="664" spans="5:5" x14ac:dyDescent="0.2">
      <c r="E664" t="s">
        <v>2719</v>
      </c>
    </row>
    <row r="665" spans="5:5" x14ac:dyDescent="0.2">
      <c r="E665" t="s">
        <v>2720</v>
      </c>
    </row>
    <row r="666" spans="5:5" x14ac:dyDescent="0.2">
      <c r="E666" t="s">
        <v>2721</v>
      </c>
    </row>
    <row r="667" spans="5:5" x14ac:dyDescent="0.2">
      <c r="E667" t="s">
        <v>2722</v>
      </c>
    </row>
    <row r="668" spans="5:5" x14ac:dyDescent="0.2">
      <c r="E668" t="s">
        <v>2723</v>
      </c>
    </row>
    <row r="669" spans="5:5" x14ac:dyDescent="0.2">
      <c r="E669" t="s">
        <v>2724</v>
      </c>
    </row>
    <row r="670" spans="5:5" x14ac:dyDescent="0.2">
      <c r="E670" t="s">
        <v>2725</v>
      </c>
    </row>
    <row r="671" spans="5:5" x14ac:dyDescent="0.2">
      <c r="E671" t="s">
        <v>2726</v>
      </c>
    </row>
    <row r="672" spans="5:5" x14ac:dyDescent="0.2">
      <c r="E672" t="s">
        <v>2727</v>
      </c>
    </row>
    <row r="673" spans="5:5" x14ac:dyDescent="0.2">
      <c r="E673" t="s">
        <v>2728</v>
      </c>
    </row>
    <row r="674" spans="5:5" x14ac:dyDescent="0.2">
      <c r="E674" t="s">
        <v>2729</v>
      </c>
    </row>
    <row r="675" spans="5:5" x14ac:dyDescent="0.2">
      <c r="E675" t="s">
        <v>2730</v>
      </c>
    </row>
    <row r="676" spans="5:5" x14ac:dyDescent="0.2">
      <c r="E676" t="s">
        <v>2731</v>
      </c>
    </row>
    <row r="677" spans="5:5" x14ac:dyDescent="0.2">
      <c r="E677" t="s">
        <v>2732</v>
      </c>
    </row>
    <row r="678" spans="5:5" x14ac:dyDescent="0.2">
      <c r="E678" t="s">
        <v>2733</v>
      </c>
    </row>
    <row r="679" spans="5:5" x14ac:dyDescent="0.2">
      <c r="E679" t="s">
        <v>2734</v>
      </c>
    </row>
    <row r="680" spans="5:5" x14ac:dyDescent="0.2">
      <c r="E680" t="s">
        <v>2735</v>
      </c>
    </row>
    <row r="681" spans="5:5" x14ac:dyDescent="0.2">
      <c r="E681" t="s">
        <v>2736</v>
      </c>
    </row>
    <row r="682" spans="5:5" x14ac:dyDescent="0.2">
      <c r="E682" t="s">
        <v>2737</v>
      </c>
    </row>
    <row r="683" spans="5:5" x14ac:dyDescent="0.2">
      <c r="E683" t="s">
        <v>2738</v>
      </c>
    </row>
    <row r="684" spans="5:5" x14ac:dyDescent="0.2">
      <c r="E684" t="s">
        <v>2739</v>
      </c>
    </row>
    <row r="685" spans="5:5" x14ac:dyDescent="0.2">
      <c r="E685" t="s">
        <v>2740</v>
      </c>
    </row>
    <row r="686" spans="5:5" x14ac:dyDescent="0.2">
      <c r="E686" t="s">
        <v>2741</v>
      </c>
    </row>
    <row r="687" spans="5:5" x14ac:dyDescent="0.2">
      <c r="E687" t="s">
        <v>2742</v>
      </c>
    </row>
    <row r="688" spans="5:5" x14ac:dyDescent="0.2">
      <c r="E688" t="s">
        <v>2743</v>
      </c>
    </row>
    <row r="689" spans="5:5" x14ac:dyDescent="0.2">
      <c r="E689" t="s">
        <v>2744</v>
      </c>
    </row>
    <row r="690" spans="5:5" x14ac:dyDescent="0.2">
      <c r="E690" t="s">
        <v>2745</v>
      </c>
    </row>
    <row r="691" spans="5:5" x14ac:dyDescent="0.2">
      <c r="E691" t="s">
        <v>2746</v>
      </c>
    </row>
    <row r="692" spans="5:5" x14ac:dyDescent="0.2">
      <c r="E692" t="s">
        <v>2747</v>
      </c>
    </row>
    <row r="693" spans="5:5" x14ac:dyDescent="0.2">
      <c r="E693" t="s">
        <v>2748</v>
      </c>
    </row>
    <row r="694" spans="5:5" x14ac:dyDescent="0.2">
      <c r="E694" t="s">
        <v>2749</v>
      </c>
    </row>
    <row r="695" spans="5:5" x14ac:dyDescent="0.2">
      <c r="E695" t="s">
        <v>2750</v>
      </c>
    </row>
    <row r="696" spans="5:5" x14ac:dyDescent="0.2">
      <c r="E696" t="s">
        <v>2751</v>
      </c>
    </row>
    <row r="697" spans="5:5" x14ac:dyDescent="0.2">
      <c r="E697" t="s">
        <v>2752</v>
      </c>
    </row>
    <row r="698" spans="5:5" x14ac:dyDescent="0.2">
      <c r="E698" t="s">
        <v>2753</v>
      </c>
    </row>
    <row r="699" spans="5:5" x14ac:dyDescent="0.2">
      <c r="E699" t="s">
        <v>2754</v>
      </c>
    </row>
    <row r="700" spans="5:5" x14ac:dyDescent="0.2">
      <c r="E700" t="s">
        <v>2755</v>
      </c>
    </row>
    <row r="701" spans="5:5" x14ac:dyDescent="0.2">
      <c r="E701" t="s">
        <v>2756</v>
      </c>
    </row>
    <row r="702" spans="5:5" x14ac:dyDescent="0.2">
      <c r="E702" t="s">
        <v>2757</v>
      </c>
    </row>
    <row r="703" spans="5:5" x14ac:dyDescent="0.2">
      <c r="E703" t="s">
        <v>2758</v>
      </c>
    </row>
    <row r="704" spans="5:5" x14ac:dyDescent="0.2">
      <c r="E704" t="s">
        <v>1369</v>
      </c>
    </row>
    <row r="705" spans="5:5" x14ac:dyDescent="0.2">
      <c r="E705" t="s">
        <v>1370</v>
      </c>
    </row>
    <row r="706" spans="5:5" x14ac:dyDescent="0.2">
      <c r="E706" t="s">
        <v>2759</v>
      </c>
    </row>
    <row r="707" spans="5:5" x14ac:dyDescent="0.2">
      <c r="E707" t="s">
        <v>1371</v>
      </c>
    </row>
    <row r="708" spans="5:5" x14ac:dyDescent="0.2">
      <c r="E708" t="s">
        <v>1372</v>
      </c>
    </row>
    <row r="709" spans="5:5" x14ac:dyDescent="0.2">
      <c r="E709" t="s">
        <v>2760</v>
      </c>
    </row>
    <row r="710" spans="5:5" x14ac:dyDescent="0.2">
      <c r="E710" t="s">
        <v>2761</v>
      </c>
    </row>
    <row r="711" spans="5:5" x14ac:dyDescent="0.2">
      <c r="E711" t="s">
        <v>1373</v>
      </c>
    </row>
    <row r="712" spans="5:5" x14ac:dyDescent="0.2">
      <c r="E712" t="s">
        <v>1374</v>
      </c>
    </row>
    <row r="713" spans="5:5" x14ac:dyDescent="0.2">
      <c r="E713" t="s">
        <v>2762</v>
      </c>
    </row>
    <row r="714" spans="5:5" x14ac:dyDescent="0.2">
      <c r="E714" t="s">
        <v>2763</v>
      </c>
    </row>
    <row r="715" spans="5:5" x14ac:dyDescent="0.2">
      <c r="E715" t="s">
        <v>1375</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66" t="s">
        <v>742</v>
      </c>
      <c r="B1" s="167"/>
      <c r="C1" s="167"/>
      <c r="D1" s="167"/>
      <c r="E1" s="167"/>
      <c r="F1" s="167"/>
      <c r="G1" s="167"/>
      <c r="H1" s="167"/>
      <c r="I1" s="167"/>
      <c r="J1" s="167"/>
      <c r="K1" s="167"/>
      <c r="L1" s="167"/>
      <c r="M1" s="167"/>
      <c r="N1" s="167"/>
      <c r="O1" s="167"/>
    </row>
    <row r="2" spans="1:15" x14ac:dyDescent="0.2">
      <c r="A2" s="7" t="s">
        <v>743</v>
      </c>
    </row>
    <row r="3" spans="1:15" x14ac:dyDescent="0.2">
      <c r="A3" s="7" t="s">
        <v>744</v>
      </c>
    </row>
    <row r="5" spans="1:15" ht="28" customHeight="1" x14ac:dyDescent="0.2">
      <c r="A5" s="10" t="s">
        <v>68</v>
      </c>
      <c r="B5" s="10" t="s">
        <v>745</v>
      </c>
      <c r="C5" s="10" t="s">
        <v>746</v>
      </c>
      <c r="D5" s="10" t="s">
        <v>747</v>
      </c>
      <c r="E5" s="10" t="s">
        <v>748</v>
      </c>
      <c r="F5" s="10" t="s">
        <v>749</v>
      </c>
      <c r="G5" s="10" t="s">
        <v>750</v>
      </c>
      <c r="H5" s="10" t="s">
        <v>751</v>
      </c>
    </row>
    <row r="6" spans="1:15" x14ac:dyDescent="0.2">
      <c r="A6" s="11">
        <v>1</v>
      </c>
      <c r="B6" s="11" t="s">
        <v>403</v>
      </c>
      <c r="C6" s="11" t="s">
        <v>752</v>
      </c>
      <c r="D6" s="12">
        <v>10.5</v>
      </c>
      <c r="E6" s="11">
        <v>364506</v>
      </c>
      <c r="F6" s="11" t="s">
        <v>753</v>
      </c>
      <c r="G6" s="11" t="s">
        <v>754</v>
      </c>
      <c r="H6" s="11" t="s">
        <v>403</v>
      </c>
    </row>
    <row r="7" spans="1:15" x14ac:dyDescent="0.2">
      <c r="A7" s="11">
        <v>2</v>
      </c>
      <c r="B7" s="11" t="s">
        <v>282</v>
      </c>
      <c r="C7" s="11" t="s">
        <v>755</v>
      </c>
      <c r="D7" s="12">
        <v>7.3</v>
      </c>
      <c r="E7" s="11">
        <v>397490</v>
      </c>
      <c r="F7" s="11" t="s">
        <v>756</v>
      </c>
      <c r="G7" s="11" t="s">
        <v>754</v>
      </c>
      <c r="H7" s="11" t="s">
        <v>282</v>
      </c>
    </row>
    <row r="8" spans="1:15" x14ac:dyDescent="0.2">
      <c r="A8" s="11">
        <v>3</v>
      </c>
      <c r="B8" s="11" t="s">
        <v>757</v>
      </c>
      <c r="C8" s="11" t="s">
        <v>758</v>
      </c>
      <c r="D8" s="12">
        <v>8.9</v>
      </c>
      <c r="E8" s="11">
        <v>412305</v>
      </c>
      <c r="F8" s="11" t="s">
        <v>759</v>
      </c>
      <c r="G8" s="11" t="s">
        <v>754</v>
      </c>
      <c r="H8" s="11" t="s">
        <v>757</v>
      </c>
    </row>
    <row r="9" spans="1:15" x14ac:dyDescent="0.2">
      <c r="A9" s="11">
        <v>4</v>
      </c>
      <c r="B9" s="11" t="s">
        <v>486</v>
      </c>
      <c r="C9" s="11" t="s">
        <v>760</v>
      </c>
      <c r="D9" s="12">
        <v>7.13</v>
      </c>
      <c r="E9" s="11">
        <v>412805</v>
      </c>
      <c r="F9" s="11" t="s">
        <v>761</v>
      </c>
      <c r="G9" s="11" t="s">
        <v>754</v>
      </c>
      <c r="H9" s="11" t="s">
        <v>486</v>
      </c>
    </row>
    <row r="10" spans="1:15" x14ac:dyDescent="0.2">
      <c r="A10" s="11">
        <v>5</v>
      </c>
      <c r="B10" s="11" t="s">
        <v>94</v>
      </c>
      <c r="C10" s="11" t="s">
        <v>762</v>
      </c>
      <c r="D10" s="12">
        <v>8.9600000000000009</v>
      </c>
      <c r="E10" s="11">
        <v>412479</v>
      </c>
      <c r="F10" s="11" t="s">
        <v>763</v>
      </c>
      <c r="G10" s="11" t="s">
        <v>754</v>
      </c>
      <c r="H10" s="11" t="s">
        <v>94</v>
      </c>
    </row>
    <row r="11" spans="1:15" x14ac:dyDescent="0.2">
      <c r="A11" s="11">
        <v>6</v>
      </c>
      <c r="B11" s="11" t="s">
        <v>122</v>
      </c>
      <c r="C11" s="11" t="s">
        <v>764</v>
      </c>
      <c r="D11" s="12"/>
      <c r="E11" s="11">
        <v>412723</v>
      </c>
      <c r="F11" s="11" t="s">
        <v>765</v>
      </c>
      <c r="G11" s="11" t="s">
        <v>766</v>
      </c>
      <c r="H11" s="11" t="s">
        <v>122</v>
      </c>
    </row>
    <row r="12" spans="1:15" x14ac:dyDescent="0.2">
      <c r="A12" s="11">
        <v>7</v>
      </c>
      <c r="B12" s="11" t="s">
        <v>767</v>
      </c>
      <c r="C12" s="11" t="s">
        <v>764</v>
      </c>
      <c r="D12" s="12"/>
      <c r="E12" s="11">
        <v>702767</v>
      </c>
      <c r="F12" s="11" t="s">
        <v>768</v>
      </c>
      <c r="G12" s="11" t="s">
        <v>769</v>
      </c>
      <c r="H12" s="11" t="s">
        <v>770</v>
      </c>
    </row>
    <row r="13" spans="1:15" x14ac:dyDescent="0.2">
      <c r="A13" s="11">
        <v>8</v>
      </c>
      <c r="B13" s="11" t="s">
        <v>771</v>
      </c>
      <c r="C13" s="11" t="s">
        <v>764</v>
      </c>
      <c r="D13" s="12"/>
      <c r="E13" s="11">
        <v>702769</v>
      </c>
      <c r="F13" s="11" t="s">
        <v>772</v>
      </c>
      <c r="G13" s="11" t="s">
        <v>769</v>
      </c>
      <c r="H13" s="11" t="s">
        <v>770</v>
      </c>
    </row>
    <row r="14" spans="1:15" x14ac:dyDescent="0.2">
      <c r="A14" s="11">
        <v>9</v>
      </c>
      <c r="B14" s="11" t="s">
        <v>773</v>
      </c>
      <c r="C14" s="11" t="s">
        <v>764</v>
      </c>
      <c r="D14" s="12"/>
      <c r="E14" s="11">
        <v>702768</v>
      </c>
      <c r="F14" s="11" t="s">
        <v>774</v>
      </c>
      <c r="G14" s="11" t="s">
        <v>769</v>
      </c>
      <c r="H14" s="11" t="s">
        <v>770</v>
      </c>
    </row>
    <row r="16" spans="1:15" x14ac:dyDescent="0.2">
      <c r="A16" s="13" t="s">
        <v>775</v>
      </c>
    </row>
    <row r="17" spans="1:19" ht="28" customHeight="1" x14ac:dyDescent="0.2">
      <c r="A17" s="10" t="s">
        <v>68</v>
      </c>
      <c r="B17" s="10" t="s">
        <v>776</v>
      </c>
      <c r="C17" s="10" t="s">
        <v>992</v>
      </c>
      <c r="D17" s="10" t="s">
        <v>777</v>
      </c>
      <c r="E17" s="10" t="s">
        <v>42</v>
      </c>
      <c r="F17" s="10" t="s">
        <v>778</v>
      </c>
      <c r="G17" s="10" t="s">
        <v>779</v>
      </c>
      <c r="H17" s="10" t="s">
        <v>780</v>
      </c>
      <c r="I17" s="10" t="s">
        <v>781</v>
      </c>
      <c r="J17" s="8"/>
      <c r="K17" s="8" t="s">
        <v>782</v>
      </c>
      <c r="L17" s="8" t="s">
        <v>783</v>
      </c>
      <c r="M17" s="8" t="s">
        <v>784</v>
      </c>
      <c r="N17" s="8" t="s">
        <v>785</v>
      </c>
      <c r="O17" s="8" t="s">
        <v>786</v>
      </c>
      <c r="P17" s="8" t="s">
        <v>787</v>
      </c>
      <c r="Q17" s="8" t="s">
        <v>788</v>
      </c>
      <c r="R17" s="8" t="s">
        <v>789</v>
      </c>
      <c r="S17" s="8" t="s">
        <v>790</v>
      </c>
    </row>
    <row r="18" spans="1:19" x14ac:dyDescent="0.2">
      <c r="A18" s="14" t="s">
        <v>791</v>
      </c>
      <c r="B18" s="14" t="s">
        <v>791</v>
      </c>
      <c r="C18" s="14" t="s">
        <v>791</v>
      </c>
      <c r="D18" s="14" t="s">
        <v>791</v>
      </c>
      <c r="E18" s="14" t="s">
        <v>791</v>
      </c>
      <c r="F18" s="14" t="s">
        <v>791</v>
      </c>
      <c r="G18" s="14" t="s">
        <v>791</v>
      </c>
      <c r="H18" s="14" t="s">
        <v>791</v>
      </c>
      <c r="I18" s="14" t="s">
        <v>791</v>
      </c>
      <c r="J18" s="14"/>
      <c r="K18" s="14" t="s">
        <v>792</v>
      </c>
      <c r="L18" s="14" t="s">
        <v>792</v>
      </c>
      <c r="M18" s="14" t="s">
        <v>792</v>
      </c>
      <c r="N18" s="14" t="s">
        <v>792</v>
      </c>
      <c r="O18" s="14" t="s">
        <v>792</v>
      </c>
      <c r="P18" s="14" t="s">
        <v>792</v>
      </c>
      <c r="Q18" s="14" t="s">
        <v>792</v>
      </c>
      <c r="R18" s="14" t="s">
        <v>792</v>
      </c>
      <c r="S18" s="14" t="s">
        <v>792</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60"/>
  <sheetViews>
    <sheetView zoomScaleNormal="100" workbookViewId="0">
      <pane ySplit="1" topLeftCell="A1" activePane="bottomLeft" state="frozen"/>
      <selection pane="bottomLeft" activeCell="A152" sqref="A152"/>
    </sheetView>
  </sheetViews>
  <sheetFormatPr baseColWidth="10" defaultColWidth="8.6640625" defaultRowHeight="15" x14ac:dyDescent="0.2"/>
  <cols>
    <col min="1" max="1" width="100" customWidth="1"/>
  </cols>
  <sheetData>
    <row r="1" spans="1:1">
      <c r="A1" s="1" t="inlineStr">
        <is>
          <t xml:space="preserve">STEELHEAD AUTOMATOR — PLANTILLA DE CARGA MASIVA v13</t>
        </is>
      </c>
    </row>
    <row r="3" spans="1:1">
      <c r="A3" s="5" t="inlineStr">
        <is>
          <t xml:space="preserve">Referencia rápida generada del propio archivo: 67 columnas (A–BO), 5 pares de rack.</t>
        </is>
      </c>
    </row>
    <row r="4" spans="1:1">
      <c r="A4" s="5" t="inlineStr">
        <is>
          <t xml:space="preserve">Guía completa con imágenes: docs/training/guia-plantilla-v13.html del repositorio.</t>
        </is>
      </c>
    </row>
    <row r="6" spans="1:1">
      <c r="A6" s="3" t="inlineStr">
        <is>
          <t xml:space="preserve">FLUJO COMPLETO</t>
        </is>
      </c>
    </row>
    <row r="7" spans="1:1">
      <c r="A7" s="4" t="inlineStr">
        <is>
          <t xml:space="preserve">   1. Bajar la plantilla desde el menú de la extensión (no reusar una copia vieja)</t>
        </is>
      </c>
    </row>
    <row r="8" spans="1:1">
      <c r="A8" s="4" t="inlineStr">
        <is>
          <t xml:space="preserve">   2. Actualizar Catálogos (botón de la extensión, estando dentro de Steelhead)</t>
        </is>
      </c>
    </row>
    <row r="9" spans="1:1">
      <c r="A9" s="4" t="inlineStr">
        <is>
          <t xml:space="preserve">   3. En Excel: macro RefrescarListas — pide el archivo de catálogos recién bajado</t>
        </is>
      </c>
    </row>
    <row r="10" spans="1:1">
      <c r="A10" s="4" t="inlineStr">
        <is>
          <t xml:space="preserve">   4. Llenar el encabezado y los renglones de la hoja Upload (datos desde la fila 9)</t>
        </is>
      </c>
    </row>
    <row r="11" spans="1:1">
      <c r="A11" s="4" t="inlineStr">
        <is>
          <t xml:space="preserve">   5. Macro ExportarCSV — valida y guarda el CSV</t>
        </is>
      </c>
    </row>
    <row r="12" spans="1:1">
      <c r="A12" s="4" t="inlineStr">
        <is>
          <t xml:space="preserve">   6. En Steelhead: extensión → Carga Masiva → Cargar CSV → revisar → EJECUTAR</t>
        </is>
      </c>
    </row>
    <row r="14" spans="1:1">
      <c r="A14" s="3" t="inlineStr">
        <is>
          <t xml:space="preserve">MODOS (celda H1)</t>
        </is>
      </c>
    </row>
    <row r="15" spans="1:1">
      <c r="A15" s="4" t="inlineStr">
        <is>
          <t xml:space="preserve">   COTIZACIÓN+NP — crea la cotización y los números de parte, con precios y productos</t>
        </is>
      </c>
    </row>
    <row r="16" spans="1:1">
      <c r="A16" s="4" t="inlineStr">
        <is>
          <t xml:space="preserve">   SOLO_PN       — crea o modifica números de parte, sin tocar cotizaciones</t>
        </is>
      </c>
    </row>
    <row r="17" spans="1:1">
      <c r="A17" s="4" t="inlineStr">
        <is>
          <t xml:space="preserve">   Con varios clientes en COTIZACIÓN+NP se crea UNA cotización por cliente,</t>
        </is>
      </c>
    </row>
    <row r="18" spans="1:1">
      <c r="A18" s="4" t="inlineStr">
        <is>
          <t xml:space="preserve">   nombrada "{Cliente} {Layout}". La macro avisa cuántas va a crear y confirmas.</t>
        </is>
      </c>
    </row>
    <row r="20" spans="1:1">
      <c r="A20" s="3" t="inlineStr">
        <is>
          <t xml:space="preserve">ENCABEZADO DEL LAYOUT (filas 1-4)</t>
        </is>
      </c>
    </row>
    <row r="21" spans="1:1">
      <c r="A21" s="4" t="inlineStr">
        <is>
          <t xml:space="preserve">   Modo                       H1   COTIZACIÓN+NP o SOLO_PN</t>
        </is>
      </c>
    </row>
    <row r="22" spans="1:1">
      <c r="A22" s="4" t="inlineStr">
        <is>
          <t xml:space="preserve">   Empresa Emisora            B3   ECOPLATING o PROQUIPA</t>
        </is>
      </c>
    </row>
    <row r="23" spans="1:1">
      <c r="A23" s="4" t="inlineStr">
        <is>
          <t xml:space="preserve">   Válida Hasta (días)        B4   vigencia; sólo aplica en modo cotización</t>
        </is>
      </c>
    </row>
    <row r="24" spans="1:1">
      <c r="A24" s="4" t="inlineStr">
        <is>
          <t xml:space="preserve">   Nombre Cotización/Layout   G3   OBLIGATORIO en modo cotización</t>
        </is>
      </c>
    </row>
    <row r="25" spans="1:1">
      <c r="A25" s="4" t="inlineStr">
        <is>
          <t xml:space="preserve">   Asignado                   G4   vendedor; en blanco = asignación automática</t>
        </is>
      </c>
    </row>
    <row r="26" spans="1:1">
      <c r="A26" s="4" t="inlineStr">
        <is>
          <t xml:space="preserve">   Notas Externas             J3   las ve el cliente en la cotización</t>
        </is>
      </c>
    </row>
    <row r="27" spans="1:1">
      <c r="A27" s="4" t="inlineStr">
        <is>
          <t xml:space="preserve">   Notas Internas             Q3   uso interno</t>
        </is>
      </c>
    </row>
    <row r="28" spans="1:1">
      <c r="A28" s="5" t="inlineStr">
        <is>
          <t xml:space="preserve">   La macro busca cada campo POR SU ETIQUETA, no por la celda: cambia los valores,</t>
        </is>
      </c>
    </row>
    <row r="29" spans="1:1">
      <c r="A29" s="5" t="inlineStr">
        <is>
          <t xml:space="preserve">   no los rótulos. Si renombras una etiqueta, ese campo deja de leerse.</t>
        </is>
      </c>
    </row>
    <row r="31" spans="1:1">
      <c r="A31" s="3" t="inlineStr">
        <is>
          <t xml:space="preserve">CONVENCIONES</t>
        </is>
      </c>
    </row>
    <row r="32" spans="1:1">
      <c r="A32" s="4" t="inlineStr">
        <is>
          <t xml:space="preserve">   Celda vacía   No se toca nada — conserva lo que ya tenga en Steelhead</t>
        </is>
      </c>
    </row>
    <row r="33" spans="1:1">
      <c r="A33" s="4" t="inlineStr">
        <is>
          <t xml:space="preserve">   Guión (-)     Borra el dato (se manda vacío)</t>
        </is>
      </c>
    </row>
    <row r="34" spans="1:1">
      <c r="A34" s="4" t="inlineStr">
        <is>
          <t xml:space="preserve">   V / F         En columnas de sí/no: V activa, F desactiva</t>
        </is>
      </c>
    </row>
    <row r="35" spans="1:1">
      <c r="A35" s="4" t="inlineStr">
        <is>
          <t xml:space="preserve">   Los renglones sin número de parte no se tocan ni se validan.</t>
        </is>
      </c>
    </row>
    <row r="36" spans="1:1">
      <c r="A36" s="5" t="inlineStr">
        <is>
          <t xml:space="preserve">   Vacío y guión NO son lo mismo: en blanco conserva, guión borra. Ante la duda, en blanco.</t>
        </is>
      </c>
    </row>
    <row r="38" spans="1:1">
      <c r="A38" s="3" t="inlineStr">
        <is>
          <t xml:space="preserve">PLACEHOLDERS DE LOS DESPLEGABLES</t>
        </is>
      </c>
    </row>
    <row r="39" spans="1:1">
      <c r="A39" s="4" t="inlineStr">
        <is>
          <t xml:space="preserve">   (seleccione)             campo con lista — elige del listado</t>
        </is>
      </c>
    </row>
    <row r="40" spans="1:1">
      <c r="A40" s="4" t="inlineStr">
        <is>
          <t xml:space="preserve">   (seleccione o escriba)   campo híbrido — elige o escribe un valor nuevo</t>
        </is>
      </c>
    </row>
    <row r="42" spans="1:1">
      <c r="A42" s="3" t="inlineStr">
        <is>
          <t xml:space="preserve">CÓDIGO DE COLORES</t>
        </is>
      </c>
    </row>
    <row r="43" spans="1:1">
      <c r="A43" s="4" t="inlineStr">
        <is>
          <t xml:space="preserve">   Verde claro   Editable — lo llenas tú</t>
        </is>
      </c>
    </row>
    <row r="44" spans="1:1">
      <c r="A44" s="4" t="inlineStr">
        <is>
          <t xml:space="preserve">   Gris claro    No aplica al modo elegido (lo sombrea SombrearModoSoloPN)</t>
        </is>
      </c>
    </row>
    <row r="46" spans="1:1">
      <c r="A46" s="3" t="inlineStr">
        <is>
          <t xml:space="preserve">COLUMNAS DE DATOS (fila 7 = encabezados · datos desde la fila 9)</t>
        </is>
      </c>
    </row>
    <row r="47" spans="1:1">
      <c r="A47" s="5" t="inlineStr">
        <is>
          <t xml:space="preserve">   Tipo:  Desp. = lista desplegable · Calc. = se calcula solo · # = número · Texto = libre</t>
        </is>
      </c>
    </row>
    <row r="49" spans="1:1">
      <c r="A49" s="4" t="inlineStr">
        <is>
          <t xml:space="preserve">   PARÁMETROS</t>
        </is>
      </c>
    </row>
    <row r="50" spans="1:1">
      <c r="A50" s="5" t="inlineStr">
        <is>
          <t xml:space="preserve">      A   Estatus                        Desp.    [Activo con validación]</t>
        </is>
      </c>
    </row>
    <row r="51" spans="1:1">
      <c r="A51" s="5" t="inlineStr">
        <is>
          <t xml:space="preserve">      B   Forzar duplicado               Desp.    [Sin forzar duplicado]</t>
        </is>
      </c>
    </row>
    <row r="53" spans="1:1">
      <c r="A53" s="4" t="inlineStr">
        <is>
          <t xml:space="preserve">   IDENTIFICACIÓN</t>
        </is>
      </c>
    </row>
    <row r="54" spans="1:1">
      <c r="A54" s="5" t="inlineStr">
        <is>
          <t xml:space="preserve">      C   Id SH                          Texto  </t>
        </is>
      </c>
    </row>
    <row r="55" spans="1:1">
      <c r="A55" s="5" t="inlineStr">
        <is>
          <t xml:space="preserve">      D   Cliente                        Desp.    [(seleccione)]</t>
        </is>
      </c>
    </row>
    <row r="56" spans="1:1">
      <c r="A56" s="5" t="inlineStr">
        <is>
          <t xml:space="preserve">      E   Número de parte                Texto  </t>
        </is>
      </c>
    </row>
    <row r="57" spans="1:1">
      <c r="A57" s="5" t="inlineStr">
        <is>
          <t xml:space="preserve">      F   Descripción                    Texto  </t>
        </is>
      </c>
    </row>
    <row r="58" spans="1:1">
      <c r="A58" s="5" t="inlineStr">
        <is>
          <t xml:space="preserve">      G   PN alterno                     Texto  </t>
        </is>
      </c>
    </row>
    <row r="59" spans="1:1">
      <c r="A59" s="5" t="inlineStr">
        <is>
          <t xml:space="preserve">      H   Grupo                          Texto    [(seleccione o escriba)]</t>
        </is>
      </c>
    </row>
    <row r="61" spans="1:1">
      <c r="A61" s="4" t="inlineStr">
        <is>
          <t xml:space="preserve">   PRECIO</t>
        </is>
      </c>
    </row>
    <row r="62" spans="1:1">
      <c r="A62" s="5" t="inlineStr">
        <is>
          <t xml:space="preserve">      I   Cantidad                       #        [1]</t>
        </is>
      </c>
    </row>
    <row r="63" spans="1:1">
      <c r="A63" s="5" t="inlineStr">
        <is>
          <t xml:space="preserve">      J   Precio                         $      </t>
        </is>
      </c>
    </row>
    <row r="64" spans="1:1">
      <c r="A64" s="5" t="inlineStr">
        <is>
          <t xml:space="preserve">      K   Unidad precio                  Desp.    [(seleccione)]</t>
        </is>
      </c>
    </row>
    <row r="65" spans="1:1">
      <c r="A65" s="5" t="inlineStr">
        <is>
          <t xml:space="preserve">      L   Divisa                         Desp.    [USD]</t>
        </is>
      </c>
    </row>
    <row r="66" spans="1:1">
      <c r="A66" s="5" t="inlineStr">
        <is>
          <t xml:space="preserve">      M   Precio default                 V/F      [V]</t>
        </is>
      </c>
    </row>
    <row r="68" spans="1:1">
      <c r="A68" s="4" t="inlineStr">
        <is>
          <t xml:space="preserve">   LÍNEA Y ACABADOS (ETIQUETAS - LABELS)</t>
        </is>
      </c>
    </row>
    <row r="69" spans="1:1">
      <c r="A69" s="5" t="inlineStr">
        <is>
          <t xml:space="preserve">      N   Línea                          Desp.    [(seleccione)]</t>
        </is>
      </c>
    </row>
    <row r="70" spans="1:1">
      <c r="A70" s="5" t="inlineStr">
        <is>
          <t xml:space="preserve">      O   Metal base                     Desp.    [(seleccione o escriba)]</t>
        </is>
      </c>
    </row>
    <row r="71" spans="1:1">
      <c r="A71" s="5" t="inlineStr">
        <is>
          <t xml:space="preserve">      P   Etiqueta 1                     Desp.    [(seleccione)]</t>
        </is>
      </c>
    </row>
    <row r="72" spans="1:1">
      <c r="A72" s="5" t="inlineStr">
        <is>
          <t xml:space="preserve">      Q   Etiqueta 2                     Desp.    [(seleccione)]</t>
        </is>
      </c>
    </row>
    <row r="73" spans="1:1">
      <c r="A73" s="5" t="inlineStr">
        <is>
          <t xml:space="preserve">      R   Etiqueta 3                     Desp.    [(seleccione)]</t>
        </is>
      </c>
    </row>
    <row r="74" spans="1:1">
      <c r="A74" s="5" t="inlineStr">
        <is>
          <t xml:space="preserve">      S   Etiqueta 4                     Desp.    [(seleccione)]</t>
        </is>
      </c>
    </row>
    <row r="75" spans="1:1">
      <c r="A75" s="5" t="inlineStr">
        <is>
          <t xml:space="preserve">      T   Etiqueta Planta Schneider      Calc.  </t>
        </is>
      </c>
    </row>
    <row r="77" spans="1:1">
      <c r="A77" s="4" t="inlineStr">
        <is>
          <t xml:space="preserve">   PROCESO</t>
        </is>
      </c>
    </row>
    <row r="78" spans="1:1">
      <c r="A78" s="5" t="inlineStr">
        <is>
          <t xml:space="preserve">      U   Proceso                        Desp.    [Combinación no existente]</t>
        </is>
      </c>
    </row>
    <row r="80" spans="1:1">
      <c r="A80" s="4" t="inlineStr">
        <is>
          <t xml:space="preserve">   PRODUCTOS</t>
        </is>
      </c>
    </row>
    <row r="81" spans="1:1">
      <c r="A81" s="5" t="inlineStr">
        <is>
          <t xml:space="preserve">      V   Productos                      Desp.    [(seleccione)]</t>
        </is>
      </c>
    </row>
    <row r="83" spans="1:1">
      <c r="A83" s="4" t="inlineStr">
        <is>
          <t xml:space="preserve">   ESPECIFICACIONES</t>
        </is>
      </c>
    </row>
    <row r="84" spans="1:1">
      <c r="A84" s="5" t="inlineStr">
        <is>
          <t xml:space="preserve">      W   Spec 1                         Desp.    [(seleccione)]</t>
        </is>
      </c>
    </row>
    <row r="85" spans="1:1">
      <c r="A85" s="5" t="inlineStr">
        <is>
          <t xml:space="preserve">      X   Esp. Spec 1 (µm)               Calc/# </t>
        </is>
      </c>
    </row>
    <row r="86" spans="1:1">
      <c r="A86" s="5" t="inlineStr">
        <is>
          <t xml:space="preserve">      Y   Spec 2                         Desp.    [(seleccione)]</t>
        </is>
      </c>
    </row>
    <row r="87" spans="1:1">
      <c r="A87" s="5" t="inlineStr">
        <is>
          <t xml:space="preserve">      Z   Esp. Spec 2 (µm)               Calc/# </t>
        </is>
      </c>
    </row>
    <row r="88" spans="1:1">
      <c r="A88" s="5" t="inlineStr">
        <is>
          <t xml:space="preserve">      AA  Spec 3                         Desp.    [(seleccione)]</t>
        </is>
      </c>
    </row>
    <row r="89" spans="1:1">
      <c r="A89" s="5" t="inlineStr">
        <is>
          <t xml:space="preserve">      AB  Esp. Spec 3 (µm)               Calc/# </t>
        </is>
      </c>
    </row>
    <row r="90" spans="1:1">
      <c r="A90" s="5" t="inlineStr">
        <is>
          <t xml:space="preserve">      AC  Spec 4                         Desp.    [(seleccione)]</t>
        </is>
      </c>
    </row>
    <row r="91" spans="1:1">
      <c r="A91" s="5" t="inlineStr">
        <is>
          <t xml:space="preserve">      AD  Esp. Spec 4 (µm)               Calc/# </t>
        </is>
      </c>
    </row>
    <row r="93" spans="1:1">
      <c r="A93" s="4" t="inlineStr">
        <is>
          <t xml:space="preserve">   CONVERSIÓN DE UNIDADES</t>
        </is>
      </c>
    </row>
    <row r="94" spans="1:1">
      <c r="A94" s="5" t="inlineStr">
        <is>
          <t xml:space="preserve">      AE  KGM (kg/pza)                   #      </t>
        </is>
      </c>
    </row>
    <row r="95" spans="1:1">
      <c r="A95" s="5" t="inlineStr">
        <is>
          <t xml:space="preserve">      AF  CMK (cm²/pza)                  #      </t>
        </is>
      </c>
    </row>
    <row r="96" spans="1:1">
      <c r="A96" s="5" t="inlineStr">
        <is>
          <t xml:space="preserve">      AG  LM (m/pza)                     #      </t>
        </is>
      </c>
    </row>
    <row r="97" spans="1:1">
      <c r="A97" s="5" t="inlineStr">
        <is>
          <t xml:space="preserve">      AH  Mín Pzas Lote                  #      </t>
        </is>
      </c>
    </row>
    <row r="99" spans="1:1">
      <c r="A99" s="4" t="inlineStr">
        <is>
          <t xml:space="preserve">   TIPOS DE RACKS (PIEZAS POR TIPO DE RACK)</t>
        </is>
      </c>
    </row>
    <row r="100" spans="1:1">
      <c r="A100" s="5" t="inlineStr">
        <is>
          <t xml:space="preserve">      AI  Rack Flybar o Barril 1         Desp.    [(seleccione)]</t>
        </is>
      </c>
    </row>
    <row r="101" spans="1:1">
      <c r="A101" s="5" t="inlineStr">
        <is>
          <t xml:space="preserve">      AJ  Pzas/Rack Línea 1              #      </t>
        </is>
      </c>
    </row>
    <row r="102" spans="1:1">
      <c r="A102" s="5" t="inlineStr">
        <is>
          <t xml:space="preserve">      AK  Rack Flybar o Barril 2         Desp.    [(seleccione)]</t>
        </is>
      </c>
    </row>
    <row r="103" spans="1:1">
      <c r="A103" s="5" t="inlineStr">
        <is>
          <t xml:space="preserve">      AL  Pzas/Rack Línea 2              #      </t>
        </is>
      </c>
    </row>
    <row r="104" spans="1:1">
      <c r="A104" s="5" t="inlineStr">
        <is>
          <t xml:space="preserve">      AM  Rack Flybar o Barril 3         Desp.    [(seleccione)]</t>
        </is>
      </c>
    </row>
    <row r="105" spans="1:1">
      <c r="A105" s="5" t="inlineStr">
        <is>
          <t xml:space="preserve">      AN  Pzas/Rack Línea 3              #      </t>
        </is>
      </c>
    </row>
    <row r="106" spans="1:1">
      <c r="A106" s="5" t="inlineStr">
        <is>
          <t xml:space="preserve">      AO  Rack Flybar o Barril 4         Desp.    [(seleccione)]</t>
        </is>
      </c>
    </row>
    <row r="107" spans="1:1">
      <c r="A107" s="5" t="inlineStr">
        <is>
          <t xml:space="preserve">      AP  Pzas/Rack Línea 4              #      </t>
        </is>
      </c>
    </row>
    <row r="108" spans="1:1">
      <c r="A108" s="5" t="inlineStr">
        <is>
          <t xml:space="preserve">      AQ  Rack Flybar o Barril 5         Desp.    [(seleccione)]</t>
        </is>
      </c>
    </row>
    <row r="109" spans="1:1">
      <c r="A109" s="5" t="inlineStr">
        <is>
          <t xml:space="preserve">      AR  Pzas/Rack Línea 5              #      </t>
        </is>
      </c>
    </row>
    <row r="111" spans="1:1">
      <c r="A111" s="4" t="inlineStr">
        <is>
          <t xml:space="preserve">   DIMENSIONES</t>
        </is>
      </c>
    </row>
    <row r="112" spans="1:1">
      <c r="A112" s="5" t="inlineStr">
        <is>
          <t xml:space="preserve">      AS  Tipo de Geometría              Desp.    [(seleccione o escriba)]</t>
        </is>
      </c>
    </row>
    <row r="113" spans="1:1">
      <c r="A113" s="5" t="inlineStr">
        <is>
          <t xml:space="preserve">      AT  Longitud (m)                   #      </t>
        </is>
      </c>
    </row>
    <row r="114" spans="1:1">
      <c r="A114" s="5" t="inlineStr">
        <is>
          <t xml:space="preserve">      AU  Ancho (m)                      #      </t>
        </is>
      </c>
    </row>
    <row r="115" spans="1:1">
      <c r="A115" s="5" t="inlineStr">
        <is>
          <t xml:space="preserve">      AV  Alto (m)                       #      </t>
        </is>
      </c>
    </row>
    <row r="116" spans="1:1">
      <c r="A116" s="5" t="inlineStr">
        <is>
          <t xml:space="preserve">      AW  Diám.Ext (m)                   #      </t>
        </is>
      </c>
    </row>
    <row r="117" spans="1:1">
      <c r="A117" s="5" t="inlineStr">
        <is>
          <t xml:space="preserve">      AX  Diám.Int (m)                   #      </t>
        </is>
      </c>
    </row>
    <row r="119" spans="1:1">
      <c r="A119" s="4" t="inlineStr">
        <is>
          <t xml:space="preserve">   USO PREDICTIVO DE MATERIAS PRIMAS</t>
        </is>
      </c>
    </row>
    <row r="120" spans="1:1">
      <c r="A120" s="5" t="inlineStr">
        <is>
          <t xml:space="preserve">      AY  Plata (kg/pza)                 Calc.  </t>
        </is>
      </c>
    </row>
    <row r="121" spans="1:1">
      <c r="A121" s="5" t="inlineStr">
        <is>
          <t xml:space="preserve">      AZ  Estaño (kg/pza)                Calc.  </t>
        </is>
      </c>
    </row>
    <row r="122" spans="1:1">
      <c r="A122" s="5" t="inlineStr">
        <is>
          <t xml:space="preserve">      BA  Níquel (kg/pza)                Calc.  </t>
        </is>
      </c>
    </row>
    <row r="123" spans="1:1">
      <c r="A123" s="5" t="inlineStr">
        <is>
          <t xml:space="preserve">      BB  Zinc (kg/pza)                  Calc.  </t>
        </is>
      </c>
    </row>
    <row r="124" spans="1:1">
      <c r="A124" s="5" t="inlineStr">
        <is>
          <t xml:space="preserve">      BC  Cobre (kg/pza)                 Calc.  </t>
        </is>
      </c>
    </row>
    <row r="125" spans="1:1">
      <c r="A125" s="5" t="inlineStr">
        <is>
          <t xml:space="preserve">      BD  Antitarnish (L/pza)            Calc.  </t>
        </is>
      </c>
    </row>
    <row r="126" spans="1:1">
      <c r="A126" s="5" t="inlineStr">
        <is>
          <t xml:space="preserve">      BE  Epóx. MT (lb/pza)              Calc.  </t>
        </is>
      </c>
    </row>
    <row r="127" spans="1:1">
      <c r="A127" s="5" t="inlineStr">
        <is>
          <t xml:space="preserve">      BF  Epóx. BT (lb/pza)              Calc.  </t>
        </is>
      </c>
    </row>
    <row r="128" spans="1:1">
      <c r="A128" s="5" t="inlineStr">
        <is>
          <t xml:space="preserve">      BG  Epóx. MTR (lb/pza)             Calc.  </t>
        </is>
      </c>
    </row>
    <row r="130" spans="1:1">
      <c r="A130" s="4" t="inlineStr">
        <is>
          <t xml:space="preserve">   DATOS DE REFERENCIA</t>
        </is>
      </c>
    </row>
    <row r="131" spans="1:1">
      <c r="A131" s="5" t="inlineStr">
        <is>
          <t xml:space="preserve">      BH  Instrucciones de Empaque       Texto  </t>
        </is>
      </c>
    </row>
    <row r="132" spans="1:1">
      <c r="A132" s="5" t="inlineStr">
        <is>
          <t xml:space="preserve">      BI  Notas adicionales              Texto  </t>
        </is>
      </c>
    </row>
    <row r="133" spans="1:1">
      <c r="A133" s="5" t="inlineStr">
        <is>
          <t xml:space="preserve">      BJ  QuoteIBMS                      Texto  </t>
        </is>
      </c>
    </row>
    <row r="134" spans="1:1">
      <c r="A134" s="5" t="inlineStr">
        <is>
          <t xml:space="preserve">      BK  EstIBMS                        Texto  </t>
        </is>
      </c>
    </row>
    <row r="135" spans="1:1">
      <c r="A135" s="5" t="inlineStr">
        <is>
          <t xml:space="preserve">      BL  Plano                          Texto  </t>
        </is>
      </c>
    </row>
    <row r="136" spans="1:1">
      <c r="A136" s="5" t="inlineStr">
        <is>
          <t xml:space="preserve">      BM  Piezas por Carga               Texto  </t>
        </is>
      </c>
    </row>
    <row r="137" spans="1:1">
      <c r="A137" s="5" t="inlineStr">
        <is>
          <t xml:space="preserve">      BN  Cargas por Hora                Texto  </t>
        </is>
      </c>
    </row>
    <row r="138" spans="1:1">
      <c r="A138" s="5" t="inlineStr">
        <is>
          <t xml:space="preserve">      BO  Tiempo de Entrega              Texto  </t>
        </is>
      </c>
    </row>
    <row r="140" spans="1:1">
      <c r="A140" s="3" t="inlineStr">
        <is>
          <t xml:space="preserve">MACROS</t>
        </is>
      </c>
    </row>
    <row r="141" spans="1:1">
      <c r="A141" s="4" t="inlineStr">
        <is>
          <t xml:space="preserve">   ExportarCSV          Exporta la hoja Upload como CSV UTF-8, ordenado por (Cliente, PN)</t>
        </is>
      </c>
    </row>
    <row r="142" spans="1:1">
      <c r="A142" s="4" t="inlineStr">
        <is>
          <t xml:space="preserve">   RefrescarListas      Carga los catálogos del archivo bajado por la extensión</t>
        </is>
      </c>
    </row>
    <row r="143" spans="1:1">
      <c r="A143" s="4" t="inlineStr">
        <is>
          <t xml:space="preserve">   LimpiarDatos         Borra los renglones y restaura los valores iniciales (fila 9+)</t>
        </is>
      </c>
    </row>
    <row r="144" spans="1:1">
      <c r="A144" s="4" t="inlineStr">
        <is>
          <t xml:space="preserve">   SombrearModoSoloPN   Sombrea las columnas que no aplican al modo elegido</t>
        </is>
      </c>
    </row>
    <row r="145" spans="1:1">
      <c r="A145" s="5" t="inlineStr">
        <is>
          <t xml:space="preserve">   Reusar la plantilla sin LimpiarDatos re-sube datos viejos de columnas que ya no miras,</t>
        </is>
      </c>
    </row>
    <row r="146" spans="1:1">
      <c r="A146" s="5" t="inlineStr">
        <is>
          <t xml:space="preserve">   y no hay ninguna señal: la hoja se ve bien. Limpia antes de cada archivo nuevo.</t>
        </is>
      </c>
    </row>
    <row r="148" spans="1:1">
      <c r="A148" s="3" t="inlineStr">
        <is>
          <t xml:space="preserve">CATÁLOGOS (hoja Listas)</t>
        </is>
      </c>
    </row>
    <row r="149" spans="1:1">
      <c r="A149" s="4" t="inlineStr">
        <is>
          <t xml:space="preserve">   A Clientes · B Procesos · C Productos · D Etiquetas · E Specs · F Racks</t>
        </is>
      </c>
    </row>
    <row r="150" spans="1:1">
      <c r="A150" s="4" t="inlineStr">
        <is>
          <t xml:space="preserve">   I Metal base · J Líneas · L Usuarios · M Grupos de partes · N Geometrías</t>
        </is>
      </c>
    </row>
    <row r="151" spans="1:1">
      <c r="A151" s="5" t="inlineStr">
        <is>
          <t xml:space="preserve">   Sin refrescar, los desplegables traen los catálogos del día en que se armó la plantilla.</t>
        </is>
      </c>
    </row>
    <row r="153" spans="1:1">
      <c r="A153" s="3" t="inlineStr">
        <is>
          <t xml:space="preserve">QUÉ REVISA ExportarCSV ANTES DE ESCRIBIR</t>
        </is>
      </c>
    </row>
    <row r="154" spans="1:1">
      <c r="A154" s="4" t="inlineStr">
        <is>
          <t xml:space="preserve">   • Que el modo sea COTIZACIÓN+NP o SOLO_PN</t>
        </is>
      </c>
    </row>
    <row r="155" spans="1:1">
      <c r="A155" s="4" t="inlineStr">
        <is>
          <t xml:space="preserve">   • Que haya Nombre Cotización/Layout si es modo cotización</t>
        </is>
      </c>
    </row>
    <row r="156" spans="1:1">
      <c r="A156" s="4" t="inlineStr">
        <is>
          <t xml:space="preserve">   • Que ningún renglón con número de parte se quede sin cliente</t>
        </is>
      </c>
    </row>
    <row r="157" spans="1:1">
      <c r="A157" s="4" t="inlineStr">
        <is>
          <t xml:space="preserve">   • Avisa (no bloquea) si hay varios clientes, o más de 2,000 renglones en SOLO_PN</t>
        </is>
      </c>
    </row>
    <row r="159" spans="1:1">
      <c r="A159" s="3" t="inlineStr">
        <is>
          <t xml:space="preserve">SOPORTE</t>
        </is>
      </c>
    </row>
    <row r="160" spans="1:1">
      <c r="A160" s="4" t="inlineStr">
        <is>
          <t xml:space="preserve">   oviazcan@capazconsultoria.com · Capaz Consultoría</t>
        </is>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H1" zoomScale="114" zoomScaleNormal="90" workbookViewId="0">
      <selection activeCell="L2" sqref="L2"/>
    </sheetView>
  </sheetViews>
  <sheetFormatPr baseColWidth="10" defaultRowHeight="15" outlineLevelCol="1" x14ac:dyDescent="0.2"/>
  <cols>
    <col min="1" max="1" width="20.83203125" style="69" hidden="1" customWidth="1" outlineLevel="1"/>
    <col min="2" max="2" width="23.1640625" hidden="1" customWidth="1" outlineLevel="1"/>
    <col min="3" max="3" width="9.33203125" style="69" hidden="1" customWidth="1" outlineLevel="1"/>
    <col min="4" max="4" width="31.33203125" style="69" customWidth="1" collapsed="1"/>
    <col min="5" max="5" width="19.83203125" style="69" bestFit="1" customWidth="1"/>
    <col min="6" max="6" width="60.6640625" style="69" bestFit="1" customWidth="1"/>
    <col min="7" max="7" width="77.6640625" style="69" bestFit="1" customWidth="1"/>
    <col min="8" max="8" width="5.83203125" customWidth="1"/>
    <col min="9" max="9" width="15" style="69" bestFit="1" customWidth="1"/>
    <col min="10" max="10" width="32.33203125" style="69" bestFit="1" customWidth="1"/>
    <col min="11" max="11" width="16.1640625" style="69" customWidth="1"/>
    <col min="12" max="12" width="37.1640625" style="69" bestFit="1" customWidth="1"/>
    <col min="13" max="13" width="29.5" style="69" customWidth="1"/>
    <col min="14" max="16384" width="10.83203125" style="69"/>
  </cols>
  <sheetData>
    <row r="1" spans="1:23" x14ac:dyDescent="0.2">
      <c r="A1" s="64" t="s">
        <v>21</v>
      </c>
      <c r="B1" s="67" t="s">
        <v>1419</v>
      </c>
      <c r="C1" s="65" t="s">
        <v>49</v>
      </c>
      <c r="D1" s="65" t="s">
        <v>1418</v>
      </c>
      <c r="E1" s="68" t="s">
        <v>1420</v>
      </c>
      <c r="F1" s="66" t="s">
        <v>79</v>
      </c>
      <c r="G1" s="66" t="s">
        <v>32</v>
      </c>
      <c r="H1" s="69"/>
      <c r="I1" s="70" t="s">
        <v>1421</v>
      </c>
      <c r="J1" s="71" t="s">
        <v>49</v>
      </c>
      <c r="K1" s="71" t="s">
        <v>1825</v>
      </c>
      <c r="L1" s="71" t="s">
        <v>1824</v>
      </c>
      <c r="M1" s="70" t="s">
        <v>1422</v>
      </c>
      <c r="N1" s="97" t="s">
        <v>1828</v>
      </c>
      <c r="O1" s="97" t="s">
        <v>1829</v>
      </c>
      <c r="P1" s="131" t="s">
        <v>2045</v>
      </c>
      <c r="Q1" s="131" t="s">
        <v>2046</v>
      </c>
      <c r="R1" s="131" t="s">
        <v>2047</v>
      </c>
    </row>
    <row r="2" spans="1:23" ht="16" x14ac:dyDescent="0.2">
      <c r="A2" s="72"/>
      <c r="B2" s="76"/>
      <c r="C2" s="73"/>
      <c r="D2" s="73" t="s">
        <v>958</v>
      </c>
      <c r="E2" s="77" t="s">
        <v>94</v>
      </c>
      <c r="F2" s="75" t="s">
        <v>139</v>
      </c>
      <c r="G2" s="74" t="s">
        <v>183</v>
      </c>
      <c r="H2" s="69"/>
      <c r="I2" s="69">
        <v>9</v>
      </c>
      <c r="J2" s="69" t="str" cm="1">
        <f t="array" ref="J2">INDEX(Upload!$N:$N,I2)</f>
        <v>(seleccione)</v>
      </c>
      <c r="K2" s="69" t="str" cm="1">
        <f t="array" ref="K2">INDEX(Upload!$O:$O,I2)</f>
        <v>(seleccione o escriba)</v>
      </c>
      <c r="L2" s="69"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69" t="str">
        <f>IFERROR(INDEX($G$2:$G$1581,MATCH(ROWS($M$2:M2),$R$2:$R$1581,0)),"")</f>
        <v/>
      </c>
      <c r="N2" s="69" t="str">
        <f>IF(_xlfn.TEXTJOIN("+",TRUE,IF(ISNUMBER(SEARCH("Plata",L2)),"Plata",""),IF(ISNUMBER(SEARCH("Níquel",L2)),"Níquel",""),IF(ISNUMBER(SEARCH("Estaño",L2)),"Estaño",""),IF(ISNUMBER(SEARCH("Zinc",L2)),"Zinc",""),IF(ISNUMBER(SEARCH("Epóxico",L2)),"Epóxico",""))="","Otros",_xlfn.TEXTJOIN("+",TRUE,IF(ISNUMBER(SEARCH("Plata",L2)),"Plata",""),IF(ISNUMBER(SEARCH("Níquel",L2)),"Níquel",""),IF(ISNUMBER(SEARCH("Estaño",L2)),"Estaño",""),IF(ISNUMBER(SEARCH("Zinc",L2)),"Zinc",""),IF(ISNUMBER(SEARCH("Epóxico",L2)),"Epóxico","")))</f>
        <v>Otros</v>
      </c>
      <c r="O2" s="69" t="str">
        <f>IFERROR(INDEX(CAT_Specs!$A$9:$A$500,MATCH(ROWS($O$2:O2),CAT_Specs!$I$9:$I$500,0)),IF(ROWS($O$2:O2)=1,"(sin matches)",""))</f>
        <v>1.28.003 (Pavonado)</v>
      </c>
      <c r="P2" s="69">
        <f>IF(AND(IF(TRIM($J$2&amp;"")="",TRUE,LEFT($D2,LEN($J$2))=$J$2),IF(TRIM($K$2&amp;"")="",TRUE,$E2=$K$2),IF($L$2="",TRUE,$F2=$L$2)),1,0)</f>
        <v>0</v>
      </c>
      <c r="Q2" s="69" cm="1">
        <f t="array" ref="Q2">IF(P2=1,IF(SUMPRODUCT(($P$2:P2)*(--($G$2:G2=$G2)))=1,1,0),0)</f>
        <v>0</v>
      </c>
      <c r="R2" s="69" t="str">
        <f>IF(Q2=1,SUM($Q$2:Q2),"")</f>
        <v/>
      </c>
      <c r="W2" s="69">
        <v>11</v>
      </c>
    </row>
    <row r="3" spans="1:23" ht="16" x14ac:dyDescent="0.2">
      <c r="A3" s="72"/>
      <c r="B3" s="76"/>
      <c r="C3" s="73"/>
      <c r="D3" s="73" t="s">
        <v>958</v>
      </c>
      <c r="E3" s="77" t="s">
        <v>94</v>
      </c>
      <c r="F3" s="75" t="s">
        <v>1423</v>
      </c>
      <c r="G3" s="74" t="s">
        <v>183</v>
      </c>
      <c r="H3" s="69"/>
      <c r="J3" s="78"/>
      <c r="K3" s="78"/>
      <c r="L3" s="78"/>
      <c r="O3" s="69" t="str">
        <f>IFERROR(INDEX(CAT_Specs!$A$9:$A$500,MATCH(ROWS($O$2:O3),CAT_Specs!$I$9:$I$500,0)),IF(ROWS($O$2:O3)=1,"(sin matches)",""))</f>
        <v>48053-001-01 (Deshidrogenado / Endurecido) | 176 - 204 °C (375 ± 25 °F) | 302 - 329 °C (600 ± 25 °F) | &gt;= 0.5 hrs.</v>
      </c>
      <c r="P3" s="69">
        <f t="shared" ref="P3:P66" si="0">IF(AND(IF(TRIM($J$2&amp;"")="",TRUE,LEFT($D3,LEN($J$2))=$J$2),IF(TRIM($K$2&amp;"")="",TRUE,$E3=$K$2),IF($L$2="",TRUE,$F3=$L$2)),1,0)</f>
        <v>0</v>
      </c>
      <c r="Q3" s="69" cm="1">
        <f t="array" ref="Q3">IF(P3=1,IF(SUMPRODUCT(($P$2:P3)*(--($G$2:G3=$G3)))=1,1,0),0)</f>
        <v>0</v>
      </c>
      <c r="R3" s="69" t="str">
        <f>IF(Q3=1,SUM($Q$2:Q3),"")</f>
        <v/>
      </c>
    </row>
    <row r="4" spans="1:23" ht="16" x14ac:dyDescent="0.2">
      <c r="A4" s="72"/>
      <c r="B4" s="76"/>
      <c r="C4" s="73"/>
      <c r="D4" s="73" t="s">
        <v>958</v>
      </c>
      <c r="E4" s="77" t="s">
        <v>94</v>
      </c>
      <c r="F4" s="75" t="s">
        <v>1424</v>
      </c>
      <c r="G4" s="74" t="s">
        <v>183</v>
      </c>
      <c r="H4" s="69"/>
      <c r="J4" s="78"/>
      <c r="K4" s="78"/>
      <c r="L4" s="78"/>
      <c r="O4" s="69" t="str">
        <f>IFERROR(INDEX(CAT_Specs!$A$9:$A$500,MATCH(ROWS($O$2:O4),CAT_Specs!$I$9:$I$500,0)),IF(ROWS($O$2:O4)=1,"(sin matches)",""))</f>
        <v>48053-001-01 (Deshidrogenado / Endurecido) | 176 - 204 °C (375 ± 25 °F) | 302 - 329 °C (600 ± 25 °F) | &gt;= 1 hrs.</v>
      </c>
      <c r="P4" s="69">
        <f t="shared" si="0"/>
        <v>0</v>
      </c>
      <c r="Q4" s="69" cm="1">
        <f t="array" ref="Q4">IF(P4=1,IF(SUMPRODUCT(($P$2:P4)*(--($G$2:G4=$G4)))=1,1,0),0)</f>
        <v>0</v>
      </c>
      <c r="R4" s="69" t="str">
        <f>IF(Q4=1,SUM($Q$2:Q4),"")</f>
        <v/>
      </c>
    </row>
    <row r="5" spans="1:23" x14ac:dyDescent="0.2">
      <c r="A5" s="72"/>
      <c r="B5" s="76"/>
      <c r="C5" s="73"/>
      <c r="D5" s="73" t="s">
        <v>958</v>
      </c>
      <c r="E5" s="77" t="s">
        <v>117</v>
      </c>
      <c r="F5" s="75" t="s">
        <v>139</v>
      </c>
      <c r="G5" s="75" t="s">
        <v>1068</v>
      </c>
      <c r="H5" s="69"/>
      <c r="O5" s="69" t="str">
        <f>IFERROR(INDEX(CAT_Specs!$A$9:$A$500,MATCH(ROWS($O$2:O5),CAT_Specs!$I$9:$I$500,0)),IF(ROWS($O$2:O5)=1,"(sin matches)",""))</f>
        <v>48053-001-01 (Deshidrogenado / Endurecido) | 176 - 204 °C (375 ± 25 °F) | 302 - 329 °C (600 ± 25 °F) | &gt;= 10 hrs.</v>
      </c>
      <c r="P5" s="69">
        <f t="shared" si="0"/>
        <v>0</v>
      </c>
      <c r="Q5" s="69" cm="1">
        <f t="array" ref="Q5">IF(P5=1,IF(SUMPRODUCT(($P$2:P5)*(--($G$2:G5=$G5)))=1,1,0),0)</f>
        <v>0</v>
      </c>
      <c r="R5" s="69" t="str">
        <f>IF(Q5=1,SUM($Q$2:Q5),"")</f>
        <v/>
      </c>
    </row>
    <row r="6" spans="1:23" x14ac:dyDescent="0.2">
      <c r="A6" s="72"/>
      <c r="B6" s="76"/>
      <c r="C6" s="73"/>
      <c r="D6" s="73" t="s">
        <v>958</v>
      </c>
      <c r="E6" s="77" t="s">
        <v>117</v>
      </c>
      <c r="F6" s="75" t="s">
        <v>1423</v>
      </c>
      <c r="G6" s="75" t="s">
        <v>1068</v>
      </c>
      <c r="H6" s="69"/>
      <c r="O6" s="69" t="str">
        <f>IFERROR(INDEX(CAT_Specs!$A$9:$A$500,MATCH(ROWS($O$2:O6),CAT_Specs!$I$9:$I$500,0)),IF(ROWS($O$2:O6)=1,"(sin matches)",""))</f>
        <v>48053-001-01 (Deshidrogenado / Endurecido) | 176 - 204 °C (375 ± 25 °F) | 302 - 329 °C (600 ± 25 °F) | &gt;= 14 hrs.</v>
      </c>
      <c r="P6" s="69">
        <f t="shared" si="0"/>
        <v>0</v>
      </c>
      <c r="Q6" s="69" cm="1">
        <f t="array" ref="Q6">IF(P6=1,IF(SUMPRODUCT(($P$2:P6)*(--($G$2:G6=$G6)))=1,1,0),0)</f>
        <v>0</v>
      </c>
      <c r="R6" s="69" t="str">
        <f>IF(Q6=1,SUM($Q$2:Q6),"")</f>
        <v/>
      </c>
    </row>
    <row r="7" spans="1:23" x14ac:dyDescent="0.2">
      <c r="A7" s="72"/>
      <c r="B7" s="76"/>
      <c r="C7" s="73"/>
      <c r="D7" s="73" t="s">
        <v>958</v>
      </c>
      <c r="E7" s="77" t="s">
        <v>990</v>
      </c>
      <c r="F7" s="75" t="s">
        <v>139</v>
      </c>
      <c r="G7" s="75" t="s">
        <v>1067</v>
      </c>
      <c r="H7" s="69"/>
      <c r="O7" s="69" t="str">
        <f>IFERROR(INDEX(CAT_Specs!$A$9:$A$500,MATCH(ROWS($O$2:O7),CAT_Specs!$I$9:$I$500,0)),IF(ROWS($O$2:O7)=1,"(sin matches)",""))</f>
        <v>48053-001-01 (Deshidrogenado / Endurecido) | 176 - 204 °C (375 ± 25 °F) | 302 - 329 °C (600 ± 25 °F) | &gt;= 2 hrs.</v>
      </c>
      <c r="P7" s="69">
        <f t="shared" si="0"/>
        <v>0</v>
      </c>
      <c r="Q7" s="69" cm="1">
        <f t="array" ref="Q7">IF(P7=1,IF(SUMPRODUCT(($P$2:P7)*(--($G$2:G7=$G7)))=1,1,0),0)</f>
        <v>0</v>
      </c>
      <c r="R7" s="69" t="str">
        <f>IF(Q7=1,SUM($Q$2:Q7),"")</f>
        <v/>
      </c>
    </row>
    <row r="8" spans="1:23" x14ac:dyDescent="0.2">
      <c r="A8" s="72"/>
      <c r="B8" s="76"/>
      <c r="C8" s="73"/>
      <c r="D8" s="73" t="s">
        <v>958</v>
      </c>
      <c r="E8" s="77" t="s">
        <v>990</v>
      </c>
      <c r="F8" s="75" t="s">
        <v>1423</v>
      </c>
      <c r="G8" s="75" t="s">
        <v>1067</v>
      </c>
      <c r="H8" s="69"/>
      <c r="O8" s="69" t="str">
        <f>IFERROR(INDEX(CAT_Specs!$A$9:$A$500,MATCH(ROWS($O$2:O8),CAT_Specs!$I$9:$I$500,0)),IF(ROWS($O$2:O8)=1,"(sin matches)",""))</f>
        <v>48053-001-01 (Deshidrogenado / Endurecido) | 176 - 204 °C (375 ± 25 °F) | 302 - 329 °C (600 ± 25 °F) | &gt;= 20 hrs.</v>
      </c>
      <c r="P8" s="69">
        <f t="shared" si="0"/>
        <v>0</v>
      </c>
      <c r="Q8" s="69" cm="1">
        <f t="array" ref="Q8">IF(P8=1,IF(SUMPRODUCT(($P$2:P8)*(--($G$2:G8=$G8)))=1,1,0),0)</f>
        <v>0</v>
      </c>
      <c r="R8" s="69" t="str">
        <f>IF(Q8=1,SUM($Q$2:Q8),"")</f>
        <v/>
      </c>
    </row>
    <row r="9" spans="1:23" ht="16" x14ac:dyDescent="0.2">
      <c r="A9" s="72"/>
      <c r="B9" s="76"/>
      <c r="C9" s="73"/>
      <c r="D9" s="73" t="s">
        <v>958</v>
      </c>
      <c r="E9" s="77" t="s">
        <v>94</v>
      </c>
      <c r="F9" s="75" t="s">
        <v>148</v>
      </c>
      <c r="G9" s="74" t="s">
        <v>189</v>
      </c>
      <c r="H9" s="69"/>
      <c r="O9" s="69" t="str">
        <f>IFERROR(INDEX(CAT_Specs!$A$9:$A$500,MATCH(ROWS($O$2:O9),CAT_Specs!$I$9:$I$500,0)),IF(ROWS($O$2:O9)=1,"(sin matches)",""))</f>
        <v>48053-001-01 (Deshidrogenado / Endurecido) | 176 - 204 °C (375 ± 25 °F) | 302 - 329 °C (600 ± 25 °F) | &gt;= 24 hrs.</v>
      </c>
      <c r="P9" s="69">
        <f t="shared" si="0"/>
        <v>0</v>
      </c>
      <c r="Q9" s="69" cm="1">
        <f t="array" ref="Q9">IF(P9=1,IF(SUMPRODUCT(($P$2:P9)*(--($G$2:G9=$G9)))=1,1,0),0)</f>
        <v>0</v>
      </c>
      <c r="R9" s="69" t="str">
        <f>IF(Q9=1,SUM($Q$2:Q9),"")</f>
        <v/>
      </c>
    </row>
    <row r="10" spans="1:23" ht="16" x14ac:dyDescent="0.2">
      <c r="A10" s="79"/>
      <c r="B10" s="82"/>
      <c r="C10" s="73"/>
      <c r="D10" s="73" t="s">
        <v>958</v>
      </c>
      <c r="E10" s="83" t="s">
        <v>103</v>
      </c>
      <c r="F10" s="81" t="s">
        <v>281</v>
      </c>
      <c r="G10" s="80" t="s">
        <v>197</v>
      </c>
      <c r="H10" s="69"/>
      <c r="O10" s="69" t="str">
        <f>IFERROR(INDEX(CAT_Specs!$A$9:$A$500,MATCH(ROWS($O$2:O10),CAT_Specs!$I$9:$I$500,0)),IF(ROWS($O$2:O10)=1,"(sin matches)",""))</f>
        <v>48053-001-01 (Deshidrogenado / Endurecido) | 176 - 204 °C (375 ± 25 °F) | 302 - 329 °C (600 ± 25 °F) | &gt;= 3 hrs.</v>
      </c>
      <c r="P10" s="69">
        <f t="shared" si="0"/>
        <v>0</v>
      </c>
      <c r="Q10" s="69" cm="1">
        <f t="array" ref="Q10">IF(P10=1,IF(SUMPRODUCT(($P$2:P10)*(--($G$2:G10=$G10)))=1,1,0),0)</f>
        <v>0</v>
      </c>
      <c r="R10" s="69" t="str">
        <f>IF(Q10=1,SUM($Q$2:Q10),"")</f>
        <v/>
      </c>
    </row>
    <row r="11" spans="1:23" ht="16" x14ac:dyDescent="0.2">
      <c r="A11" s="72"/>
      <c r="B11" s="76"/>
      <c r="C11" s="73"/>
      <c r="D11" s="73" t="s">
        <v>958</v>
      </c>
      <c r="E11" s="77" t="s">
        <v>117</v>
      </c>
      <c r="F11" s="75" t="s">
        <v>228</v>
      </c>
      <c r="G11" s="74" t="s">
        <v>226</v>
      </c>
      <c r="H11" s="69"/>
      <c r="O11" s="69" t="str">
        <f>IFERROR(INDEX(CAT_Specs!$A$9:$A$500,MATCH(ROWS($O$2:O11),CAT_Specs!$I$9:$I$500,0)),IF(ROWS($O$2:O11)=1,"(sin matches)",""))</f>
        <v>48053-001-01 (Deshidrogenado / Endurecido) | 176 - 204 °C (375 ± 25 °F) | 302 - 329 °C (600 ± 25 °F) | &gt;= 4 hrs.</v>
      </c>
      <c r="P11" s="69">
        <f t="shared" si="0"/>
        <v>0</v>
      </c>
      <c r="Q11" s="69" cm="1">
        <f t="array" ref="Q11">IF(P11=1,IF(SUMPRODUCT(($P$2:P11)*(--($G$2:G11=$G11)))=1,1,0),0)</f>
        <v>0</v>
      </c>
      <c r="R11" s="69" t="str">
        <f>IF(Q11=1,SUM($Q$2:Q11),"")</f>
        <v/>
      </c>
    </row>
    <row r="12" spans="1:23" ht="16" x14ac:dyDescent="0.2">
      <c r="A12" s="72"/>
      <c r="B12" s="76"/>
      <c r="C12" s="73"/>
      <c r="D12" s="73" t="s">
        <v>958</v>
      </c>
      <c r="E12" s="77" t="s">
        <v>110</v>
      </c>
      <c r="F12" s="75" t="s">
        <v>228</v>
      </c>
      <c r="G12" s="74" t="s">
        <v>216</v>
      </c>
      <c r="H12" s="69"/>
      <c r="O12" s="69" t="str">
        <f>IFERROR(INDEX(CAT_Specs!$A$9:$A$500,MATCH(ROWS($O$2:O12),CAT_Specs!$I$9:$I$500,0)),IF(ROWS($O$2:O12)=1,"(sin matches)",""))</f>
        <v>48053-001-01 (Deshidrogenado / Endurecido) | 176 - 204 °C (375 ± 25 °F) | 302 - 329 °C (600 ± 25 °F) | &gt;= 5 hrs.</v>
      </c>
      <c r="P12" s="69">
        <f t="shared" si="0"/>
        <v>0</v>
      </c>
      <c r="Q12" s="69" cm="1">
        <f t="array" ref="Q12">IF(P12=1,IF(SUMPRODUCT(($P$2:P12)*(--($G$2:G12=$G12)))=1,1,0),0)</f>
        <v>0</v>
      </c>
      <c r="R12" s="69" t="str">
        <f>IF(Q12=1,SUM($Q$2:Q12),"")</f>
        <v/>
      </c>
    </row>
    <row r="13" spans="1:23" ht="16" x14ac:dyDescent="0.2">
      <c r="A13" s="72"/>
      <c r="B13" s="76"/>
      <c r="C13" s="73"/>
      <c r="D13" s="73" t="s">
        <v>958</v>
      </c>
      <c r="E13" s="77" t="s">
        <v>94</v>
      </c>
      <c r="F13" s="75" t="s">
        <v>228</v>
      </c>
      <c r="G13" s="74" t="s">
        <v>209</v>
      </c>
      <c r="H13" s="69"/>
      <c r="O13" s="69" t="str">
        <f>IFERROR(INDEX(CAT_Specs!$A$9:$A$500,MATCH(ROWS($O$2:O13),CAT_Specs!$I$9:$I$500,0)),IF(ROWS($O$2:O13)=1,"(sin matches)",""))</f>
        <v>48053-001-01 (Deshidrogenado / Endurecido) | 176 - 204 °C (375 ± 25 °F) | 302 - 329 °C (600 ± 25 °F) | &gt;= 6 hrs.</v>
      </c>
      <c r="P13" s="69">
        <f t="shared" si="0"/>
        <v>0</v>
      </c>
      <c r="Q13" s="69" cm="1">
        <f t="array" ref="Q13">IF(P13=1,IF(SUMPRODUCT(($P$2:P13)*(--($G$2:G13=$G13)))=1,1,0),0)</f>
        <v>0</v>
      </c>
      <c r="R13" s="69" t="str">
        <f>IF(Q13=1,SUM($Q$2:Q13),"")</f>
        <v/>
      </c>
    </row>
    <row r="14" spans="1:23" ht="16" x14ac:dyDescent="0.2">
      <c r="A14" s="72"/>
      <c r="B14" s="76"/>
      <c r="C14" s="73"/>
      <c r="D14" s="73" t="s">
        <v>958</v>
      </c>
      <c r="E14" s="77" t="s">
        <v>103</v>
      </c>
      <c r="F14" s="75" t="s">
        <v>228</v>
      </c>
      <c r="G14" s="74" t="s">
        <v>204</v>
      </c>
      <c r="H14" s="69"/>
      <c r="O14" s="69" t="str">
        <f>IFERROR(INDEX(CAT_Specs!$A$9:$A$500,MATCH(ROWS($O$2:O14),CAT_Specs!$I$9:$I$500,0)),IF(ROWS($O$2:O14)=1,"(sin matches)",""))</f>
        <v>48053-001-01 (Deshidrogenado / Endurecido) | 176 - 204 °C (375 ± 25 °F) | 302 - 329 °C (600 ± 25 °F) | &gt;= 8 hrs.</v>
      </c>
      <c r="P14" s="69">
        <f t="shared" si="0"/>
        <v>0</v>
      </c>
      <c r="Q14" s="69" cm="1">
        <f t="array" ref="Q14">IF(P14=1,IF(SUMPRODUCT(($P$2:P14)*(--($G$2:G14=$G14)))=1,1,0),0)</f>
        <v>0</v>
      </c>
      <c r="R14" s="69" t="str">
        <f>IF(Q14=1,SUM($Q$2:Q14),"")</f>
        <v/>
      </c>
    </row>
    <row r="15" spans="1:23" ht="16" x14ac:dyDescent="0.2">
      <c r="A15" s="72"/>
      <c r="B15" s="76"/>
      <c r="C15" s="73"/>
      <c r="D15" s="73" t="s">
        <v>958</v>
      </c>
      <c r="E15" s="77" t="s">
        <v>126</v>
      </c>
      <c r="F15" s="75" t="s">
        <v>228</v>
      </c>
      <c r="G15" s="74" t="s">
        <v>221</v>
      </c>
      <c r="H15" s="69"/>
      <c r="O15" s="69" t="str">
        <f>IFERROR(INDEX(CAT_Specs!$A$9:$A$500,MATCH(ROWS($O$2:O15),CAT_Specs!$I$9:$I$500,0)),IF(ROWS($O$2:O15)=1,"(sin matches)",""))</f>
        <v>48053-001-01 (Deshidrogenado / Endurecido) | 176 - 204 °C (375 ± 25 °F) | No aplica | &gt;= 0.5 hrs.</v>
      </c>
      <c r="P15" s="69">
        <f t="shared" si="0"/>
        <v>0</v>
      </c>
      <c r="Q15" s="69" cm="1">
        <f t="array" ref="Q15">IF(P15=1,IF(SUMPRODUCT(($P$2:P15)*(--($G$2:G15=$G15)))=1,1,0),0)</f>
        <v>0</v>
      </c>
      <c r="R15" s="69" t="str">
        <f>IF(Q15=1,SUM($Q$2:Q15),"")</f>
        <v/>
      </c>
    </row>
    <row r="16" spans="1:23" x14ac:dyDescent="0.2">
      <c r="A16" s="72"/>
      <c r="B16" s="76"/>
      <c r="C16" s="73"/>
      <c r="D16" s="73" t="s">
        <v>958</v>
      </c>
      <c r="E16" s="77" t="s">
        <v>990</v>
      </c>
      <c r="F16" s="75" t="s">
        <v>228</v>
      </c>
      <c r="G16" s="75" t="s">
        <v>1069</v>
      </c>
      <c r="H16" s="69"/>
      <c r="O16" s="69" t="str">
        <f>IFERROR(INDEX(CAT_Specs!$A$9:$A$500,MATCH(ROWS($O$2:O16),CAT_Specs!$I$9:$I$500,0)),IF(ROWS($O$2:O16)=1,"(sin matches)",""))</f>
        <v>48053-001-01 (Deshidrogenado / Endurecido) | 176 - 204 °C (375 ± 25 °F) | No aplica | &gt;= 1 hrs.</v>
      </c>
      <c r="P16" s="69">
        <f t="shared" si="0"/>
        <v>0</v>
      </c>
      <c r="Q16" s="69" cm="1">
        <f t="array" ref="Q16">IF(P16=1,IF(SUMPRODUCT(($P$2:P16)*(--($G$2:G16=$G16)))=1,1,0),0)</f>
        <v>0</v>
      </c>
      <c r="R16" s="69" t="str">
        <f>IF(Q16=1,SUM($Q$2:Q16),"")</f>
        <v/>
      </c>
    </row>
    <row r="17" spans="1:18" x14ac:dyDescent="0.2">
      <c r="A17" s="72"/>
      <c r="B17" s="84"/>
      <c r="C17" s="73"/>
      <c r="D17" s="73" t="s">
        <v>958</v>
      </c>
      <c r="E17" s="77" t="s">
        <v>94</v>
      </c>
      <c r="F17" s="75" t="s">
        <v>228</v>
      </c>
      <c r="G17" s="75" t="s">
        <v>1070</v>
      </c>
      <c r="H17" s="69"/>
      <c r="O17" s="69" t="str">
        <f>IFERROR(INDEX(CAT_Specs!$A$9:$A$500,MATCH(ROWS($O$2:O17),CAT_Specs!$I$9:$I$500,0)),IF(ROWS($O$2:O17)=1,"(sin matches)",""))</f>
        <v>48053-001-01 (Deshidrogenado / Endurecido) | 176 - 204 °C (375 ± 25 °F) | No aplica | &gt;= 10 hrs.</v>
      </c>
      <c r="P17" s="69">
        <f t="shared" si="0"/>
        <v>0</v>
      </c>
      <c r="Q17" s="69" cm="1">
        <f t="array" ref="Q17">IF(P17=1,IF(SUMPRODUCT(($P$2:P17)*(--($G$2:G17=$G17)))=1,1,0),0)</f>
        <v>0</v>
      </c>
      <c r="R17" s="69" t="str">
        <f>IF(Q17=1,SUM($Q$2:Q17),"")</f>
        <v/>
      </c>
    </row>
    <row r="18" spans="1:18" ht="16" x14ac:dyDescent="0.2">
      <c r="A18" s="72"/>
      <c r="B18" s="76"/>
      <c r="C18" s="73"/>
      <c r="D18" s="73" t="s">
        <v>958</v>
      </c>
      <c r="E18" s="77" t="s">
        <v>117</v>
      </c>
      <c r="F18" s="75" t="s">
        <v>1425</v>
      </c>
      <c r="G18" s="74" t="s">
        <v>1078</v>
      </c>
      <c r="H18" s="69"/>
      <c r="O18" s="69" t="str">
        <f>IFERROR(INDEX(CAT_Specs!$A$9:$A$500,MATCH(ROWS($O$2:O18),CAT_Specs!$I$9:$I$500,0)),IF(ROWS($O$2:O18)=1,"(sin matches)",""))</f>
        <v>48053-001-01 (Deshidrogenado / Endurecido) | 176 - 204 °C (375 ± 25 °F) | No aplica | &gt;= 14 hrs.</v>
      </c>
      <c r="P18" s="69">
        <f t="shared" si="0"/>
        <v>0</v>
      </c>
      <c r="Q18" s="69" cm="1">
        <f t="array" ref="Q18">IF(P18=1,IF(SUMPRODUCT(($P$2:P18)*(--($G$2:G18=$G18)))=1,1,0),0)</f>
        <v>0</v>
      </c>
      <c r="R18" s="69" t="str">
        <f>IF(Q18=1,SUM($Q$2:Q18),"")</f>
        <v/>
      </c>
    </row>
    <row r="19" spans="1:18" ht="16" x14ac:dyDescent="0.2">
      <c r="A19" s="72"/>
      <c r="B19" s="76"/>
      <c r="C19" s="73"/>
      <c r="D19" s="73" t="s">
        <v>958</v>
      </c>
      <c r="E19" s="77" t="s">
        <v>110</v>
      </c>
      <c r="F19" s="75" t="s">
        <v>1425</v>
      </c>
      <c r="G19" s="74" t="s">
        <v>1076</v>
      </c>
      <c r="H19" s="69"/>
      <c r="O19" s="69" t="str">
        <f>IFERROR(INDEX(CAT_Specs!$A$9:$A$500,MATCH(ROWS($O$2:O19),CAT_Specs!$I$9:$I$500,0)),IF(ROWS($O$2:O19)=1,"(sin matches)",""))</f>
        <v>48053-001-01 (Deshidrogenado / Endurecido) | 176 - 204 °C (375 ± 25 °F) | No aplica | &gt;= 2 hrs.</v>
      </c>
      <c r="P19" s="69">
        <f t="shared" si="0"/>
        <v>0</v>
      </c>
      <c r="Q19" s="69" cm="1">
        <f t="array" ref="Q19">IF(P19=1,IF(SUMPRODUCT(($P$2:P19)*(--($G$2:G19=$G19)))=1,1,0),0)</f>
        <v>0</v>
      </c>
      <c r="R19" s="69" t="str">
        <f>IF(Q19=1,SUM($Q$2:Q19),"")</f>
        <v/>
      </c>
    </row>
    <row r="20" spans="1:18" ht="16" x14ac:dyDescent="0.2">
      <c r="A20" s="72"/>
      <c r="B20" s="76"/>
      <c r="C20" s="73"/>
      <c r="D20" s="73" t="s">
        <v>958</v>
      </c>
      <c r="E20" s="77" t="s">
        <v>94</v>
      </c>
      <c r="F20" s="75" t="s">
        <v>1425</v>
      </c>
      <c r="G20" s="74" t="s">
        <v>1075</v>
      </c>
      <c r="H20" s="69"/>
      <c r="O20" s="69" t="str">
        <f>IFERROR(INDEX(CAT_Specs!$A$9:$A$500,MATCH(ROWS($O$2:O20),CAT_Specs!$I$9:$I$500,0)),IF(ROWS($O$2:O20)=1,"(sin matches)",""))</f>
        <v>48053-001-01 (Deshidrogenado / Endurecido) | 176 - 204 °C (375 ± 25 °F) | No aplica | &gt;= 20 hrs.</v>
      </c>
      <c r="P20" s="69">
        <f t="shared" si="0"/>
        <v>0</v>
      </c>
      <c r="Q20" s="69" cm="1">
        <f t="array" ref="Q20">IF(P20=1,IF(SUMPRODUCT(($P$2:P20)*(--($G$2:G20=$G20)))=1,1,0),0)</f>
        <v>0</v>
      </c>
      <c r="R20" s="69" t="str">
        <f>IF(Q20=1,SUM($Q$2:Q20),"")</f>
        <v/>
      </c>
    </row>
    <row r="21" spans="1:18" ht="16" x14ac:dyDescent="0.2">
      <c r="A21" s="72"/>
      <c r="B21" s="76"/>
      <c r="C21" s="73"/>
      <c r="D21" s="73" t="s">
        <v>958</v>
      </c>
      <c r="E21" s="77" t="s">
        <v>103</v>
      </c>
      <c r="F21" s="75" t="s">
        <v>1425</v>
      </c>
      <c r="G21" s="74" t="s">
        <v>1074</v>
      </c>
      <c r="H21" s="69"/>
      <c r="O21" s="69" t="str">
        <f>IFERROR(INDEX(CAT_Specs!$A$9:$A$500,MATCH(ROWS($O$2:O21),CAT_Specs!$I$9:$I$500,0)),IF(ROWS($O$2:O21)=1,"(sin matches)",""))</f>
        <v>48053-001-01 (Deshidrogenado / Endurecido) | 176 - 204 °C (375 ± 25 °F) | No aplica | &gt;= 24 hrs.</v>
      </c>
      <c r="P21" s="69">
        <f t="shared" si="0"/>
        <v>0</v>
      </c>
      <c r="Q21" s="69" cm="1">
        <f t="array" ref="Q21">IF(P21=1,IF(SUMPRODUCT(($P$2:P21)*(--($G$2:G21=$G21)))=1,1,0),0)</f>
        <v>0</v>
      </c>
      <c r="R21" s="69" t="str">
        <f>IF(Q21=1,SUM($Q$2:Q21),"")</f>
        <v/>
      </c>
    </row>
    <row r="22" spans="1:18" ht="16" x14ac:dyDescent="0.2">
      <c r="A22" s="72"/>
      <c r="B22" s="76"/>
      <c r="C22" s="73"/>
      <c r="D22" s="73" t="s">
        <v>958</v>
      </c>
      <c r="E22" s="77" t="s">
        <v>126</v>
      </c>
      <c r="F22" s="75" t="s">
        <v>1425</v>
      </c>
      <c r="G22" s="74" t="s">
        <v>1077</v>
      </c>
      <c r="H22" s="69"/>
      <c r="O22" s="69" t="str">
        <f>IFERROR(INDEX(CAT_Specs!$A$9:$A$500,MATCH(ROWS($O$2:O22),CAT_Specs!$I$9:$I$500,0)),IF(ROWS($O$2:O22)=1,"(sin matches)",""))</f>
        <v>48053-001-01 (Deshidrogenado / Endurecido) | 176 - 204 °C (375 ± 25 °F) | No aplica | &gt;= 3 hrs.</v>
      </c>
      <c r="P22" s="69">
        <f t="shared" si="0"/>
        <v>0</v>
      </c>
      <c r="Q22" s="69" cm="1">
        <f t="array" ref="Q22">IF(P22=1,IF(SUMPRODUCT(($P$2:P22)*(--($G$2:G22=$G22)))=1,1,0),0)</f>
        <v>0</v>
      </c>
      <c r="R22" s="69" t="str">
        <f>IF(Q22=1,SUM($Q$2:Q22),"")</f>
        <v/>
      </c>
    </row>
    <row r="23" spans="1:18" x14ac:dyDescent="0.2">
      <c r="A23" s="72"/>
      <c r="B23" s="76"/>
      <c r="C23" s="73"/>
      <c r="D23" s="73" t="s">
        <v>958</v>
      </c>
      <c r="E23" s="77" t="s">
        <v>990</v>
      </c>
      <c r="F23" s="75" t="s">
        <v>1425</v>
      </c>
      <c r="G23" s="75" t="s">
        <v>1073</v>
      </c>
      <c r="H23" s="69"/>
      <c r="O23" s="69" t="str">
        <f>IFERROR(INDEX(CAT_Specs!$A$9:$A$500,MATCH(ROWS($O$2:O23),CAT_Specs!$I$9:$I$500,0)),IF(ROWS($O$2:O23)=1,"(sin matches)",""))</f>
        <v>48053-001-01 (Deshidrogenado / Endurecido) | 176 - 204 °C (375 ± 25 °F) | No aplica | &gt;= 4 hrs.</v>
      </c>
      <c r="P23" s="69">
        <f t="shared" si="0"/>
        <v>0</v>
      </c>
      <c r="Q23" s="69" cm="1">
        <f t="array" ref="Q23">IF(P23=1,IF(SUMPRODUCT(($P$2:P23)*(--($G$2:G23=$G23)))=1,1,0),0)</f>
        <v>0</v>
      </c>
      <c r="R23" s="69" t="str">
        <f>IF(Q23=1,SUM($Q$2:Q23),"")</f>
        <v/>
      </c>
    </row>
    <row r="24" spans="1:18" x14ac:dyDescent="0.2">
      <c r="A24" s="72"/>
      <c r="B24" s="76"/>
      <c r="C24" s="73"/>
      <c r="D24" s="73" t="s">
        <v>958</v>
      </c>
      <c r="E24" s="77" t="s">
        <v>110</v>
      </c>
      <c r="F24" s="75" t="s">
        <v>1426</v>
      </c>
      <c r="G24" s="75" t="s">
        <v>1071</v>
      </c>
      <c r="H24" s="69"/>
      <c r="O24" s="69" t="str">
        <f>IFERROR(INDEX(CAT_Specs!$A$9:$A$500,MATCH(ROWS($O$2:O24),CAT_Specs!$I$9:$I$500,0)),IF(ROWS($O$2:O24)=1,"(sin matches)",""))</f>
        <v>48053-001-01 (Deshidrogenado / Endurecido) | 176 - 204 °C (375 ± 25 °F) | No aplica | &gt;= 5 hrs.</v>
      </c>
      <c r="P24" s="69">
        <f t="shared" si="0"/>
        <v>0</v>
      </c>
      <c r="Q24" s="69" cm="1">
        <f t="array" ref="Q24">IF(P24=1,IF(SUMPRODUCT(($P$2:P24)*(--($G$2:G24=$G24)))=1,1,0),0)</f>
        <v>0</v>
      </c>
      <c r="R24" s="69" t="str">
        <f>IF(Q24=1,SUM($Q$2:Q24),"")</f>
        <v/>
      </c>
    </row>
    <row r="25" spans="1:18" x14ac:dyDescent="0.2">
      <c r="A25" s="72"/>
      <c r="B25" s="76"/>
      <c r="C25" s="73"/>
      <c r="D25" s="73" t="s">
        <v>958</v>
      </c>
      <c r="E25" s="77" t="s">
        <v>110</v>
      </c>
      <c r="F25" s="75" t="s">
        <v>1427</v>
      </c>
      <c r="G25" s="75" t="s">
        <v>1071</v>
      </c>
      <c r="H25" s="69"/>
      <c r="O25" s="69" t="str">
        <f>IFERROR(INDEX(CAT_Specs!$A$9:$A$500,MATCH(ROWS($O$2:O25),CAT_Specs!$I$9:$I$500,0)),IF(ROWS($O$2:O25)=1,"(sin matches)",""))</f>
        <v>48053-001-01 (Deshidrogenado / Endurecido) | 176 - 204 °C (375 ± 25 °F) | No aplica | &gt;= 6 hrs.</v>
      </c>
      <c r="P25" s="69">
        <f t="shared" si="0"/>
        <v>0</v>
      </c>
      <c r="Q25" s="69" cm="1">
        <f t="array" ref="Q25">IF(P25=1,IF(SUMPRODUCT(($P$2:P25)*(--($G$2:G25=$G25)))=1,1,0),0)</f>
        <v>0</v>
      </c>
      <c r="R25" s="69" t="str">
        <f>IF(Q25=1,SUM($Q$2:Q25),"")</f>
        <v/>
      </c>
    </row>
    <row r="26" spans="1:18" ht="16" x14ac:dyDescent="0.2">
      <c r="A26" s="72"/>
      <c r="B26" s="76"/>
      <c r="C26" s="73"/>
      <c r="D26" s="73" t="s">
        <v>958</v>
      </c>
      <c r="E26" s="77" t="s">
        <v>126</v>
      </c>
      <c r="F26" s="75" t="s">
        <v>335</v>
      </c>
      <c r="G26" s="74" t="s">
        <v>243</v>
      </c>
      <c r="H26" s="69"/>
      <c r="O26" s="69" t="str">
        <f>IFERROR(INDEX(CAT_Specs!$A$9:$A$500,MATCH(ROWS($O$2:O26),CAT_Specs!$I$9:$I$500,0)),IF(ROWS($O$2:O26)=1,"(sin matches)",""))</f>
        <v>48053-001-01 (Deshidrogenado / Endurecido) | 176 - 204 °C (375 ± 25 °F) | No aplica | &gt;= 8 hrs.</v>
      </c>
      <c r="P26" s="69">
        <f t="shared" si="0"/>
        <v>0</v>
      </c>
      <c r="Q26" s="69" cm="1">
        <f t="array" ref="Q26">IF(P26=1,IF(SUMPRODUCT(($P$2:P26)*(--($G$2:G26=$G26)))=1,1,0),0)</f>
        <v>0</v>
      </c>
      <c r="R26" s="69" t="str">
        <f>IF(Q26=1,SUM($Q$2:Q26),"")</f>
        <v/>
      </c>
    </row>
    <row r="27" spans="1:18" ht="16" x14ac:dyDescent="0.2">
      <c r="A27" s="72"/>
      <c r="B27" s="76"/>
      <c r="C27" s="73"/>
      <c r="D27" s="73" t="s">
        <v>958</v>
      </c>
      <c r="E27" s="77" t="s">
        <v>94</v>
      </c>
      <c r="F27" s="75" t="s">
        <v>335</v>
      </c>
      <c r="G27" s="74" t="s">
        <v>243</v>
      </c>
      <c r="H27" s="69"/>
      <c r="O27" s="69" t="str">
        <f>IFERROR(INDEX(CAT_Specs!$A$9:$A$500,MATCH(ROWS($O$2:O27),CAT_Specs!$I$9:$I$500,0)),IF(ROWS($O$2:O27)=1,"(sin matches)",""))</f>
        <v>48053-001-01 (Deshidrogenado / Endurecido) | No aplica | 302 - 329 °C (600 ± 25 °F) | &gt;= 0.5 hrs.</v>
      </c>
      <c r="P27" s="69">
        <f t="shared" si="0"/>
        <v>0</v>
      </c>
      <c r="Q27" s="69" cm="1">
        <f t="array" ref="Q27">IF(P27=1,IF(SUMPRODUCT(($P$2:P27)*(--($G$2:G27=$G27)))=1,1,0),0)</f>
        <v>0</v>
      </c>
      <c r="R27" s="69" t="str">
        <f>IF(Q27=1,SUM($Q$2:Q27),"")</f>
        <v/>
      </c>
    </row>
    <row r="28" spans="1:18" x14ac:dyDescent="0.2">
      <c r="A28" s="72"/>
      <c r="B28" s="76"/>
      <c r="C28" s="73"/>
      <c r="D28" s="73" t="s">
        <v>958</v>
      </c>
      <c r="E28" s="77" t="s">
        <v>1378</v>
      </c>
      <c r="F28" s="75" t="s">
        <v>335</v>
      </c>
      <c r="G28" s="75" t="s">
        <v>1083</v>
      </c>
      <c r="H28" s="69"/>
      <c r="O28" s="69" t="str">
        <f>IFERROR(INDEX(CAT_Specs!$A$9:$A$500,MATCH(ROWS($O$2:O28),CAT_Specs!$I$9:$I$500,0)),IF(ROWS($O$2:O28)=1,"(sin matches)",""))</f>
        <v>48053-001-01 (Deshidrogenado / Endurecido) | No aplica | 302 - 329 °C (600 ± 25 °F) | &gt;= 1 hrs.</v>
      </c>
      <c r="P28" s="69">
        <f t="shared" si="0"/>
        <v>0</v>
      </c>
      <c r="Q28" s="69" cm="1">
        <f t="array" ref="Q28">IF(P28=1,IF(SUMPRODUCT(($P$2:P28)*(--($G$2:G28=$G28)))=1,1,0),0)</f>
        <v>0</v>
      </c>
      <c r="R28" s="69" t="str">
        <f>IF(Q28=1,SUM($Q$2:Q28),"")</f>
        <v/>
      </c>
    </row>
    <row r="29" spans="1:18" x14ac:dyDescent="0.2">
      <c r="A29" s="72"/>
      <c r="B29" s="76"/>
      <c r="C29" s="73"/>
      <c r="D29" s="73" t="s">
        <v>958</v>
      </c>
      <c r="E29" s="77" t="s">
        <v>990</v>
      </c>
      <c r="F29" s="75" t="s">
        <v>335</v>
      </c>
      <c r="G29" s="75" t="s">
        <v>1082</v>
      </c>
      <c r="H29" s="69"/>
      <c r="O29" s="69" t="str">
        <f>IFERROR(INDEX(CAT_Specs!$A$9:$A$500,MATCH(ROWS($O$2:O29),CAT_Specs!$I$9:$I$500,0)),IF(ROWS($O$2:O29)=1,"(sin matches)",""))</f>
        <v>48053-001-01 (Deshidrogenado / Endurecido) | No aplica | 302 - 329 °C (600 ± 25 °F) | &gt;= 10 hrs.</v>
      </c>
      <c r="P29" s="69">
        <f t="shared" si="0"/>
        <v>0</v>
      </c>
      <c r="Q29" s="69" cm="1">
        <f t="array" ref="Q29">IF(P29=1,IF(SUMPRODUCT(($P$2:P29)*(--($G$2:G29=$G29)))=1,1,0),0)</f>
        <v>0</v>
      </c>
      <c r="R29" s="69" t="str">
        <f>IF(Q29=1,SUM($Q$2:Q29),"")</f>
        <v/>
      </c>
    </row>
    <row r="30" spans="1:18" ht="16" x14ac:dyDescent="0.2">
      <c r="A30" s="72"/>
      <c r="B30" s="76"/>
      <c r="C30" s="73"/>
      <c r="D30" s="73" t="s">
        <v>958</v>
      </c>
      <c r="E30" s="77" t="s">
        <v>97</v>
      </c>
      <c r="F30" s="75" t="s">
        <v>335</v>
      </c>
      <c r="G30" s="74" t="s">
        <v>1085</v>
      </c>
      <c r="H30" s="69"/>
      <c r="O30" s="69" t="str">
        <f>IFERROR(INDEX(CAT_Specs!$A$9:$A$500,MATCH(ROWS($O$2:O30),CAT_Specs!$I$9:$I$500,0)),IF(ROWS($O$2:O30)=1,"(sin matches)",""))</f>
        <v>48053-001-01 (Deshidrogenado / Endurecido) | No aplica | 302 - 329 °C (600 ± 25 °F) | &gt;= 14 hrs.</v>
      </c>
      <c r="P30" s="69">
        <f t="shared" si="0"/>
        <v>0</v>
      </c>
      <c r="Q30" s="69" cm="1">
        <f t="array" ref="Q30">IF(P30=1,IF(SUMPRODUCT(($P$2:P30)*(--($G$2:G30=$G30)))=1,1,0),0)</f>
        <v>0</v>
      </c>
      <c r="R30" s="69" t="str">
        <f>IF(Q30=1,SUM($Q$2:Q30),"")</f>
        <v/>
      </c>
    </row>
    <row r="31" spans="1:18" ht="16" x14ac:dyDescent="0.2">
      <c r="A31" s="72"/>
      <c r="B31" s="76"/>
      <c r="C31" s="73"/>
      <c r="D31" s="73" t="s">
        <v>958</v>
      </c>
      <c r="E31" s="77" t="s">
        <v>97</v>
      </c>
      <c r="F31" s="75" t="s">
        <v>1428</v>
      </c>
      <c r="G31" s="74" t="s">
        <v>1085</v>
      </c>
      <c r="H31" s="69"/>
      <c r="O31" s="69" t="str">
        <f>IFERROR(INDEX(CAT_Specs!$A$9:$A$500,MATCH(ROWS($O$2:O31),CAT_Specs!$I$9:$I$500,0)),IF(ROWS($O$2:O31)=1,"(sin matches)",""))</f>
        <v>48053-001-01 (Deshidrogenado / Endurecido) | No aplica | 302 - 329 °C (600 ± 25 °F) | &gt;= 2 hrs.</v>
      </c>
      <c r="P31" s="69">
        <f t="shared" si="0"/>
        <v>0</v>
      </c>
      <c r="Q31" s="69" cm="1">
        <f t="array" ref="Q31">IF(P31=1,IF(SUMPRODUCT(($P$2:P31)*(--($G$2:G31=$G31)))=1,1,0),0)</f>
        <v>0</v>
      </c>
      <c r="R31" s="69" t="str">
        <f>IF(Q31=1,SUM($Q$2:Q31),"")</f>
        <v/>
      </c>
    </row>
    <row r="32" spans="1:18" ht="16" x14ac:dyDescent="0.2">
      <c r="A32" s="72"/>
      <c r="B32" s="76"/>
      <c r="C32" s="73"/>
      <c r="D32" s="73" t="s">
        <v>958</v>
      </c>
      <c r="E32" s="77" t="s">
        <v>117</v>
      </c>
      <c r="F32" s="75" t="s">
        <v>335</v>
      </c>
      <c r="G32" s="74" t="s">
        <v>285</v>
      </c>
      <c r="H32" s="69"/>
      <c r="O32" s="69" t="str">
        <f>IFERROR(INDEX(CAT_Specs!$A$9:$A$500,MATCH(ROWS($O$2:O32),CAT_Specs!$I$9:$I$500,0)),IF(ROWS($O$2:O32)=1,"(sin matches)",""))</f>
        <v>48053-001-01 (Deshidrogenado / Endurecido) | No aplica | 302 - 329 °C (600 ± 25 °F) | &gt;= 20 hrs.</v>
      </c>
      <c r="P32" s="69">
        <f t="shared" si="0"/>
        <v>0</v>
      </c>
      <c r="Q32" s="69" cm="1">
        <f t="array" ref="Q32">IF(P32=1,IF(SUMPRODUCT(($P$2:P32)*(--($G$2:G32=$G32)))=1,1,0),0)</f>
        <v>0</v>
      </c>
      <c r="R32" s="69" t="str">
        <f>IF(Q32=1,SUM($Q$2:Q32),"")</f>
        <v/>
      </c>
    </row>
    <row r="33" spans="1:18" ht="16" x14ac:dyDescent="0.2">
      <c r="A33" s="72"/>
      <c r="B33" s="76"/>
      <c r="C33" s="73"/>
      <c r="D33" s="73" t="s">
        <v>958</v>
      </c>
      <c r="E33" s="77" t="s">
        <v>117</v>
      </c>
      <c r="F33" s="75" t="s">
        <v>1428</v>
      </c>
      <c r="G33" s="74" t="s">
        <v>285</v>
      </c>
      <c r="H33" s="69"/>
      <c r="O33" s="69" t="str">
        <f>IFERROR(INDEX(CAT_Specs!$A$9:$A$500,MATCH(ROWS($O$2:O33),CAT_Specs!$I$9:$I$500,0)),IF(ROWS($O$2:O33)=1,"(sin matches)",""))</f>
        <v>48053-001-01 (Deshidrogenado / Endurecido) | No aplica | 302 - 329 °C (600 ± 25 °F) | &gt;= 24 hrs.</v>
      </c>
      <c r="P33" s="69">
        <f t="shared" si="0"/>
        <v>0</v>
      </c>
      <c r="Q33" s="69" cm="1">
        <f t="array" ref="Q33">IF(P33=1,IF(SUMPRODUCT(($P$2:P33)*(--($G$2:G33=$G33)))=1,1,0),0)</f>
        <v>0</v>
      </c>
      <c r="R33" s="69" t="str">
        <f>IF(Q33=1,SUM($Q$2:Q33),"")</f>
        <v/>
      </c>
    </row>
    <row r="34" spans="1:18" ht="16" x14ac:dyDescent="0.2">
      <c r="A34" s="72"/>
      <c r="B34" s="76"/>
      <c r="C34" s="73"/>
      <c r="D34" s="73" t="s">
        <v>958</v>
      </c>
      <c r="E34" s="77" t="s">
        <v>110</v>
      </c>
      <c r="F34" s="75" t="s">
        <v>335</v>
      </c>
      <c r="G34" s="74" t="s">
        <v>276</v>
      </c>
      <c r="H34" s="69"/>
      <c r="O34" s="69" t="str">
        <f>IFERROR(INDEX(CAT_Specs!$A$9:$A$500,MATCH(ROWS($O$2:O34),CAT_Specs!$I$9:$I$500,0)),IF(ROWS($O$2:O34)=1,"(sin matches)",""))</f>
        <v>48053-001-01 (Deshidrogenado / Endurecido) | No aplica | 302 - 329 °C (600 ± 25 °F) | &gt;= 3 hrs.</v>
      </c>
      <c r="P34" s="69">
        <f t="shared" si="0"/>
        <v>0</v>
      </c>
      <c r="Q34" s="69" cm="1">
        <f t="array" ref="Q34">IF(P34=1,IF(SUMPRODUCT(($P$2:P34)*(--($G$2:G34=$G34)))=1,1,0),0)</f>
        <v>0</v>
      </c>
      <c r="R34" s="69" t="str">
        <f>IF(Q34=1,SUM($Q$2:Q34),"")</f>
        <v/>
      </c>
    </row>
    <row r="35" spans="1:18" ht="16" x14ac:dyDescent="0.2">
      <c r="A35" s="72"/>
      <c r="B35" s="76"/>
      <c r="C35" s="73"/>
      <c r="D35" s="73" t="s">
        <v>958</v>
      </c>
      <c r="E35" s="77" t="s">
        <v>110</v>
      </c>
      <c r="F35" s="75" t="s">
        <v>1428</v>
      </c>
      <c r="G35" s="74" t="s">
        <v>276</v>
      </c>
      <c r="H35" s="69"/>
      <c r="O35" s="69" t="str">
        <f>IFERROR(INDEX(CAT_Specs!$A$9:$A$500,MATCH(ROWS($O$2:O35),CAT_Specs!$I$9:$I$500,0)),IF(ROWS($O$2:O35)=1,"(sin matches)",""))</f>
        <v>48053-001-01 (Deshidrogenado / Endurecido) | No aplica | 302 - 329 °C (600 ± 25 °F) | &gt;= 4 hrs.</v>
      </c>
      <c r="P35" s="69">
        <f t="shared" si="0"/>
        <v>0</v>
      </c>
      <c r="Q35" s="69" cm="1">
        <f t="array" ref="Q35">IF(P35=1,IF(SUMPRODUCT(($P$2:P35)*(--($G$2:G35=$G35)))=1,1,0),0)</f>
        <v>0</v>
      </c>
      <c r="R35" s="69" t="str">
        <f>IF(Q35=1,SUM($Q$2:Q35),"")</f>
        <v/>
      </c>
    </row>
    <row r="36" spans="1:18" ht="16" x14ac:dyDescent="0.2">
      <c r="A36" s="72"/>
      <c r="B36" s="76"/>
      <c r="C36" s="73"/>
      <c r="D36" s="73" t="s">
        <v>958</v>
      </c>
      <c r="E36" s="77" t="s">
        <v>94</v>
      </c>
      <c r="F36" s="75" t="s">
        <v>335</v>
      </c>
      <c r="G36" s="74" t="s">
        <v>264</v>
      </c>
      <c r="H36" s="69"/>
      <c r="O36" s="69" t="str">
        <f>IFERROR(INDEX(CAT_Specs!$A$9:$A$500,MATCH(ROWS($O$2:O36),CAT_Specs!$I$9:$I$500,0)),IF(ROWS($O$2:O36)=1,"(sin matches)",""))</f>
        <v>48053-001-01 (Deshidrogenado / Endurecido) | No aplica | 302 - 329 °C (600 ± 25 °F) | &gt;= 5 hrs.</v>
      </c>
      <c r="P36" s="69">
        <f t="shared" si="0"/>
        <v>0</v>
      </c>
      <c r="Q36" s="69" cm="1">
        <f t="array" ref="Q36">IF(P36=1,IF(SUMPRODUCT(($P$2:P36)*(--($G$2:G36=$G36)))=1,1,0),0)</f>
        <v>0</v>
      </c>
      <c r="R36" s="69" t="str">
        <f>IF(Q36=1,SUM($Q$2:Q36),"")</f>
        <v/>
      </c>
    </row>
    <row r="37" spans="1:18" ht="16" x14ac:dyDescent="0.2">
      <c r="A37" s="72"/>
      <c r="B37" s="76"/>
      <c r="C37" s="73"/>
      <c r="D37" s="73" t="s">
        <v>958</v>
      </c>
      <c r="E37" s="77" t="s">
        <v>94</v>
      </c>
      <c r="F37" s="75" t="s">
        <v>1428</v>
      </c>
      <c r="G37" s="74" t="s">
        <v>264</v>
      </c>
      <c r="H37" s="69"/>
      <c r="O37" s="69" t="str">
        <f>IFERROR(INDEX(CAT_Specs!$A$9:$A$500,MATCH(ROWS($O$2:O37),CAT_Specs!$I$9:$I$500,0)),IF(ROWS($O$2:O37)=1,"(sin matches)",""))</f>
        <v>48053-001-01 (Deshidrogenado / Endurecido) | No aplica | 302 - 329 °C (600 ± 25 °F) | &gt;= 6 hrs.</v>
      </c>
      <c r="P37" s="69">
        <f t="shared" si="0"/>
        <v>0</v>
      </c>
      <c r="Q37" s="69" cm="1">
        <f t="array" ref="Q37">IF(P37=1,IF(SUMPRODUCT(($P$2:P37)*(--($G$2:G37=$G37)))=1,1,0),0)</f>
        <v>0</v>
      </c>
      <c r="R37" s="69" t="str">
        <f>IF(Q37=1,SUM($Q$2:Q37),"")</f>
        <v/>
      </c>
    </row>
    <row r="38" spans="1:18" ht="16" x14ac:dyDescent="0.2">
      <c r="A38" s="72"/>
      <c r="B38" s="76"/>
      <c r="C38" s="73"/>
      <c r="D38" s="73" t="s">
        <v>958</v>
      </c>
      <c r="E38" s="77" t="s">
        <v>103</v>
      </c>
      <c r="F38" s="75" t="s">
        <v>335</v>
      </c>
      <c r="G38" s="74" t="s">
        <v>257</v>
      </c>
      <c r="H38" s="69"/>
      <c r="O38" s="69" t="str">
        <f>IFERROR(INDEX(CAT_Specs!$A$9:$A$500,MATCH(ROWS($O$2:O38),CAT_Specs!$I$9:$I$500,0)),IF(ROWS($O$2:O38)=1,"(sin matches)",""))</f>
        <v>48053-001-01 (Deshidrogenado / Endurecido) | No aplica | 302 - 329 °C (600 ± 25 °F) | &gt;= 8 hrs.</v>
      </c>
      <c r="P38" s="69">
        <f t="shared" si="0"/>
        <v>0</v>
      </c>
      <c r="Q38" s="69" cm="1">
        <f t="array" ref="Q38">IF(P38=1,IF(SUMPRODUCT(($P$2:P38)*(--($G$2:G38=$G38)))=1,1,0),0)</f>
        <v>0</v>
      </c>
      <c r="R38" s="69" t="str">
        <f>IF(Q38=1,SUM($Q$2:Q38),"")</f>
        <v/>
      </c>
    </row>
    <row r="39" spans="1:18" ht="16" x14ac:dyDescent="0.2">
      <c r="A39" s="72"/>
      <c r="B39" s="76"/>
      <c r="C39" s="73"/>
      <c r="D39" s="73" t="s">
        <v>958</v>
      </c>
      <c r="E39" s="77" t="s">
        <v>103</v>
      </c>
      <c r="F39" s="75" t="s">
        <v>1428</v>
      </c>
      <c r="G39" s="74" t="s">
        <v>257</v>
      </c>
      <c r="H39" s="69"/>
      <c r="O39" s="69" t="str">
        <f>IFERROR(INDEX(CAT_Specs!$A$9:$A$500,MATCH(ROWS($O$2:O39),CAT_Specs!$I$9:$I$500,0)),IF(ROWS($O$2:O39)=1,"(sin matches)",""))</f>
        <v>48053-001-01 (Deshidrogenado / Endurecido) | No aplica | No aplica | &gt;= 0.5 hrs.</v>
      </c>
      <c r="P39" s="69">
        <f t="shared" si="0"/>
        <v>0</v>
      </c>
      <c r="Q39" s="69" cm="1">
        <f t="array" ref="Q39">IF(P39=1,IF(SUMPRODUCT(($P$2:P39)*(--($G$2:G39=$G39)))=1,1,0),0)</f>
        <v>0</v>
      </c>
      <c r="R39" s="69" t="str">
        <f>IF(Q39=1,SUM($Q$2:Q39),"")</f>
        <v/>
      </c>
    </row>
    <row r="40" spans="1:18" ht="16" x14ac:dyDescent="0.2">
      <c r="A40" s="72"/>
      <c r="B40" s="76"/>
      <c r="C40" s="73"/>
      <c r="D40" s="73" t="s">
        <v>958</v>
      </c>
      <c r="E40" s="77" t="s">
        <v>126</v>
      </c>
      <c r="F40" s="75" t="s">
        <v>335</v>
      </c>
      <c r="G40" s="74" t="s">
        <v>280</v>
      </c>
      <c r="H40" s="69"/>
      <c r="O40" s="69" t="str">
        <f>IFERROR(INDEX(CAT_Specs!$A$9:$A$500,MATCH(ROWS($O$2:O40),CAT_Specs!$I$9:$I$500,0)),IF(ROWS($O$2:O40)=1,"(sin matches)",""))</f>
        <v>48053-001-01 (Deshidrogenado / Endurecido) | No aplica | No aplica | &gt;= 1 hrs.</v>
      </c>
      <c r="P40" s="69">
        <f t="shared" si="0"/>
        <v>0</v>
      </c>
      <c r="Q40" s="69" cm="1">
        <f t="array" ref="Q40">IF(P40=1,IF(SUMPRODUCT(($P$2:P40)*(--($G$2:G40=$G40)))=1,1,0),0)</f>
        <v>0</v>
      </c>
      <c r="R40" s="69" t="str">
        <f>IF(Q40=1,SUM($Q$2:Q40),"")</f>
        <v/>
      </c>
    </row>
    <row r="41" spans="1:18" ht="16" x14ac:dyDescent="0.2">
      <c r="A41" s="72"/>
      <c r="B41" s="76"/>
      <c r="C41" s="73"/>
      <c r="D41" s="73" t="s">
        <v>958</v>
      </c>
      <c r="E41" s="77" t="s">
        <v>126</v>
      </c>
      <c r="F41" s="75" t="s">
        <v>1428</v>
      </c>
      <c r="G41" s="74" t="s">
        <v>280</v>
      </c>
      <c r="H41" s="69"/>
      <c r="O41" s="69" t="str">
        <f>IFERROR(INDEX(CAT_Specs!$A$9:$A$500,MATCH(ROWS($O$2:O41),CAT_Specs!$I$9:$I$500,0)),IF(ROWS($O$2:O41)=1,"(sin matches)",""))</f>
        <v>48053-001-01 (Deshidrogenado / Endurecido) | No aplica | No aplica | &gt;= 10 hrs.</v>
      </c>
      <c r="P41" s="69">
        <f t="shared" si="0"/>
        <v>0</v>
      </c>
      <c r="Q41" s="69" cm="1">
        <f t="array" ref="Q41">IF(P41=1,IF(SUMPRODUCT(($P$2:P41)*(--($G$2:G41=$G41)))=1,1,0),0)</f>
        <v>0</v>
      </c>
      <c r="R41" s="69" t="str">
        <f>IF(Q41=1,SUM($Q$2:Q41),"")</f>
        <v/>
      </c>
    </row>
    <row r="42" spans="1:18" ht="16" x14ac:dyDescent="0.2">
      <c r="A42" s="72"/>
      <c r="B42" s="76"/>
      <c r="C42" s="73"/>
      <c r="D42" s="73" t="s">
        <v>958</v>
      </c>
      <c r="E42" s="77" t="s">
        <v>1378</v>
      </c>
      <c r="F42" s="75" t="s">
        <v>1293</v>
      </c>
      <c r="G42" s="74" t="s">
        <v>1113</v>
      </c>
      <c r="H42" s="69"/>
      <c r="O42" s="69" t="str">
        <f>IFERROR(INDEX(CAT_Specs!$A$9:$A$500,MATCH(ROWS($O$2:O42),CAT_Specs!$I$9:$I$500,0)),IF(ROWS($O$2:O42)=1,"(sin matches)",""))</f>
        <v>48053-001-01 (Deshidrogenado / Endurecido) | No aplica | No aplica | &gt;= 14 hrs.</v>
      </c>
      <c r="P42" s="69">
        <f t="shared" si="0"/>
        <v>0</v>
      </c>
      <c r="Q42" s="69" cm="1">
        <f t="array" ref="Q42">IF(P42=1,IF(SUMPRODUCT(($P$2:P42)*(--($G$2:G42=$G42)))=1,1,0),0)</f>
        <v>0</v>
      </c>
      <c r="R42" s="69" t="str">
        <f>IF(Q42=1,SUM($Q$2:Q42),"")</f>
        <v/>
      </c>
    </row>
    <row r="43" spans="1:18" ht="16" x14ac:dyDescent="0.2">
      <c r="A43" s="72"/>
      <c r="B43" s="76"/>
      <c r="C43" s="73"/>
      <c r="D43" s="73" t="s">
        <v>958</v>
      </c>
      <c r="E43" s="77" t="s">
        <v>1378</v>
      </c>
      <c r="F43" s="75" t="s">
        <v>1429</v>
      </c>
      <c r="G43" s="74" t="s">
        <v>1113</v>
      </c>
      <c r="H43" s="69"/>
      <c r="O43" s="69" t="str">
        <f>IFERROR(INDEX(CAT_Specs!$A$9:$A$500,MATCH(ROWS($O$2:O43),CAT_Specs!$I$9:$I$500,0)),IF(ROWS($O$2:O43)=1,"(sin matches)",""))</f>
        <v>48053-001-01 (Deshidrogenado / Endurecido) | No aplica | No aplica | &gt;= 2 hrs.</v>
      </c>
      <c r="P43" s="69">
        <f t="shared" si="0"/>
        <v>0</v>
      </c>
      <c r="Q43" s="69" cm="1">
        <f t="array" ref="Q43">IF(P43=1,IF(SUMPRODUCT(($P$2:P43)*(--($G$2:G43=$G43)))=1,1,0),0)</f>
        <v>0</v>
      </c>
      <c r="R43" s="69" t="str">
        <f>IF(Q43=1,SUM($Q$2:Q43),"")</f>
        <v/>
      </c>
    </row>
    <row r="44" spans="1:18" ht="16" x14ac:dyDescent="0.2">
      <c r="A44" s="72"/>
      <c r="B44" s="84"/>
      <c r="C44" s="73"/>
      <c r="D44" s="73" t="s">
        <v>958</v>
      </c>
      <c r="E44" s="77" t="s">
        <v>94</v>
      </c>
      <c r="F44" s="75" t="s">
        <v>335</v>
      </c>
      <c r="G44" s="74" t="s">
        <v>271</v>
      </c>
      <c r="H44" s="69"/>
      <c r="O44" s="69" t="str">
        <f>IFERROR(INDEX(CAT_Specs!$A$9:$A$500,MATCH(ROWS($O$2:O44),CAT_Specs!$I$9:$I$500,0)),IF(ROWS($O$2:O44)=1,"(sin matches)",""))</f>
        <v>48053-001-01 (Deshidrogenado / Endurecido) | No aplica | No aplica | &gt;= 20 hrs.</v>
      </c>
      <c r="P44" s="69">
        <f t="shared" si="0"/>
        <v>0</v>
      </c>
      <c r="Q44" s="69" cm="1">
        <f t="array" ref="Q44">IF(P44=1,IF(SUMPRODUCT(($P$2:P44)*(--($G$2:G44=$G44)))=1,1,0),0)</f>
        <v>0</v>
      </c>
      <c r="R44" s="69" t="str">
        <f>IF(Q44=1,SUM($Q$2:Q44),"")</f>
        <v/>
      </c>
    </row>
    <row r="45" spans="1:18" ht="16" x14ac:dyDescent="0.2">
      <c r="A45" s="72"/>
      <c r="B45" s="84"/>
      <c r="C45" s="73"/>
      <c r="D45" s="73" t="s">
        <v>958</v>
      </c>
      <c r="E45" s="77" t="s">
        <v>135</v>
      </c>
      <c r="F45" s="75" t="s">
        <v>335</v>
      </c>
      <c r="G45" s="74" t="s">
        <v>271</v>
      </c>
      <c r="H45" s="69"/>
      <c r="O45" s="69" t="str">
        <f>IFERROR(INDEX(CAT_Specs!$A$9:$A$500,MATCH(ROWS($O$2:O45),CAT_Specs!$I$9:$I$500,0)),IF(ROWS($O$2:O45)=1,"(sin matches)",""))</f>
        <v>48053-001-01 (Deshidrogenado / Endurecido) | No aplica | No aplica | &gt;= 24 hrs.</v>
      </c>
      <c r="P45" s="69">
        <f t="shared" si="0"/>
        <v>0</v>
      </c>
      <c r="Q45" s="69" cm="1">
        <f t="array" ref="Q45">IF(P45=1,IF(SUMPRODUCT(($P$2:P45)*(--($G$2:G45=$G45)))=1,1,0),0)</f>
        <v>0</v>
      </c>
      <c r="R45" s="69" t="str">
        <f>IF(Q45=1,SUM($Q$2:Q45),"")</f>
        <v/>
      </c>
    </row>
    <row r="46" spans="1:18" ht="16" x14ac:dyDescent="0.2">
      <c r="A46" s="72"/>
      <c r="B46" s="84"/>
      <c r="C46" s="73"/>
      <c r="D46" s="73" t="s">
        <v>958</v>
      </c>
      <c r="E46" s="77" t="s">
        <v>94</v>
      </c>
      <c r="F46" s="75" t="s">
        <v>1428</v>
      </c>
      <c r="G46" s="74" t="s">
        <v>271</v>
      </c>
      <c r="H46" s="69"/>
      <c r="O46" s="69" t="str">
        <f>IFERROR(INDEX(CAT_Specs!$A$9:$A$500,MATCH(ROWS($O$2:O46),CAT_Specs!$I$9:$I$500,0)),IF(ROWS($O$2:O46)=1,"(sin matches)",""))</f>
        <v>48053-001-01 (Deshidrogenado / Endurecido) | No aplica | No aplica | &gt;= 3 hrs.</v>
      </c>
      <c r="P46" s="69">
        <f t="shared" si="0"/>
        <v>0</v>
      </c>
      <c r="Q46" s="69" cm="1">
        <f t="array" ref="Q46">IF(P46=1,IF(SUMPRODUCT(($P$2:P46)*(--($G$2:G46=$G46)))=1,1,0),0)</f>
        <v>0</v>
      </c>
      <c r="R46" s="69" t="str">
        <f>IF(Q46=1,SUM($Q$2:Q46),"")</f>
        <v/>
      </c>
    </row>
    <row r="47" spans="1:18" ht="16" x14ac:dyDescent="0.2">
      <c r="A47" s="72"/>
      <c r="B47" s="84"/>
      <c r="C47" s="73"/>
      <c r="D47" s="73" t="s">
        <v>958</v>
      </c>
      <c r="E47" s="77" t="s">
        <v>135</v>
      </c>
      <c r="F47" s="75" t="s">
        <v>1428</v>
      </c>
      <c r="G47" s="74" t="s">
        <v>271</v>
      </c>
      <c r="H47" s="69"/>
      <c r="O47" s="69" t="str">
        <f>IFERROR(INDEX(CAT_Specs!$A$9:$A$500,MATCH(ROWS($O$2:O47),CAT_Specs!$I$9:$I$500,0)),IF(ROWS($O$2:O47)=1,"(sin matches)",""))</f>
        <v>48053-001-01 (Deshidrogenado / Endurecido) | No aplica | No aplica | &gt;= 4 hrs.</v>
      </c>
      <c r="P47" s="69">
        <f t="shared" si="0"/>
        <v>0</v>
      </c>
      <c r="Q47" s="69" cm="1">
        <f t="array" ref="Q47">IF(P47=1,IF(SUMPRODUCT(($P$2:P47)*(--($G$2:G47=$G47)))=1,1,0),0)</f>
        <v>0</v>
      </c>
      <c r="R47" s="69" t="str">
        <f>IF(Q47=1,SUM($Q$2:Q47),"")</f>
        <v/>
      </c>
    </row>
    <row r="48" spans="1:18" x14ac:dyDescent="0.2">
      <c r="A48" s="72"/>
      <c r="B48" s="76"/>
      <c r="C48" s="73"/>
      <c r="D48" s="73" t="s">
        <v>958</v>
      </c>
      <c r="E48" s="77" t="s">
        <v>1378</v>
      </c>
      <c r="F48" s="75" t="s">
        <v>335</v>
      </c>
      <c r="G48" s="75" t="s">
        <v>1086</v>
      </c>
      <c r="H48" s="69"/>
      <c r="O48" s="69" t="str">
        <f>IFERROR(INDEX(CAT_Specs!$A$9:$A$500,MATCH(ROWS($O$2:O48),CAT_Specs!$I$9:$I$500,0)),IF(ROWS($O$2:O48)=1,"(sin matches)",""))</f>
        <v>48053-001-01 (Deshidrogenado / Endurecido) | No aplica | No aplica | &gt;= 5 hrs.</v>
      </c>
      <c r="P48" s="69">
        <f t="shared" si="0"/>
        <v>0</v>
      </c>
      <c r="Q48" s="69" cm="1">
        <f t="array" ref="Q48">IF(P48=1,IF(SUMPRODUCT(($P$2:P48)*(--($G$2:G48=$G48)))=1,1,0),0)</f>
        <v>0</v>
      </c>
      <c r="R48" s="69" t="str">
        <f>IF(Q48=1,SUM($Q$2:Q48),"")</f>
        <v/>
      </c>
    </row>
    <row r="49" spans="1:18" x14ac:dyDescent="0.2">
      <c r="A49" s="72"/>
      <c r="B49" s="76"/>
      <c r="C49" s="73"/>
      <c r="D49" s="73" t="s">
        <v>958</v>
      </c>
      <c r="E49" s="77" t="s">
        <v>1378</v>
      </c>
      <c r="F49" s="75" t="s">
        <v>1428</v>
      </c>
      <c r="G49" s="75" t="s">
        <v>1086</v>
      </c>
      <c r="H49" s="69"/>
      <c r="O49" s="69" t="str">
        <f>IFERROR(INDEX(CAT_Specs!$A$9:$A$500,MATCH(ROWS($O$2:O49),CAT_Specs!$I$9:$I$500,0)),IF(ROWS($O$2:O49)=1,"(sin matches)",""))</f>
        <v>48053-001-01 (Deshidrogenado / Endurecido) | No aplica | No aplica | &gt;= 6 hrs.</v>
      </c>
      <c r="P49" s="69">
        <f t="shared" si="0"/>
        <v>0</v>
      </c>
      <c r="Q49" s="69" cm="1">
        <f t="array" ref="Q49">IF(P49=1,IF(SUMPRODUCT(($P$2:P49)*(--($G$2:G49=$G49)))=1,1,0),0)</f>
        <v>0</v>
      </c>
      <c r="R49" s="69" t="str">
        <f>IF(Q49=1,SUM($Q$2:Q49),"")</f>
        <v/>
      </c>
    </row>
    <row r="50" spans="1:18" x14ac:dyDescent="0.2">
      <c r="A50" s="72"/>
      <c r="B50" s="76"/>
      <c r="C50" s="73"/>
      <c r="D50" s="73" t="s">
        <v>958</v>
      </c>
      <c r="E50" s="77" t="s">
        <v>990</v>
      </c>
      <c r="F50" s="75" t="s">
        <v>335</v>
      </c>
      <c r="G50" s="75" t="s">
        <v>1084</v>
      </c>
      <c r="H50" s="69"/>
      <c r="O50" s="69" t="str">
        <f>IFERROR(INDEX(CAT_Specs!$A$9:$A$500,MATCH(ROWS($O$2:O50),CAT_Specs!$I$9:$I$500,0)),IF(ROWS($O$2:O50)=1,"(sin matches)",""))</f>
        <v>48053-001-01 (Deshidrogenado / Endurecido) | No aplica | No aplica | &gt;= 8 hrs.</v>
      </c>
      <c r="P50" s="69">
        <f t="shared" si="0"/>
        <v>0</v>
      </c>
      <c r="Q50" s="69" cm="1">
        <f t="array" ref="Q50">IF(P50=1,IF(SUMPRODUCT(($P$2:P50)*(--($G$2:G50=$G50)))=1,1,0),0)</f>
        <v>0</v>
      </c>
      <c r="R50" s="69" t="str">
        <f>IF(Q50=1,SUM($Q$2:Q50),"")</f>
        <v/>
      </c>
    </row>
    <row r="51" spans="1:18" x14ac:dyDescent="0.2">
      <c r="A51" s="72"/>
      <c r="B51" s="76"/>
      <c r="C51" s="73"/>
      <c r="D51" s="73" t="s">
        <v>958</v>
      </c>
      <c r="E51" s="77" t="s">
        <v>990</v>
      </c>
      <c r="F51" s="75" t="s">
        <v>1428</v>
      </c>
      <c r="G51" s="75" t="s">
        <v>1084</v>
      </c>
      <c r="H51" s="69"/>
      <c r="O51" s="69" t="str">
        <f>IFERROR(INDEX(CAT_Specs!$A$9:$A$500,MATCH(ROWS($O$2:O51),CAT_Specs!$I$9:$I$500,0)),IF(ROWS($O$2:O51)=1,"(sin matches)",""))</f>
        <v>48053-005-01 (Lavado - Tratamiento Térmico - Bimetales)</v>
      </c>
      <c r="P51" s="69">
        <f t="shared" si="0"/>
        <v>0</v>
      </c>
      <c r="Q51" s="69" cm="1">
        <f t="array" ref="Q51">IF(P51=1,IF(SUMPRODUCT(($P$2:P51)*(--($G$2:G51=$G51)))=1,1,0),0)</f>
        <v>0</v>
      </c>
      <c r="R51" s="69" t="str">
        <f>IF(Q51=1,SUM($Q$2:Q51),"")</f>
        <v/>
      </c>
    </row>
    <row r="52" spans="1:18" x14ac:dyDescent="0.2">
      <c r="A52" s="72"/>
      <c r="B52" s="76"/>
      <c r="C52" s="73"/>
      <c r="D52" s="73" t="s">
        <v>958</v>
      </c>
      <c r="E52" s="77" t="s">
        <v>94</v>
      </c>
      <c r="F52" s="75" t="s">
        <v>1430</v>
      </c>
      <c r="G52" s="75" t="s">
        <v>1108</v>
      </c>
      <c r="H52" s="69"/>
      <c r="O52" s="69" t="str">
        <f>IFERROR(INDEX(CAT_Specs!$A$9:$A$500,MATCH(ROWS($O$2:O52),CAT_Specs!$I$9:$I$500,0)),IF(ROWS($O$2:O52)=1,"(sin matches)",""))</f>
        <v>48057-004-01 (Bright Dip)</v>
      </c>
      <c r="P52" s="69">
        <f t="shared" si="0"/>
        <v>0</v>
      </c>
      <c r="Q52" s="69" cm="1">
        <f t="array" ref="Q52">IF(P52=1,IF(SUMPRODUCT(($P$2:P52)*(--($G$2:G52=$G52)))=1,1,0),0)</f>
        <v>0</v>
      </c>
      <c r="R52" s="69" t="str">
        <f>IF(Q52=1,SUM($Q$2:Q52),"")</f>
        <v/>
      </c>
    </row>
    <row r="53" spans="1:18" x14ac:dyDescent="0.2">
      <c r="A53" s="72"/>
      <c r="B53" s="76"/>
      <c r="C53" s="73"/>
      <c r="D53" s="73" t="s">
        <v>958</v>
      </c>
      <c r="E53" s="77" t="s">
        <v>103</v>
      </c>
      <c r="F53" s="75" t="s">
        <v>1430</v>
      </c>
      <c r="G53" s="75" t="s">
        <v>1106</v>
      </c>
      <c r="H53" s="69"/>
      <c r="O53" s="69" t="str">
        <f>IFERROR(INDEX(CAT_Specs!$A$9:$A$500,MATCH(ROWS($O$2:O53),CAT_Specs!$I$9:$I$500,0)),IF(ROWS($O$2:O53)=1,"(sin matches)",""))</f>
        <v>48860-031-01 (Lavado)</v>
      </c>
      <c r="P53" s="69">
        <f t="shared" si="0"/>
        <v>0</v>
      </c>
      <c r="Q53" s="69" cm="1">
        <f t="array" ref="Q53">IF(P53=1,IF(SUMPRODUCT(($P$2:P53)*(--($G$2:G53=$G53)))=1,1,0),0)</f>
        <v>0</v>
      </c>
      <c r="R53" s="69" t="str">
        <f>IF(Q53=1,SUM($Q$2:Q53),"")</f>
        <v/>
      </c>
    </row>
    <row r="54" spans="1:18" x14ac:dyDescent="0.2">
      <c r="A54" s="72"/>
      <c r="B54" s="76"/>
      <c r="C54" s="73"/>
      <c r="D54" s="73" t="s">
        <v>958</v>
      </c>
      <c r="E54" s="77" t="s">
        <v>94</v>
      </c>
      <c r="F54" s="75" t="s">
        <v>1430</v>
      </c>
      <c r="G54" s="75" t="s">
        <v>1112</v>
      </c>
      <c r="H54" s="69"/>
      <c r="O54" s="69" t="str">
        <f>IFERROR(INDEX(CAT_Specs!$A$9:$A$500,MATCH(ROWS($O$2:O54),CAT_Specs!$I$9:$I$500,0)),IF(ROWS($O$2:O54)=1,"(sin matches)",""))</f>
        <v>48951-001-01 (Rebabeo)</v>
      </c>
      <c r="P54" s="69">
        <f t="shared" si="0"/>
        <v>0</v>
      </c>
      <c r="Q54" s="69" cm="1">
        <f t="array" ref="Q54">IF(P54=1,IF(SUMPRODUCT(($P$2:P54)*(--($G$2:G54=$G54)))=1,1,0),0)</f>
        <v>0</v>
      </c>
      <c r="R54" s="69" t="str">
        <f>IF(Q54=1,SUM($Q$2:Q54),"")</f>
        <v/>
      </c>
    </row>
    <row r="55" spans="1:18" x14ac:dyDescent="0.2">
      <c r="A55" s="72"/>
      <c r="B55" s="76"/>
      <c r="C55" s="73"/>
      <c r="D55" s="73" t="s">
        <v>958</v>
      </c>
      <c r="E55" s="77" t="s">
        <v>103</v>
      </c>
      <c r="F55" s="75" t="s">
        <v>1430</v>
      </c>
      <c r="G55" s="75" t="s">
        <v>1110</v>
      </c>
      <c r="H55" s="69"/>
      <c r="O55" s="69" t="str">
        <f>IFERROR(INDEX(CAT_Specs!$A$9:$A$500,MATCH(ROWS($O$2:O55),CAT_Specs!$I$9:$I$500,0)),IF(ROWS($O$2:O55)=1,"(sin matches)",""))</f>
        <v>48951-001-02 (Rebabeo)</v>
      </c>
      <c r="P55" s="69">
        <f t="shared" si="0"/>
        <v>0</v>
      </c>
      <c r="Q55" s="69" cm="1">
        <f t="array" ref="Q55">IF(P55=1,IF(SUMPRODUCT(($P$2:P55)*(--($G$2:G55=$G55)))=1,1,0),0)</f>
        <v>0</v>
      </c>
      <c r="R55" s="69" t="str">
        <f>IF(Q55=1,SUM($Q$2:Q55),"")</f>
        <v/>
      </c>
    </row>
    <row r="56" spans="1:18" x14ac:dyDescent="0.2">
      <c r="A56" s="72"/>
      <c r="B56" s="76"/>
      <c r="C56" s="73"/>
      <c r="D56" s="73" t="s">
        <v>958</v>
      </c>
      <c r="E56" s="77" t="s">
        <v>126</v>
      </c>
      <c r="F56" s="75" t="s">
        <v>1431</v>
      </c>
      <c r="G56" s="75" t="s">
        <v>1093</v>
      </c>
      <c r="H56" s="69"/>
      <c r="O56" s="69" t="str">
        <f>IFERROR(INDEX(CAT_Specs!$A$9:$A$500,MATCH(ROWS($O$2:O56),CAT_Specs!$I$9:$I$500,0)),IF(ROWS($O$2:O56)=1,"(sin matches)",""))</f>
        <v>48951-008-01 (Desengrase)</v>
      </c>
      <c r="P56" s="69">
        <f t="shared" si="0"/>
        <v>0</v>
      </c>
      <c r="Q56" s="69" cm="1">
        <f t="array" ref="Q56">IF(P56=1,IF(SUMPRODUCT(($P$2:P56)*(--($G$2:G56=$G56)))=1,1,0),0)</f>
        <v>0</v>
      </c>
      <c r="R56" s="69" t="str">
        <f>IF(Q56=1,SUM($Q$2:Q56),"")</f>
        <v/>
      </c>
    </row>
    <row r="57" spans="1:18" x14ac:dyDescent="0.2">
      <c r="A57" s="72"/>
      <c r="B57" s="76"/>
      <c r="C57" s="73"/>
      <c r="D57" s="73" t="s">
        <v>958</v>
      </c>
      <c r="E57" s="77" t="s">
        <v>990</v>
      </c>
      <c r="F57" s="75" t="s">
        <v>1431</v>
      </c>
      <c r="G57" s="75" t="s">
        <v>1092</v>
      </c>
      <c r="H57" s="69"/>
      <c r="O57" s="69" t="str">
        <f>IFERROR(INDEX(CAT_Specs!$A$9:$A$500,MATCH(ROWS($O$2:O57),CAT_Specs!$I$9:$I$500,0)),IF(ROWS($O$2:O57)=1,"(sin matches)",""))</f>
        <v>7706XXX | 5.0 - 10.0 µm</v>
      </c>
      <c r="P57" s="69">
        <f t="shared" si="0"/>
        <v>0</v>
      </c>
      <c r="Q57" s="69" cm="1">
        <f t="array" ref="Q57">IF(P57=1,IF(SUMPRODUCT(($P$2:P57)*(--($G$2:G57=$G57)))=1,1,0),0)</f>
        <v>0</v>
      </c>
      <c r="R57" s="69" t="str">
        <f>IF(Q57=1,SUM($Q$2:Q57),"")</f>
        <v/>
      </c>
    </row>
    <row r="58" spans="1:18" x14ac:dyDescent="0.2">
      <c r="A58" s="72"/>
      <c r="B58" s="76"/>
      <c r="C58" s="73"/>
      <c r="D58" s="73" t="s">
        <v>958</v>
      </c>
      <c r="E58" s="77" t="s">
        <v>94</v>
      </c>
      <c r="F58" s="75" t="s">
        <v>1432</v>
      </c>
      <c r="G58" s="75" t="s">
        <v>1095</v>
      </c>
      <c r="H58" s="69"/>
      <c r="O58" s="69" t="str">
        <f>IFERROR(INDEX(CAT_Specs!$A$9:$A$500,MATCH(ROWS($O$2:O58),CAT_Specs!$I$9:$I$500,0)),IF(ROWS($O$2:O58)=1,"(sin matches)",""))</f>
        <v>DIN 50967 | 5 - 8 µm</v>
      </c>
      <c r="P58" s="69">
        <f t="shared" si="0"/>
        <v>0</v>
      </c>
      <c r="Q58" s="69" cm="1">
        <f t="array" ref="Q58">IF(P58=1,IF(SUMPRODUCT(($P$2:P58)*(--($G$2:G58=$G58)))=1,1,0),0)</f>
        <v>0</v>
      </c>
      <c r="R58" s="69" t="str">
        <f>IF(Q58=1,SUM($Q$2:Q58),"")</f>
        <v/>
      </c>
    </row>
    <row r="59" spans="1:18" x14ac:dyDescent="0.2">
      <c r="A59" s="72"/>
      <c r="B59" s="76"/>
      <c r="C59" s="73"/>
      <c r="D59" s="73" t="s">
        <v>958</v>
      </c>
      <c r="E59" s="77" t="s">
        <v>135</v>
      </c>
      <c r="F59" s="75" t="s">
        <v>1432</v>
      </c>
      <c r="G59" s="75" t="s">
        <v>1095</v>
      </c>
      <c r="H59" s="69"/>
      <c r="O59" s="69" t="str">
        <f>IFERROR(INDEX(CAT_Specs!$A$9:$A$500,MATCH(ROWS($O$2:O59),CAT_Specs!$I$9:$I$500,0)),IF(ROWS($O$2:O59)=1,"(sin matches)",""))</f>
        <v>DYM Pendiente (Deshidrogenado) | 130 - 150 °C | &gt;= 5 hrs.</v>
      </c>
      <c r="P59" s="69">
        <f t="shared" si="0"/>
        <v>0</v>
      </c>
      <c r="Q59" s="69" cm="1">
        <f t="array" ref="Q59">IF(P59=1,IF(SUMPRODUCT(($P$2:P59)*(--($G$2:G59=$G59)))=1,1,0),0)</f>
        <v>0</v>
      </c>
      <c r="R59" s="69" t="str">
        <f>IF(Q59=1,SUM($Q$2:Q59),"")</f>
        <v/>
      </c>
    </row>
    <row r="60" spans="1:18" x14ac:dyDescent="0.2">
      <c r="A60" s="72"/>
      <c r="B60" s="76"/>
      <c r="C60" s="73"/>
      <c r="D60" s="73" t="s">
        <v>958</v>
      </c>
      <c r="E60" s="77" t="s">
        <v>990</v>
      </c>
      <c r="F60" s="75" t="s">
        <v>1432</v>
      </c>
      <c r="G60" s="75" t="s">
        <v>1094</v>
      </c>
      <c r="H60" s="69"/>
      <c r="O60" s="69" t="str">
        <f>IFERROR(INDEX(CAT_Specs!$A$9:$A$500,MATCH(ROWS($O$2:O60),CAT_Specs!$I$9:$I$500,0)),IF(ROWS($O$2:O60)=1,"(sin matches)",""))</f>
        <v>F50HD3S (Deshidrogenado) | 115 - 121 °C | &gt;= 6 hrs.</v>
      </c>
      <c r="P60" s="69">
        <f t="shared" si="0"/>
        <v>0</v>
      </c>
      <c r="Q60" s="69" cm="1">
        <f t="array" ref="Q60">IF(P60=1,IF(SUMPRODUCT(($P$2:P60)*(--($G$2:G60=$G60)))=1,1,0),0)</f>
        <v>0</v>
      </c>
      <c r="R60" s="69" t="str">
        <f>IF(Q60=1,SUM($Q$2:Q60),"")</f>
        <v/>
      </c>
    </row>
    <row r="61" spans="1:18" x14ac:dyDescent="0.2">
      <c r="A61" s="72"/>
      <c r="B61" s="76"/>
      <c r="C61" s="73"/>
      <c r="D61" s="73" t="s">
        <v>958</v>
      </c>
      <c r="E61" s="77" t="s">
        <v>94</v>
      </c>
      <c r="F61" s="75" t="s">
        <v>1433</v>
      </c>
      <c r="G61" s="75" t="s">
        <v>1098</v>
      </c>
      <c r="H61" s="69"/>
      <c r="P61" s="69">
        <f t="shared" si="0"/>
        <v>0</v>
      </c>
      <c r="Q61" s="69" cm="1">
        <f t="array" ref="Q61">IF(P61=1,IF(SUMPRODUCT(($P$2:P61)*(--($G$2:G61=$G61)))=1,1,0),0)</f>
        <v>0</v>
      </c>
      <c r="R61" s="69" t="str">
        <f>IF(Q61=1,SUM($Q$2:Q61),"")</f>
        <v/>
      </c>
    </row>
    <row r="62" spans="1:18" x14ac:dyDescent="0.2">
      <c r="A62" s="72"/>
      <c r="B62" s="76"/>
      <c r="C62" s="73"/>
      <c r="D62" s="73" t="s">
        <v>958</v>
      </c>
      <c r="E62" s="77" t="s">
        <v>94</v>
      </c>
      <c r="F62" s="75" t="s">
        <v>1434</v>
      </c>
      <c r="G62" s="75" t="s">
        <v>1097</v>
      </c>
      <c r="H62" s="69"/>
      <c r="P62" s="69">
        <f t="shared" si="0"/>
        <v>0</v>
      </c>
      <c r="Q62" s="69" cm="1">
        <f t="array" ref="Q62">IF(P62=1,IF(SUMPRODUCT(($P$2:P62)*(--($G$2:G62=$G62)))=1,1,0),0)</f>
        <v>0</v>
      </c>
      <c r="R62" s="69" t="str">
        <f>IF(Q62=1,SUM($Q$2:Q62),"")</f>
        <v/>
      </c>
    </row>
    <row r="63" spans="1:18" x14ac:dyDescent="0.2">
      <c r="A63" s="72"/>
      <c r="B63" s="76"/>
      <c r="C63" s="73"/>
      <c r="D63" s="73" t="s">
        <v>958</v>
      </c>
      <c r="E63" s="77" t="s">
        <v>94</v>
      </c>
      <c r="F63" s="75" t="s">
        <v>1435</v>
      </c>
      <c r="G63" s="75" t="s">
        <v>1097</v>
      </c>
      <c r="H63" s="69"/>
      <c r="P63" s="69">
        <f t="shared" si="0"/>
        <v>0</v>
      </c>
      <c r="Q63" s="69" cm="1">
        <f t="array" ref="Q63">IF(P63=1,IF(SUMPRODUCT(($P$2:P63)*(--($G$2:G63=$G63)))=1,1,0),0)</f>
        <v>0</v>
      </c>
      <c r="R63" s="69" t="str">
        <f>IF(Q63=1,SUM($Q$2:Q63),"")</f>
        <v/>
      </c>
    </row>
    <row r="64" spans="1:18" x14ac:dyDescent="0.2">
      <c r="A64" s="72"/>
      <c r="B64" s="76"/>
      <c r="C64" s="73"/>
      <c r="D64" s="73" t="s">
        <v>958</v>
      </c>
      <c r="E64" s="77" t="s">
        <v>135</v>
      </c>
      <c r="F64" s="75" t="s">
        <v>1434</v>
      </c>
      <c r="G64" s="75" t="s">
        <v>1097</v>
      </c>
      <c r="H64" s="69"/>
      <c r="P64" s="69">
        <f t="shared" si="0"/>
        <v>0</v>
      </c>
      <c r="Q64" s="69" cm="1">
        <f t="array" ref="Q64">IF(P64=1,IF(SUMPRODUCT(($P$2:P64)*(--($G$2:G64=$G64)))=1,1,0),0)</f>
        <v>0</v>
      </c>
      <c r="R64" s="69" t="str">
        <f>IF(Q64=1,SUM($Q$2:Q64),"")</f>
        <v/>
      </c>
    </row>
    <row r="65" spans="1:18" x14ac:dyDescent="0.2">
      <c r="A65" s="72"/>
      <c r="B65" s="76"/>
      <c r="C65" s="73"/>
      <c r="D65" s="73" t="s">
        <v>958</v>
      </c>
      <c r="E65" s="77" t="s">
        <v>135</v>
      </c>
      <c r="F65" s="75" t="s">
        <v>1435</v>
      </c>
      <c r="G65" s="75" t="s">
        <v>1097</v>
      </c>
      <c r="H65" s="69"/>
      <c r="P65" s="69">
        <f t="shared" si="0"/>
        <v>0</v>
      </c>
      <c r="Q65" s="69" cm="1">
        <f t="array" ref="Q65">IF(P65=1,IF(SUMPRODUCT(($P$2:P65)*(--($G$2:G65=$G65)))=1,1,0),0)</f>
        <v>0</v>
      </c>
      <c r="R65" s="69" t="str">
        <f>IF(Q65=1,SUM($Q$2:Q65),"")</f>
        <v/>
      </c>
    </row>
    <row r="66" spans="1:18" x14ac:dyDescent="0.2">
      <c r="A66" s="72"/>
      <c r="B66" s="76"/>
      <c r="C66" s="73"/>
      <c r="D66" s="73" t="s">
        <v>958</v>
      </c>
      <c r="E66" s="77" t="s">
        <v>990</v>
      </c>
      <c r="F66" s="75" t="s">
        <v>1435</v>
      </c>
      <c r="G66" s="75" t="s">
        <v>1096</v>
      </c>
      <c r="H66" s="69"/>
      <c r="P66" s="69">
        <f t="shared" si="0"/>
        <v>0</v>
      </c>
      <c r="Q66" s="69" cm="1">
        <f t="array" ref="Q66">IF(P66=1,IF(SUMPRODUCT(($P$2:P66)*(--($G$2:G66=$G66)))=1,1,0),0)</f>
        <v>0</v>
      </c>
      <c r="R66" s="69" t="str">
        <f>IF(Q66=1,SUM($Q$2:Q66),"")</f>
        <v/>
      </c>
    </row>
    <row r="67" spans="1:18" x14ac:dyDescent="0.2">
      <c r="A67" s="72"/>
      <c r="B67" s="76"/>
      <c r="C67" s="73"/>
      <c r="D67" s="73" t="s">
        <v>958</v>
      </c>
      <c r="E67" s="77" t="s">
        <v>990</v>
      </c>
      <c r="F67" s="75" t="s">
        <v>1434</v>
      </c>
      <c r="G67" s="75" t="s">
        <v>1096</v>
      </c>
      <c r="H67" s="69"/>
      <c r="P67" s="69">
        <f t="shared" ref="P67:P130" si="1">IF(AND(IF(TRIM($J$2&amp;"")="",TRUE,LEFT($D67,LEN($J$2))=$J$2),IF(TRIM($K$2&amp;"")="",TRUE,$E67=$K$2),IF($L$2="",TRUE,$F67=$L$2)),1,0)</f>
        <v>0</v>
      </c>
      <c r="Q67" s="69" cm="1">
        <f t="array" ref="Q67">IF(P67=1,IF(SUMPRODUCT(($P$2:P67)*(--($G$2:G67=$G67)))=1,1,0),0)</f>
        <v>0</v>
      </c>
      <c r="R67" s="69" t="str">
        <f>IF(Q67=1,SUM($Q$2:Q67),"")</f>
        <v/>
      </c>
    </row>
    <row r="68" spans="1:18" x14ac:dyDescent="0.2">
      <c r="A68" s="72"/>
      <c r="B68" s="76"/>
      <c r="C68" s="73"/>
      <c r="D68" s="73" t="s">
        <v>958</v>
      </c>
      <c r="E68" s="77" t="s">
        <v>94</v>
      </c>
      <c r="F68" s="75" t="s">
        <v>1436</v>
      </c>
      <c r="G68" s="75" t="s">
        <v>1090</v>
      </c>
      <c r="H68" s="69"/>
      <c r="P68" s="69">
        <f t="shared" si="1"/>
        <v>0</v>
      </c>
      <c r="Q68" s="69" cm="1">
        <f t="array" ref="Q68">IF(P68=1,IF(SUMPRODUCT(($P$2:P68)*(--($G$2:G68=$G68)))=1,1,0),0)</f>
        <v>0</v>
      </c>
      <c r="R68" s="69" t="str">
        <f>IF(Q68=1,SUM($Q$2:Q68),"")</f>
        <v/>
      </c>
    </row>
    <row r="69" spans="1:18" x14ac:dyDescent="0.2">
      <c r="A69" s="72"/>
      <c r="B69" s="76"/>
      <c r="C69" s="73"/>
      <c r="D69" s="73" t="s">
        <v>958</v>
      </c>
      <c r="E69" s="77" t="s">
        <v>135</v>
      </c>
      <c r="F69" s="75" t="s">
        <v>1436</v>
      </c>
      <c r="G69" s="75" t="s">
        <v>1089</v>
      </c>
      <c r="H69" s="69"/>
      <c r="P69" s="69">
        <f t="shared" si="1"/>
        <v>0</v>
      </c>
      <c r="Q69" s="69" cm="1">
        <f t="array" ref="Q69">IF(P69=1,IF(SUMPRODUCT(($P$2:P69)*(--($G$2:G69=$G69)))=1,1,0),0)</f>
        <v>0</v>
      </c>
      <c r="R69" s="69" t="str">
        <f>IF(Q69=1,SUM($Q$2:Q69),"")</f>
        <v/>
      </c>
    </row>
    <row r="70" spans="1:18" x14ac:dyDescent="0.2">
      <c r="A70" s="72"/>
      <c r="B70" s="76"/>
      <c r="C70" s="73"/>
      <c r="D70" s="73" t="s">
        <v>958</v>
      </c>
      <c r="E70" s="77" t="s">
        <v>990</v>
      </c>
      <c r="F70" s="75" t="s">
        <v>1436</v>
      </c>
      <c r="G70" s="75" t="s">
        <v>1088</v>
      </c>
      <c r="H70" s="69"/>
      <c r="P70" s="69">
        <f t="shared" si="1"/>
        <v>0</v>
      </c>
      <c r="Q70" s="69" cm="1">
        <f t="array" ref="Q70">IF(P70=1,IF(SUMPRODUCT(($P$2:P70)*(--($G$2:G70=$G70)))=1,1,0),0)</f>
        <v>0</v>
      </c>
      <c r="R70" s="69" t="str">
        <f>IF(Q70=1,SUM($Q$2:Q70),"")</f>
        <v/>
      </c>
    </row>
    <row r="71" spans="1:18" x14ac:dyDescent="0.2">
      <c r="A71" s="72"/>
      <c r="B71" s="76"/>
      <c r="C71" s="73"/>
      <c r="D71" s="73" t="s">
        <v>958</v>
      </c>
      <c r="E71" s="77" t="s">
        <v>990</v>
      </c>
      <c r="F71" s="75" t="s">
        <v>1437</v>
      </c>
      <c r="G71" s="75" t="s">
        <v>1087</v>
      </c>
      <c r="H71" s="69"/>
      <c r="P71" s="69">
        <f t="shared" si="1"/>
        <v>0</v>
      </c>
      <c r="Q71" s="69" cm="1">
        <f t="array" ref="Q71">IF(P71=1,IF(SUMPRODUCT(($P$2:P71)*(--($G$2:G71=$G71)))=1,1,0),0)</f>
        <v>0</v>
      </c>
      <c r="R71" s="69" t="str">
        <f>IF(Q71=1,SUM($Q$2:Q71),"")</f>
        <v/>
      </c>
    </row>
    <row r="72" spans="1:18" x14ac:dyDescent="0.2">
      <c r="A72" s="72"/>
      <c r="B72" s="76"/>
      <c r="C72" s="73"/>
      <c r="D72" s="73" t="s">
        <v>958</v>
      </c>
      <c r="E72" s="77" t="s">
        <v>990</v>
      </c>
      <c r="F72" s="75" t="s">
        <v>1438</v>
      </c>
      <c r="G72" s="75" t="s">
        <v>1087</v>
      </c>
      <c r="H72" s="69"/>
      <c r="P72" s="69">
        <f t="shared" si="1"/>
        <v>0</v>
      </c>
      <c r="Q72" s="69" cm="1">
        <f t="array" ref="Q72">IF(P72=1,IF(SUMPRODUCT(($P$2:P72)*(--($G$2:G72=$G72)))=1,1,0),0)</f>
        <v>0</v>
      </c>
      <c r="R72" s="69" t="str">
        <f>IF(Q72=1,SUM($Q$2:Q72),"")</f>
        <v/>
      </c>
    </row>
    <row r="73" spans="1:18" x14ac:dyDescent="0.2">
      <c r="A73" s="72"/>
      <c r="B73" s="76"/>
      <c r="C73" s="73"/>
      <c r="D73" s="73" t="s">
        <v>958</v>
      </c>
      <c r="E73" s="77" t="s">
        <v>990</v>
      </c>
      <c r="F73" s="75" t="s">
        <v>1439</v>
      </c>
      <c r="G73" s="75" t="s">
        <v>1099</v>
      </c>
      <c r="H73" s="69"/>
      <c r="P73" s="69">
        <f t="shared" si="1"/>
        <v>0</v>
      </c>
      <c r="Q73" s="69" cm="1">
        <f t="array" ref="Q73">IF(P73=1,IF(SUMPRODUCT(($P$2:P73)*(--($G$2:G73=$G73)))=1,1,0),0)</f>
        <v>0</v>
      </c>
      <c r="R73" s="69" t="str">
        <f>IF(Q73=1,SUM($Q$2:Q73),"")</f>
        <v/>
      </c>
    </row>
    <row r="74" spans="1:18" x14ac:dyDescent="0.2">
      <c r="A74" s="72"/>
      <c r="B74" s="76"/>
      <c r="C74" s="73"/>
      <c r="D74" s="73" t="s">
        <v>958</v>
      </c>
      <c r="E74" s="77" t="s">
        <v>110</v>
      </c>
      <c r="F74" s="75" t="s">
        <v>1439</v>
      </c>
      <c r="G74" s="75" t="s">
        <v>1102</v>
      </c>
      <c r="H74" s="69"/>
      <c r="P74" s="69">
        <f t="shared" si="1"/>
        <v>0</v>
      </c>
      <c r="Q74" s="69" cm="1">
        <f t="array" ref="Q74">IF(P74=1,IF(SUMPRODUCT(($P$2:P74)*(--($G$2:G74=$G74)))=1,1,0),0)</f>
        <v>0</v>
      </c>
      <c r="R74" s="69" t="str">
        <f>IF(Q74=1,SUM($Q$2:Q74),"")</f>
        <v/>
      </c>
    </row>
    <row r="75" spans="1:18" x14ac:dyDescent="0.2">
      <c r="A75" s="72"/>
      <c r="B75" s="76"/>
      <c r="C75" s="73"/>
      <c r="D75" s="73" t="s">
        <v>958</v>
      </c>
      <c r="E75" s="77" t="s">
        <v>126</v>
      </c>
      <c r="F75" s="75" t="s">
        <v>1439</v>
      </c>
      <c r="G75" s="75" t="s">
        <v>1103</v>
      </c>
      <c r="H75" s="69"/>
      <c r="P75" s="69">
        <f t="shared" si="1"/>
        <v>0</v>
      </c>
      <c r="Q75" s="69" cm="1">
        <f t="array" ref="Q75">IF(P75=1,IF(SUMPRODUCT(($P$2:P75)*(--($G$2:G75=$G75)))=1,1,0),0)</f>
        <v>0</v>
      </c>
      <c r="R75" s="69" t="str">
        <f>IF(Q75=1,SUM($Q$2:Q75),"")</f>
        <v/>
      </c>
    </row>
    <row r="76" spans="1:18" x14ac:dyDescent="0.2">
      <c r="A76" s="72"/>
      <c r="B76" s="76"/>
      <c r="C76" s="73"/>
      <c r="D76" s="73" t="s">
        <v>958</v>
      </c>
      <c r="E76" s="77" t="s">
        <v>94</v>
      </c>
      <c r="F76" s="75" t="s">
        <v>1439</v>
      </c>
      <c r="G76" s="75" t="s">
        <v>1101</v>
      </c>
      <c r="H76" s="69"/>
      <c r="P76" s="69">
        <f t="shared" si="1"/>
        <v>0</v>
      </c>
      <c r="Q76" s="69" cm="1">
        <f t="array" ref="Q76">IF(P76=1,IF(SUMPRODUCT(($P$2:P76)*(--($G$2:G76=$G76)))=1,1,0),0)</f>
        <v>0</v>
      </c>
      <c r="R76" s="69" t="str">
        <f>IF(Q76=1,SUM($Q$2:Q76),"")</f>
        <v/>
      </c>
    </row>
    <row r="77" spans="1:18" x14ac:dyDescent="0.2">
      <c r="A77" s="72"/>
      <c r="B77" s="76"/>
      <c r="C77" s="73"/>
      <c r="D77" s="73" t="s">
        <v>958</v>
      </c>
      <c r="E77" s="77" t="s">
        <v>117</v>
      </c>
      <c r="F77" s="75" t="s">
        <v>1439</v>
      </c>
      <c r="G77" s="75" t="s">
        <v>1104</v>
      </c>
      <c r="H77" s="69"/>
      <c r="P77" s="69">
        <f t="shared" si="1"/>
        <v>0</v>
      </c>
      <c r="Q77" s="69" cm="1">
        <f t="array" ref="Q77">IF(P77=1,IF(SUMPRODUCT(($P$2:P77)*(--($G$2:G77=$G77)))=1,1,0),0)</f>
        <v>0</v>
      </c>
      <c r="R77" s="69" t="str">
        <f>IF(Q77=1,SUM($Q$2:Q77),"")</f>
        <v/>
      </c>
    </row>
    <row r="78" spans="1:18" x14ac:dyDescent="0.2">
      <c r="A78" s="72"/>
      <c r="B78" s="76"/>
      <c r="C78" s="73"/>
      <c r="D78" s="73" t="s">
        <v>958</v>
      </c>
      <c r="E78" s="77" t="s">
        <v>103</v>
      </c>
      <c r="F78" s="75" t="s">
        <v>1439</v>
      </c>
      <c r="G78" s="75" t="s">
        <v>1100</v>
      </c>
      <c r="H78" s="69"/>
      <c r="P78" s="69">
        <f t="shared" si="1"/>
        <v>0</v>
      </c>
      <c r="Q78" s="69" cm="1">
        <f t="array" ref="Q78">IF(P78=1,IF(SUMPRODUCT(($P$2:P78)*(--($G$2:G78=$G78)))=1,1,0),0)</f>
        <v>0</v>
      </c>
      <c r="R78" s="69" t="str">
        <f>IF(Q78=1,SUM($Q$2:Q78),"")</f>
        <v/>
      </c>
    </row>
    <row r="79" spans="1:18" x14ac:dyDescent="0.2">
      <c r="A79" s="72"/>
      <c r="B79" s="76"/>
      <c r="C79" s="73"/>
      <c r="D79" s="73" t="s">
        <v>958</v>
      </c>
      <c r="E79" s="77" t="s">
        <v>126</v>
      </c>
      <c r="F79" s="75" t="s">
        <v>1440</v>
      </c>
      <c r="G79" s="75" t="s">
        <v>1091</v>
      </c>
      <c r="H79" s="69"/>
      <c r="P79" s="69">
        <f t="shared" si="1"/>
        <v>0</v>
      </c>
      <c r="Q79" s="69" cm="1">
        <f t="array" ref="Q79">IF(P79=1,IF(SUMPRODUCT(($P$2:P79)*(--($G$2:G79=$G79)))=1,1,0),0)</f>
        <v>0</v>
      </c>
      <c r="R79" s="69" t="str">
        <f>IF(Q79=1,SUM($Q$2:Q79),"")</f>
        <v/>
      </c>
    </row>
    <row r="80" spans="1:18" x14ac:dyDescent="0.2">
      <c r="A80" s="72"/>
      <c r="B80" s="76"/>
      <c r="C80" s="73"/>
      <c r="D80" s="73" t="s">
        <v>958</v>
      </c>
      <c r="E80" s="77" t="s">
        <v>94</v>
      </c>
      <c r="F80" s="75" t="s">
        <v>354</v>
      </c>
      <c r="G80" s="75" t="s">
        <v>1052</v>
      </c>
      <c r="H80" s="69"/>
      <c r="P80" s="69">
        <f t="shared" si="1"/>
        <v>0</v>
      </c>
      <c r="Q80" s="69" cm="1">
        <f t="array" ref="Q80">IF(P80=1,IF(SUMPRODUCT(($P$2:P80)*(--($G$2:G80=$G80)))=1,1,0),0)</f>
        <v>0</v>
      </c>
      <c r="R80" s="69" t="str">
        <f>IF(Q80=1,SUM($Q$2:Q80),"")</f>
        <v/>
      </c>
    </row>
    <row r="81" spans="1:18" x14ac:dyDescent="0.2">
      <c r="A81" s="72"/>
      <c r="B81" s="76"/>
      <c r="C81" s="73"/>
      <c r="D81" s="73" t="s">
        <v>958</v>
      </c>
      <c r="E81" s="77" t="s">
        <v>135</v>
      </c>
      <c r="F81" s="75" t="s">
        <v>354</v>
      </c>
      <c r="G81" s="75" t="s">
        <v>1052</v>
      </c>
      <c r="H81" s="69"/>
      <c r="P81" s="69">
        <f t="shared" si="1"/>
        <v>0</v>
      </c>
      <c r="Q81" s="69" cm="1">
        <f t="array" ref="Q81">IF(P81=1,IF(SUMPRODUCT(($P$2:P81)*(--($G$2:G81=$G81)))=1,1,0),0)</f>
        <v>0</v>
      </c>
      <c r="R81" s="69" t="str">
        <f>IF(Q81=1,SUM($Q$2:Q81),"")</f>
        <v/>
      </c>
    </row>
    <row r="82" spans="1:18" ht="16" x14ac:dyDescent="0.2">
      <c r="A82" s="72"/>
      <c r="B82" s="76"/>
      <c r="C82" s="73"/>
      <c r="D82" s="73" t="s">
        <v>958</v>
      </c>
      <c r="E82" s="77" t="s">
        <v>103</v>
      </c>
      <c r="F82" s="75" t="s">
        <v>384</v>
      </c>
      <c r="G82" s="74" t="s">
        <v>291</v>
      </c>
      <c r="H82" s="69"/>
      <c r="P82" s="69">
        <f t="shared" si="1"/>
        <v>0</v>
      </c>
      <c r="Q82" s="69" cm="1">
        <f t="array" ref="Q82">IF(P82=1,IF(SUMPRODUCT(($P$2:P82)*(--($G$2:G82=$G82)))=1,1,0),0)</f>
        <v>0</v>
      </c>
      <c r="R82" s="69" t="str">
        <f>IF(Q82=1,SUM($Q$2:Q82),"")</f>
        <v/>
      </c>
    </row>
    <row r="83" spans="1:18" ht="16" x14ac:dyDescent="0.2">
      <c r="A83" s="72"/>
      <c r="B83" s="76"/>
      <c r="C83" s="73"/>
      <c r="D83" s="73" t="s">
        <v>958</v>
      </c>
      <c r="E83" s="77" t="s">
        <v>110</v>
      </c>
      <c r="F83" s="75" t="s">
        <v>393</v>
      </c>
      <c r="G83" s="74" t="s">
        <v>303</v>
      </c>
      <c r="H83" s="69"/>
      <c r="P83" s="69">
        <f t="shared" si="1"/>
        <v>0</v>
      </c>
      <c r="Q83" s="69" cm="1">
        <f t="array" ref="Q83">IF(P83=1,IF(SUMPRODUCT(($P$2:P83)*(--($G$2:G83=$G83)))=1,1,0),0)</f>
        <v>0</v>
      </c>
      <c r="R83" s="69" t="str">
        <f>IF(Q83=1,SUM($Q$2:Q83),"")</f>
        <v/>
      </c>
    </row>
    <row r="84" spans="1:18" ht="16" x14ac:dyDescent="0.2">
      <c r="A84" s="72"/>
      <c r="B84" s="76"/>
      <c r="C84" s="73"/>
      <c r="D84" s="73" t="s">
        <v>958</v>
      </c>
      <c r="E84" s="77" t="s">
        <v>94</v>
      </c>
      <c r="F84" s="75" t="s">
        <v>393</v>
      </c>
      <c r="G84" s="74" t="s">
        <v>297</v>
      </c>
      <c r="H84" s="69"/>
      <c r="P84" s="69">
        <f t="shared" si="1"/>
        <v>0</v>
      </c>
      <c r="Q84" s="69" cm="1">
        <f t="array" ref="Q84">IF(P84=1,IF(SUMPRODUCT(($P$2:P84)*(--($G$2:G84=$G84)))=1,1,0),0)</f>
        <v>0</v>
      </c>
      <c r="R84" s="69" t="str">
        <f>IF(Q84=1,SUM($Q$2:Q84),"")</f>
        <v/>
      </c>
    </row>
    <row r="85" spans="1:18" ht="16" x14ac:dyDescent="0.2">
      <c r="A85" s="72"/>
      <c r="B85" s="76"/>
      <c r="C85" s="73"/>
      <c r="D85" s="73" t="s">
        <v>958</v>
      </c>
      <c r="E85" s="77" t="s">
        <v>126</v>
      </c>
      <c r="F85" s="75" t="s">
        <v>393</v>
      </c>
      <c r="G85" s="74" t="s">
        <v>309</v>
      </c>
      <c r="H85" s="69"/>
      <c r="P85" s="69">
        <f t="shared" si="1"/>
        <v>0</v>
      </c>
      <c r="Q85" s="69" cm="1">
        <f t="array" ref="Q85">IF(P85=1,IF(SUMPRODUCT(($P$2:P85)*(--($G$2:G85=$G85)))=1,1,0),0)</f>
        <v>0</v>
      </c>
      <c r="R85" s="69" t="str">
        <f>IF(Q85=1,SUM($Q$2:Q85),"")</f>
        <v/>
      </c>
    </row>
    <row r="86" spans="1:18" x14ac:dyDescent="0.2">
      <c r="A86" s="72"/>
      <c r="B86" s="76"/>
      <c r="C86" s="73"/>
      <c r="D86" s="73" t="s">
        <v>958</v>
      </c>
      <c r="E86" s="77" t="s">
        <v>990</v>
      </c>
      <c r="F86" s="75" t="s">
        <v>393</v>
      </c>
      <c r="G86" s="75" t="s">
        <v>1114</v>
      </c>
      <c r="H86" s="69"/>
      <c r="P86" s="69">
        <f t="shared" si="1"/>
        <v>0</v>
      </c>
      <c r="Q86" s="69" cm="1">
        <f t="array" ref="Q86">IF(P86=1,IF(SUMPRODUCT(($P$2:P86)*(--($G$2:G86=$G86)))=1,1,0),0)</f>
        <v>0</v>
      </c>
      <c r="R86" s="69" t="str">
        <f>IF(Q86=1,SUM($Q$2:Q86),"")</f>
        <v/>
      </c>
    </row>
    <row r="87" spans="1:18" x14ac:dyDescent="0.2">
      <c r="A87" s="72"/>
      <c r="B87" s="76"/>
      <c r="C87" s="73"/>
      <c r="D87" s="73" t="s">
        <v>958</v>
      </c>
      <c r="E87" s="77" t="s">
        <v>110</v>
      </c>
      <c r="F87" s="75" t="s">
        <v>433</v>
      </c>
      <c r="G87" s="75" t="s">
        <v>1059</v>
      </c>
      <c r="H87" s="69"/>
      <c r="P87" s="69">
        <f t="shared" si="1"/>
        <v>0</v>
      </c>
      <c r="Q87" s="69" cm="1">
        <f t="array" ref="Q87">IF(P87=1,IF(SUMPRODUCT(($P$2:P87)*(--($G$2:G87=$G87)))=1,1,0),0)</f>
        <v>0</v>
      </c>
      <c r="R87" s="69" t="str">
        <f>IF(Q87=1,SUM($Q$2:Q87),"")</f>
        <v/>
      </c>
    </row>
    <row r="88" spans="1:18" x14ac:dyDescent="0.2">
      <c r="A88" s="72"/>
      <c r="B88" s="76"/>
      <c r="C88" s="73"/>
      <c r="D88" s="73" t="s">
        <v>958</v>
      </c>
      <c r="E88" s="77" t="s">
        <v>990</v>
      </c>
      <c r="F88" s="75" t="s">
        <v>433</v>
      </c>
      <c r="G88" s="75" t="s">
        <v>1059</v>
      </c>
      <c r="H88" s="69"/>
      <c r="P88" s="69">
        <f t="shared" si="1"/>
        <v>0</v>
      </c>
      <c r="Q88" s="69" cm="1">
        <f t="array" ref="Q88">IF(P88=1,IF(SUMPRODUCT(($P$2:P88)*(--($G$2:G88=$G88)))=1,1,0),0)</f>
        <v>0</v>
      </c>
      <c r="R88" s="69" t="str">
        <f>IF(Q88=1,SUM($Q$2:Q88),"")</f>
        <v/>
      </c>
    </row>
    <row r="89" spans="1:18" x14ac:dyDescent="0.2">
      <c r="A89" s="72"/>
      <c r="B89" s="76"/>
      <c r="C89" s="73"/>
      <c r="D89" s="73" t="s">
        <v>958</v>
      </c>
      <c r="E89" s="77" t="s">
        <v>94</v>
      </c>
      <c r="F89" s="75" t="s">
        <v>433</v>
      </c>
      <c r="G89" s="75" t="s">
        <v>1059</v>
      </c>
      <c r="H89" s="69"/>
      <c r="P89" s="69">
        <f t="shared" si="1"/>
        <v>0</v>
      </c>
      <c r="Q89" s="69" cm="1">
        <f t="array" ref="Q89">IF(P89=1,IF(SUMPRODUCT(($P$2:P89)*(--($G$2:G89=$G89)))=1,1,0),0)</f>
        <v>0</v>
      </c>
      <c r="R89" s="69" t="str">
        <f>IF(Q89=1,SUM($Q$2:Q89),"")</f>
        <v/>
      </c>
    </row>
    <row r="90" spans="1:18" x14ac:dyDescent="0.2">
      <c r="A90" s="72"/>
      <c r="B90" s="76"/>
      <c r="C90" s="73"/>
      <c r="D90" s="73" t="s">
        <v>958</v>
      </c>
      <c r="E90" s="77" t="s">
        <v>126</v>
      </c>
      <c r="F90" s="75" t="s">
        <v>433</v>
      </c>
      <c r="G90" s="75" t="s">
        <v>1059</v>
      </c>
      <c r="H90" s="69"/>
      <c r="P90" s="69">
        <f t="shared" si="1"/>
        <v>0</v>
      </c>
      <c r="Q90" s="69" cm="1">
        <f t="array" ref="Q90">IF(P90=1,IF(SUMPRODUCT(($P$2:P90)*(--($G$2:G90=$G90)))=1,1,0),0)</f>
        <v>0</v>
      </c>
      <c r="R90" s="69" t="str">
        <f>IF(Q90=1,SUM($Q$2:Q90),"")</f>
        <v/>
      </c>
    </row>
    <row r="91" spans="1:18" ht="16" x14ac:dyDescent="0.2">
      <c r="A91" s="72"/>
      <c r="B91" s="76"/>
      <c r="C91" s="73"/>
      <c r="D91" s="73" t="s">
        <v>958</v>
      </c>
      <c r="E91" s="77" t="s">
        <v>103</v>
      </c>
      <c r="F91" s="75" t="s">
        <v>1441</v>
      </c>
      <c r="G91" s="74" t="s">
        <v>1072</v>
      </c>
      <c r="H91" s="69"/>
      <c r="P91" s="69">
        <f t="shared" si="1"/>
        <v>0</v>
      </c>
      <c r="Q91" s="69" cm="1">
        <f t="array" ref="Q91">IF(P91=1,IF(SUMPRODUCT(($P$2:P91)*(--($G$2:G91=$G91)))=1,1,0),0)</f>
        <v>0</v>
      </c>
      <c r="R91" s="69" t="str">
        <f>IF(Q91=1,SUM($Q$2:Q91),"")</f>
        <v/>
      </c>
    </row>
    <row r="92" spans="1:18" ht="16" x14ac:dyDescent="0.2">
      <c r="A92" s="72"/>
      <c r="B92" s="76"/>
      <c r="C92" s="73"/>
      <c r="D92" s="73" t="s">
        <v>958</v>
      </c>
      <c r="E92" s="77" t="s">
        <v>103</v>
      </c>
      <c r="F92" s="75" t="s">
        <v>330</v>
      </c>
      <c r="G92" s="74" t="s">
        <v>251</v>
      </c>
      <c r="H92" s="69"/>
      <c r="P92" s="69">
        <f t="shared" si="1"/>
        <v>0</v>
      </c>
      <c r="Q92" s="69" cm="1">
        <f t="array" ref="Q92">IF(P92=1,IF(SUMPRODUCT(($P$2:P92)*(--($G$2:G92=$G92)))=1,1,0),0)</f>
        <v>0</v>
      </c>
      <c r="R92" s="69" t="str">
        <f>IF(Q92=1,SUM($Q$2:Q92),"")</f>
        <v/>
      </c>
    </row>
    <row r="93" spans="1:18" ht="16" x14ac:dyDescent="0.2">
      <c r="A93" s="72"/>
      <c r="B93" s="76"/>
      <c r="C93" s="73"/>
      <c r="D93" s="73" t="s">
        <v>961</v>
      </c>
      <c r="E93" s="77" t="s">
        <v>110</v>
      </c>
      <c r="F93" s="75" t="s">
        <v>1442</v>
      </c>
      <c r="G93" s="74" t="s">
        <v>1149</v>
      </c>
      <c r="H93" s="69"/>
      <c r="P93" s="69">
        <f t="shared" si="1"/>
        <v>0</v>
      </c>
      <c r="Q93" s="69" cm="1">
        <f t="array" ref="Q93">IF(P93=1,IF(SUMPRODUCT(($P$2:P93)*(--($G$2:G93=$G93)))=1,1,0),0)</f>
        <v>0</v>
      </c>
      <c r="R93" s="69" t="str">
        <f>IF(Q93=1,SUM($Q$2:Q93),"")</f>
        <v/>
      </c>
    </row>
    <row r="94" spans="1:18" ht="16" x14ac:dyDescent="0.2">
      <c r="A94" s="72"/>
      <c r="B94" s="76"/>
      <c r="C94" s="73"/>
      <c r="D94" s="73" t="s">
        <v>961</v>
      </c>
      <c r="E94" s="77" t="s">
        <v>990</v>
      </c>
      <c r="F94" s="75" t="s">
        <v>1442</v>
      </c>
      <c r="G94" s="74" t="s">
        <v>1149</v>
      </c>
      <c r="H94" s="69"/>
      <c r="P94" s="69">
        <f t="shared" si="1"/>
        <v>0</v>
      </c>
      <c r="Q94" s="69" cm="1">
        <f t="array" ref="Q94">IF(P94=1,IF(SUMPRODUCT(($P$2:P94)*(--($G$2:G94=$G94)))=1,1,0),0)</f>
        <v>0</v>
      </c>
      <c r="R94" s="69" t="str">
        <f>IF(Q94=1,SUM($Q$2:Q94),"")</f>
        <v/>
      </c>
    </row>
    <row r="95" spans="1:18" ht="16" x14ac:dyDescent="0.2">
      <c r="A95" s="72"/>
      <c r="B95" s="76"/>
      <c r="C95" s="73"/>
      <c r="D95" s="73" t="s">
        <v>961</v>
      </c>
      <c r="E95" s="77" t="s">
        <v>110</v>
      </c>
      <c r="F95" s="75" t="s">
        <v>1443</v>
      </c>
      <c r="G95" s="74" t="s">
        <v>1145</v>
      </c>
      <c r="H95" s="69"/>
      <c r="P95" s="69">
        <f t="shared" si="1"/>
        <v>0</v>
      </c>
      <c r="Q95" s="69" cm="1">
        <f t="array" ref="Q95">IF(P95=1,IF(SUMPRODUCT(($P$2:P95)*(--($G$2:G95=$G95)))=1,1,0),0)</f>
        <v>0</v>
      </c>
      <c r="R95" s="69" t="str">
        <f>IF(Q95=1,SUM($Q$2:Q95),"")</f>
        <v/>
      </c>
    </row>
    <row r="96" spans="1:18" ht="16" x14ac:dyDescent="0.2">
      <c r="A96" s="72"/>
      <c r="B96" s="76"/>
      <c r="C96" s="73"/>
      <c r="D96" s="73" t="s">
        <v>961</v>
      </c>
      <c r="E96" s="77" t="s">
        <v>990</v>
      </c>
      <c r="F96" s="75" t="s">
        <v>1443</v>
      </c>
      <c r="G96" s="74" t="s">
        <v>1145</v>
      </c>
      <c r="H96" s="69"/>
      <c r="P96" s="69">
        <f t="shared" si="1"/>
        <v>0</v>
      </c>
      <c r="Q96" s="69" cm="1">
        <f t="array" ref="Q96">IF(P96=1,IF(SUMPRODUCT(($P$2:P96)*(--($G$2:G96=$G96)))=1,1,0),0)</f>
        <v>0</v>
      </c>
      <c r="R96" s="69" t="str">
        <f>IF(Q96=1,SUM($Q$2:Q96),"")</f>
        <v/>
      </c>
    </row>
    <row r="97" spans="1:18" ht="16" x14ac:dyDescent="0.2">
      <c r="A97" s="72"/>
      <c r="B97" s="76"/>
      <c r="C97" s="73"/>
      <c r="D97" s="73" t="s">
        <v>961</v>
      </c>
      <c r="E97" s="77" t="s">
        <v>110</v>
      </c>
      <c r="F97" s="75" t="s">
        <v>1444</v>
      </c>
      <c r="G97" s="74" t="s">
        <v>1145</v>
      </c>
      <c r="H97" s="69"/>
      <c r="P97" s="69">
        <f t="shared" si="1"/>
        <v>0</v>
      </c>
      <c r="Q97" s="69" cm="1">
        <f t="array" ref="Q97">IF(P97=1,IF(SUMPRODUCT(($P$2:P97)*(--($G$2:G97=$G97)))=1,1,0),0)</f>
        <v>0</v>
      </c>
      <c r="R97" s="69" t="str">
        <f>IF(Q97=1,SUM($Q$2:Q97),"")</f>
        <v/>
      </c>
    </row>
    <row r="98" spans="1:18" ht="16" x14ac:dyDescent="0.2">
      <c r="A98" s="72"/>
      <c r="B98" s="76"/>
      <c r="C98" s="73"/>
      <c r="D98" s="73" t="s">
        <v>961</v>
      </c>
      <c r="E98" s="77" t="s">
        <v>990</v>
      </c>
      <c r="F98" s="75" t="s">
        <v>1444</v>
      </c>
      <c r="G98" s="74" t="s">
        <v>1145</v>
      </c>
      <c r="H98" s="69"/>
      <c r="P98" s="69">
        <f t="shared" si="1"/>
        <v>0</v>
      </c>
      <c r="Q98" s="69" cm="1">
        <f t="array" ref="Q98">IF(P98=1,IF(SUMPRODUCT(($P$2:P98)*(--($G$2:G98=$G98)))=1,1,0),0)</f>
        <v>0</v>
      </c>
      <c r="R98" s="69" t="str">
        <f>IF(Q98=1,SUM($Q$2:Q98),"")</f>
        <v/>
      </c>
    </row>
    <row r="99" spans="1:18" ht="16" x14ac:dyDescent="0.2">
      <c r="A99" s="72"/>
      <c r="B99" s="76"/>
      <c r="C99" s="73"/>
      <c r="D99" s="73" t="s">
        <v>961</v>
      </c>
      <c r="E99" s="77" t="s">
        <v>110</v>
      </c>
      <c r="F99" s="75" t="s">
        <v>1445</v>
      </c>
      <c r="G99" s="74" t="s">
        <v>1145</v>
      </c>
      <c r="H99" s="69"/>
      <c r="P99" s="69">
        <f t="shared" si="1"/>
        <v>0</v>
      </c>
      <c r="Q99" s="69" cm="1">
        <f t="array" ref="Q99">IF(P99=1,IF(SUMPRODUCT(($P$2:P99)*(--($G$2:G99=$G99)))=1,1,0),0)</f>
        <v>0</v>
      </c>
      <c r="R99" s="69" t="str">
        <f>IF(Q99=1,SUM($Q$2:Q99),"")</f>
        <v/>
      </c>
    </row>
    <row r="100" spans="1:18" ht="16" x14ac:dyDescent="0.2">
      <c r="A100" s="72"/>
      <c r="B100" s="76"/>
      <c r="C100" s="73"/>
      <c r="D100" s="73" t="s">
        <v>961</v>
      </c>
      <c r="E100" s="77" t="s">
        <v>990</v>
      </c>
      <c r="F100" s="75" t="s">
        <v>1445</v>
      </c>
      <c r="G100" s="74" t="s">
        <v>1145</v>
      </c>
      <c r="H100" s="69"/>
      <c r="P100" s="69">
        <f t="shared" si="1"/>
        <v>0</v>
      </c>
      <c r="Q100" s="69" cm="1">
        <f t="array" ref="Q100">IF(P100=1,IF(SUMPRODUCT(($P$2:P100)*(--($G$2:G100=$G100)))=1,1,0),0)</f>
        <v>0</v>
      </c>
      <c r="R100" s="69" t="str">
        <f>IF(Q100=1,SUM($Q$2:Q100),"")</f>
        <v/>
      </c>
    </row>
    <row r="101" spans="1:18" ht="16" x14ac:dyDescent="0.2">
      <c r="A101" s="72"/>
      <c r="B101" s="76"/>
      <c r="C101" s="73"/>
      <c r="D101" s="73" t="s">
        <v>961</v>
      </c>
      <c r="E101" s="77" t="s">
        <v>110</v>
      </c>
      <c r="F101" s="75" t="s">
        <v>1446</v>
      </c>
      <c r="G101" s="74" t="s">
        <v>1148</v>
      </c>
      <c r="H101" s="69"/>
      <c r="P101" s="69">
        <f t="shared" si="1"/>
        <v>0</v>
      </c>
      <c r="Q101" s="69" cm="1">
        <f t="array" ref="Q101">IF(P101=1,IF(SUMPRODUCT(($P$2:P101)*(--($G$2:G101=$G101)))=1,1,0),0)</f>
        <v>0</v>
      </c>
      <c r="R101" s="69" t="str">
        <f>IF(Q101=1,SUM($Q$2:Q101),"")</f>
        <v/>
      </c>
    </row>
    <row r="102" spans="1:18" ht="16" x14ac:dyDescent="0.2">
      <c r="A102" s="72"/>
      <c r="B102" s="76"/>
      <c r="C102" s="73"/>
      <c r="D102" s="73" t="s">
        <v>961</v>
      </c>
      <c r="E102" s="77" t="s">
        <v>990</v>
      </c>
      <c r="F102" s="75" t="s">
        <v>1446</v>
      </c>
      <c r="G102" s="74" t="s">
        <v>1148</v>
      </c>
      <c r="H102" s="69"/>
      <c r="P102" s="69">
        <f t="shared" si="1"/>
        <v>0</v>
      </c>
      <c r="Q102" s="69" cm="1">
        <f t="array" ref="Q102">IF(P102=1,IF(SUMPRODUCT(($P$2:P102)*(--($G$2:G102=$G102)))=1,1,0),0)</f>
        <v>0</v>
      </c>
      <c r="R102" s="69" t="str">
        <f>IF(Q102=1,SUM($Q$2:Q102),"")</f>
        <v/>
      </c>
    </row>
    <row r="103" spans="1:18" x14ac:dyDescent="0.2">
      <c r="A103" s="72"/>
      <c r="B103" s="76"/>
      <c r="C103" s="73"/>
      <c r="D103" s="73" t="s">
        <v>961</v>
      </c>
      <c r="E103" s="77" t="s">
        <v>110</v>
      </c>
      <c r="F103" s="75" t="s">
        <v>1447</v>
      </c>
      <c r="G103" s="75" t="s">
        <v>1146</v>
      </c>
      <c r="H103" s="69"/>
      <c r="P103" s="69">
        <f t="shared" si="1"/>
        <v>0</v>
      </c>
      <c r="Q103" s="69" cm="1">
        <f t="array" ref="Q103">IF(P103=1,IF(SUMPRODUCT(($P$2:P103)*(--($G$2:G103=$G103)))=1,1,0),0)</f>
        <v>0</v>
      </c>
      <c r="R103" s="69" t="str">
        <f>IF(Q103=1,SUM($Q$2:Q103),"")</f>
        <v/>
      </c>
    </row>
    <row r="104" spans="1:18" x14ac:dyDescent="0.2">
      <c r="A104" s="72"/>
      <c r="B104" s="76"/>
      <c r="C104" s="73"/>
      <c r="D104" s="73" t="s">
        <v>961</v>
      </c>
      <c r="E104" s="77" t="s">
        <v>990</v>
      </c>
      <c r="F104" s="75" t="s">
        <v>1447</v>
      </c>
      <c r="G104" s="75" t="s">
        <v>1146</v>
      </c>
      <c r="H104" s="69"/>
      <c r="P104" s="69">
        <f t="shared" si="1"/>
        <v>0</v>
      </c>
      <c r="Q104" s="69" cm="1">
        <f t="array" ref="Q104">IF(P104=1,IF(SUMPRODUCT(($P$2:P104)*(--($G$2:G104=$G104)))=1,1,0),0)</f>
        <v>0</v>
      </c>
      <c r="R104" s="69" t="str">
        <f>IF(Q104=1,SUM($Q$2:Q104),"")</f>
        <v/>
      </c>
    </row>
    <row r="105" spans="1:18" x14ac:dyDescent="0.2">
      <c r="A105" s="72"/>
      <c r="B105" s="76"/>
      <c r="C105" s="73"/>
      <c r="D105" s="73" t="s">
        <v>961</v>
      </c>
      <c r="E105" s="77" t="s">
        <v>110</v>
      </c>
      <c r="F105" s="75" t="s">
        <v>1448</v>
      </c>
      <c r="G105" s="75" t="s">
        <v>1146</v>
      </c>
      <c r="H105" s="69"/>
      <c r="P105" s="69">
        <f t="shared" si="1"/>
        <v>0</v>
      </c>
      <c r="Q105" s="69" cm="1">
        <f t="array" ref="Q105">IF(P105=1,IF(SUMPRODUCT(($P$2:P105)*(--($G$2:G105=$G105)))=1,1,0),0)</f>
        <v>0</v>
      </c>
      <c r="R105" s="69" t="str">
        <f>IF(Q105=1,SUM($Q$2:Q105),"")</f>
        <v/>
      </c>
    </row>
    <row r="106" spans="1:18" x14ac:dyDescent="0.2">
      <c r="A106" s="72"/>
      <c r="B106" s="76"/>
      <c r="C106" s="73"/>
      <c r="D106" s="73" t="s">
        <v>961</v>
      </c>
      <c r="E106" s="77" t="s">
        <v>990</v>
      </c>
      <c r="F106" s="75" t="s">
        <v>1448</v>
      </c>
      <c r="G106" s="75" t="s">
        <v>1146</v>
      </c>
      <c r="H106" s="69"/>
      <c r="P106" s="69">
        <f t="shared" si="1"/>
        <v>0</v>
      </c>
      <c r="Q106" s="69" cm="1">
        <f t="array" ref="Q106">IF(P106=1,IF(SUMPRODUCT(($P$2:P106)*(--($G$2:G106=$G106)))=1,1,0),0)</f>
        <v>0</v>
      </c>
      <c r="R106" s="69" t="str">
        <f>IF(Q106=1,SUM($Q$2:Q106),"")</f>
        <v/>
      </c>
    </row>
    <row r="107" spans="1:18" x14ac:dyDescent="0.2">
      <c r="A107" s="72"/>
      <c r="B107" s="76"/>
      <c r="C107" s="73"/>
      <c r="D107" s="73" t="s">
        <v>961</v>
      </c>
      <c r="E107" s="77" t="s">
        <v>110</v>
      </c>
      <c r="F107" s="75" t="s">
        <v>1449</v>
      </c>
      <c r="G107" s="75" t="s">
        <v>1146</v>
      </c>
      <c r="H107" s="69"/>
      <c r="P107" s="69">
        <f t="shared" si="1"/>
        <v>0</v>
      </c>
      <c r="Q107" s="69" cm="1">
        <f t="array" ref="Q107">IF(P107=1,IF(SUMPRODUCT(($P$2:P107)*(--($G$2:G107=$G107)))=1,1,0),0)</f>
        <v>0</v>
      </c>
      <c r="R107" s="69" t="str">
        <f>IF(Q107=1,SUM($Q$2:Q107),"")</f>
        <v/>
      </c>
    </row>
    <row r="108" spans="1:18" x14ac:dyDescent="0.2">
      <c r="A108" s="72"/>
      <c r="B108" s="76"/>
      <c r="C108" s="73"/>
      <c r="D108" s="73" t="s">
        <v>961</v>
      </c>
      <c r="E108" s="77" t="s">
        <v>990</v>
      </c>
      <c r="F108" s="75" t="s">
        <v>1449</v>
      </c>
      <c r="G108" s="75" t="s">
        <v>1146</v>
      </c>
      <c r="H108" s="69"/>
      <c r="P108" s="69">
        <f t="shared" si="1"/>
        <v>0</v>
      </c>
      <c r="Q108" s="69" cm="1">
        <f t="array" ref="Q108">IF(P108=1,IF(SUMPRODUCT(($P$2:P108)*(--($G$2:G108=$G108)))=1,1,0),0)</f>
        <v>0</v>
      </c>
      <c r="R108" s="69" t="str">
        <f>IF(Q108=1,SUM($Q$2:Q108),"")</f>
        <v/>
      </c>
    </row>
    <row r="109" spans="1:18" x14ac:dyDescent="0.2">
      <c r="A109" s="72"/>
      <c r="B109" s="76"/>
      <c r="C109" s="73"/>
      <c r="D109" s="73" t="s">
        <v>961</v>
      </c>
      <c r="E109" s="77" t="s">
        <v>110</v>
      </c>
      <c r="F109" s="75" t="s">
        <v>1450</v>
      </c>
      <c r="G109" s="75" t="s">
        <v>1146</v>
      </c>
      <c r="H109" s="69"/>
      <c r="P109" s="69">
        <f t="shared" si="1"/>
        <v>0</v>
      </c>
      <c r="Q109" s="69" cm="1">
        <f t="array" ref="Q109">IF(P109=1,IF(SUMPRODUCT(($P$2:P109)*(--($G$2:G109=$G109)))=1,1,0),0)</f>
        <v>0</v>
      </c>
      <c r="R109" s="69" t="str">
        <f>IF(Q109=1,SUM($Q$2:Q109),"")</f>
        <v/>
      </c>
    </row>
    <row r="110" spans="1:18" x14ac:dyDescent="0.2">
      <c r="A110" s="72"/>
      <c r="B110" s="76"/>
      <c r="C110" s="73"/>
      <c r="D110" s="73" t="s">
        <v>961</v>
      </c>
      <c r="E110" s="77" t="s">
        <v>990</v>
      </c>
      <c r="F110" s="75" t="s">
        <v>1450</v>
      </c>
      <c r="G110" s="75" t="s">
        <v>1146</v>
      </c>
      <c r="H110" s="69"/>
      <c r="P110" s="69">
        <f t="shared" si="1"/>
        <v>0</v>
      </c>
      <c r="Q110" s="69" cm="1">
        <f t="array" ref="Q110">IF(P110=1,IF(SUMPRODUCT(($P$2:P110)*(--($G$2:G110=$G110)))=1,1,0),0)</f>
        <v>0</v>
      </c>
      <c r="R110" s="69" t="str">
        <f>IF(Q110=1,SUM($Q$2:Q110),"")</f>
        <v/>
      </c>
    </row>
    <row r="111" spans="1:18" x14ac:dyDescent="0.2">
      <c r="A111" s="72"/>
      <c r="B111" s="76"/>
      <c r="C111" s="73"/>
      <c r="D111" s="73" t="s">
        <v>961</v>
      </c>
      <c r="E111" s="77" t="s">
        <v>110</v>
      </c>
      <c r="F111" s="75" t="s">
        <v>1451</v>
      </c>
      <c r="G111" s="75" t="s">
        <v>1147</v>
      </c>
      <c r="H111" s="69"/>
      <c r="P111" s="69">
        <f t="shared" si="1"/>
        <v>0</v>
      </c>
      <c r="Q111" s="69" cm="1">
        <f t="array" ref="Q111">IF(P111=1,IF(SUMPRODUCT(($P$2:P111)*(--($G$2:G111=$G111)))=1,1,0),0)</f>
        <v>0</v>
      </c>
      <c r="R111" s="69" t="str">
        <f>IF(Q111=1,SUM($Q$2:Q111),"")</f>
        <v/>
      </c>
    </row>
    <row r="112" spans="1:18" x14ac:dyDescent="0.2">
      <c r="A112" s="72"/>
      <c r="B112" s="76"/>
      <c r="C112" s="73"/>
      <c r="D112" s="73" t="s">
        <v>961</v>
      </c>
      <c r="E112" s="77" t="s">
        <v>990</v>
      </c>
      <c r="F112" s="75" t="s">
        <v>1451</v>
      </c>
      <c r="G112" s="75" t="s">
        <v>1147</v>
      </c>
      <c r="H112" s="69"/>
      <c r="P112" s="69">
        <f t="shared" si="1"/>
        <v>0</v>
      </c>
      <c r="Q112" s="69" cm="1">
        <f t="array" ref="Q112">IF(P112=1,IF(SUMPRODUCT(($P$2:P112)*(--($G$2:G112=$G112)))=1,1,0),0)</f>
        <v>0</v>
      </c>
      <c r="R112" s="69" t="str">
        <f>IF(Q112=1,SUM($Q$2:Q112),"")</f>
        <v/>
      </c>
    </row>
    <row r="113" spans="1:18" x14ac:dyDescent="0.2">
      <c r="A113" s="72"/>
      <c r="B113" s="76"/>
      <c r="C113" s="73"/>
      <c r="D113" s="73" t="s">
        <v>961</v>
      </c>
      <c r="E113" s="77" t="s">
        <v>110</v>
      </c>
      <c r="F113" s="75" t="s">
        <v>1452</v>
      </c>
      <c r="G113" s="75" t="s">
        <v>1147</v>
      </c>
      <c r="H113" s="69"/>
      <c r="P113" s="69">
        <f t="shared" si="1"/>
        <v>0</v>
      </c>
      <c r="Q113" s="69" cm="1">
        <f t="array" ref="Q113">IF(P113=1,IF(SUMPRODUCT(($P$2:P113)*(--($G$2:G113=$G113)))=1,1,0),0)</f>
        <v>0</v>
      </c>
      <c r="R113" s="69" t="str">
        <f>IF(Q113=1,SUM($Q$2:Q113),"")</f>
        <v/>
      </c>
    </row>
    <row r="114" spans="1:18" x14ac:dyDescent="0.2">
      <c r="A114" s="72"/>
      <c r="B114" s="76"/>
      <c r="C114" s="73"/>
      <c r="D114" s="73" t="s">
        <v>961</v>
      </c>
      <c r="E114" s="77" t="s">
        <v>990</v>
      </c>
      <c r="F114" s="75" t="s">
        <v>1452</v>
      </c>
      <c r="G114" s="75" t="s">
        <v>1147</v>
      </c>
      <c r="H114" s="69"/>
      <c r="P114" s="69">
        <f t="shared" si="1"/>
        <v>0</v>
      </c>
      <c r="Q114" s="69" cm="1">
        <f t="array" ref="Q114">IF(P114=1,IF(SUMPRODUCT(($P$2:P114)*(--($G$2:G114=$G114)))=1,1,0),0)</f>
        <v>0</v>
      </c>
      <c r="R114" s="69" t="str">
        <f>IF(Q114=1,SUM($Q$2:Q114),"")</f>
        <v/>
      </c>
    </row>
    <row r="115" spans="1:18" ht="16" x14ac:dyDescent="0.2">
      <c r="A115" s="72"/>
      <c r="B115" s="76"/>
      <c r="C115" s="73"/>
      <c r="D115" s="73" t="s">
        <v>961</v>
      </c>
      <c r="E115" s="77" t="s">
        <v>110</v>
      </c>
      <c r="F115" s="75" t="s">
        <v>1453</v>
      </c>
      <c r="G115" s="74" t="s">
        <v>1142</v>
      </c>
      <c r="H115" s="69"/>
      <c r="P115" s="69">
        <f t="shared" si="1"/>
        <v>0</v>
      </c>
      <c r="Q115" s="69" cm="1">
        <f t="array" ref="Q115">IF(P115=1,IF(SUMPRODUCT(($P$2:P115)*(--($G$2:G115=$G115)))=1,1,0),0)</f>
        <v>0</v>
      </c>
      <c r="R115" s="69" t="str">
        <f>IF(Q115=1,SUM($Q$2:Q115),"")</f>
        <v/>
      </c>
    </row>
    <row r="116" spans="1:18" ht="16" x14ac:dyDescent="0.2">
      <c r="A116" s="72"/>
      <c r="B116" s="76"/>
      <c r="C116" s="73"/>
      <c r="D116" s="73" t="s">
        <v>961</v>
      </c>
      <c r="E116" s="77" t="s">
        <v>990</v>
      </c>
      <c r="F116" s="75" t="s">
        <v>1453</v>
      </c>
      <c r="G116" s="74" t="s">
        <v>1142</v>
      </c>
      <c r="H116" s="69"/>
      <c r="P116" s="69">
        <f t="shared" si="1"/>
        <v>0</v>
      </c>
      <c r="Q116" s="69" cm="1">
        <f t="array" ref="Q116">IF(P116=1,IF(SUMPRODUCT(($P$2:P116)*(--($G$2:G116=$G116)))=1,1,0),0)</f>
        <v>0</v>
      </c>
      <c r="R116" s="69" t="str">
        <f>IF(Q116=1,SUM($Q$2:Q116),"")</f>
        <v/>
      </c>
    </row>
    <row r="117" spans="1:18" ht="16" x14ac:dyDescent="0.2">
      <c r="A117" s="72"/>
      <c r="B117" s="76"/>
      <c r="C117" s="73"/>
      <c r="D117" s="73" t="s">
        <v>961</v>
      </c>
      <c r="E117" s="77" t="s">
        <v>110</v>
      </c>
      <c r="F117" s="75" t="s">
        <v>1454</v>
      </c>
      <c r="G117" s="74" t="s">
        <v>1142</v>
      </c>
      <c r="H117" s="69"/>
      <c r="P117" s="69">
        <f t="shared" si="1"/>
        <v>0</v>
      </c>
      <c r="Q117" s="69" cm="1">
        <f t="array" ref="Q117">IF(P117=1,IF(SUMPRODUCT(($P$2:P117)*(--($G$2:G117=$G117)))=1,1,0),0)</f>
        <v>0</v>
      </c>
      <c r="R117" s="69" t="str">
        <f>IF(Q117=1,SUM($Q$2:Q117),"")</f>
        <v/>
      </c>
    </row>
    <row r="118" spans="1:18" ht="16" x14ac:dyDescent="0.2">
      <c r="A118" s="72"/>
      <c r="B118" s="76"/>
      <c r="C118" s="73"/>
      <c r="D118" s="73" t="s">
        <v>961</v>
      </c>
      <c r="E118" s="77" t="s">
        <v>990</v>
      </c>
      <c r="F118" s="75" t="s">
        <v>1454</v>
      </c>
      <c r="G118" s="74" t="s">
        <v>1142</v>
      </c>
      <c r="H118" s="69"/>
      <c r="P118" s="69">
        <f t="shared" si="1"/>
        <v>0</v>
      </c>
      <c r="Q118" s="69" cm="1">
        <f t="array" ref="Q118">IF(P118=1,IF(SUMPRODUCT(($P$2:P118)*(--($G$2:G118=$G118)))=1,1,0),0)</f>
        <v>0</v>
      </c>
      <c r="R118" s="69" t="str">
        <f>IF(Q118=1,SUM($Q$2:Q118),"")</f>
        <v/>
      </c>
    </row>
    <row r="119" spans="1:18" ht="16" x14ac:dyDescent="0.2">
      <c r="A119" s="72"/>
      <c r="B119" s="76"/>
      <c r="C119" s="73"/>
      <c r="D119" s="73" t="s">
        <v>961</v>
      </c>
      <c r="E119" s="77" t="s">
        <v>110</v>
      </c>
      <c r="F119" s="75" t="s">
        <v>1455</v>
      </c>
      <c r="G119" s="74" t="s">
        <v>1142</v>
      </c>
      <c r="H119" s="69"/>
      <c r="P119" s="69">
        <f t="shared" si="1"/>
        <v>0</v>
      </c>
      <c r="Q119" s="69" cm="1">
        <f t="array" ref="Q119">IF(P119=1,IF(SUMPRODUCT(($P$2:P119)*(--($G$2:G119=$G119)))=1,1,0),0)</f>
        <v>0</v>
      </c>
      <c r="R119" s="69" t="str">
        <f>IF(Q119=1,SUM($Q$2:Q119),"")</f>
        <v/>
      </c>
    </row>
    <row r="120" spans="1:18" ht="16" x14ac:dyDescent="0.2">
      <c r="A120" s="72"/>
      <c r="B120" s="76"/>
      <c r="C120" s="73"/>
      <c r="D120" s="73" t="s">
        <v>961</v>
      </c>
      <c r="E120" s="77" t="s">
        <v>990</v>
      </c>
      <c r="F120" s="75" t="s">
        <v>1455</v>
      </c>
      <c r="G120" s="74" t="s">
        <v>1142</v>
      </c>
      <c r="H120" s="69"/>
      <c r="P120" s="69">
        <f t="shared" si="1"/>
        <v>0</v>
      </c>
      <c r="Q120" s="69" cm="1">
        <f t="array" ref="Q120">IF(P120=1,IF(SUMPRODUCT(($P$2:P120)*(--($G$2:G120=$G120)))=1,1,0),0)</f>
        <v>0</v>
      </c>
      <c r="R120" s="69" t="str">
        <f>IF(Q120=1,SUM($Q$2:Q120),"")</f>
        <v/>
      </c>
    </row>
    <row r="121" spans="1:18" ht="16" x14ac:dyDescent="0.2">
      <c r="A121" s="72"/>
      <c r="B121" s="76"/>
      <c r="C121" s="73"/>
      <c r="D121" s="73" t="s">
        <v>961</v>
      </c>
      <c r="E121" s="77" t="s">
        <v>110</v>
      </c>
      <c r="F121" s="75" t="s">
        <v>1456</v>
      </c>
      <c r="G121" s="74" t="s">
        <v>1142</v>
      </c>
      <c r="H121" s="69"/>
      <c r="P121" s="69">
        <f t="shared" si="1"/>
        <v>0</v>
      </c>
      <c r="Q121" s="69" cm="1">
        <f t="array" ref="Q121">IF(P121=1,IF(SUMPRODUCT(($P$2:P121)*(--($G$2:G121=$G121)))=1,1,0),0)</f>
        <v>0</v>
      </c>
      <c r="R121" s="69" t="str">
        <f>IF(Q121=1,SUM($Q$2:Q121),"")</f>
        <v/>
      </c>
    </row>
    <row r="122" spans="1:18" ht="16" x14ac:dyDescent="0.2">
      <c r="A122" s="72"/>
      <c r="B122" s="76"/>
      <c r="C122" s="73"/>
      <c r="D122" s="73" t="s">
        <v>961</v>
      </c>
      <c r="E122" s="77" t="s">
        <v>990</v>
      </c>
      <c r="F122" s="75" t="s">
        <v>1456</v>
      </c>
      <c r="G122" s="74" t="s">
        <v>1142</v>
      </c>
      <c r="H122" s="69"/>
      <c r="P122" s="69">
        <f t="shared" si="1"/>
        <v>0</v>
      </c>
      <c r="Q122" s="69" cm="1">
        <f t="array" ref="Q122">IF(P122=1,IF(SUMPRODUCT(($P$2:P122)*(--($G$2:G122=$G122)))=1,1,0),0)</f>
        <v>0</v>
      </c>
      <c r="R122" s="69" t="str">
        <f>IF(Q122=1,SUM($Q$2:Q122),"")</f>
        <v/>
      </c>
    </row>
    <row r="123" spans="1:18" ht="16" x14ac:dyDescent="0.2">
      <c r="A123" s="72"/>
      <c r="B123" s="76"/>
      <c r="C123" s="73"/>
      <c r="D123" s="73" t="s">
        <v>961</v>
      </c>
      <c r="E123" s="77" t="s">
        <v>110</v>
      </c>
      <c r="F123" s="75" t="s">
        <v>1457</v>
      </c>
      <c r="G123" s="74" t="s">
        <v>1142</v>
      </c>
      <c r="H123" s="69"/>
      <c r="P123" s="69">
        <f t="shared" si="1"/>
        <v>0</v>
      </c>
      <c r="Q123" s="69" cm="1">
        <f t="array" ref="Q123">IF(P123=1,IF(SUMPRODUCT(($P$2:P123)*(--($G$2:G123=$G123)))=1,1,0),0)</f>
        <v>0</v>
      </c>
      <c r="R123" s="69" t="str">
        <f>IF(Q123=1,SUM($Q$2:Q123),"")</f>
        <v/>
      </c>
    </row>
    <row r="124" spans="1:18" ht="16" x14ac:dyDescent="0.2">
      <c r="A124" s="72"/>
      <c r="B124" s="76"/>
      <c r="C124" s="73"/>
      <c r="D124" s="73" t="s">
        <v>961</v>
      </c>
      <c r="E124" s="77" t="s">
        <v>990</v>
      </c>
      <c r="F124" s="75" t="s">
        <v>1457</v>
      </c>
      <c r="G124" s="74" t="s">
        <v>1142</v>
      </c>
      <c r="H124" s="69"/>
      <c r="P124" s="69">
        <f t="shared" si="1"/>
        <v>0</v>
      </c>
      <c r="Q124" s="69" cm="1">
        <f t="array" ref="Q124">IF(P124=1,IF(SUMPRODUCT(($P$2:P124)*(--($G$2:G124=$G124)))=1,1,0),0)</f>
        <v>0</v>
      </c>
      <c r="R124" s="69" t="str">
        <f>IF(Q124=1,SUM($Q$2:Q124),"")</f>
        <v/>
      </c>
    </row>
    <row r="125" spans="1:18" ht="16" x14ac:dyDescent="0.2">
      <c r="A125" s="72"/>
      <c r="B125" s="76"/>
      <c r="C125" s="73"/>
      <c r="D125" s="73" t="s">
        <v>961</v>
      </c>
      <c r="E125" s="77" t="s">
        <v>110</v>
      </c>
      <c r="F125" s="75" t="s">
        <v>1458</v>
      </c>
      <c r="G125" s="74" t="s">
        <v>1143</v>
      </c>
      <c r="H125" s="69"/>
      <c r="P125" s="69">
        <f t="shared" si="1"/>
        <v>0</v>
      </c>
      <c r="Q125" s="69" cm="1">
        <f t="array" ref="Q125">IF(P125=1,IF(SUMPRODUCT(($P$2:P125)*(--($G$2:G125=$G125)))=1,1,0),0)</f>
        <v>0</v>
      </c>
      <c r="R125" s="69" t="str">
        <f>IF(Q125=1,SUM($Q$2:Q125),"")</f>
        <v/>
      </c>
    </row>
    <row r="126" spans="1:18" ht="16" x14ac:dyDescent="0.2">
      <c r="A126" s="72"/>
      <c r="B126" s="76"/>
      <c r="C126" s="73"/>
      <c r="D126" s="73" t="s">
        <v>961</v>
      </c>
      <c r="E126" s="77" t="s">
        <v>990</v>
      </c>
      <c r="F126" s="75" t="s">
        <v>1458</v>
      </c>
      <c r="G126" s="74" t="s">
        <v>1143</v>
      </c>
      <c r="H126" s="69"/>
      <c r="P126" s="69">
        <f t="shared" si="1"/>
        <v>0</v>
      </c>
      <c r="Q126" s="69" cm="1">
        <f t="array" ref="Q126">IF(P126=1,IF(SUMPRODUCT(($P$2:P126)*(--($G$2:G126=$G126)))=1,1,0),0)</f>
        <v>0</v>
      </c>
      <c r="R126" s="69" t="str">
        <f>IF(Q126=1,SUM($Q$2:Q126),"")</f>
        <v/>
      </c>
    </row>
    <row r="127" spans="1:18" ht="16" x14ac:dyDescent="0.2">
      <c r="A127" s="72"/>
      <c r="B127" s="76"/>
      <c r="C127" s="73"/>
      <c r="D127" s="73" t="s">
        <v>961</v>
      </c>
      <c r="E127" s="77" t="s">
        <v>110</v>
      </c>
      <c r="F127" s="75" t="s">
        <v>1459</v>
      </c>
      <c r="G127" s="74" t="s">
        <v>1143</v>
      </c>
      <c r="H127" s="69"/>
      <c r="P127" s="69">
        <f t="shared" si="1"/>
        <v>0</v>
      </c>
      <c r="Q127" s="69" cm="1">
        <f t="array" ref="Q127">IF(P127=1,IF(SUMPRODUCT(($P$2:P127)*(--($G$2:G127=$G127)))=1,1,0),0)</f>
        <v>0</v>
      </c>
      <c r="R127" s="69" t="str">
        <f>IF(Q127=1,SUM($Q$2:Q127),"")</f>
        <v/>
      </c>
    </row>
    <row r="128" spans="1:18" ht="16" x14ac:dyDescent="0.2">
      <c r="A128" s="72"/>
      <c r="B128" s="76"/>
      <c r="C128" s="73"/>
      <c r="D128" s="73" t="s">
        <v>961</v>
      </c>
      <c r="E128" s="77" t="s">
        <v>990</v>
      </c>
      <c r="F128" s="75" t="s">
        <v>1459</v>
      </c>
      <c r="G128" s="74" t="s">
        <v>1143</v>
      </c>
      <c r="H128" s="69"/>
      <c r="P128" s="69">
        <f t="shared" si="1"/>
        <v>0</v>
      </c>
      <c r="Q128" s="69" cm="1">
        <f t="array" ref="Q128">IF(P128=1,IF(SUMPRODUCT(($P$2:P128)*(--($G$2:G128=$G128)))=1,1,0),0)</f>
        <v>0</v>
      </c>
      <c r="R128" s="69" t="str">
        <f>IF(Q128=1,SUM($Q$2:Q128),"")</f>
        <v/>
      </c>
    </row>
    <row r="129" spans="1:18" ht="16" x14ac:dyDescent="0.2">
      <c r="A129" s="72"/>
      <c r="B129" s="76"/>
      <c r="C129" s="73"/>
      <c r="D129" s="73" t="s">
        <v>961</v>
      </c>
      <c r="E129" s="77" t="s">
        <v>110</v>
      </c>
      <c r="F129" s="75" t="s">
        <v>1460</v>
      </c>
      <c r="G129" s="74" t="s">
        <v>1144</v>
      </c>
      <c r="H129" s="69"/>
      <c r="P129" s="69">
        <f t="shared" si="1"/>
        <v>0</v>
      </c>
      <c r="Q129" s="69" cm="1">
        <f t="array" ref="Q129">IF(P129=1,IF(SUMPRODUCT(($P$2:P129)*(--($G$2:G129=$G129)))=1,1,0),0)</f>
        <v>0</v>
      </c>
      <c r="R129" s="69" t="str">
        <f>IF(Q129=1,SUM($Q$2:Q129),"")</f>
        <v/>
      </c>
    </row>
    <row r="130" spans="1:18" ht="16" x14ac:dyDescent="0.2">
      <c r="A130" s="72"/>
      <c r="B130" s="76"/>
      <c r="C130" s="73"/>
      <c r="D130" s="73" t="s">
        <v>961</v>
      </c>
      <c r="E130" s="77" t="s">
        <v>990</v>
      </c>
      <c r="F130" s="75" t="s">
        <v>1460</v>
      </c>
      <c r="G130" s="74" t="s">
        <v>1144</v>
      </c>
      <c r="H130" s="69"/>
      <c r="P130" s="69">
        <f t="shared" si="1"/>
        <v>0</v>
      </c>
      <c r="Q130" s="69" cm="1">
        <f t="array" ref="Q130">IF(P130=1,IF(SUMPRODUCT(($P$2:P130)*(--($G$2:G130=$G130)))=1,1,0),0)</f>
        <v>0</v>
      </c>
      <c r="R130" s="69" t="str">
        <f>IF(Q130=1,SUM($Q$2:Q130),"")</f>
        <v/>
      </c>
    </row>
    <row r="131" spans="1:18" ht="16" x14ac:dyDescent="0.2">
      <c r="A131" s="72"/>
      <c r="B131" s="76"/>
      <c r="C131" s="73"/>
      <c r="D131" s="73" t="s">
        <v>961</v>
      </c>
      <c r="E131" s="77" t="s">
        <v>110</v>
      </c>
      <c r="F131" s="75" t="s">
        <v>1461</v>
      </c>
      <c r="G131" s="74" t="s">
        <v>1144</v>
      </c>
      <c r="H131" s="69"/>
      <c r="P131" s="69">
        <f t="shared" ref="P131:P194" si="2">IF(AND(IF(TRIM($J$2&amp;"")="",TRUE,LEFT($D131,LEN($J$2))=$J$2),IF(TRIM($K$2&amp;"")="",TRUE,$E131=$K$2),IF($L$2="",TRUE,$F131=$L$2)),1,0)</f>
        <v>0</v>
      </c>
      <c r="Q131" s="69" cm="1">
        <f t="array" ref="Q131">IF(P131=1,IF(SUMPRODUCT(($P$2:P131)*(--($G$2:G131=$G131)))=1,1,0),0)</f>
        <v>0</v>
      </c>
      <c r="R131" s="69" t="str">
        <f>IF(Q131=1,SUM($Q$2:Q131),"")</f>
        <v/>
      </c>
    </row>
    <row r="132" spans="1:18" ht="16" x14ac:dyDescent="0.2">
      <c r="A132" s="72"/>
      <c r="B132" s="76"/>
      <c r="C132" s="73"/>
      <c r="D132" s="73" t="s">
        <v>961</v>
      </c>
      <c r="E132" s="77" t="s">
        <v>990</v>
      </c>
      <c r="F132" s="75" t="s">
        <v>1461</v>
      </c>
      <c r="G132" s="74" t="s">
        <v>1144</v>
      </c>
      <c r="H132" s="69"/>
      <c r="P132" s="69">
        <f t="shared" si="2"/>
        <v>0</v>
      </c>
      <c r="Q132" s="69" cm="1">
        <f t="array" ref="Q132">IF(P132=1,IF(SUMPRODUCT(($P$2:P132)*(--($G$2:G132=$G132)))=1,1,0),0)</f>
        <v>0</v>
      </c>
      <c r="R132" s="69" t="str">
        <f>IF(Q132=1,SUM($Q$2:Q132),"")</f>
        <v/>
      </c>
    </row>
    <row r="133" spans="1:18" x14ac:dyDescent="0.2">
      <c r="A133" s="72"/>
      <c r="B133" s="76"/>
      <c r="C133" s="73"/>
      <c r="D133" s="73" t="s">
        <v>961</v>
      </c>
      <c r="E133" s="77" t="s">
        <v>110</v>
      </c>
      <c r="F133" s="75" t="s">
        <v>1462</v>
      </c>
      <c r="G133" s="75" t="s">
        <v>1061</v>
      </c>
      <c r="H133" s="69"/>
      <c r="P133" s="69">
        <f t="shared" si="2"/>
        <v>0</v>
      </c>
      <c r="Q133" s="69" cm="1">
        <f t="array" ref="Q133">IF(P133=1,IF(SUMPRODUCT(($P$2:P133)*(--($G$2:G133=$G133)))=1,1,0),0)</f>
        <v>0</v>
      </c>
      <c r="R133" s="69" t="str">
        <f>IF(Q133=1,SUM($Q$2:Q133),"")</f>
        <v/>
      </c>
    </row>
    <row r="134" spans="1:18" x14ac:dyDescent="0.2">
      <c r="A134" s="72"/>
      <c r="B134" s="76"/>
      <c r="C134" s="73"/>
      <c r="D134" s="73" t="s">
        <v>961</v>
      </c>
      <c r="E134" s="77" t="s">
        <v>990</v>
      </c>
      <c r="F134" s="75" t="s">
        <v>1462</v>
      </c>
      <c r="G134" s="75" t="s">
        <v>1061</v>
      </c>
      <c r="H134" s="69"/>
      <c r="P134" s="69">
        <f t="shared" si="2"/>
        <v>0</v>
      </c>
      <c r="Q134" s="69" cm="1">
        <f t="array" ref="Q134">IF(P134=1,IF(SUMPRODUCT(($P$2:P134)*(--($G$2:G134=$G134)))=1,1,0),0)</f>
        <v>0</v>
      </c>
      <c r="R134" s="69" t="str">
        <f>IF(Q134=1,SUM($Q$2:Q134),"")</f>
        <v/>
      </c>
    </row>
    <row r="135" spans="1:18" x14ac:dyDescent="0.2">
      <c r="A135" s="72"/>
      <c r="B135" s="76"/>
      <c r="C135" s="73"/>
      <c r="D135" s="73" t="s">
        <v>961</v>
      </c>
      <c r="E135" s="77" t="s">
        <v>110</v>
      </c>
      <c r="F135" s="75" t="s">
        <v>1463</v>
      </c>
      <c r="G135" s="75" t="s">
        <v>1062</v>
      </c>
      <c r="H135" s="69"/>
      <c r="P135" s="69">
        <f t="shared" si="2"/>
        <v>0</v>
      </c>
      <c r="Q135" s="69" cm="1">
        <f t="array" ref="Q135">IF(P135=1,IF(SUMPRODUCT(($P$2:P135)*(--($G$2:G135=$G135)))=1,1,0),0)</f>
        <v>0</v>
      </c>
      <c r="R135" s="69" t="str">
        <f>IF(Q135=1,SUM($Q$2:Q135),"")</f>
        <v/>
      </c>
    </row>
    <row r="136" spans="1:18" x14ac:dyDescent="0.2">
      <c r="A136" s="72"/>
      <c r="B136" s="76"/>
      <c r="C136" s="73"/>
      <c r="D136" s="73" t="s">
        <v>961</v>
      </c>
      <c r="E136" s="77" t="s">
        <v>990</v>
      </c>
      <c r="F136" s="75" t="s">
        <v>1463</v>
      </c>
      <c r="G136" s="75" t="s">
        <v>1062</v>
      </c>
      <c r="H136" s="69"/>
      <c r="P136" s="69">
        <f t="shared" si="2"/>
        <v>0</v>
      </c>
      <c r="Q136" s="69" cm="1">
        <f t="array" ref="Q136">IF(P136=1,IF(SUMPRODUCT(($P$2:P136)*(--($G$2:G136=$G136)))=1,1,0),0)</f>
        <v>0</v>
      </c>
      <c r="R136" s="69" t="str">
        <f>IF(Q136=1,SUM($Q$2:Q136),"")</f>
        <v/>
      </c>
    </row>
    <row r="137" spans="1:18" x14ac:dyDescent="0.2">
      <c r="A137" s="72"/>
      <c r="B137" s="76"/>
      <c r="C137" s="73"/>
      <c r="D137" s="73" t="s">
        <v>961</v>
      </c>
      <c r="E137" s="77" t="s">
        <v>990</v>
      </c>
      <c r="F137" s="75" t="s">
        <v>1464</v>
      </c>
      <c r="G137" s="75" t="s">
        <v>1060</v>
      </c>
      <c r="H137" s="69"/>
      <c r="P137" s="69">
        <f t="shared" si="2"/>
        <v>0</v>
      </c>
      <c r="Q137" s="69" cm="1">
        <f t="array" ref="Q137">IF(P137=1,IF(SUMPRODUCT(($P$2:P137)*(--($G$2:G137=$G137)))=1,1,0),0)</f>
        <v>0</v>
      </c>
      <c r="R137" s="69" t="str">
        <f>IF(Q137=1,SUM($Q$2:Q137),"")</f>
        <v/>
      </c>
    </row>
    <row r="138" spans="1:18" x14ac:dyDescent="0.2">
      <c r="A138" s="72"/>
      <c r="B138" s="76"/>
      <c r="C138" s="73"/>
      <c r="D138" s="73" t="s">
        <v>961</v>
      </c>
      <c r="E138" s="77" t="s">
        <v>110</v>
      </c>
      <c r="F138" s="75" t="s">
        <v>1464</v>
      </c>
      <c r="G138" s="75" t="s">
        <v>1060</v>
      </c>
      <c r="H138" s="69"/>
      <c r="P138" s="69">
        <f t="shared" si="2"/>
        <v>0</v>
      </c>
      <c r="Q138" s="69" cm="1">
        <f t="array" ref="Q138">IF(P138=1,IF(SUMPRODUCT(($P$2:P138)*(--($G$2:G138=$G138)))=1,1,0),0)</f>
        <v>0</v>
      </c>
      <c r="R138" s="69" t="str">
        <f>IF(Q138=1,SUM($Q$2:Q138),"")</f>
        <v/>
      </c>
    </row>
    <row r="139" spans="1:18" x14ac:dyDescent="0.2">
      <c r="A139" s="72"/>
      <c r="B139" s="76"/>
      <c r="C139" s="73"/>
      <c r="D139" s="73" t="s">
        <v>961</v>
      </c>
      <c r="E139" s="77" t="s">
        <v>110</v>
      </c>
      <c r="F139" s="75" t="s">
        <v>1465</v>
      </c>
      <c r="G139" s="75" t="s">
        <v>1139</v>
      </c>
      <c r="H139" s="69"/>
      <c r="P139" s="69">
        <f t="shared" si="2"/>
        <v>0</v>
      </c>
      <c r="Q139" s="69" cm="1">
        <f t="array" ref="Q139">IF(P139=1,IF(SUMPRODUCT(($P$2:P139)*(--($G$2:G139=$G139)))=1,1,0),0)</f>
        <v>0</v>
      </c>
      <c r="R139" s="69" t="str">
        <f>IF(Q139=1,SUM($Q$2:Q139),"")</f>
        <v/>
      </c>
    </row>
    <row r="140" spans="1:18" x14ac:dyDescent="0.2">
      <c r="A140" s="72"/>
      <c r="B140" s="76"/>
      <c r="C140" s="73"/>
      <c r="D140" s="73" t="s">
        <v>961</v>
      </c>
      <c r="E140" s="77" t="s">
        <v>990</v>
      </c>
      <c r="F140" s="75" t="s">
        <v>1465</v>
      </c>
      <c r="G140" s="75" t="s">
        <v>1139</v>
      </c>
      <c r="H140" s="69"/>
      <c r="P140" s="69">
        <f t="shared" si="2"/>
        <v>0</v>
      </c>
      <c r="Q140" s="69" cm="1">
        <f t="array" ref="Q140">IF(P140=1,IF(SUMPRODUCT(($P$2:P140)*(--($G$2:G140=$G140)))=1,1,0),0)</f>
        <v>0</v>
      </c>
      <c r="R140" s="69" t="str">
        <f>IF(Q140=1,SUM($Q$2:Q140),"")</f>
        <v/>
      </c>
    </row>
    <row r="141" spans="1:18" x14ac:dyDescent="0.2">
      <c r="A141" s="72"/>
      <c r="B141" s="76"/>
      <c r="C141" s="73"/>
      <c r="D141" s="73" t="s">
        <v>961</v>
      </c>
      <c r="E141" s="77" t="s">
        <v>110</v>
      </c>
      <c r="F141" s="75" t="s">
        <v>1466</v>
      </c>
      <c r="G141" s="75" t="s">
        <v>1140</v>
      </c>
      <c r="H141" s="69"/>
      <c r="P141" s="69">
        <f t="shared" si="2"/>
        <v>0</v>
      </c>
      <c r="Q141" s="69" cm="1">
        <f t="array" ref="Q141">IF(P141=1,IF(SUMPRODUCT(($P$2:P141)*(--($G$2:G141=$G141)))=1,1,0),0)</f>
        <v>0</v>
      </c>
      <c r="R141" s="69" t="str">
        <f>IF(Q141=1,SUM($Q$2:Q141),"")</f>
        <v/>
      </c>
    </row>
    <row r="142" spans="1:18" x14ac:dyDescent="0.2">
      <c r="A142" s="72"/>
      <c r="B142" s="76"/>
      <c r="C142" s="73"/>
      <c r="D142" s="73" t="s">
        <v>961</v>
      </c>
      <c r="E142" s="77" t="s">
        <v>990</v>
      </c>
      <c r="F142" s="75" t="s">
        <v>1466</v>
      </c>
      <c r="G142" s="75" t="s">
        <v>1140</v>
      </c>
      <c r="H142" s="69"/>
      <c r="P142" s="69">
        <f t="shared" si="2"/>
        <v>0</v>
      </c>
      <c r="Q142" s="69" cm="1">
        <f t="array" ref="Q142">IF(P142=1,IF(SUMPRODUCT(($P$2:P142)*(--($G$2:G142=$G142)))=1,1,0),0)</f>
        <v>0</v>
      </c>
      <c r="R142" s="69" t="str">
        <f>IF(Q142=1,SUM($Q$2:Q142),"")</f>
        <v/>
      </c>
    </row>
    <row r="143" spans="1:18" x14ac:dyDescent="0.2">
      <c r="A143" s="72"/>
      <c r="B143" s="76"/>
      <c r="C143" s="73"/>
      <c r="D143" s="73" t="s">
        <v>961</v>
      </c>
      <c r="E143" s="77" t="s">
        <v>990</v>
      </c>
      <c r="F143" s="75" t="s">
        <v>1467</v>
      </c>
      <c r="G143" s="75" t="s">
        <v>1138</v>
      </c>
      <c r="H143" s="69"/>
      <c r="P143" s="69">
        <f t="shared" si="2"/>
        <v>0</v>
      </c>
      <c r="Q143" s="69" cm="1">
        <f t="array" ref="Q143">IF(P143=1,IF(SUMPRODUCT(($P$2:P143)*(--($G$2:G143=$G143)))=1,1,0),0)</f>
        <v>0</v>
      </c>
      <c r="R143" s="69" t="str">
        <f>IF(Q143=1,SUM($Q$2:Q143),"")</f>
        <v/>
      </c>
    </row>
    <row r="144" spans="1:18" x14ac:dyDescent="0.2">
      <c r="A144" s="72"/>
      <c r="B144" s="76"/>
      <c r="C144" s="73"/>
      <c r="D144" s="73" t="s">
        <v>961</v>
      </c>
      <c r="E144" s="77" t="s">
        <v>110</v>
      </c>
      <c r="F144" s="75" t="s">
        <v>1467</v>
      </c>
      <c r="G144" s="75" t="s">
        <v>1138</v>
      </c>
      <c r="H144" s="69"/>
      <c r="P144" s="69">
        <f t="shared" si="2"/>
        <v>0</v>
      </c>
      <c r="Q144" s="69" cm="1">
        <f t="array" ref="Q144">IF(P144=1,IF(SUMPRODUCT(($P$2:P144)*(--($G$2:G144=$G144)))=1,1,0),0)</f>
        <v>0</v>
      </c>
      <c r="R144" s="69" t="str">
        <f>IF(Q144=1,SUM($Q$2:Q144),"")</f>
        <v/>
      </c>
    </row>
    <row r="145" spans="1:18" x14ac:dyDescent="0.2">
      <c r="A145" s="72"/>
      <c r="B145" s="76"/>
      <c r="C145" s="73"/>
      <c r="D145" s="73" t="s">
        <v>961</v>
      </c>
      <c r="E145" s="77" t="s">
        <v>990</v>
      </c>
      <c r="F145" s="75" t="s">
        <v>1468</v>
      </c>
      <c r="G145" s="75" t="s">
        <v>1137</v>
      </c>
      <c r="H145" s="69"/>
      <c r="P145" s="69">
        <f t="shared" si="2"/>
        <v>0</v>
      </c>
      <c r="Q145" s="69" cm="1">
        <f t="array" ref="Q145">IF(P145=1,IF(SUMPRODUCT(($P$2:P145)*(--($G$2:G145=$G145)))=1,1,0),0)</f>
        <v>0</v>
      </c>
      <c r="R145" s="69" t="str">
        <f>IF(Q145=1,SUM($Q$2:Q145),"")</f>
        <v/>
      </c>
    </row>
    <row r="146" spans="1:18" x14ac:dyDescent="0.2">
      <c r="A146" s="72"/>
      <c r="B146" s="76"/>
      <c r="C146" s="73"/>
      <c r="D146" s="73" t="s">
        <v>961</v>
      </c>
      <c r="E146" s="77" t="s">
        <v>110</v>
      </c>
      <c r="F146" s="75" t="s">
        <v>1468</v>
      </c>
      <c r="G146" s="75" t="s">
        <v>1137</v>
      </c>
      <c r="H146" s="69"/>
      <c r="P146" s="69">
        <f t="shared" si="2"/>
        <v>0</v>
      </c>
      <c r="Q146" s="69" cm="1">
        <f t="array" ref="Q146">IF(P146=1,IF(SUMPRODUCT(($P$2:P146)*(--($G$2:G146=$G146)))=1,1,0),0)</f>
        <v>0</v>
      </c>
      <c r="R146" s="69" t="str">
        <f>IF(Q146=1,SUM($Q$2:Q146),"")</f>
        <v/>
      </c>
    </row>
    <row r="147" spans="1:18" x14ac:dyDescent="0.2">
      <c r="A147" s="72"/>
      <c r="B147" s="76"/>
      <c r="C147" s="73"/>
      <c r="D147" s="73" t="s">
        <v>961</v>
      </c>
      <c r="E147" s="77" t="s">
        <v>990</v>
      </c>
      <c r="F147" s="75" t="s">
        <v>1469</v>
      </c>
      <c r="G147" s="75" t="s">
        <v>1137</v>
      </c>
      <c r="H147" s="69"/>
      <c r="P147" s="69">
        <f t="shared" si="2"/>
        <v>0</v>
      </c>
      <c r="Q147" s="69" cm="1">
        <f t="array" ref="Q147">IF(P147=1,IF(SUMPRODUCT(($P$2:P147)*(--($G$2:G147=$G147)))=1,1,0),0)</f>
        <v>0</v>
      </c>
      <c r="R147" s="69" t="str">
        <f>IF(Q147=1,SUM($Q$2:Q147),"")</f>
        <v/>
      </c>
    </row>
    <row r="148" spans="1:18" x14ac:dyDescent="0.2">
      <c r="A148" s="72"/>
      <c r="B148" s="76"/>
      <c r="C148" s="73"/>
      <c r="D148" s="73" t="s">
        <v>961</v>
      </c>
      <c r="E148" s="77" t="s">
        <v>110</v>
      </c>
      <c r="F148" s="75" t="s">
        <v>1469</v>
      </c>
      <c r="G148" s="75" t="s">
        <v>1137</v>
      </c>
      <c r="H148" s="69"/>
      <c r="P148" s="69">
        <f t="shared" si="2"/>
        <v>0</v>
      </c>
      <c r="Q148" s="69" cm="1">
        <f t="array" ref="Q148">IF(P148=1,IF(SUMPRODUCT(($P$2:P148)*(--($G$2:G148=$G148)))=1,1,0),0)</f>
        <v>0</v>
      </c>
      <c r="R148" s="69" t="str">
        <f>IF(Q148=1,SUM($Q$2:Q148),"")</f>
        <v/>
      </c>
    </row>
    <row r="149" spans="1:18" x14ac:dyDescent="0.2">
      <c r="A149" s="72"/>
      <c r="B149" s="76"/>
      <c r="C149" s="73"/>
      <c r="D149" s="73" t="s">
        <v>961</v>
      </c>
      <c r="E149" s="77" t="s">
        <v>110</v>
      </c>
      <c r="F149" s="75" t="s">
        <v>1464</v>
      </c>
      <c r="G149" s="75" t="s">
        <v>1060</v>
      </c>
      <c r="H149" s="69"/>
      <c r="P149" s="69">
        <f t="shared" si="2"/>
        <v>0</v>
      </c>
      <c r="Q149" s="69" cm="1">
        <f t="array" ref="Q149">IF(P149=1,IF(SUMPRODUCT(($P$2:P149)*(--($G$2:G149=$G149)))=1,1,0),0)</f>
        <v>0</v>
      </c>
      <c r="R149" s="69" t="str">
        <f>IF(Q149=1,SUM($Q$2:Q149),"")</f>
        <v/>
      </c>
    </row>
    <row r="150" spans="1:18" x14ac:dyDescent="0.2">
      <c r="A150" s="72"/>
      <c r="B150" s="76"/>
      <c r="C150" s="73"/>
      <c r="D150" s="73" t="s">
        <v>961</v>
      </c>
      <c r="E150" s="77" t="s">
        <v>990</v>
      </c>
      <c r="F150" s="75" t="s">
        <v>1464</v>
      </c>
      <c r="G150" s="75" t="s">
        <v>1060</v>
      </c>
      <c r="H150" s="69"/>
      <c r="P150" s="69">
        <f t="shared" si="2"/>
        <v>0</v>
      </c>
      <c r="Q150" s="69" cm="1">
        <f t="array" ref="Q150">IF(P150=1,IF(SUMPRODUCT(($P$2:P150)*(--($G$2:G150=$G150)))=1,1,0),0)</f>
        <v>0</v>
      </c>
      <c r="R150" s="69" t="str">
        <f>IF(Q150=1,SUM($Q$2:Q150),"")</f>
        <v/>
      </c>
    </row>
    <row r="151" spans="1:18" x14ac:dyDescent="0.2">
      <c r="A151" s="72"/>
      <c r="B151" s="76"/>
      <c r="C151" s="73"/>
      <c r="D151" s="73" t="s">
        <v>961</v>
      </c>
      <c r="E151" s="77" t="s">
        <v>110</v>
      </c>
      <c r="F151" s="75" t="s">
        <v>1462</v>
      </c>
      <c r="G151" s="75" t="s">
        <v>1061</v>
      </c>
      <c r="H151" s="69"/>
      <c r="P151" s="69">
        <f t="shared" si="2"/>
        <v>0</v>
      </c>
      <c r="Q151" s="69" cm="1">
        <f t="array" ref="Q151">IF(P151=1,IF(SUMPRODUCT(($P$2:P151)*(--($G$2:G151=$G151)))=1,1,0),0)</f>
        <v>0</v>
      </c>
      <c r="R151" s="69" t="str">
        <f>IF(Q151=1,SUM($Q$2:Q151),"")</f>
        <v/>
      </c>
    </row>
    <row r="152" spans="1:18" x14ac:dyDescent="0.2">
      <c r="A152" s="72"/>
      <c r="B152" s="76"/>
      <c r="C152" s="73"/>
      <c r="D152" s="73" t="s">
        <v>961</v>
      </c>
      <c r="E152" s="77" t="s">
        <v>990</v>
      </c>
      <c r="F152" s="75" t="s">
        <v>1462</v>
      </c>
      <c r="G152" s="75" t="s">
        <v>1061</v>
      </c>
      <c r="H152" s="69"/>
      <c r="P152" s="69">
        <f t="shared" si="2"/>
        <v>0</v>
      </c>
      <c r="Q152" s="69" cm="1">
        <f t="array" ref="Q152">IF(P152=1,IF(SUMPRODUCT(($P$2:P152)*(--($G$2:G152=$G152)))=1,1,0),0)</f>
        <v>0</v>
      </c>
      <c r="R152" s="69" t="str">
        <f>IF(Q152=1,SUM($Q$2:Q152),"")</f>
        <v/>
      </c>
    </row>
    <row r="153" spans="1:18" ht="16" x14ac:dyDescent="0.2">
      <c r="A153" s="72"/>
      <c r="B153" s="76"/>
      <c r="C153" s="73"/>
      <c r="D153" s="73" t="s">
        <v>961</v>
      </c>
      <c r="E153" s="77" t="s">
        <v>94</v>
      </c>
      <c r="F153" s="75" t="s">
        <v>2080</v>
      </c>
      <c r="G153" s="74" t="s">
        <v>1141</v>
      </c>
      <c r="H153" s="69"/>
      <c r="P153" s="69">
        <f t="shared" si="2"/>
        <v>0</v>
      </c>
      <c r="Q153" s="69" cm="1">
        <f t="array" ref="Q153">IF(P153=1,IF(SUMPRODUCT(($P$2:P153)*(--($G$2:G153=$G153)))=1,1,0),0)</f>
        <v>0</v>
      </c>
      <c r="R153" s="69" t="str">
        <f>IF(Q153=1,SUM($Q$2:Q153),"")</f>
        <v/>
      </c>
    </row>
    <row r="154" spans="1:18" ht="16" x14ac:dyDescent="0.2">
      <c r="A154" s="72"/>
      <c r="B154" s="76"/>
      <c r="C154" s="73"/>
      <c r="D154" s="73" t="s">
        <v>961</v>
      </c>
      <c r="E154" s="77" t="s">
        <v>135</v>
      </c>
      <c r="F154" s="75" t="s">
        <v>2080</v>
      </c>
      <c r="G154" s="74" t="s">
        <v>1141</v>
      </c>
      <c r="H154" s="69"/>
      <c r="P154" s="69">
        <f t="shared" si="2"/>
        <v>0</v>
      </c>
      <c r="Q154" s="69" cm="1">
        <f t="array" ref="Q154">IF(P154=1,IF(SUMPRODUCT(($P$2:P154)*(--($G$2:G154=$G154)))=1,1,0),0)</f>
        <v>0</v>
      </c>
      <c r="R154" s="69" t="str">
        <f>IF(Q154=1,SUM($Q$2:Q154),"")</f>
        <v/>
      </c>
    </row>
    <row r="155" spans="1:18" ht="16" x14ac:dyDescent="0.2">
      <c r="A155" s="72"/>
      <c r="B155" s="76"/>
      <c r="C155" s="73"/>
      <c r="D155" s="73" t="s">
        <v>961</v>
      </c>
      <c r="E155" s="77" t="s">
        <v>94</v>
      </c>
      <c r="F155" s="75" t="s">
        <v>286</v>
      </c>
      <c r="G155" s="74" t="s">
        <v>1141</v>
      </c>
      <c r="H155" s="69"/>
      <c r="P155" s="69">
        <f t="shared" si="2"/>
        <v>0</v>
      </c>
      <c r="Q155" s="69" cm="1">
        <f t="array" ref="Q155">IF(P155=1,IF(SUMPRODUCT(($P$2:P155)*(--($G$2:G155=$G155)))=1,1,0),0)</f>
        <v>0</v>
      </c>
      <c r="R155" s="69" t="str">
        <f>IF(Q155=1,SUM($Q$2:Q155),"")</f>
        <v/>
      </c>
    </row>
    <row r="156" spans="1:18" ht="16" x14ac:dyDescent="0.2">
      <c r="A156" s="72"/>
      <c r="B156" s="76"/>
      <c r="C156" s="73"/>
      <c r="D156" s="73" t="s">
        <v>961</v>
      </c>
      <c r="E156" s="77" t="s">
        <v>135</v>
      </c>
      <c r="F156" s="75" t="s">
        <v>286</v>
      </c>
      <c r="G156" s="74" t="s">
        <v>1141</v>
      </c>
      <c r="H156" s="69"/>
      <c r="P156" s="69">
        <f t="shared" si="2"/>
        <v>0</v>
      </c>
      <c r="Q156" s="69" cm="1">
        <f t="array" ref="Q156">IF(P156=1,IF(SUMPRODUCT(($P$2:P156)*(--($G$2:G156=$G156)))=1,1,0),0)</f>
        <v>0</v>
      </c>
      <c r="R156" s="69" t="str">
        <f>IF(Q156=1,SUM($Q$2:Q156),"")</f>
        <v/>
      </c>
    </row>
    <row r="157" spans="1:18" ht="16" x14ac:dyDescent="0.2">
      <c r="A157" s="72"/>
      <c r="B157" s="76"/>
      <c r="C157" s="73"/>
      <c r="D157" s="73" t="s">
        <v>961</v>
      </c>
      <c r="E157" s="77" t="s">
        <v>94</v>
      </c>
      <c r="F157" s="75" t="s">
        <v>2217</v>
      </c>
      <c r="G157" s="74" t="s">
        <v>1141</v>
      </c>
      <c r="H157" s="69"/>
      <c r="P157" s="69">
        <f t="shared" si="2"/>
        <v>0</v>
      </c>
      <c r="Q157" s="69" cm="1">
        <f t="array" ref="Q157">IF(P157=1,IF(SUMPRODUCT(($P$2:P157)*(--($G$2:G157=$G157)))=1,1,0),0)</f>
        <v>0</v>
      </c>
      <c r="R157" s="69" t="str">
        <f>IF(Q157=1,SUM($Q$2:Q157),"")</f>
        <v/>
      </c>
    </row>
    <row r="158" spans="1:18" ht="16" x14ac:dyDescent="0.2">
      <c r="A158" s="72"/>
      <c r="B158" s="76"/>
      <c r="C158" s="73"/>
      <c r="D158" s="73" t="s">
        <v>961</v>
      </c>
      <c r="E158" s="77" t="s">
        <v>135</v>
      </c>
      <c r="F158" s="75" t="s">
        <v>2217</v>
      </c>
      <c r="G158" s="74" t="s">
        <v>1141</v>
      </c>
      <c r="H158" s="69"/>
      <c r="P158" s="69">
        <f t="shared" si="2"/>
        <v>0</v>
      </c>
      <c r="Q158" s="69" cm="1">
        <f t="array" ref="Q158">IF(P158=1,IF(SUMPRODUCT(($P$2:P158)*(--($G$2:G158=$G158)))=1,1,0),0)</f>
        <v>0</v>
      </c>
      <c r="R158" s="69" t="str">
        <f>IF(Q158=1,SUM($Q$2:Q158),"")</f>
        <v/>
      </c>
    </row>
    <row r="159" spans="1:18" ht="16" x14ac:dyDescent="0.2">
      <c r="A159" s="72"/>
      <c r="B159" s="76"/>
      <c r="C159" s="73"/>
      <c r="D159" s="73" t="s">
        <v>961</v>
      </c>
      <c r="E159" s="77" t="s">
        <v>94</v>
      </c>
      <c r="F159" s="75" t="s">
        <v>2218</v>
      </c>
      <c r="G159" s="74" t="s">
        <v>1141</v>
      </c>
      <c r="H159" s="69"/>
      <c r="P159" s="69">
        <f t="shared" si="2"/>
        <v>0</v>
      </c>
      <c r="Q159" s="69" cm="1">
        <f t="array" ref="Q159">IF(P159=1,IF(SUMPRODUCT(($P$2:P159)*(--($G$2:G159=$G159)))=1,1,0),0)</f>
        <v>0</v>
      </c>
      <c r="R159" s="69" t="str">
        <f>IF(Q159=1,SUM($Q$2:Q159),"")</f>
        <v/>
      </c>
    </row>
    <row r="160" spans="1:18" ht="16" x14ac:dyDescent="0.2">
      <c r="A160" s="72"/>
      <c r="B160" s="76"/>
      <c r="C160" s="73"/>
      <c r="D160" s="73" t="s">
        <v>961</v>
      </c>
      <c r="E160" s="77" t="s">
        <v>135</v>
      </c>
      <c r="F160" s="75" t="s">
        <v>2218</v>
      </c>
      <c r="G160" s="74" t="s">
        <v>1141</v>
      </c>
      <c r="H160" s="69"/>
      <c r="P160" s="69">
        <f t="shared" si="2"/>
        <v>0</v>
      </c>
      <c r="Q160" s="69" cm="1">
        <f t="array" ref="Q160">IF(P160=1,IF(SUMPRODUCT(($P$2:P160)*(--($G$2:G160=$G160)))=1,1,0),0)</f>
        <v>0</v>
      </c>
      <c r="R160" s="69" t="str">
        <f>IF(Q160=1,SUM($Q$2:Q160),"")</f>
        <v/>
      </c>
    </row>
    <row r="161" spans="1:18" ht="16" x14ac:dyDescent="0.2">
      <c r="A161" s="72"/>
      <c r="B161" s="76"/>
      <c r="C161" s="73"/>
      <c r="D161" s="73" t="s">
        <v>961</v>
      </c>
      <c r="E161" s="77" t="s">
        <v>94</v>
      </c>
      <c r="F161" s="75" t="s">
        <v>2219</v>
      </c>
      <c r="G161" s="74" t="s">
        <v>1141</v>
      </c>
      <c r="H161" s="69"/>
      <c r="P161" s="69">
        <f t="shared" si="2"/>
        <v>0</v>
      </c>
      <c r="Q161" s="69" cm="1">
        <f t="array" ref="Q161">IF(P161=1,IF(SUMPRODUCT(($P$2:P161)*(--($G$2:G161=$G161)))=1,1,0),0)</f>
        <v>0</v>
      </c>
      <c r="R161" s="69" t="str">
        <f>IF(Q161=1,SUM($Q$2:Q161),"")</f>
        <v/>
      </c>
    </row>
    <row r="162" spans="1:18" ht="16" x14ac:dyDescent="0.2">
      <c r="A162" s="72"/>
      <c r="B162" s="76"/>
      <c r="C162" s="73"/>
      <c r="D162" s="73" t="s">
        <v>961</v>
      </c>
      <c r="E162" s="77" t="s">
        <v>135</v>
      </c>
      <c r="F162" s="75" t="s">
        <v>2219</v>
      </c>
      <c r="G162" s="74" t="s">
        <v>1141</v>
      </c>
      <c r="H162" s="69"/>
      <c r="P162" s="69">
        <f t="shared" si="2"/>
        <v>0</v>
      </c>
      <c r="Q162" s="69" cm="1">
        <f t="array" ref="Q162">IF(P162=1,IF(SUMPRODUCT(($P$2:P162)*(--($G$2:G162=$G162)))=1,1,0),0)</f>
        <v>0</v>
      </c>
      <c r="R162" s="69" t="str">
        <f>IF(Q162=1,SUM($Q$2:Q162),"")</f>
        <v/>
      </c>
    </row>
    <row r="163" spans="1:18" x14ac:dyDescent="0.2">
      <c r="A163" s="72"/>
      <c r="B163" s="76"/>
      <c r="C163" s="73"/>
      <c r="D163" s="73" t="s">
        <v>961</v>
      </c>
      <c r="E163" s="77" t="s">
        <v>94</v>
      </c>
      <c r="F163" s="75" t="s">
        <v>2220</v>
      </c>
      <c r="G163" s="75" t="s">
        <v>1079</v>
      </c>
      <c r="H163" s="69"/>
      <c r="P163" s="69">
        <f t="shared" si="2"/>
        <v>0</v>
      </c>
      <c r="Q163" s="69" cm="1">
        <f t="array" ref="Q163">IF(P163=1,IF(SUMPRODUCT(($P$2:P163)*(--($G$2:G163=$G163)))=1,1,0),0)</f>
        <v>0</v>
      </c>
      <c r="R163" s="69" t="str">
        <f>IF(Q163=1,SUM($Q$2:Q163),"")</f>
        <v/>
      </c>
    </row>
    <row r="164" spans="1:18" x14ac:dyDescent="0.2">
      <c r="A164" s="72"/>
      <c r="B164" s="76"/>
      <c r="C164" s="73"/>
      <c r="D164" s="73" t="s">
        <v>961</v>
      </c>
      <c r="E164" s="77" t="s">
        <v>135</v>
      </c>
      <c r="F164" s="75" t="s">
        <v>2220</v>
      </c>
      <c r="G164" s="75" t="s">
        <v>1079</v>
      </c>
      <c r="H164" s="69"/>
      <c r="P164" s="69">
        <f t="shared" si="2"/>
        <v>0</v>
      </c>
      <c r="Q164" s="69" cm="1">
        <f t="array" ref="Q164">IF(P164=1,IF(SUMPRODUCT(($P$2:P164)*(--($G$2:G164=$G164)))=1,1,0),0)</f>
        <v>0</v>
      </c>
      <c r="R164" s="69" t="str">
        <f>IF(Q164=1,SUM($Q$2:Q164),"")</f>
        <v/>
      </c>
    </row>
    <row r="165" spans="1:18" x14ac:dyDescent="0.2">
      <c r="A165" s="72"/>
      <c r="B165" s="76"/>
      <c r="C165" s="73"/>
      <c r="D165" s="73" t="s">
        <v>961</v>
      </c>
      <c r="E165" s="77" t="s">
        <v>94</v>
      </c>
      <c r="F165" s="75" t="s">
        <v>2221</v>
      </c>
      <c r="G165" s="75" t="s">
        <v>1079</v>
      </c>
      <c r="H165" s="69"/>
      <c r="P165" s="69">
        <f t="shared" si="2"/>
        <v>0</v>
      </c>
      <c r="Q165" s="69" cm="1">
        <f t="array" ref="Q165">IF(P165=1,IF(SUMPRODUCT(($P$2:P165)*(--($G$2:G165=$G165)))=1,1,0),0)</f>
        <v>0</v>
      </c>
      <c r="R165" s="69" t="str">
        <f>IF(Q165=1,SUM($Q$2:Q165),"")</f>
        <v/>
      </c>
    </row>
    <row r="166" spans="1:18" x14ac:dyDescent="0.2">
      <c r="A166" s="72"/>
      <c r="B166" s="76"/>
      <c r="C166" s="73"/>
      <c r="D166" s="73" t="s">
        <v>961</v>
      </c>
      <c r="E166" s="77" t="s">
        <v>135</v>
      </c>
      <c r="F166" s="75" t="s">
        <v>2221</v>
      </c>
      <c r="G166" s="75" t="s">
        <v>1079</v>
      </c>
      <c r="H166" s="69"/>
      <c r="P166" s="69">
        <f t="shared" si="2"/>
        <v>0</v>
      </c>
      <c r="Q166" s="69" cm="1">
        <f t="array" ref="Q166">IF(P166=1,IF(SUMPRODUCT(($P$2:P166)*(--($G$2:G166=$G166)))=1,1,0),0)</f>
        <v>0</v>
      </c>
      <c r="R166" s="69" t="str">
        <f>IF(Q166=1,SUM($Q$2:Q166),"")</f>
        <v/>
      </c>
    </row>
    <row r="167" spans="1:18" ht="16" x14ac:dyDescent="0.2">
      <c r="A167" s="72"/>
      <c r="B167" s="84"/>
      <c r="C167" s="73"/>
      <c r="D167" s="73" t="s">
        <v>961</v>
      </c>
      <c r="E167" s="77" t="s">
        <v>94</v>
      </c>
      <c r="F167" s="75" t="s">
        <v>2222</v>
      </c>
      <c r="G167" s="74" t="s">
        <v>1055</v>
      </c>
      <c r="H167" s="69"/>
      <c r="P167" s="69">
        <f t="shared" si="2"/>
        <v>0</v>
      </c>
      <c r="Q167" s="69" cm="1">
        <f t="array" ref="Q167">IF(P167=1,IF(SUMPRODUCT(($P$2:P167)*(--($G$2:G167=$G167)))=1,1,0),0)</f>
        <v>0</v>
      </c>
      <c r="R167" s="69" t="str">
        <f>IF(Q167=1,SUM($Q$2:Q167),"")</f>
        <v/>
      </c>
    </row>
    <row r="168" spans="1:18" ht="16" x14ac:dyDescent="0.2">
      <c r="A168" s="72"/>
      <c r="B168" s="84"/>
      <c r="C168" s="73"/>
      <c r="D168" s="73" t="s">
        <v>961</v>
      </c>
      <c r="E168" s="77" t="s">
        <v>135</v>
      </c>
      <c r="F168" s="75" t="s">
        <v>2222</v>
      </c>
      <c r="G168" s="74" t="s">
        <v>1055</v>
      </c>
      <c r="H168" s="69"/>
      <c r="P168" s="69">
        <f t="shared" si="2"/>
        <v>0</v>
      </c>
      <c r="Q168" s="69" cm="1">
        <f t="array" ref="Q168">IF(P168=1,IF(SUMPRODUCT(($P$2:P168)*(--($G$2:G168=$G168)))=1,1,0),0)</f>
        <v>0</v>
      </c>
      <c r="R168" s="69" t="str">
        <f>IF(Q168=1,SUM($Q$2:Q168),"")</f>
        <v/>
      </c>
    </row>
    <row r="169" spans="1:18" x14ac:dyDescent="0.2">
      <c r="A169" s="72"/>
      <c r="B169" s="84"/>
      <c r="C169" s="73"/>
      <c r="D169" s="73" t="s">
        <v>961</v>
      </c>
      <c r="E169" s="77" t="s">
        <v>94</v>
      </c>
      <c r="F169" s="75" t="s">
        <v>2223</v>
      </c>
      <c r="G169" s="75" t="s">
        <v>1053</v>
      </c>
      <c r="H169" s="69"/>
      <c r="P169" s="69">
        <f t="shared" si="2"/>
        <v>0</v>
      </c>
      <c r="Q169" s="69" cm="1">
        <f t="array" ref="Q169">IF(P169=1,IF(SUMPRODUCT(($P$2:P169)*(--($G$2:G169=$G169)))=1,1,0),0)</f>
        <v>0</v>
      </c>
      <c r="R169" s="69" t="str">
        <f>IF(Q169=1,SUM($Q$2:Q169),"")</f>
        <v/>
      </c>
    </row>
    <row r="170" spans="1:18" x14ac:dyDescent="0.2">
      <c r="A170" s="72"/>
      <c r="B170" s="84"/>
      <c r="C170" s="73"/>
      <c r="D170" s="73" t="s">
        <v>961</v>
      </c>
      <c r="E170" s="77" t="s">
        <v>135</v>
      </c>
      <c r="F170" s="75" t="s">
        <v>2223</v>
      </c>
      <c r="G170" s="75" t="s">
        <v>1053</v>
      </c>
      <c r="H170" s="69"/>
      <c r="P170" s="69">
        <f t="shared" si="2"/>
        <v>0</v>
      </c>
      <c r="Q170" s="69" cm="1">
        <f t="array" ref="Q170">IF(P170=1,IF(SUMPRODUCT(($P$2:P170)*(--($G$2:G170=$G170)))=1,1,0),0)</f>
        <v>0</v>
      </c>
      <c r="R170" s="69" t="str">
        <f>IF(Q170=1,SUM($Q$2:Q170),"")</f>
        <v/>
      </c>
    </row>
    <row r="171" spans="1:18" x14ac:dyDescent="0.2">
      <c r="A171" s="72"/>
      <c r="B171" s="84"/>
      <c r="C171" s="73"/>
      <c r="D171" s="73" t="s">
        <v>961</v>
      </c>
      <c r="E171" s="77" t="s">
        <v>94</v>
      </c>
      <c r="F171" s="75" t="s">
        <v>2224</v>
      </c>
      <c r="G171" s="75" t="s">
        <v>1053</v>
      </c>
      <c r="H171" s="69"/>
      <c r="P171" s="69">
        <f t="shared" si="2"/>
        <v>0</v>
      </c>
      <c r="Q171" s="69" cm="1">
        <f t="array" ref="Q171">IF(P171=1,IF(SUMPRODUCT(($P$2:P171)*(--($G$2:G171=$G171)))=1,1,0),0)</f>
        <v>0</v>
      </c>
      <c r="R171" s="69" t="str">
        <f>IF(Q171=1,SUM($Q$2:Q171),"")</f>
        <v/>
      </c>
    </row>
    <row r="172" spans="1:18" x14ac:dyDescent="0.2">
      <c r="A172" s="72"/>
      <c r="B172" s="84"/>
      <c r="C172" s="73"/>
      <c r="D172" s="73" t="s">
        <v>961</v>
      </c>
      <c r="E172" s="77" t="s">
        <v>135</v>
      </c>
      <c r="F172" s="75" t="s">
        <v>2224</v>
      </c>
      <c r="G172" s="75" t="s">
        <v>1053</v>
      </c>
      <c r="H172" s="69"/>
      <c r="P172" s="69">
        <f t="shared" si="2"/>
        <v>0</v>
      </c>
      <c r="Q172" s="69" cm="1">
        <f t="array" ref="Q172">IF(P172=1,IF(SUMPRODUCT(($P$2:P172)*(--($G$2:G172=$G172)))=1,1,0),0)</f>
        <v>0</v>
      </c>
      <c r="R172" s="69" t="str">
        <f>IF(Q172=1,SUM($Q$2:Q172),"")</f>
        <v/>
      </c>
    </row>
    <row r="173" spans="1:18" x14ac:dyDescent="0.2">
      <c r="A173" s="72"/>
      <c r="B173" s="76"/>
      <c r="C173" s="73"/>
      <c r="D173" s="73" t="s">
        <v>962</v>
      </c>
      <c r="E173" s="77" t="s">
        <v>110</v>
      </c>
      <c r="F173" s="75" t="s">
        <v>1443</v>
      </c>
      <c r="G173" s="85" t="s">
        <v>1154</v>
      </c>
      <c r="H173" s="69"/>
      <c r="P173" s="69">
        <f t="shared" si="2"/>
        <v>0</v>
      </c>
      <c r="Q173" s="69" cm="1">
        <f t="array" ref="Q173">IF(P173=1,IF(SUMPRODUCT(($P$2:P173)*(--($G$2:G173=$G173)))=1,1,0),0)</f>
        <v>0</v>
      </c>
      <c r="R173" s="69" t="str">
        <f>IF(Q173=1,SUM($Q$2:Q173),"")</f>
        <v/>
      </c>
    </row>
    <row r="174" spans="1:18" x14ac:dyDescent="0.2">
      <c r="A174" s="72"/>
      <c r="B174" s="76"/>
      <c r="C174" s="73"/>
      <c r="D174" s="73" t="s">
        <v>962</v>
      </c>
      <c r="E174" s="77" t="s">
        <v>990</v>
      </c>
      <c r="F174" s="75" t="s">
        <v>1443</v>
      </c>
      <c r="G174" s="85" t="s">
        <v>1154</v>
      </c>
      <c r="H174" s="69"/>
      <c r="P174" s="69">
        <f t="shared" si="2"/>
        <v>0</v>
      </c>
      <c r="Q174" s="69" cm="1">
        <f t="array" ref="Q174">IF(P174=1,IF(SUMPRODUCT(($P$2:P174)*(--($G$2:G174=$G174)))=1,1,0),0)</f>
        <v>0</v>
      </c>
      <c r="R174" s="69" t="str">
        <f>IF(Q174=1,SUM($Q$2:Q174),"")</f>
        <v/>
      </c>
    </row>
    <row r="175" spans="1:18" x14ac:dyDescent="0.2">
      <c r="A175" s="72"/>
      <c r="B175" s="76"/>
      <c r="C175" s="73"/>
      <c r="D175" s="73" t="s">
        <v>962</v>
      </c>
      <c r="E175" s="77" t="s">
        <v>117</v>
      </c>
      <c r="F175" s="75" t="s">
        <v>1443</v>
      </c>
      <c r="G175" s="85" t="s">
        <v>1154</v>
      </c>
      <c r="H175" s="69"/>
      <c r="P175" s="69">
        <f t="shared" si="2"/>
        <v>0</v>
      </c>
      <c r="Q175" s="69" cm="1">
        <f t="array" ref="Q175">IF(P175=1,IF(SUMPRODUCT(($P$2:P175)*(--($G$2:G175=$G175)))=1,1,0),0)</f>
        <v>0</v>
      </c>
      <c r="R175" s="69" t="str">
        <f>IF(Q175=1,SUM($Q$2:Q175),"")</f>
        <v/>
      </c>
    </row>
    <row r="176" spans="1:18" x14ac:dyDescent="0.2">
      <c r="A176" s="72"/>
      <c r="B176" s="76"/>
      <c r="C176" s="73"/>
      <c r="D176" s="73" t="s">
        <v>962</v>
      </c>
      <c r="E176" s="77" t="s">
        <v>110</v>
      </c>
      <c r="F176" s="75" t="s">
        <v>1445</v>
      </c>
      <c r="G176" s="85" t="s">
        <v>1154</v>
      </c>
      <c r="H176" s="69"/>
      <c r="P176" s="69">
        <f t="shared" si="2"/>
        <v>0</v>
      </c>
      <c r="Q176" s="69" cm="1">
        <f t="array" ref="Q176">IF(P176=1,IF(SUMPRODUCT(($P$2:P176)*(--($G$2:G176=$G176)))=1,1,0),0)</f>
        <v>0</v>
      </c>
      <c r="R176" s="69" t="str">
        <f>IF(Q176=1,SUM($Q$2:Q176),"")</f>
        <v/>
      </c>
    </row>
    <row r="177" spans="1:18" x14ac:dyDescent="0.2">
      <c r="A177" s="72"/>
      <c r="B177" s="76"/>
      <c r="C177" s="73"/>
      <c r="D177" s="73" t="s">
        <v>962</v>
      </c>
      <c r="E177" s="77" t="s">
        <v>990</v>
      </c>
      <c r="F177" s="75" t="s">
        <v>1445</v>
      </c>
      <c r="G177" s="85" t="s">
        <v>1154</v>
      </c>
      <c r="H177" s="69"/>
      <c r="P177" s="69">
        <f t="shared" si="2"/>
        <v>0</v>
      </c>
      <c r="Q177" s="69" cm="1">
        <f t="array" ref="Q177">IF(P177=1,IF(SUMPRODUCT(($P$2:P177)*(--($G$2:G177=$G177)))=1,1,0),0)</f>
        <v>0</v>
      </c>
      <c r="R177" s="69" t="str">
        <f>IF(Q177=1,SUM($Q$2:Q177),"")</f>
        <v/>
      </c>
    </row>
    <row r="178" spans="1:18" x14ac:dyDescent="0.2">
      <c r="A178" s="72"/>
      <c r="B178" s="76"/>
      <c r="C178" s="73"/>
      <c r="D178" s="73" t="s">
        <v>962</v>
      </c>
      <c r="E178" s="77" t="s">
        <v>117</v>
      </c>
      <c r="F178" s="75" t="s">
        <v>1445</v>
      </c>
      <c r="G178" s="85" t="s">
        <v>1154</v>
      </c>
      <c r="H178" s="69"/>
      <c r="P178" s="69">
        <f t="shared" si="2"/>
        <v>0</v>
      </c>
      <c r="Q178" s="69" cm="1">
        <f t="array" ref="Q178">IF(P178=1,IF(SUMPRODUCT(($P$2:P178)*(--($G$2:G178=$G178)))=1,1,0),0)</f>
        <v>0</v>
      </c>
      <c r="R178" s="69" t="str">
        <f>IF(Q178=1,SUM($Q$2:Q178),"")</f>
        <v/>
      </c>
    </row>
    <row r="179" spans="1:18" x14ac:dyDescent="0.2">
      <c r="A179" s="72"/>
      <c r="B179" s="76"/>
      <c r="C179" s="73"/>
      <c r="D179" s="73" t="s">
        <v>962</v>
      </c>
      <c r="E179" s="77" t="s">
        <v>110</v>
      </c>
      <c r="F179" s="75" t="s">
        <v>1446</v>
      </c>
      <c r="G179" s="85" t="s">
        <v>1155</v>
      </c>
      <c r="H179" s="69"/>
      <c r="P179" s="69">
        <f t="shared" si="2"/>
        <v>0</v>
      </c>
      <c r="Q179" s="69" cm="1">
        <f t="array" ref="Q179">IF(P179=1,IF(SUMPRODUCT(($P$2:P179)*(--($G$2:G179=$G179)))=1,1,0),0)</f>
        <v>0</v>
      </c>
      <c r="R179" s="69" t="str">
        <f>IF(Q179=1,SUM($Q$2:Q179),"")</f>
        <v/>
      </c>
    </row>
    <row r="180" spans="1:18" x14ac:dyDescent="0.2">
      <c r="A180" s="72"/>
      <c r="B180" s="76"/>
      <c r="C180" s="73"/>
      <c r="D180" s="73" t="s">
        <v>962</v>
      </c>
      <c r="E180" s="77" t="s">
        <v>990</v>
      </c>
      <c r="F180" s="75" t="s">
        <v>1446</v>
      </c>
      <c r="G180" s="85" t="s">
        <v>1155</v>
      </c>
      <c r="H180" s="69"/>
      <c r="P180" s="69">
        <f t="shared" si="2"/>
        <v>0</v>
      </c>
      <c r="Q180" s="69" cm="1">
        <f t="array" ref="Q180">IF(P180=1,IF(SUMPRODUCT(($P$2:P180)*(--($G$2:G180=$G180)))=1,1,0),0)</f>
        <v>0</v>
      </c>
      <c r="R180" s="69" t="str">
        <f>IF(Q180=1,SUM($Q$2:Q180),"")</f>
        <v/>
      </c>
    </row>
    <row r="181" spans="1:18" x14ac:dyDescent="0.2">
      <c r="A181" s="72"/>
      <c r="B181" s="76"/>
      <c r="C181" s="73"/>
      <c r="D181" s="73" t="s">
        <v>962</v>
      </c>
      <c r="E181" s="77" t="s">
        <v>117</v>
      </c>
      <c r="F181" s="75" t="s">
        <v>1446</v>
      </c>
      <c r="G181" s="85" t="s">
        <v>1155</v>
      </c>
      <c r="H181" s="69"/>
      <c r="P181" s="69">
        <f t="shared" si="2"/>
        <v>0</v>
      </c>
      <c r="Q181" s="69" cm="1">
        <f t="array" ref="Q181">IF(P181=1,IF(SUMPRODUCT(($P$2:P181)*(--($G$2:G181=$G181)))=1,1,0),0)</f>
        <v>0</v>
      </c>
      <c r="R181" s="69" t="str">
        <f>IF(Q181=1,SUM($Q$2:Q181),"")</f>
        <v/>
      </c>
    </row>
    <row r="182" spans="1:18" x14ac:dyDescent="0.2">
      <c r="A182" s="72"/>
      <c r="B182" s="76"/>
      <c r="C182" s="73"/>
      <c r="D182" s="73" t="s">
        <v>962</v>
      </c>
      <c r="E182" s="77" t="s">
        <v>110</v>
      </c>
      <c r="F182" s="75" t="s">
        <v>1442</v>
      </c>
      <c r="G182" s="85" t="s">
        <v>1156</v>
      </c>
      <c r="H182" s="69"/>
      <c r="P182" s="69">
        <f t="shared" si="2"/>
        <v>0</v>
      </c>
      <c r="Q182" s="69" cm="1">
        <f t="array" ref="Q182">IF(P182=1,IF(SUMPRODUCT(($P$2:P182)*(--($G$2:G182=$G182)))=1,1,0),0)</f>
        <v>0</v>
      </c>
      <c r="R182" s="69" t="str">
        <f>IF(Q182=1,SUM($Q$2:Q182),"")</f>
        <v/>
      </c>
    </row>
    <row r="183" spans="1:18" x14ac:dyDescent="0.2">
      <c r="A183" s="72"/>
      <c r="B183" s="76"/>
      <c r="C183" s="73"/>
      <c r="D183" s="73" t="s">
        <v>962</v>
      </c>
      <c r="E183" s="77" t="s">
        <v>990</v>
      </c>
      <c r="F183" s="75" t="s">
        <v>1442</v>
      </c>
      <c r="G183" s="85" t="s">
        <v>1156</v>
      </c>
      <c r="H183" s="69"/>
      <c r="P183" s="69">
        <f t="shared" si="2"/>
        <v>0</v>
      </c>
      <c r="Q183" s="69" cm="1">
        <f t="array" ref="Q183">IF(P183=1,IF(SUMPRODUCT(($P$2:P183)*(--($G$2:G183=$G183)))=1,1,0),0)</f>
        <v>0</v>
      </c>
      <c r="R183" s="69" t="str">
        <f>IF(Q183=1,SUM($Q$2:Q183),"")</f>
        <v/>
      </c>
    </row>
    <row r="184" spans="1:18" x14ac:dyDescent="0.2">
      <c r="A184" s="72"/>
      <c r="B184" s="76"/>
      <c r="C184" s="73"/>
      <c r="D184" s="73" t="s">
        <v>962</v>
      </c>
      <c r="E184" s="77" t="s">
        <v>117</v>
      </c>
      <c r="F184" s="75" t="s">
        <v>1442</v>
      </c>
      <c r="G184" s="85" t="s">
        <v>1156</v>
      </c>
      <c r="H184" s="69"/>
      <c r="P184" s="69">
        <f t="shared" si="2"/>
        <v>0</v>
      </c>
      <c r="Q184" s="69" cm="1">
        <f t="array" ref="Q184">IF(P184=1,IF(SUMPRODUCT(($P$2:P184)*(--($G$2:G184=$G184)))=1,1,0),0)</f>
        <v>0</v>
      </c>
      <c r="R184" s="69" t="str">
        <f>IF(Q184=1,SUM($Q$2:Q184),"")</f>
        <v/>
      </c>
    </row>
    <row r="185" spans="1:18" x14ac:dyDescent="0.2">
      <c r="A185" s="72"/>
      <c r="B185" s="76"/>
      <c r="C185" s="73"/>
      <c r="D185" s="73" t="s">
        <v>962</v>
      </c>
      <c r="E185" s="77" t="s">
        <v>110</v>
      </c>
      <c r="F185" s="75" t="s">
        <v>1467</v>
      </c>
      <c r="G185" s="85" t="s">
        <v>1150</v>
      </c>
      <c r="H185" s="69"/>
      <c r="P185" s="69">
        <f t="shared" si="2"/>
        <v>0</v>
      </c>
      <c r="Q185" s="69" cm="1">
        <f t="array" ref="Q185">IF(P185=1,IF(SUMPRODUCT(($P$2:P185)*(--($G$2:G185=$G185)))=1,1,0),0)</f>
        <v>0</v>
      </c>
      <c r="R185" s="69" t="str">
        <f>IF(Q185=1,SUM($Q$2:Q185),"")</f>
        <v/>
      </c>
    </row>
    <row r="186" spans="1:18" x14ac:dyDescent="0.2">
      <c r="A186" s="72"/>
      <c r="B186" s="76"/>
      <c r="C186" s="73"/>
      <c r="D186" s="73" t="s">
        <v>962</v>
      </c>
      <c r="E186" s="77" t="s">
        <v>990</v>
      </c>
      <c r="F186" s="75" t="s">
        <v>1467</v>
      </c>
      <c r="G186" s="85" t="s">
        <v>1150</v>
      </c>
      <c r="H186" s="69"/>
      <c r="P186" s="69">
        <f t="shared" si="2"/>
        <v>0</v>
      </c>
      <c r="Q186" s="69" cm="1">
        <f t="array" ref="Q186">IF(P186=1,IF(SUMPRODUCT(($P$2:P186)*(--($G$2:G186=$G186)))=1,1,0),0)</f>
        <v>0</v>
      </c>
      <c r="R186" s="69" t="str">
        <f>IF(Q186=1,SUM($Q$2:Q186),"")</f>
        <v/>
      </c>
    </row>
    <row r="187" spans="1:18" x14ac:dyDescent="0.2">
      <c r="A187" s="72"/>
      <c r="B187" s="76"/>
      <c r="C187" s="73"/>
      <c r="D187" s="73" t="s">
        <v>962</v>
      </c>
      <c r="E187" s="77" t="s">
        <v>110</v>
      </c>
      <c r="F187" s="75" t="s">
        <v>1465</v>
      </c>
      <c r="G187" s="85" t="s">
        <v>1151</v>
      </c>
      <c r="H187" s="69"/>
      <c r="P187" s="69">
        <f t="shared" si="2"/>
        <v>0</v>
      </c>
      <c r="Q187" s="69" cm="1">
        <f t="array" ref="Q187">IF(P187=1,IF(SUMPRODUCT(($P$2:P187)*(--($G$2:G187=$G187)))=1,1,0),0)</f>
        <v>0</v>
      </c>
      <c r="R187" s="69" t="str">
        <f>IF(Q187=1,SUM($Q$2:Q187),"")</f>
        <v/>
      </c>
    </row>
    <row r="188" spans="1:18" x14ac:dyDescent="0.2">
      <c r="A188" s="72"/>
      <c r="B188" s="76"/>
      <c r="C188" s="73"/>
      <c r="D188" s="73" t="s">
        <v>962</v>
      </c>
      <c r="E188" s="77" t="s">
        <v>990</v>
      </c>
      <c r="F188" s="75" t="s">
        <v>1465</v>
      </c>
      <c r="G188" s="85" t="s">
        <v>1151</v>
      </c>
      <c r="H188" s="69"/>
      <c r="P188" s="69">
        <f t="shared" si="2"/>
        <v>0</v>
      </c>
      <c r="Q188" s="69" cm="1">
        <f t="array" ref="Q188">IF(P188=1,IF(SUMPRODUCT(($P$2:P188)*(--($G$2:G188=$G188)))=1,1,0),0)</f>
        <v>0</v>
      </c>
      <c r="R188" s="69" t="str">
        <f>IF(Q188=1,SUM($Q$2:Q188),"")</f>
        <v/>
      </c>
    </row>
    <row r="189" spans="1:18" x14ac:dyDescent="0.2">
      <c r="A189" s="72"/>
      <c r="B189" s="76"/>
      <c r="C189" s="73"/>
      <c r="D189" s="73" t="s">
        <v>962</v>
      </c>
      <c r="E189" s="77" t="s">
        <v>110</v>
      </c>
      <c r="F189" s="75" t="s">
        <v>1466</v>
      </c>
      <c r="G189" s="85" t="s">
        <v>1152</v>
      </c>
      <c r="H189" s="69"/>
      <c r="P189" s="69">
        <f t="shared" si="2"/>
        <v>0</v>
      </c>
      <c r="Q189" s="69" cm="1">
        <f t="array" ref="Q189">IF(P189=1,IF(SUMPRODUCT(($P$2:P189)*(--($G$2:G189=$G189)))=1,1,0),0)</f>
        <v>0</v>
      </c>
      <c r="R189" s="69" t="str">
        <f>IF(Q189=1,SUM($Q$2:Q189),"")</f>
        <v/>
      </c>
    </row>
    <row r="190" spans="1:18" x14ac:dyDescent="0.2">
      <c r="A190" s="72"/>
      <c r="B190" s="76"/>
      <c r="C190" s="73"/>
      <c r="D190" s="73" t="s">
        <v>962</v>
      </c>
      <c r="E190" s="77" t="s">
        <v>990</v>
      </c>
      <c r="F190" s="75" t="s">
        <v>1466</v>
      </c>
      <c r="G190" s="85" t="s">
        <v>1152</v>
      </c>
      <c r="H190" s="69"/>
      <c r="P190" s="69">
        <f t="shared" si="2"/>
        <v>0</v>
      </c>
      <c r="Q190" s="69" cm="1">
        <f t="array" ref="Q190">IF(P190=1,IF(SUMPRODUCT(($P$2:P190)*(--($G$2:G190=$G190)))=1,1,0),0)</f>
        <v>0</v>
      </c>
      <c r="R190" s="69" t="str">
        <f>IF(Q190=1,SUM($Q$2:Q190),"")</f>
        <v/>
      </c>
    </row>
    <row r="191" spans="1:18" ht="16" x14ac:dyDescent="0.2">
      <c r="A191" s="72"/>
      <c r="B191" s="76"/>
      <c r="C191" s="73"/>
      <c r="D191" s="73" t="s">
        <v>962</v>
      </c>
      <c r="E191" s="77" t="s">
        <v>110</v>
      </c>
      <c r="F191" s="75" t="s">
        <v>1453</v>
      </c>
      <c r="G191" s="74" t="s">
        <v>1153</v>
      </c>
      <c r="H191" s="69"/>
      <c r="P191" s="69">
        <f t="shared" si="2"/>
        <v>0</v>
      </c>
      <c r="Q191" s="69" cm="1">
        <f t="array" ref="Q191">IF(P191=1,IF(SUMPRODUCT(($P$2:P191)*(--($G$2:G191=$G191)))=1,1,0),0)</f>
        <v>0</v>
      </c>
      <c r="R191" s="69" t="str">
        <f>IF(Q191=1,SUM($Q$2:Q191),"")</f>
        <v/>
      </c>
    </row>
    <row r="192" spans="1:18" ht="16" x14ac:dyDescent="0.2">
      <c r="A192" s="72"/>
      <c r="B192" s="76"/>
      <c r="C192" s="73"/>
      <c r="D192" s="73" t="s">
        <v>962</v>
      </c>
      <c r="E192" s="77" t="s">
        <v>990</v>
      </c>
      <c r="F192" s="75" t="s">
        <v>1453</v>
      </c>
      <c r="G192" s="74" t="s">
        <v>1153</v>
      </c>
      <c r="H192" s="69"/>
      <c r="P192" s="69">
        <f t="shared" si="2"/>
        <v>0</v>
      </c>
      <c r="Q192" s="69" cm="1">
        <f t="array" ref="Q192">IF(P192=1,IF(SUMPRODUCT(($P$2:P192)*(--($G$2:G192=$G192)))=1,1,0),0)</f>
        <v>0</v>
      </c>
      <c r="R192" s="69" t="str">
        <f>IF(Q192=1,SUM($Q$2:Q192),"")</f>
        <v/>
      </c>
    </row>
    <row r="193" spans="1:18" ht="16" x14ac:dyDescent="0.2">
      <c r="A193" s="72"/>
      <c r="B193" s="76"/>
      <c r="C193" s="73"/>
      <c r="D193" s="73" t="s">
        <v>962</v>
      </c>
      <c r="E193" s="77" t="s">
        <v>117</v>
      </c>
      <c r="F193" s="75" t="s">
        <v>1453</v>
      </c>
      <c r="G193" s="74" t="s">
        <v>1153</v>
      </c>
      <c r="H193" s="69"/>
      <c r="P193" s="69">
        <f t="shared" si="2"/>
        <v>0</v>
      </c>
      <c r="Q193" s="69" cm="1">
        <f t="array" ref="Q193">IF(P193=1,IF(SUMPRODUCT(($P$2:P193)*(--($G$2:G193=$G193)))=1,1,0),0)</f>
        <v>0</v>
      </c>
      <c r="R193" s="69" t="str">
        <f>IF(Q193=1,SUM($Q$2:Q193),"")</f>
        <v/>
      </c>
    </row>
    <row r="194" spans="1:18" ht="16" x14ac:dyDescent="0.2">
      <c r="A194" s="72"/>
      <c r="B194" s="76"/>
      <c r="C194" s="73"/>
      <c r="D194" s="73" t="s">
        <v>962</v>
      </c>
      <c r="E194" s="77" t="s">
        <v>110</v>
      </c>
      <c r="F194" s="75" t="s">
        <v>1454</v>
      </c>
      <c r="G194" s="74" t="s">
        <v>1153</v>
      </c>
      <c r="H194" s="69"/>
      <c r="P194" s="69">
        <f t="shared" si="2"/>
        <v>0</v>
      </c>
      <c r="Q194" s="69" cm="1">
        <f t="array" ref="Q194">IF(P194=1,IF(SUMPRODUCT(($P$2:P194)*(--($G$2:G194=$G194)))=1,1,0),0)</f>
        <v>0</v>
      </c>
      <c r="R194" s="69" t="str">
        <f>IF(Q194=1,SUM($Q$2:Q194),"")</f>
        <v/>
      </c>
    </row>
    <row r="195" spans="1:18" ht="16" x14ac:dyDescent="0.2">
      <c r="A195" s="72"/>
      <c r="B195" s="76"/>
      <c r="C195" s="73"/>
      <c r="D195" s="73" t="s">
        <v>962</v>
      </c>
      <c r="E195" s="77" t="s">
        <v>990</v>
      </c>
      <c r="F195" s="75" t="s">
        <v>1454</v>
      </c>
      <c r="G195" s="74" t="s">
        <v>1153</v>
      </c>
      <c r="H195" s="69"/>
      <c r="P195" s="69">
        <f t="shared" ref="P195:P258" si="3">IF(AND(IF(TRIM($J$2&amp;"")="",TRUE,LEFT($D195,LEN($J$2))=$J$2),IF(TRIM($K$2&amp;"")="",TRUE,$E195=$K$2),IF($L$2="",TRUE,$F195=$L$2)),1,0)</f>
        <v>0</v>
      </c>
      <c r="Q195" s="69" cm="1">
        <f t="array" ref="Q195">IF(P195=1,IF(SUMPRODUCT(($P$2:P195)*(--($G$2:G195=$G195)))=1,1,0),0)</f>
        <v>0</v>
      </c>
      <c r="R195" s="69" t="str">
        <f>IF(Q195=1,SUM($Q$2:Q195),"")</f>
        <v/>
      </c>
    </row>
    <row r="196" spans="1:18" ht="16" x14ac:dyDescent="0.2">
      <c r="A196" s="72"/>
      <c r="B196" s="76"/>
      <c r="C196" s="73"/>
      <c r="D196" s="73" t="s">
        <v>962</v>
      </c>
      <c r="E196" s="77" t="s">
        <v>117</v>
      </c>
      <c r="F196" s="75" t="s">
        <v>1454</v>
      </c>
      <c r="G196" s="74" t="s">
        <v>1153</v>
      </c>
      <c r="H196" s="69"/>
      <c r="P196" s="69">
        <f t="shared" si="3"/>
        <v>0</v>
      </c>
      <c r="Q196" s="69" cm="1">
        <f t="array" ref="Q196">IF(P196=1,IF(SUMPRODUCT(($P$2:P196)*(--($G$2:G196=$G196)))=1,1,0),0)</f>
        <v>0</v>
      </c>
      <c r="R196" s="69" t="str">
        <f>IF(Q196=1,SUM($Q$2:Q196),"")</f>
        <v/>
      </c>
    </row>
    <row r="197" spans="1:18" ht="16" x14ac:dyDescent="0.2">
      <c r="A197" s="72"/>
      <c r="B197" s="76"/>
      <c r="C197" s="73"/>
      <c r="D197" s="73" t="s">
        <v>962</v>
      </c>
      <c r="E197" s="77" t="s">
        <v>110</v>
      </c>
      <c r="F197" s="75" t="s">
        <v>1455</v>
      </c>
      <c r="G197" s="74" t="s">
        <v>1153</v>
      </c>
      <c r="H197" s="69"/>
      <c r="P197" s="69">
        <f t="shared" si="3"/>
        <v>0</v>
      </c>
      <c r="Q197" s="69" cm="1">
        <f t="array" ref="Q197">IF(P197=1,IF(SUMPRODUCT(($P$2:P197)*(--($G$2:G197=$G197)))=1,1,0),0)</f>
        <v>0</v>
      </c>
      <c r="R197" s="69" t="str">
        <f>IF(Q197=1,SUM($Q$2:Q197),"")</f>
        <v/>
      </c>
    </row>
    <row r="198" spans="1:18" ht="16" x14ac:dyDescent="0.2">
      <c r="A198" s="72"/>
      <c r="B198" s="76"/>
      <c r="C198" s="73"/>
      <c r="D198" s="73" t="s">
        <v>962</v>
      </c>
      <c r="E198" s="77" t="s">
        <v>990</v>
      </c>
      <c r="F198" s="75" t="s">
        <v>1455</v>
      </c>
      <c r="G198" s="74" t="s">
        <v>1153</v>
      </c>
      <c r="H198" s="69"/>
      <c r="P198" s="69">
        <f t="shared" si="3"/>
        <v>0</v>
      </c>
      <c r="Q198" s="69" cm="1">
        <f t="array" ref="Q198">IF(P198=1,IF(SUMPRODUCT(($P$2:P198)*(--($G$2:G198=$G198)))=1,1,0),0)</f>
        <v>0</v>
      </c>
      <c r="R198" s="69" t="str">
        <f>IF(Q198=1,SUM($Q$2:Q198),"")</f>
        <v/>
      </c>
    </row>
    <row r="199" spans="1:18" ht="16" x14ac:dyDescent="0.2">
      <c r="A199" s="72"/>
      <c r="B199" s="76"/>
      <c r="C199" s="73"/>
      <c r="D199" s="73" t="s">
        <v>962</v>
      </c>
      <c r="E199" s="77" t="s">
        <v>117</v>
      </c>
      <c r="F199" s="75" t="s">
        <v>1455</v>
      </c>
      <c r="G199" s="74" t="s">
        <v>1153</v>
      </c>
      <c r="H199" s="69"/>
      <c r="P199" s="69">
        <f t="shared" si="3"/>
        <v>0</v>
      </c>
      <c r="Q199" s="69" cm="1">
        <f t="array" ref="Q199">IF(P199=1,IF(SUMPRODUCT(($P$2:P199)*(--($G$2:G199=$G199)))=1,1,0),0)</f>
        <v>0</v>
      </c>
      <c r="R199" s="69" t="str">
        <f>IF(Q199=1,SUM($Q$2:Q199),"")</f>
        <v/>
      </c>
    </row>
    <row r="200" spans="1:18" ht="16" x14ac:dyDescent="0.2">
      <c r="A200" s="72"/>
      <c r="B200" s="76"/>
      <c r="C200" s="73"/>
      <c r="D200" s="73" t="s">
        <v>962</v>
      </c>
      <c r="E200" s="77" t="s">
        <v>110</v>
      </c>
      <c r="F200" s="75" t="s">
        <v>1457</v>
      </c>
      <c r="G200" s="74" t="s">
        <v>1153</v>
      </c>
      <c r="H200" s="69"/>
      <c r="P200" s="69">
        <f t="shared" si="3"/>
        <v>0</v>
      </c>
      <c r="Q200" s="69" cm="1">
        <f t="array" ref="Q200">IF(P200=1,IF(SUMPRODUCT(($P$2:P200)*(--($G$2:G200=$G200)))=1,1,0),0)</f>
        <v>0</v>
      </c>
      <c r="R200" s="69" t="str">
        <f>IF(Q200=1,SUM($Q$2:Q200),"")</f>
        <v/>
      </c>
    </row>
    <row r="201" spans="1:18" ht="16" x14ac:dyDescent="0.2">
      <c r="A201" s="72"/>
      <c r="B201" s="76"/>
      <c r="C201" s="73"/>
      <c r="D201" s="73" t="s">
        <v>962</v>
      </c>
      <c r="E201" s="77" t="s">
        <v>990</v>
      </c>
      <c r="F201" s="75" t="s">
        <v>1457</v>
      </c>
      <c r="G201" s="74" t="s">
        <v>1153</v>
      </c>
      <c r="H201" s="69"/>
      <c r="P201" s="69">
        <f t="shared" si="3"/>
        <v>0</v>
      </c>
      <c r="Q201" s="69" cm="1">
        <f t="array" ref="Q201">IF(P201=1,IF(SUMPRODUCT(($P$2:P201)*(--($G$2:G201=$G201)))=1,1,0),0)</f>
        <v>0</v>
      </c>
      <c r="R201" s="69" t="str">
        <f>IF(Q201=1,SUM($Q$2:Q201),"")</f>
        <v/>
      </c>
    </row>
    <row r="202" spans="1:18" ht="16" x14ac:dyDescent="0.2">
      <c r="A202" s="72"/>
      <c r="B202" s="76"/>
      <c r="C202" s="73"/>
      <c r="D202" s="73" t="s">
        <v>962</v>
      </c>
      <c r="E202" s="77" t="s">
        <v>117</v>
      </c>
      <c r="F202" s="75" t="s">
        <v>1457</v>
      </c>
      <c r="G202" s="74" t="s">
        <v>1153</v>
      </c>
      <c r="H202" s="69"/>
      <c r="P202" s="69">
        <f t="shared" si="3"/>
        <v>0</v>
      </c>
      <c r="Q202" s="69" cm="1">
        <f t="array" ref="Q202">IF(P202=1,IF(SUMPRODUCT(($P$2:P202)*(--($G$2:G202=$G202)))=1,1,0),0)</f>
        <v>0</v>
      </c>
      <c r="R202" s="69" t="str">
        <f>IF(Q202=1,SUM($Q$2:Q202),"")</f>
        <v/>
      </c>
    </row>
    <row r="203" spans="1:18" ht="16" x14ac:dyDescent="0.2">
      <c r="A203" s="72"/>
      <c r="B203" s="84"/>
      <c r="C203" s="73"/>
      <c r="D203" s="73" t="s">
        <v>971</v>
      </c>
      <c r="E203" s="77" t="s">
        <v>110</v>
      </c>
      <c r="F203" s="75" t="s">
        <v>315</v>
      </c>
      <c r="G203" s="74" t="s">
        <v>543</v>
      </c>
      <c r="H203" s="69"/>
      <c r="P203" s="69">
        <f t="shared" si="3"/>
        <v>0</v>
      </c>
      <c r="Q203" s="69" cm="1">
        <f t="array" ref="Q203">IF(P203=1,IF(SUMPRODUCT(($P$2:P203)*(--($G$2:G203=$G203)))=1,1,0),0)</f>
        <v>0</v>
      </c>
      <c r="R203" s="69" t="str">
        <f>IF(Q203=1,SUM($Q$2:Q203),"")</f>
        <v/>
      </c>
    </row>
    <row r="204" spans="1:18" ht="16" x14ac:dyDescent="0.2">
      <c r="A204" s="72"/>
      <c r="B204" s="84"/>
      <c r="C204" s="73"/>
      <c r="D204" s="73" t="s">
        <v>971</v>
      </c>
      <c r="E204" s="77" t="s">
        <v>110</v>
      </c>
      <c r="F204" s="75" t="s">
        <v>315</v>
      </c>
      <c r="G204" s="74" t="s">
        <v>545</v>
      </c>
      <c r="H204" s="69"/>
      <c r="P204" s="69">
        <f t="shared" si="3"/>
        <v>0</v>
      </c>
      <c r="Q204" s="69" cm="1">
        <f t="array" ref="Q204">IF(P204=1,IF(SUMPRODUCT(($P$2:P204)*(--($G$2:G204=$G204)))=1,1,0),0)</f>
        <v>0</v>
      </c>
      <c r="R204" s="69" t="str">
        <f>IF(Q204=1,SUM($Q$2:Q204),"")</f>
        <v/>
      </c>
    </row>
    <row r="205" spans="1:18" ht="16" x14ac:dyDescent="0.2">
      <c r="A205" s="72"/>
      <c r="B205" s="84"/>
      <c r="C205" s="73"/>
      <c r="D205" s="73" t="s">
        <v>971</v>
      </c>
      <c r="E205" s="77" t="s">
        <v>110</v>
      </c>
      <c r="F205" s="75" t="s">
        <v>315</v>
      </c>
      <c r="G205" s="74" t="s">
        <v>547</v>
      </c>
      <c r="H205" s="69"/>
      <c r="P205" s="69">
        <f t="shared" si="3"/>
        <v>0</v>
      </c>
      <c r="Q205" s="69" cm="1">
        <f t="array" ref="Q205">IF(P205=1,IF(SUMPRODUCT(($P$2:P205)*(--($G$2:G205=$G205)))=1,1,0),0)</f>
        <v>0</v>
      </c>
      <c r="R205" s="69" t="str">
        <f>IF(Q205=1,SUM($Q$2:Q205),"")</f>
        <v/>
      </c>
    </row>
    <row r="206" spans="1:18" ht="16" x14ac:dyDescent="0.2">
      <c r="A206" s="72"/>
      <c r="B206" s="84"/>
      <c r="C206" s="73"/>
      <c r="D206" s="73" t="s">
        <v>971</v>
      </c>
      <c r="E206" s="77" t="s">
        <v>110</v>
      </c>
      <c r="F206" s="75" t="s">
        <v>1470</v>
      </c>
      <c r="G206" s="74" t="s">
        <v>549</v>
      </c>
      <c r="H206" s="69"/>
      <c r="P206" s="69">
        <f t="shared" si="3"/>
        <v>0</v>
      </c>
      <c r="Q206" s="69" cm="1">
        <f t="array" ref="Q206">IF(P206=1,IF(SUMPRODUCT(($P$2:P206)*(--($G$2:G206=$G206)))=1,1,0),0)</f>
        <v>0</v>
      </c>
      <c r="R206" s="69" t="str">
        <f>IF(Q206=1,SUM($Q$2:Q206),"")</f>
        <v/>
      </c>
    </row>
    <row r="207" spans="1:18" ht="16" x14ac:dyDescent="0.2">
      <c r="A207" s="72"/>
      <c r="B207" s="84"/>
      <c r="C207" s="73"/>
      <c r="D207" s="73" t="s">
        <v>971</v>
      </c>
      <c r="E207" s="77" t="s">
        <v>110</v>
      </c>
      <c r="F207" s="75" t="s">
        <v>1470</v>
      </c>
      <c r="G207" s="74" t="s">
        <v>551</v>
      </c>
      <c r="H207" s="69"/>
      <c r="P207" s="69">
        <f t="shared" si="3"/>
        <v>0</v>
      </c>
      <c r="Q207" s="69" cm="1">
        <f t="array" ref="Q207">IF(P207=1,IF(SUMPRODUCT(($P$2:P207)*(--($G$2:G207=$G207)))=1,1,0),0)</f>
        <v>0</v>
      </c>
      <c r="R207" s="69" t="str">
        <f>IF(Q207=1,SUM($Q$2:Q207),"")</f>
        <v/>
      </c>
    </row>
    <row r="208" spans="1:18" ht="16" x14ac:dyDescent="0.2">
      <c r="A208" s="72"/>
      <c r="B208" s="76"/>
      <c r="C208" s="73"/>
      <c r="D208" s="73" t="s">
        <v>973</v>
      </c>
      <c r="E208" s="77" t="s">
        <v>110</v>
      </c>
      <c r="F208" s="75" t="s">
        <v>320</v>
      </c>
      <c r="G208" s="74" t="s">
        <v>1201</v>
      </c>
      <c r="H208" s="69"/>
      <c r="P208" s="69">
        <f t="shared" si="3"/>
        <v>0</v>
      </c>
      <c r="Q208" s="69" cm="1">
        <f t="array" ref="Q208">IF(P208=1,IF(SUMPRODUCT(($P$2:P208)*(--($G$2:G208=$G208)))=1,1,0),0)</f>
        <v>0</v>
      </c>
      <c r="R208" s="69" t="str">
        <f>IF(Q208=1,SUM($Q$2:Q208),"")</f>
        <v/>
      </c>
    </row>
    <row r="209" spans="1:18" ht="16" x14ac:dyDescent="0.2">
      <c r="A209" s="72"/>
      <c r="B209" s="76"/>
      <c r="C209" s="73"/>
      <c r="D209" s="73" t="s">
        <v>973</v>
      </c>
      <c r="E209" s="77" t="s">
        <v>990</v>
      </c>
      <c r="F209" s="75" t="s">
        <v>320</v>
      </c>
      <c r="G209" s="74" t="s">
        <v>1201</v>
      </c>
      <c r="H209" s="69"/>
      <c r="P209" s="69">
        <f t="shared" si="3"/>
        <v>0</v>
      </c>
      <c r="Q209" s="69" cm="1">
        <f t="array" ref="Q209">IF(P209=1,IF(SUMPRODUCT(($P$2:P209)*(--($G$2:G209=$G209)))=1,1,0),0)</f>
        <v>0</v>
      </c>
      <c r="R209" s="69" t="str">
        <f>IF(Q209=1,SUM($Q$2:Q209),"")</f>
        <v/>
      </c>
    </row>
    <row r="210" spans="1:18" ht="16" x14ac:dyDescent="0.2">
      <c r="A210" s="72"/>
      <c r="B210" s="76"/>
      <c r="C210" s="73"/>
      <c r="D210" s="73" t="s">
        <v>973</v>
      </c>
      <c r="E210" s="77" t="s">
        <v>110</v>
      </c>
      <c r="F210" s="75" t="s">
        <v>1471</v>
      </c>
      <c r="G210" s="74" t="s">
        <v>1204</v>
      </c>
      <c r="H210" s="69"/>
      <c r="P210" s="69">
        <f t="shared" si="3"/>
        <v>0</v>
      </c>
      <c r="Q210" s="69" cm="1">
        <f t="array" ref="Q210">IF(P210=1,IF(SUMPRODUCT(($P$2:P210)*(--($G$2:G210=$G210)))=1,1,0),0)</f>
        <v>0</v>
      </c>
      <c r="R210" s="69" t="str">
        <f>IF(Q210=1,SUM($Q$2:Q210),"")</f>
        <v/>
      </c>
    </row>
    <row r="211" spans="1:18" ht="16" x14ac:dyDescent="0.2">
      <c r="A211" s="72"/>
      <c r="B211" s="76"/>
      <c r="C211" s="73"/>
      <c r="D211" s="73" t="s">
        <v>973</v>
      </c>
      <c r="E211" s="77" t="s">
        <v>990</v>
      </c>
      <c r="F211" s="75" t="s">
        <v>1471</v>
      </c>
      <c r="G211" s="74" t="s">
        <v>1204</v>
      </c>
      <c r="H211" s="69"/>
      <c r="P211" s="69">
        <f t="shared" si="3"/>
        <v>0</v>
      </c>
      <c r="Q211" s="69" cm="1">
        <f t="array" ref="Q211">IF(P211=1,IF(SUMPRODUCT(($P$2:P211)*(--($G$2:G211=$G211)))=1,1,0),0)</f>
        <v>0</v>
      </c>
      <c r="R211" s="69" t="str">
        <f>IF(Q211=1,SUM($Q$2:Q211),"")</f>
        <v/>
      </c>
    </row>
    <row r="212" spans="1:18" x14ac:dyDescent="0.2">
      <c r="A212" s="72"/>
      <c r="B212" s="76"/>
      <c r="C212" s="73"/>
      <c r="D212" s="73" t="s">
        <v>973</v>
      </c>
      <c r="E212" s="77" t="s">
        <v>110</v>
      </c>
      <c r="F212" s="75" t="s">
        <v>1472</v>
      </c>
      <c r="G212" s="75" t="s">
        <v>1203</v>
      </c>
      <c r="H212" s="69"/>
      <c r="P212" s="69">
        <f t="shared" si="3"/>
        <v>0</v>
      </c>
      <c r="Q212" s="69" cm="1">
        <f t="array" ref="Q212">IF(P212=1,IF(SUMPRODUCT(($P$2:P212)*(--($G$2:G212=$G212)))=1,1,0),0)</f>
        <v>0</v>
      </c>
      <c r="R212" s="69" t="str">
        <f>IF(Q212=1,SUM($Q$2:Q212),"")</f>
        <v/>
      </c>
    </row>
    <row r="213" spans="1:18" x14ac:dyDescent="0.2">
      <c r="A213" s="72"/>
      <c r="B213" s="76"/>
      <c r="C213" s="73"/>
      <c r="D213" s="73" t="s">
        <v>973</v>
      </c>
      <c r="E213" s="77" t="s">
        <v>990</v>
      </c>
      <c r="F213" s="75" t="s">
        <v>1472</v>
      </c>
      <c r="G213" s="75" t="s">
        <v>1203</v>
      </c>
      <c r="H213" s="69"/>
      <c r="P213" s="69">
        <f t="shared" si="3"/>
        <v>0</v>
      </c>
      <c r="Q213" s="69" cm="1">
        <f t="array" ref="Q213">IF(P213=1,IF(SUMPRODUCT(($P$2:P213)*(--($G$2:G213=$G213)))=1,1,0),0)</f>
        <v>0</v>
      </c>
      <c r="R213" s="69" t="str">
        <f>IF(Q213=1,SUM($Q$2:Q213),"")</f>
        <v/>
      </c>
    </row>
    <row r="214" spans="1:18" x14ac:dyDescent="0.2">
      <c r="A214" s="72"/>
      <c r="B214" s="76"/>
      <c r="C214" s="73"/>
      <c r="D214" s="73" t="s">
        <v>973</v>
      </c>
      <c r="E214" s="77" t="s">
        <v>110</v>
      </c>
      <c r="F214" s="75" t="s">
        <v>1473</v>
      </c>
      <c r="G214" s="75" t="s">
        <v>1203</v>
      </c>
      <c r="H214" s="69"/>
      <c r="P214" s="69">
        <f t="shared" si="3"/>
        <v>0</v>
      </c>
      <c r="Q214" s="69" cm="1">
        <f t="array" ref="Q214">IF(P214=1,IF(SUMPRODUCT(($P$2:P214)*(--($G$2:G214=$G214)))=1,1,0),0)</f>
        <v>0</v>
      </c>
      <c r="R214" s="69" t="str">
        <f>IF(Q214=1,SUM($Q$2:Q214),"")</f>
        <v/>
      </c>
    </row>
    <row r="215" spans="1:18" x14ac:dyDescent="0.2">
      <c r="A215" s="72"/>
      <c r="B215" s="76"/>
      <c r="C215" s="73"/>
      <c r="D215" s="73" t="s">
        <v>973</v>
      </c>
      <c r="E215" s="77" t="s">
        <v>990</v>
      </c>
      <c r="F215" s="75" t="s">
        <v>1473</v>
      </c>
      <c r="G215" s="75" t="s">
        <v>1203</v>
      </c>
      <c r="H215" s="69"/>
      <c r="P215" s="69">
        <f t="shared" si="3"/>
        <v>0</v>
      </c>
      <c r="Q215" s="69" cm="1">
        <f t="array" ref="Q215">IF(P215=1,IF(SUMPRODUCT(($P$2:P215)*(--($G$2:G215=$G215)))=1,1,0),0)</f>
        <v>0</v>
      </c>
      <c r="R215" s="69" t="str">
        <f>IF(Q215=1,SUM($Q$2:Q215),"")</f>
        <v/>
      </c>
    </row>
    <row r="216" spans="1:18" x14ac:dyDescent="0.2">
      <c r="A216" s="72"/>
      <c r="B216" s="76"/>
      <c r="C216" s="73"/>
      <c r="D216" s="73" t="s">
        <v>973</v>
      </c>
      <c r="E216" s="77" t="s">
        <v>110</v>
      </c>
      <c r="F216" s="75" t="s">
        <v>1474</v>
      </c>
      <c r="G216" s="75" t="s">
        <v>1203</v>
      </c>
      <c r="H216" s="69"/>
      <c r="P216" s="69">
        <f t="shared" si="3"/>
        <v>0</v>
      </c>
      <c r="Q216" s="69" cm="1">
        <f t="array" ref="Q216">IF(P216=1,IF(SUMPRODUCT(($P$2:P216)*(--($G$2:G216=$G216)))=1,1,0),0)</f>
        <v>0</v>
      </c>
      <c r="R216" s="69" t="str">
        <f>IF(Q216=1,SUM($Q$2:Q216),"")</f>
        <v/>
      </c>
    </row>
    <row r="217" spans="1:18" x14ac:dyDescent="0.2">
      <c r="A217" s="72"/>
      <c r="B217" s="76"/>
      <c r="C217" s="73"/>
      <c r="D217" s="73" t="s">
        <v>973</v>
      </c>
      <c r="E217" s="77" t="s">
        <v>990</v>
      </c>
      <c r="F217" s="75" t="s">
        <v>1474</v>
      </c>
      <c r="G217" s="75" t="s">
        <v>1203</v>
      </c>
      <c r="H217" s="69"/>
      <c r="P217" s="69">
        <f t="shared" si="3"/>
        <v>0</v>
      </c>
      <c r="Q217" s="69" cm="1">
        <f t="array" ref="Q217">IF(P217=1,IF(SUMPRODUCT(($P$2:P217)*(--($G$2:G217=$G217)))=1,1,0),0)</f>
        <v>0</v>
      </c>
      <c r="R217" s="69" t="str">
        <f>IF(Q217=1,SUM($Q$2:Q217),"")</f>
        <v/>
      </c>
    </row>
    <row r="218" spans="1:18" ht="16" x14ac:dyDescent="0.2">
      <c r="A218" s="72"/>
      <c r="B218" s="76"/>
      <c r="C218" s="73"/>
      <c r="D218" s="73" t="s">
        <v>973</v>
      </c>
      <c r="E218" s="77" t="s">
        <v>110</v>
      </c>
      <c r="F218" s="75" t="s">
        <v>1475</v>
      </c>
      <c r="G218" s="74" t="s">
        <v>1202</v>
      </c>
      <c r="H218" s="69"/>
      <c r="P218" s="69">
        <f t="shared" si="3"/>
        <v>0</v>
      </c>
      <c r="Q218" s="69" cm="1">
        <f t="array" ref="Q218">IF(P218=1,IF(SUMPRODUCT(($P$2:P218)*(--($G$2:G218=$G218)))=1,1,0),0)</f>
        <v>0</v>
      </c>
      <c r="R218" s="69" t="str">
        <f>IF(Q218=1,SUM($Q$2:Q218),"")</f>
        <v/>
      </c>
    </row>
    <row r="219" spans="1:18" ht="16" x14ac:dyDescent="0.2">
      <c r="A219" s="72"/>
      <c r="B219" s="76"/>
      <c r="C219" s="73"/>
      <c r="D219" s="73" t="s">
        <v>973</v>
      </c>
      <c r="E219" s="77" t="s">
        <v>990</v>
      </c>
      <c r="F219" s="75" t="s">
        <v>1475</v>
      </c>
      <c r="G219" s="74" t="s">
        <v>1202</v>
      </c>
      <c r="H219" s="69"/>
      <c r="P219" s="69">
        <f t="shared" si="3"/>
        <v>0</v>
      </c>
      <c r="Q219" s="69" cm="1">
        <f t="array" ref="Q219">IF(P219=1,IF(SUMPRODUCT(($P$2:P219)*(--($G$2:G219=$G219)))=1,1,0),0)</f>
        <v>0</v>
      </c>
      <c r="R219" s="69" t="str">
        <f>IF(Q219=1,SUM($Q$2:Q219),"")</f>
        <v/>
      </c>
    </row>
    <row r="220" spans="1:18" ht="16" x14ac:dyDescent="0.2">
      <c r="A220" s="72"/>
      <c r="B220" s="76"/>
      <c r="C220" s="73"/>
      <c r="D220" s="73" t="s">
        <v>973</v>
      </c>
      <c r="E220" s="77" t="s">
        <v>110</v>
      </c>
      <c r="F220" s="75" t="s">
        <v>1476</v>
      </c>
      <c r="G220" s="74" t="s">
        <v>1202</v>
      </c>
      <c r="H220" s="69"/>
      <c r="P220" s="69">
        <f t="shared" si="3"/>
        <v>0</v>
      </c>
      <c r="Q220" s="69" cm="1">
        <f t="array" ref="Q220">IF(P220=1,IF(SUMPRODUCT(($P$2:P220)*(--($G$2:G220=$G220)))=1,1,0),0)</f>
        <v>0</v>
      </c>
      <c r="R220" s="69" t="str">
        <f>IF(Q220=1,SUM($Q$2:Q220),"")</f>
        <v/>
      </c>
    </row>
    <row r="221" spans="1:18" ht="16" x14ac:dyDescent="0.2">
      <c r="A221" s="72"/>
      <c r="B221" s="76"/>
      <c r="C221" s="73"/>
      <c r="D221" s="73" t="s">
        <v>973</v>
      </c>
      <c r="E221" s="77" t="s">
        <v>990</v>
      </c>
      <c r="F221" s="75" t="s">
        <v>1476</v>
      </c>
      <c r="G221" s="74" t="s">
        <v>1202</v>
      </c>
      <c r="H221" s="69"/>
      <c r="P221" s="69">
        <f t="shared" si="3"/>
        <v>0</v>
      </c>
      <c r="Q221" s="69" cm="1">
        <f t="array" ref="Q221">IF(P221=1,IF(SUMPRODUCT(($P$2:P221)*(--($G$2:G221=$G221)))=1,1,0),0)</f>
        <v>0</v>
      </c>
      <c r="R221" s="69" t="str">
        <f>IF(Q221=1,SUM($Q$2:Q221),"")</f>
        <v/>
      </c>
    </row>
    <row r="222" spans="1:18" x14ac:dyDescent="0.2">
      <c r="A222" s="72"/>
      <c r="B222" s="76"/>
      <c r="C222" s="73"/>
      <c r="D222" s="73" t="s">
        <v>973</v>
      </c>
      <c r="E222" s="77" t="s">
        <v>110</v>
      </c>
      <c r="F222" s="75" t="s">
        <v>1477</v>
      </c>
      <c r="G222" s="75" t="s">
        <v>1066</v>
      </c>
      <c r="H222" s="69"/>
      <c r="P222" s="69">
        <f t="shared" si="3"/>
        <v>0</v>
      </c>
      <c r="Q222" s="69" cm="1">
        <f t="array" ref="Q222">IF(P222=1,IF(SUMPRODUCT(($P$2:P222)*(--($G$2:G222=$G222)))=1,1,0),0)</f>
        <v>0</v>
      </c>
      <c r="R222" s="69" t="str">
        <f>IF(Q222=1,SUM($Q$2:Q222),"")</f>
        <v/>
      </c>
    </row>
    <row r="223" spans="1:18" x14ac:dyDescent="0.2">
      <c r="A223" s="72"/>
      <c r="B223" s="76"/>
      <c r="C223" s="73"/>
      <c r="D223" s="73" t="s">
        <v>973</v>
      </c>
      <c r="E223" s="77" t="s">
        <v>990</v>
      </c>
      <c r="F223" s="75" t="s">
        <v>1477</v>
      </c>
      <c r="G223" s="75" t="s">
        <v>1066</v>
      </c>
      <c r="H223" s="69"/>
      <c r="P223" s="69">
        <f t="shared" si="3"/>
        <v>0</v>
      </c>
      <c r="Q223" s="69" cm="1">
        <f t="array" ref="Q223">IF(P223=1,IF(SUMPRODUCT(($P$2:P223)*(--($G$2:G223=$G223)))=1,1,0),0)</f>
        <v>0</v>
      </c>
      <c r="R223" s="69" t="str">
        <f>IF(Q223=1,SUM($Q$2:Q223),"")</f>
        <v/>
      </c>
    </row>
    <row r="224" spans="1:18" ht="16" x14ac:dyDescent="0.2">
      <c r="A224" s="72"/>
      <c r="B224" s="76"/>
      <c r="C224" s="73"/>
      <c r="D224" s="73" t="s">
        <v>973</v>
      </c>
      <c r="E224" s="77" t="s">
        <v>110</v>
      </c>
      <c r="F224" s="75" t="s">
        <v>398</v>
      </c>
      <c r="G224" s="74" t="s">
        <v>1205</v>
      </c>
      <c r="H224" s="69"/>
      <c r="P224" s="69">
        <f t="shared" si="3"/>
        <v>0</v>
      </c>
      <c r="Q224" s="69" cm="1">
        <f t="array" ref="Q224">IF(P224=1,IF(SUMPRODUCT(($P$2:P224)*(--($G$2:G224=$G224)))=1,1,0),0)</f>
        <v>0</v>
      </c>
      <c r="R224" s="69" t="str">
        <f>IF(Q224=1,SUM($Q$2:Q224),"")</f>
        <v/>
      </c>
    </row>
    <row r="225" spans="1:18" ht="16" x14ac:dyDescent="0.2">
      <c r="A225" s="72"/>
      <c r="B225" s="76"/>
      <c r="C225" s="73"/>
      <c r="D225" s="73" t="s">
        <v>973</v>
      </c>
      <c r="E225" s="77" t="s">
        <v>990</v>
      </c>
      <c r="F225" s="75" t="s">
        <v>398</v>
      </c>
      <c r="G225" s="74" t="s">
        <v>1205</v>
      </c>
      <c r="H225" s="69"/>
      <c r="P225" s="69">
        <f t="shared" si="3"/>
        <v>0</v>
      </c>
      <c r="Q225" s="69" cm="1">
        <f t="array" ref="Q225">IF(P225=1,IF(SUMPRODUCT(($P$2:P225)*(--($G$2:G225=$G225)))=1,1,0),0)</f>
        <v>0</v>
      </c>
      <c r="R225" s="69" t="str">
        <f>IF(Q225=1,SUM($Q$2:Q225),"")</f>
        <v/>
      </c>
    </row>
    <row r="226" spans="1:18" ht="16" x14ac:dyDescent="0.2">
      <c r="A226" s="72"/>
      <c r="B226" s="76"/>
      <c r="C226" s="73"/>
      <c r="D226" s="73" t="s">
        <v>973</v>
      </c>
      <c r="E226" s="77" t="s">
        <v>110</v>
      </c>
      <c r="F226" s="75" t="s">
        <v>1478</v>
      </c>
      <c r="G226" s="74" t="s">
        <v>1206</v>
      </c>
      <c r="H226" s="69"/>
      <c r="P226" s="69">
        <f t="shared" si="3"/>
        <v>0</v>
      </c>
      <c r="Q226" s="69" cm="1">
        <f t="array" ref="Q226">IF(P226=1,IF(SUMPRODUCT(($P$2:P226)*(--($G$2:G226=$G226)))=1,1,0),0)</f>
        <v>0</v>
      </c>
      <c r="R226" s="69" t="str">
        <f>IF(Q226=1,SUM($Q$2:Q226),"")</f>
        <v/>
      </c>
    </row>
    <row r="227" spans="1:18" ht="16" x14ac:dyDescent="0.2">
      <c r="A227" s="72"/>
      <c r="B227" s="76"/>
      <c r="C227" s="73"/>
      <c r="D227" s="73" t="s">
        <v>973</v>
      </c>
      <c r="E227" s="77" t="s">
        <v>990</v>
      </c>
      <c r="F227" s="75" t="s">
        <v>1478</v>
      </c>
      <c r="G227" s="74" t="s">
        <v>1206</v>
      </c>
      <c r="H227" s="69"/>
      <c r="P227" s="69">
        <f t="shared" si="3"/>
        <v>0</v>
      </c>
      <c r="Q227" s="69" cm="1">
        <f t="array" ref="Q227">IF(P227=1,IF(SUMPRODUCT(($P$2:P227)*(--($G$2:G227=$G227)))=1,1,0),0)</f>
        <v>0</v>
      </c>
      <c r="R227" s="69" t="str">
        <f>IF(Q227=1,SUM($Q$2:Q227),"")</f>
        <v/>
      </c>
    </row>
    <row r="228" spans="1:18" ht="16" x14ac:dyDescent="0.2">
      <c r="A228" s="72"/>
      <c r="B228" s="76"/>
      <c r="C228" s="73"/>
      <c r="D228" s="73" t="s">
        <v>963</v>
      </c>
      <c r="E228" s="77" t="s">
        <v>110</v>
      </c>
      <c r="F228" s="75" t="s">
        <v>1479</v>
      </c>
      <c r="G228" s="74" t="s">
        <v>1171</v>
      </c>
      <c r="H228" s="69"/>
      <c r="P228" s="69">
        <f t="shared" si="3"/>
        <v>0</v>
      </c>
      <c r="Q228" s="69" cm="1">
        <f t="array" ref="Q228">IF(P228=1,IF(SUMPRODUCT(($P$2:P228)*(--($G$2:G228=$G228)))=1,1,0),0)</f>
        <v>0</v>
      </c>
      <c r="R228" s="69" t="str">
        <f>IF(Q228=1,SUM($Q$2:Q228),"")</f>
        <v/>
      </c>
    </row>
    <row r="229" spans="1:18" ht="16" x14ac:dyDescent="0.2">
      <c r="A229" s="72"/>
      <c r="B229" s="76"/>
      <c r="C229" s="73"/>
      <c r="D229" s="73" t="s">
        <v>963</v>
      </c>
      <c r="E229" s="77" t="s">
        <v>990</v>
      </c>
      <c r="F229" s="75" t="s">
        <v>1479</v>
      </c>
      <c r="G229" s="74" t="s">
        <v>1171</v>
      </c>
      <c r="H229" s="69"/>
      <c r="P229" s="69">
        <f t="shared" si="3"/>
        <v>0</v>
      </c>
      <c r="Q229" s="69" cm="1">
        <f t="array" ref="Q229">IF(P229=1,IF(SUMPRODUCT(($P$2:P229)*(--($G$2:G229=$G229)))=1,1,0),0)</f>
        <v>0</v>
      </c>
      <c r="R229" s="69" t="str">
        <f>IF(Q229=1,SUM($Q$2:Q229),"")</f>
        <v/>
      </c>
    </row>
    <row r="230" spans="1:18" ht="16" x14ac:dyDescent="0.2">
      <c r="A230" s="72"/>
      <c r="B230" s="76"/>
      <c r="C230" s="73"/>
      <c r="D230" s="73" t="s">
        <v>963</v>
      </c>
      <c r="E230" s="77" t="s">
        <v>110</v>
      </c>
      <c r="F230" s="75" t="s">
        <v>1480</v>
      </c>
      <c r="G230" s="74" t="s">
        <v>1172</v>
      </c>
      <c r="H230" s="69"/>
      <c r="P230" s="69">
        <f t="shared" si="3"/>
        <v>0</v>
      </c>
      <c r="Q230" s="69" cm="1">
        <f t="array" ref="Q230">IF(P230=1,IF(SUMPRODUCT(($P$2:P230)*(--($G$2:G230=$G230)))=1,1,0),0)</f>
        <v>0</v>
      </c>
      <c r="R230" s="69" t="str">
        <f>IF(Q230=1,SUM($Q$2:Q230),"")</f>
        <v/>
      </c>
    </row>
    <row r="231" spans="1:18" ht="16" x14ac:dyDescent="0.2">
      <c r="A231" s="72"/>
      <c r="B231" s="76"/>
      <c r="C231" s="73"/>
      <c r="D231" s="73" t="s">
        <v>963</v>
      </c>
      <c r="E231" s="77" t="s">
        <v>990</v>
      </c>
      <c r="F231" s="75" t="s">
        <v>1480</v>
      </c>
      <c r="G231" s="74" t="s">
        <v>1172</v>
      </c>
      <c r="H231" s="69"/>
      <c r="P231" s="69">
        <f t="shared" si="3"/>
        <v>0</v>
      </c>
      <c r="Q231" s="69" cm="1">
        <f t="array" ref="Q231">IF(P231=1,IF(SUMPRODUCT(($P$2:P231)*(--($G$2:G231=$G231)))=1,1,0),0)</f>
        <v>0</v>
      </c>
      <c r="R231" s="69" t="str">
        <f>IF(Q231=1,SUM($Q$2:Q231),"")</f>
        <v/>
      </c>
    </row>
    <row r="232" spans="1:18" ht="16" x14ac:dyDescent="0.2">
      <c r="A232" s="72"/>
      <c r="B232" s="76"/>
      <c r="C232" s="73"/>
      <c r="D232" s="73" t="s">
        <v>963</v>
      </c>
      <c r="E232" s="77" t="s">
        <v>110</v>
      </c>
      <c r="F232" s="75" t="s">
        <v>1443</v>
      </c>
      <c r="G232" s="74" t="s">
        <v>1174</v>
      </c>
      <c r="H232" s="69"/>
      <c r="P232" s="69">
        <f t="shared" si="3"/>
        <v>0</v>
      </c>
      <c r="Q232" s="69" cm="1">
        <f t="array" ref="Q232">IF(P232=1,IF(SUMPRODUCT(($P$2:P232)*(--($G$2:G232=$G232)))=1,1,0),0)</f>
        <v>0</v>
      </c>
      <c r="R232" s="69" t="str">
        <f>IF(Q232=1,SUM($Q$2:Q232),"")</f>
        <v/>
      </c>
    </row>
    <row r="233" spans="1:18" ht="16" x14ac:dyDescent="0.2">
      <c r="A233" s="72"/>
      <c r="B233" s="76"/>
      <c r="C233" s="73"/>
      <c r="D233" s="73" t="s">
        <v>963</v>
      </c>
      <c r="E233" s="77" t="s">
        <v>990</v>
      </c>
      <c r="F233" s="75" t="s">
        <v>1443</v>
      </c>
      <c r="G233" s="74" t="s">
        <v>1174</v>
      </c>
      <c r="H233" s="69"/>
      <c r="P233" s="69">
        <f t="shared" si="3"/>
        <v>0</v>
      </c>
      <c r="Q233" s="69" cm="1">
        <f t="array" ref="Q233">IF(P233=1,IF(SUMPRODUCT(($P$2:P233)*(--($G$2:G233=$G233)))=1,1,0),0)</f>
        <v>0</v>
      </c>
      <c r="R233" s="69" t="str">
        <f>IF(Q233=1,SUM($Q$2:Q233),"")</f>
        <v/>
      </c>
    </row>
    <row r="234" spans="1:18" ht="16" x14ac:dyDescent="0.2">
      <c r="A234" s="72"/>
      <c r="B234" s="76"/>
      <c r="C234" s="73"/>
      <c r="D234" s="73" t="s">
        <v>963</v>
      </c>
      <c r="E234" s="77" t="s">
        <v>110</v>
      </c>
      <c r="F234" s="75" t="s">
        <v>1444</v>
      </c>
      <c r="G234" s="74" t="s">
        <v>1174</v>
      </c>
      <c r="H234" s="69"/>
      <c r="P234" s="69">
        <f t="shared" si="3"/>
        <v>0</v>
      </c>
      <c r="Q234" s="69" cm="1">
        <f t="array" ref="Q234">IF(P234=1,IF(SUMPRODUCT(($P$2:P234)*(--($G$2:G234=$G234)))=1,1,0),0)</f>
        <v>0</v>
      </c>
      <c r="R234" s="69" t="str">
        <f>IF(Q234=1,SUM($Q$2:Q234),"")</f>
        <v/>
      </c>
    </row>
    <row r="235" spans="1:18" ht="16" x14ac:dyDescent="0.2">
      <c r="A235" s="72"/>
      <c r="B235" s="76"/>
      <c r="C235" s="73"/>
      <c r="D235" s="73" t="s">
        <v>963</v>
      </c>
      <c r="E235" s="77" t="s">
        <v>990</v>
      </c>
      <c r="F235" s="75" t="s">
        <v>1444</v>
      </c>
      <c r="G235" s="74" t="s">
        <v>1174</v>
      </c>
      <c r="H235" s="69"/>
      <c r="P235" s="69">
        <f t="shared" si="3"/>
        <v>0</v>
      </c>
      <c r="Q235" s="69" cm="1">
        <f t="array" ref="Q235">IF(P235=1,IF(SUMPRODUCT(($P$2:P235)*(--($G$2:G235=$G235)))=1,1,0),0)</f>
        <v>0</v>
      </c>
      <c r="R235" s="69" t="str">
        <f>IF(Q235=1,SUM($Q$2:Q235),"")</f>
        <v/>
      </c>
    </row>
    <row r="236" spans="1:18" ht="16" x14ac:dyDescent="0.2">
      <c r="A236" s="72"/>
      <c r="B236" s="76"/>
      <c r="C236" s="73"/>
      <c r="D236" s="73" t="s">
        <v>963</v>
      </c>
      <c r="E236" s="77" t="s">
        <v>110</v>
      </c>
      <c r="F236" s="75" t="s">
        <v>1445</v>
      </c>
      <c r="G236" s="74" t="s">
        <v>1174</v>
      </c>
      <c r="H236" s="69"/>
      <c r="P236" s="69">
        <f t="shared" si="3"/>
        <v>0</v>
      </c>
      <c r="Q236" s="69" cm="1">
        <f t="array" ref="Q236">IF(P236=1,IF(SUMPRODUCT(($P$2:P236)*(--($G$2:G236=$G236)))=1,1,0),0)</f>
        <v>0</v>
      </c>
      <c r="R236" s="69" t="str">
        <f>IF(Q236=1,SUM($Q$2:Q236),"")</f>
        <v/>
      </c>
    </row>
    <row r="237" spans="1:18" ht="16" x14ac:dyDescent="0.2">
      <c r="A237" s="72"/>
      <c r="B237" s="76"/>
      <c r="C237" s="73"/>
      <c r="D237" s="73" t="s">
        <v>963</v>
      </c>
      <c r="E237" s="77" t="s">
        <v>990</v>
      </c>
      <c r="F237" s="75" t="s">
        <v>1445</v>
      </c>
      <c r="G237" s="74" t="s">
        <v>1174</v>
      </c>
      <c r="H237" s="69"/>
      <c r="P237" s="69">
        <f t="shared" si="3"/>
        <v>0</v>
      </c>
      <c r="Q237" s="69" cm="1">
        <f t="array" ref="Q237">IF(P237=1,IF(SUMPRODUCT(($P$2:P237)*(--($G$2:G237=$G237)))=1,1,0),0)</f>
        <v>0</v>
      </c>
      <c r="R237" s="69" t="str">
        <f>IF(Q237=1,SUM($Q$2:Q237),"")</f>
        <v/>
      </c>
    </row>
    <row r="238" spans="1:18" ht="16" x14ac:dyDescent="0.2">
      <c r="A238" s="72"/>
      <c r="B238" s="76"/>
      <c r="C238" s="73"/>
      <c r="D238" s="73" t="s">
        <v>963</v>
      </c>
      <c r="E238" s="77" t="s">
        <v>110</v>
      </c>
      <c r="F238" s="75" t="s">
        <v>1481</v>
      </c>
      <c r="G238" s="74" t="s">
        <v>1174</v>
      </c>
      <c r="H238" s="69"/>
      <c r="P238" s="69">
        <f t="shared" si="3"/>
        <v>0</v>
      </c>
      <c r="Q238" s="69" cm="1">
        <f t="array" ref="Q238">IF(P238=1,IF(SUMPRODUCT(($P$2:P238)*(--($G$2:G238=$G238)))=1,1,0),0)</f>
        <v>0</v>
      </c>
      <c r="R238" s="69" t="str">
        <f>IF(Q238=1,SUM($Q$2:Q238),"")</f>
        <v/>
      </c>
    </row>
    <row r="239" spans="1:18" ht="16" x14ac:dyDescent="0.2">
      <c r="A239" s="72"/>
      <c r="B239" s="76"/>
      <c r="C239" s="73"/>
      <c r="D239" s="73" t="s">
        <v>963</v>
      </c>
      <c r="E239" s="77" t="s">
        <v>990</v>
      </c>
      <c r="F239" s="75" t="s">
        <v>1481</v>
      </c>
      <c r="G239" s="74" t="s">
        <v>1174</v>
      </c>
      <c r="H239" s="69"/>
      <c r="P239" s="69">
        <f t="shared" si="3"/>
        <v>0</v>
      </c>
      <c r="Q239" s="69" cm="1">
        <f t="array" ref="Q239">IF(P239=1,IF(SUMPRODUCT(($P$2:P239)*(--($G$2:G239=$G239)))=1,1,0),0)</f>
        <v>0</v>
      </c>
      <c r="R239" s="69" t="str">
        <f>IF(Q239=1,SUM($Q$2:Q239),"")</f>
        <v/>
      </c>
    </row>
    <row r="240" spans="1:18" ht="16" x14ac:dyDescent="0.2">
      <c r="A240" s="79"/>
      <c r="B240" s="82"/>
      <c r="C240" s="73"/>
      <c r="D240" s="73" t="s">
        <v>963</v>
      </c>
      <c r="E240" s="83" t="s">
        <v>110</v>
      </c>
      <c r="F240" s="81" t="s">
        <v>1482</v>
      </c>
      <c r="G240" s="80" t="s">
        <v>1178</v>
      </c>
      <c r="H240" s="69"/>
      <c r="P240" s="69">
        <f t="shared" si="3"/>
        <v>0</v>
      </c>
      <c r="Q240" s="69" cm="1">
        <f t="array" ref="Q240">IF(P240=1,IF(SUMPRODUCT(($P$2:P240)*(--($G$2:G240=$G240)))=1,1,0),0)</f>
        <v>0</v>
      </c>
      <c r="R240" s="69" t="str">
        <f>IF(Q240=1,SUM($Q$2:Q240),"")</f>
        <v/>
      </c>
    </row>
    <row r="241" spans="1:18" ht="16" x14ac:dyDescent="0.2">
      <c r="A241" s="79"/>
      <c r="B241" s="82"/>
      <c r="C241" s="73"/>
      <c r="D241" s="73" t="s">
        <v>963</v>
      </c>
      <c r="E241" s="83" t="s">
        <v>990</v>
      </c>
      <c r="F241" s="81" t="s">
        <v>1482</v>
      </c>
      <c r="G241" s="80" t="s">
        <v>1178</v>
      </c>
      <c r="H241" s="69"/>
      <c r="P241" s="69">
        <f t="shared" si="3"/>
        <v>0</v>
      </c>
      <c r="Q241" s="69" cm="1">
        <f t="array" ref="Q241">IF(P241=1,IF(SUMPRODUCT(($P$2:P241)*(--($G$2:G241=$G241)))=1,1,0),0)</f>
        <v>0</v>
      </c>
      <c r="R241" s="69" t="str">
        <f>IF(Q241=1,SUM($Q$2:Q241),"")</f>
        <v/>
      </c>
    </row>
    <row r="242" spans="1:18" ht="16" x14ac:dyDescent="0.2">
      <c r="A242" s="72"/>
      <c r="B242" s="76"/>
      <c r="C242" s="73"/>
      <c r="D242" s="73" t="s">
        <v>963</v>
      </c>
      <c r="E242" s="77" t="s">
        <v>110</v>
      </c>
      <c r="F242" s="75" t="s">
        <v>1483</v>
      </c>
      <c r="G242" s="74" t="s">
        <v>1176</v>
      </c>
      <c r="H242" s="69"/>
      <c r="P242" s="69">
        <f t="shared" si="3"/>
        <v>0</v>
      </c>
      <c r="Q242" s="69" cm="1">
        <f t="array" ref="Q242">IF(P242=1,IF(SUMPRODUCT(($P$2:P242)*(--($G$2:G242=$G242)))=1,1,0),0)</f>
        <v>0</v>
      </c>
      <c r="R242" s="69" t="str">
        <f>IF(Q242=1,SUM($Q$2:Q242),"")</f>
        <v/>
      </c>
    </row>
    <row r="243" spans="1:18" ht="16" x14ac:dyDescent="0.2">
      <c r="A243" s="72"/>
      <c r="B243" s="76"/>
      <c r="C243" s="73"/>
      <c r="D243" s="73" t="s">
        <v>963</v>
      </c>
      <c r="E243" s="77" t="s">
        <v>990</v>
      </c>
      <c r="F243" s="75" t="s">
        <v>1483</v>
      </c>
      <c r="G243" s="74" t="s">
        <v>1176</v>
      </c>
      <c r="H243" s="69"/>
      <c r="P243" s="69">
        <f t="shared" si="3"/>
        <v>0</v>
      </c>
      <c r="Q243" s="69" cm="1">
        <f t="array" ref="Q243">IF(P243=1,IF(SUMPRODUCT(($P$2:P243)*(--($G$2:G243=$G243)))=1,1,0),0)</f>
        <v>0</v>
      </c>
      <c r="R243" s="69" t="str">
        <f>IF(Q243=1,SUM($Q$2:Q243),"")</f>
        <v/>
      </c>
    </row>
    <row r="244" spans="1:18" ht="16" x14ac:dyDescent="0.2">
      <c r="A244" s="72"/>
      <c r="B244" s="76"/>
      <c r="C244" s="73"/>
      <c r="D244" s="73" t="s">
        <v>963</v>
      </c>
      <c r="E244" s="77" t="s">
        <v>110</v>
      </c>
      <c r="F244" s="75" t="s">
        <v>1446</v>
      </c>
      <c r="G244" s="74" t="s">
        <v>1180</v>
      </c>
      <c r="H244" s="69"/>
      <c r="P244" s="69">
        <f t="shared" si="3"/>
        <v>0</v>
      </c>
      <c r="Q244" s="69" cm="1">
        <f t="array" ref="Q244">IF(P244=1,IF(SUMPRODUCT(($P$2:P244)*(--($G$2:G244=$G244)))=1,1,0),0)</f>
        <v>0</v>
      </c>
      <c r="R244" s="69" t="str">
        <f>IF(Q244=1,SUM($Q$2:Q244),"")</f>
        <v/>
      </c>
    </row>
    <row r="245" spans="1:18" ht="16" x14ac:dyDescent="0.2">
      <c r="A245" s="72"/>
      <c r="B245" s="76"/>
      <c r="C245" s="73"/>
      <c r="D245" s="73" t="s">
        <v>963</v>
      </c>
      <c r="E245" s="77" t="s">
        <v>990</v>
      </c>
      <c r="F245" s="75" t="s">
        <v>1446</v>
      </c>
      <c r="G245" s="74" t="s">
        <v>1180</v>
      </c>
      <c r="H245" s="69"/>
      <c r="P245" s="69">
        <f t="shared" si="3"/>
        <v>0</v>
      </c>
      <c r="Q245" s="69" cm="1">
        <f t="array" ref="Q245">IF(P245=1,IF(SUMPRODUCT(($P$2:P245)*(--($G$2:G245=$G245)))=1,1,0),0)</f>
        <v>0</v>
      </c>
      <c r="R245" s="69" t="str">
        <f>IF(Q245=1,SUM($Q$2:Q245),"")</f>
        <v/>
      </c>
    </row>
    <row r="246" spans="1:18" ht="16" x14ac:dyDescent="0.2">
      <c r="A246" s="72"/>
      <c r="B246" s="76"/>
      <c r="C246" s="73"/>
      <c r="D246" s="73" t="s">
        <v>963</v>
      </c>
      <c r="E246" s="77" t="s">
        <v>110</v>
      </c>
      <c r="F246" s="75" t="s">
        <v>1442</v>
      </c>
      <c r="G246" s="74" t="s">
        <v>1182</v>
      </c>
      <c r="H246" s="69"/>
      <c r="P246" s="69">
        <f t="shared" si="3"/>
        <v>0</v>
      </c>
      <c r="Q246" s="69" cm="1">
        <f t="array" ref="Q246">IF(P246=1,IF(SUMPRODUCT(($P$2:P246)*(--($G$2:G246=$G246)))=1,1,0),0)</f>
        <v>0</v>
      </c>
      <c r="R246" s="69" t="str">
        <f>IF(Q246=1,SUM($Q$2:Q246),"")</f>
        <v/>
      </c>
    </row>
    <row r="247" spans="1:18" ht="16" x14ac:dyDescent="0.2">
      <c r="A247" s="72"/>
      <c r="B247" s="76"/>
      <c r="C247" s="73"/>
      <c r="D247" s="73" t="s">
        <v>963</v>
      </c>
      <c r="E247" s="77" t="s">
        <v>990</v>
      </c>
      <c r="F247" s="75" t="s">
        <v>1442</v>
      </c>
      <c r="G247" s="74" t="s">
        <v>1182</v>
      </c>
      <c r="H247" s="69"/>
      <c r="P247" s="69">
        <f t="shared" si="3"/>
        <v>0</v>
      </c>
      <c r="Q247" s="69" cm="1">
        <f t="array" ref="Q247">IF(P247=1,IF(SUMPRODUCT(($P$2:P247)*(--($G$2:G247=$G247)))=1,1,0),0)</f>
        <v>0</v>
      </c>
      <c r="R247" s="69" t="str">
        <f>IF(Q247=1,SUM($Q$2:Q247),"")</f>
        <v/>
      </c>
    </row>
    <row r="248" spans="1:18" ht="16" x14ac:dyDescent="0.2">
      <c r="A248" s="72"/>
      <c r="B248" s="76"/>
      <c r="C248" s="73"/>
      <c r="D248" s="73" t="s">
        <v>963</v>
      </c>
      <c r="E248" s="77" t="s">
        <v>110</v>
      </c>
      <c r="F248" s="75" t="s">
        <v>1484</v>
      </c>
      <c r="G248" s="74" t="s">
        <v>1179</v>
      </c>
      <c r="H248" s="69"/>
      <c r="P248" s="69">
        <f t="shared" si="3"/>
        <v>0</v>
      </c>
      <c r="Q248" s="69" cm="1">
        <f t="array" ref="Q248">IF(P248=1,IF(SUMPRODUCT(($P$2:P248)*(--($G$2:G248=$G248)))=1,1,0),0)</f>
        <v>0</v>
      </c>
      <c r="R248" s="69" t="str">
        <f>IF(Q248=1,SUM($Q$2:Q248),"")</f>
        <v/>
      </c>
    </row>
    <row r="249" spans="1:18" ht="16" x14ac:dyDescent="0.2">
      <c r="A249" s="72"/>
      <c r="B249" s="76"/>
      <c r="C249" s="73"/>
      <c r="D249" s="73" t="s">
        <v>963</v>
      </c>
      <c r="E249" s="77" t="s">
        <v>990</v>
      </c>
      <c r="F249" s="75" t="s">
        <v>1484</v>
      </c>
      <c r="G249" s="74" t="s">
        <v>1179</v>
      </c>
      <c r="H249" s="69"/>
      <c r="P249" s="69">
        <f t="shared" si="3"/>
        <v>0</v>
      </c>
      <c r="Q249" s="69" cm="1">
        <f t="array" ref="Q249">IF(P249=1,IF(SUMPRODUCT(($P$2:P249)*(--($G$2:G249=$G249)))=1,1,0),0)</f>
        <v>0</v>
      </c>
      <c r="R249" s="69" t="str">
        <f>IF(Q249=1,SUM($Q$2:Q249),"")</f>
        <v/>
      </c>
    </row>
    <row r="250" spans="1:18" ht="16" x14ac:dyDescent="0.2">
      <c r="A250" s="72"/>
      <c r="B250" s="76"/>
      <c r="C250" s="73"/>
      <c r="D250" s="73" t="s">
        <v>963</v>
      </c>
      <c r="E250" s="77" t="s">
        <v>110</v>
      </c>
      <c r="F250" s="75" t="s">
        <v>1485</v>
      </c>
      <c r="G250" s="74" t="s">
        <v>1181</v>
      </c>
      <c r="H250" s="69"/>
      <c r="P250" s="69">
        <f t="shared" si="3"/>
        <v>0</v>
      </c>
      <c r="Q250" s="69" cm="1">
        <f t="array" ref="Q250">IF(P250=1,IF(SUMPRODUCT(($P$2:P250)*(--($G$2:G250=$G250)))=1,1,0),0)</f>
        <v>0</v>
      </c>
      <c r="R250" s="69" t="str">
        <f>IF(Q250=1,SUM($Q$2:Q250),"")</f>
        <v/>
      </c>
    </row>
    <row r="251" spans="1:18" ht="16" x14ac:dyDescent="0.2">
      <c r="A251" s="72"/>
      <c r="B251" s="76"/>
      <c r="C251" s="73"/>
      <c r="D251" s="73" t="s">
        <v>963</v>
      </c>
      <c r="E251" s="77" t="s">
        <v>990</v>
      </c>
      <c r="F251" s="75" t="s">
        <v>1485</v>
      </c>
      <c r="G251" s="74" t="s">
        <v>1181</v>
      </c>
      <c r="H251" s="69"/>
      <c r="P251" s="69">
        <f t="shared" si="3"/>
        <v>0</v>
      </c>
      <c r="Q251" s="69" cm="1">
        <f t="array" ref="Q251">IF(P251=1,IF(SUMPRODUCT(($P$2:P251)*(--($G$2:G251=$G251)))=1,1,0),0)</f>
        <v>0</v>
      </c>
      <c r="R251" s="69" t="str">
        <f>IF(Q251=1,SUM($Q$2:Q251),"")</f>
        <v/>
      </c>
    </row>
    <row r="252" spans="1:18" x14ac:dyDescent="0.2">
      <c r="A252" s="72"/>
      <c r="B252" s="76"/>
      <c r="C252" s="73"/>
      <c r="D252" s="73" t="s">
        <v>963</v>
      </c>
      <c r="E252" s="77" t="s">
        <v>117</v>
      </c>
      <c r="F252" s="75" t="s">
        <v>1480</v>
      </c>
      <c r="G252" s="75" t="s">
        <v>1173</v>
      </c>
      <c r="H252" s="69"/>
      <c r="P252" s="69">
        <f t="shared" si="3"/>
        <v>0</v>
      </c>
      <c r="Q252" s="69" cm="1">
        <f t="array" ref="Q252">IF(P252=1,IF(SUMPRODUCT(($P$2:P252)*(--($G$2:G252=$G252)))=1,1,0),0)</f>
        <v>0</v>
      </c>
      <c r="R252" s="69" t="str">
        <f>IF(Q252=1,SUM($Q$2:Q252),"")</f>
        <v/>
      </c>
    </row>
    <row r="253" spans="1:18" x14ac:dyDescent="0.2">
      <c r="A253" s="72"/>
      <c r="B253" s="76"/>
      <c r="C253" s="73"/>
      <c r="D253" s="73" t="s">
        <v>963</v>
      </c>
      <c r="E253" s="77" t="s">
        <v>110</v>
      </c>
      <c r="F253" s="75" t="s">
        <v>1447</v>
      </c>
      <c r="G253" s="75" t="s">
        <v>1175</v>
      </c>
      <c r="H253" s="69"/>
      <c r="P253" s="69">
        <f t="shared" si="3"/>
        <v>0</v>
      </c>
      <c r="Q253" s="69" cm="1">
        <f t="array" ref="Q253">IF(P253=1,IF(SUMPRODUCT(($P$2:P253)*(--($G$2:G253=$G253)))=1,1,0),0)</f>
        <v>0</v>
      </c>
      <c r="R253" s="69" t="str">
        <f>IF(Q253=1,SUM($Q$2:Q253),"")</f>
        <v/>
      </c>
    </row>
    <row r="254" spans="1:18" x14ac:dyDescent="0.2">
      <c r="A254" s="72"/>
      <c r="B254" s="76"/>
      <c r="C254" s="73"/>
      <c r="D254" s="73" t="s">
        <v>963</v>
      </c>
      <c r="E254" s="77" t="s">
        <v>990</v>
      </c>
      <c r="F254" s="75" t="s">
        <v>1447</v>
      </c>
      <c r="G254" s="75" t="s">
        <v>1175</v>
      </c>
      <c r="H254" s="69"/>
      <c r="P254" s="69">
        <f t="shared" si="3"/>
        <v>0</v>
      </c>
      <c r="Q254" s="69" cm="1">
        <f t="array" ref="Q254">IF(P254=1,IF(SUMPRODUCT(($P$2:P254)*(--($G$2:G254=$G254)))=1,1,0),0)</f>
        <v>0</v>
      </c>
      <c r="R254" s="69" t="str">
        <f>IF(Q254=1,SUM($Q$2:Q254),"")</f>
        <v/>
      </c>
    </row>
    <row r="255" spans="1:18" x14ac:dyDescent="0.2">
      <c r="A255" s="72"/>
      <c r="B255" s="76"/>
      <c r="C255" s="73"/>
      <c r="D255" s="73" t="s">
        <v>963</v>
      </c>
      <c r="E255" s="77" t="s">
        <v>110</v>
      </c>
      <c r="F255" s="75" t="s">
        <v>1448</v>
      </c>
      <c r="G255" s="75" t="s">
        <v>1175</v>
      </c>
      <c r="H255" s="69"/>
      <c r="P255" s="69">
        <f t="shared" si="3"/>
        <v>0</v>
      </c>
      <c r="Q255" s="69" cm="1">
        <f t="array" ref="Q255">IF(P255=1,IF(SUMPRODUCT(($P$2:P255)*(--($G$2:G255=$G255)))=1,1,0),0)</f>
        <v>0</v>
      </c>
      <c r="R255" s="69" t="str">
        <f>IF(Q255=1,SUM($Q$2:Q255),"")</f>
        <v/>
      </c>
    </row>
    <row r="256" spans="1:18" x14ac:dyDescent="0.2">
      <c r="A256" s="72"/>
      <c r="B256" s="76"/>
      <c r="C256" s="73"/>
      <c r="D256" s="73" t="s">
        <v>963</v>
      </c>
      <c r="E256" s="77" t="s">
        <v>990</v>
      </c>
      <c r="F256" s="75" t="s">
        <v>1448</v>
      </c>
      <c r="G256" s="75" t="s">
        <v>1175</v>
      </c>
      <c r="H256" s="69"/>
      <c r="P256" s="69">
        <f t="shared" si="3"/>
        <v>0</v>
      </c>
      <c r="Q256" s="69" cm="1">
        <f t="array" ref="Q256">IF(P256=1,IF(SUMPRODUCT(($P$2:P256)*(--($G$2:G256=$G256)))=1,1,0),0)</f>
        <v>0</v>
      </c>
      <c r="R256" s="69" t="str">
        <f>IF(Q256=1,SUM($Q$2:Q256),"")</f>
        <v/>
      </c>
    </row>
    <row r="257" spans="1:18" x14ac:dyDescent="0.2">
      <c r="A257" s="72"/>
      <c r="B257" s="76"/>
      <c r="C257" s="73"/>
      <c r="D257" s="73" t="s">
        <v>963</v>
      </c>
      <c r="E257" s="77" t="s">
        <v>110</v>
      </c>
      <c r="F257" s="75" t="s">
        <v>1486</v>
      </c>
      <c r="G257" s="75" t="s">
        <v>1175</v>
      </c>
      <c r="H257" s="69"/>
      <c r="P257" s="69">
        <f t="shared" si="3"/>
        <v>0</v>
      </c>
      <c r="Q257" s="69" cm="1">
        <f t="array" ref="Q257">IF(P257=1,IF(SUMPRODUCT(($P$2:P257)*(--($G$2:G257=$G257)))=1,1,0),0)</f>
        <v>0</v>
      </c>
      <c r="R257" s="69" t="str">
        <f>IF(Q257=1,SUM($Q$2:Q257),"")</f>
        <v/>
      </c>
    </row>
    <row r="258" spans="1:18" x14ac:dyDescent="0.2">
      <c r="A258" s="72"/>
      <c r="B258" s="76"/>
      <c r="C258" s="73"/>
      <c r="D258" s="73" t="s">
        <v>963</v>
      </c>
      <c r="E258" s="77" t="s">
        <v>990</v>
      </c>
      <c r="F258" s="75" t="s">
        <v>1486</v>
      </c>
      <c r="G258" s="75" t="s">
        <v>1175</v>
      </c>
      <c r="H258" s="69"/>
      <c r="P258" s="69">
        <f t="shared" si="3"/>
        <v>0</v>
      </c>
      <c r="Q258" s="69" cm="1">
        <f t="array" ref="Q258">IF(P258=1,IF(SUMPRODUCT(($P$2:P258)*(--($G$2:G258=$G258)))=1,1,0),0)</f>
        <v>0</v>
      </c>
      <c r="R258" s="69" t="str">
        <f>IF(Q258=1,SUM($Q$2:Q258),"")</f>
        <v/>
      </c>
    </row>
    <row r="259" spans="1:18" x14ac:dyDescent="0.2">
      <c r="A259" s="72"/>
      <c r="B259" s="76"/>
      <c r="C259" s="73"/>
      <c r="D259" s="73" t="s">
        <v>963</v>
      </c>
      <c r="E259" s="77" t="s">
        <v>110</v>
      </c>
      <c r="F259" s="75" t="s">
        <v>1487</v>
      </c>
      <c r="G259" s="75" t="s">
        <v>1175</v>
      </c>
      <c r="H259" s="69"/>
      <c r="P259" s="69">
        <f t="shared" ref="P259:P322" si="4">IF(AND(IF(TRIM($J$2&amp;"")="",TRUE,LEFT($D259,LEN($J$2))=$J$2),IF(TRIM($K$2&amp;"")="",TRUE,$E259=$K$2),IF($L$2="",TRUE,$F259=$L$2)),1,0)</f>
        <v>0</v>
      </c>
      <c r="Q259" s="69" cm="1">
        <f t="array" ref="Q259">IF(P259=1,IF(SUMPRODUCT(($P$2:P259)*(--($G$2:G259=$G259)))=1,1,0),0)</f>
        <v>0</v>
      </c>
      <c r="R259" s="69" t="str">
        <f>IF(Q259=1,SUM($Q$2:Q259),"")</f>
        <v/>
      </c>
    </row>
    <row r="260" spans="1:18" x14ac:dyDescent="0.2">
      <c r="A260" s="72"/>
      <c r="B260" s="76"/>
      <c r="C260" s="73"/>
      <c r="D260" s="73" t="s">
        <v>963</v>
      </c>
      <c r="E260" s="77" t="s">
        <v>990</v>
      </c>
      <c r="F260" s="75" t="s">
        <v>1487</v>
      </c>
      <c r="G260" s="75" t="s">
        <v>1175</v>
      </c>
      <c r="H260" s="69"/>
      <c r="P260" s="69">
        <f t="shared" si="4"/>
        <v>0</v>
      </c>
      <c r="Q260" s="69" cm="1">
        <f t="array" ref="Q260">IF(P260=1,IF(SUMPRODUCT(($P$2:P260)*(--($G$2:G260=$G260)))=1,1,0),0)</f>
        <v>0</v>
      </c>
      <c r="R260" s="69" t="str">
        <f>IF(Q260=1,SUM($Q$2:Q260),"")</f>
        <v/>
      </c>
    </row>
    <row r="261" spans="1:18" x14ac:dyDescent="0.2">
      <c r="A261" s="72"/>
      <c r="B261" s="76"/>
      <c r="C261" s="73"/>
      <c r="D261" s="73" t="s">
        <v>963</v>
      </c>
      <c r="E261" s="77" t="s">
        <v>110</v>
      </c>
      <c r="F261" s="75" t="s">
        <v>1488</v>
      </c>
      <c r="G261" s="75" t="s">
        <v>1175</v>
      </c>
      <c r="H261" s="69"/>
      <c r="P261" s="69">
        <f t="shared" si="4"/>
        <v>0</v>
      </c>
      <c r="Q261" s="69" cm="1">
        <f t="array" ref="Q261">IF(P261=1,IF(SUMPRODUCT(($P$2:P261)*(--($G$2:G261=$G261)))=1,1,0),0)</f>
        <v>0</v>
      </c>
      <c r="R261" s="69" t="str">
        <f>IF(Q261=1,SUM($Q$2:Q261),"")</f>
        <v/>
      </c>
    </row>
    <row r="262" spans="1:18" x14ac:dyDescent="0.2">
      <c r="A262" s="72"/>
      <c r="B262" s="76"/>
      <c r="C262" s="73"/>
      <c r="D262" s="73" t="s">
        <v>963</v>
      </c>
      <c r="E262" s="77" t="s">
        <v>990</v>
      </c>
      <c r="F262" s="75" t="s">
        <v>1488</v>
      </c>
      <c r="G262" s="75" t="s">
        <v>1175</v>
      </c>
      <c r="H262" s="69"/>
      <c r="P262" s="69">
        <f t="shared" si="4"/>
        <v>0</v>
      </c>
      <c r="Q262" s="69" cm="1">
        <f t="array" ref="Q262">IF(P262=1,IF(SUMPRODUCT(($P$2:P262)*(--($G$2:G262=$G262)))=1,1,0),0)</f>
        <v>0</v>
      </c>
      <c r="R262" s="69" t="str">
        <f>IF(Q262=1,SUM($Q$2:Q262),"")</f>
        <v/>
      </c>
    </row>
    <row r="263" spans="1:18" x14ac:dyDescent="0.2">
      <c r="A263" s="72"/>
      <c r="B263" s="76"/>
      <c r="C263" s="73"/>
      <c r="D263" s="73" t="s">
        <v>963</v>
      </c>
      <c r="E263" s="77" t="s">
        <v>110</v>
      </c>
      <c r="F263" s="75" t="s">
        <v>1489</v>
      </c>
      <c r="G263" s="75" t="s">
        <v>1175</v>
      </c>
      <c r="H263" s="69"/>
      <c r="P263" s="69">
        <f t="shared" si="4"/>
        <v>0</v>
      </c>
      <c r="Q263" s="69" cm="1">
        <f t="array" ref="Q263">IF(P263=1,IF(SUMPRODUCT(($P$2:P263)*(--($G$2:G263=$G263)))=1,1,0),0)</f>
        <v>0</v>
      </c>
      <c r="R263" s="69" t="str">
        <f>IF(Q263=1,SUM($Q$2:Q263),"")</f>
        <v/>
      </c>
    </row>
    <row r="264" spans="1:18" x14ac:dyDescent="0.2">
      <c r="A264" s="72"/>
      <c r="B264" s="76"/>
      <c r="C264" s="73"/>
      <c r="D264" s="73" t="s">
        <v>963</v>
      </c>
      <c r="E264" s="77" t="s">
        <v>990</v>
      </c>
      <c r="F264" s="75" t="s">
        <v>1489</v>
      </c>
      <c r="G264" s="75" t="s">
        <v>1175</v>
      </c>
      <c r="H264" s="69"/>
      <c r="P264" s="69">
        <f t="shared" si="4"/>
        <v>0</v>
      </c>
      <c r="Q264" s="69" cm="1">
        <f t="array" ref="Q264">IF(P264=1,IF(SUMPRODUCT(($P$2:P264)*(--($G$2:G264=$G264)))=1,1,0),0)</f>
        <v>0</v>
      </c>
      <c r="R264" s="69" t="str">
        <f>IF(Q264=1,SUM($Q$2:Q264),"")</f>
        <v/>
      </c>
    </row>
    <row r="265" spans="1:18" x14ac:dyDescent="0.2">
      <c r="A265" s="72"/>
      <c r="B265" s="76"/>
      <c r="C265" s="73"/>
      <c r="D265" s="73" t="s">
        <v>963</v>
      </c>
      <c r="E265" s="77" t="s">
        <v>110</v>
      </c>
      <c r="F265" s="75" t="s">
        <v>1490</v>
      </c>
      <c r="G265" s="75" t="s">
        <v>1063</v>
      </c>
      <c r="H265" s="69"/>
      <c r="P265" s="69">
        <f t="shared" si="4"/>
        <v>0</v>
      </c>
      <c r="Q265" s="69" cm="1">
        <f t="array" ref="Q265">IF(P265=1,IF(SUMPRODUCT(($P$2:P265)*(--($G$2:G265=$G265)))=1,1,0),0)</f>
        <v>0</v>
      </c>
      <c r="R265" s="69" t="str">
        <f>IF(Q265=1,SUM($Q$2:Q265),"")</f>
        <v/>
      </c>
    </row>
    <row r="266" spans="1:18" x14ac:dyDescent="0.2">
      <c r="A266" s="72"/>
      <c r="B266" s="76"/>
      <c r="C266" s="73"/>
      <c r="D266" s="73" t="s">
        <v>963</v>
      </c>
      <c r="E266" s="77" t="s">
        <v>990</v>
      </c>
      <c r="F266" s="75" t="s">
        <v>1490</v>
      </c>
      <c r="G266" s="75" t="s">
        <v>1063</v>
      </c>
      <c r="H266" s="69"/>
      <c r="P266" s="69">
        <f t="shared" si="4"/>
        <v>0</v>
      </c>
      <c r="Q266" s="69" cm="1">
        <f t="array" ref="Q266">IF(P266=1,IF(SUMPRODUCT(($P$2:P266)*(--($G$2:G266=$G266)))=1,1,0),0)</f>
        <v>0</v>
      </c>
      <c r="R266" s="69" t="str">
        <f>IF(Q266=1,SUM($Q$2:Q266),"")</f>
        <v/>
      </c>
    </row>
    <row r="267" spans="1:18" x14ac:dyDescent="0.2">
      <c r="A267" s="72"/>
      <c r="B267" s="76"/>
      <c r="C267" s="73"/>
      <c r="D267" s="73" t="s">
        <v>963</v>
      </c>
      <c r="E267" s="77" t="s">
        <v>110</v>
      </c>
      <c r="F267" s="75" t="s">
        <v>1491</v>
      </c>
      <c r="G267" s="75" t="s">
        <v>1159</v>
      </c>
      <c r="H267" s="69"/>
      <c r="P267" s="69">
        <f t="shared" si="4"/>
        <v>0</v>
      </c>
      <c r="Q267" s="69" cm="1">
        <f t="array" ref="Q267">IF(P267=1,IF(SUMPRODUCT(($P$2:P267)*(--($G$2:G267=$G267)))=1,1,0),0)</f>
        <v>0</v>
      </c>
      <c r="R267" s="69" t="str">
        <f>IF(Q267=1,SUM($Q$2:Q267),"")</f>
        <v/>
      </c>
    </row>
    <row r="268" spans="1:18" x14ac:dyDescent="0.2">
      <c r="A268" s="72"/>
      <c r="B268" s="76"/>
      <c r="C268" s="73"/>
      <c r="D268" s="73" t="s">
        <v>963</v>
      </c>
      <c r="E268" s="77" t="s">
        <v>990</v>
      </c>
      <c r="F268" s="75" t="s">
        <v>1491</v>
      </c>
      <c r="G268" s="75" t="s">
        <v>1159</v>
      </c>
      <c r="H268" s="69"/>
      <c r="P268" s="69">
        <f t="shared" si="4"/>
        <v>0</v>
      </c>
      <c r="Q268" s="69" cm="1">
        <f t="array" ref="Q268">IF(P268=1,IF(SUMPRODUCT(($P$2:P268)*(--($G$2:G268=$G268)))=1,1,0),0)</f>
        <v>0</v>
      </c>
      <c r="R268" s="69" t="str">
        <f>IF(Q268=1,SUM($Q$2:Q268),"")</f>
        <v/>
      </c>
    </row>
    <row r="269" spans="1:18" x14ac:dyDescent="0.2">
      <c r="A269" s="72"/>
      <c r="B269" s="76"/>
      <c r="C269" s="73"/>
      <c r="D269" s="73" t="s">
        <v>963</v>
      </c>
      <c r="E269" s="77" t="s">
        <v>110</v>
      </c>
      <c r="F269" s="75" t="s">
        <v>1465</v>
      </c>
      <c r="G269" s="75" t="s">
        <v>1162</v>
      </c>
      <c r="H269" s="69"/>
      <c r="P269" s="69">
        <f t="shared" si="4"/>
        <v>0</v>
      </c>
      <c r="Q269" s="69" cm="1">
        <f t="array" ref="Q269">IF(P269=1,IF(SUMPRODUCT(($P$2:P269)*(--($G$2:G269=$G269)))=1,1,0),0)</f>
        <v>0</v>
      </c>
      <c r="R269" s="69" t="str">
        <f>IF(Q269=1,SUM($Q$2:Q269),"")</f>
        <v/>
      </c>
    </row>
    <row r="270" spans="1:18" x14ac:dyDescent="0.2">
      <c r="A270" s="72"/>
      <c r="B270" s="76"/>
      <c r="C270" s="73"/>
      <c r="D270" s="73" t="s">
        <v>963</v>
      </c>
      <c r="E270" s="77" t="s">
        <v>990</v>
      </c>
      <c r="F270" s="75" t="s">
        <v>1465</v>
      </c>
      <c r="G270" s="75" t="s">
        <v>1162</v>
      </c>
      <c r="H270" s="69"/>
      <c r="P270" s="69">
        <f t="shared" si="4"/>
        <v>0</v>
      </c>
      <c r="Q270" s="69" cm="1">
        <f t="array" ref="Q270">IF(P270=1,IF(SUMPRODUCT(($P$2:P270)*(--($G$2:G270=$G270)))=1,1,0),0)</f>
        <v>0</v>
      </c>
      <c r="R270" s="69" t="str">
        <f>IF(Q270=1,SUM($Q$2:Q270),"")</f>
        <v/>
      </c>
    </row>
    <row r="271" spans="1:18" x14ac:dyDescent="0.2">
      <c r="A271" s="72"/>
      <c r="B271" s="76"/>
      <c r="C271" s="73"/>
      <c r="D271" s="73" t="s">
        <v>963</v>
      </c>
      <c r="E271" s="77" t="s">
        <v>990</v>
      </c>
      <c r="F271" s="75" t="s">
        <v>1466</v>
      </c>
      <c r="G271" s="75" t="s">
        <v>1164</v>
      </c>
      <c r="H271" s="69"/>
      <c r="P271" s="69">
        <f t="shared" si="4"/>
        <v>0</v>
      </c>
      <c r="Q271" s="69" cm="1">
        <f t="array" ref="Q271">IF(P271=1,IF(SUMPRODUCT(($P$2:P271)*(--($G$2:G271=$G271)))=1,1,0),0)</f>
        <v>0</v>
      </c>
      <c r="R271" s="69" t="str">
        <f>IF(Q271=1,SUM($Q$2:Q271),"")</f>
        <v/>
      </c>
    </row>
    <row r="272" spans="1:18" x14ac:dyDescent="0.2">
      <c r="A272" s="72"/>
      <c r="B272" s="76"/>
      <c r="C272" s="73"/>
      <c r="D272" s="73" t="s">
        <v>963</v>
      </c>
      <c r="E272" s="77" t="s">
        <v>110</v>
      </c>
      <c r="F272" s="75" t="s">
        <v>1467</v>
      </c>
      <c r="G272" s="75" t="s">
        <v>1161</v>
      </c>
      <c r="H272" s="69"/>
      <c r="P272" s="69">
        <f t="shared" si="4"/>
        <v>0</v>
      </c>
      <c r="Q272" s="69" cm="1">
        <f t="array" ref="Q272">IF(P272=1,IF(SUMPRODUCT(($P$2:P272)*(--($G$2:G272=$G272)))=1,1,0),0)</f>
        <v>0</v>
      </c>
      <c r="R272" s="69" t="str">
        <f>IF(Q272=1,SUM($Q$2:Q272),"")</f>
        <v/>
      </c>
    </row>
    <row r="273" spans="1:18" x14ac:dyDescent="0.2">
      <c r="A273" s="72"/>
      <c r="B273" s="76"/>
      <c r="C273" s="73"/>
      <c r="D273" s="73" t="s">
        <v>963</v>
      </c>
      <c r="E273" s="77" t="s">
        <v>990</v>
      </c>
      <c r="F273" s="75" t="s">
        <v>1467</v>
      </c>
      <c r="G273" s="75" t="s">
        <v>1161</v>
      </c>
      <c r="H273" s="69"/>
      <c r="P273" s="69">
        <f t="shared" si="4"/>
        <v>0</v>
      </c>
      <c r="Q273" s="69" cm="1">
        <f t="array" ref="Q273">IF(P273=1,IF(SUMPRODUCT(($P$2:P273)*(--($G$2:G273=$G273)))=1,1,0),0)</f>
        <v>0</v>
      </c>
      <c r="R273" s="69" t="str">
        <f>IF(Q273=1,SUM($Q$2:Q273),"")</f>
        <v/>
      </c>
    </row>
    <row r="274" spans="1:18" x14ac:dyDescent="0.2">
      <c r="A274" s="72"/>
      <c r="B274" s="76"/>
      <c r="C274" s="73"/>
      <c r="D274" s="73" t="s">
        <v>963</v>
      </c>
      <c r="E274" s="77" t="s">
        <v>110</v>
      </c>
      <c r="F274" s="75" t="s">
        <v>1492</v>
      </c>
      <c r="G274" s="75" t="s">
        <v>1161</v>
      </c>
      <c r="H274" s="69"/>
      <c r="P274" s="69">
        <f t="shared" si="4"/>
        <v>0</v>
      </c>
      <c r="Q274" s="69" cm="1">
        <f t="array" ref="Q274">IF(P274=1,IF(SUMPRODUCT(($P$2:P274)*(--($G$2:G274=$G274)))=1,1,0),0)</f>
        <v>0</v>
      </c>
      <c r="R274" s="69" t="str">
        <f>IF(Q274=1,SUM($Q$2:Q274),"")</f>
        <v/>
      </c>
    </row>
    <row r="275" spans="1:18" x14ac:dyDescent="0.2">
      <c r="A275" s="72"/>
      <c r="B275" s="76"/>
      <c r="C275" s="73"/>
      <c r="D275" s="73" t="s">
        <v>963</v>
      </c>
      <c r="E275" s="77" t="s">
        <v>990</v>
      </c>
      <c r="F275" s="75" t="s">
        <v>1492</v>
      </c>
      <c r="G275" s="75" t="s">
        <v>1161</v>
      </c>
      <c r="H275" s="69"/>
      <c r="P275" s="69">
        <f t="shared" si="4"/>
        <v>0</v>
      </c>
      <c r="Q275" s="69" cm="1">
        <f t="array" ref="Q275">IF(P275=1,IF(SUMPRODUCT(($P$2:P275)*(--($G$2:G275=$G275)))=1,1,0),0)</f>
        <v>0</v>
      </c>
      <c r="R275" s="69" t="str">
        <f>IF(Q275=1,SUM($Q$2:Q275),"")</f>
        <v/>
      </c>
    </row>
    <row r="276" spans="1:18" x14ac:dyDescent="0.2">
      <c r="A276" s="72"/>
      <c r="B276" s="76"/>
      <c r="C276" s="73"/>
      <c r="D276" s="73" t="s">
        <v>963</v>
      </c>
      <c r="E276" s="77" t="s">
        <v>110</v>
      </c>
      <c r="F276" s="75" t="s">
        <v>1493</v>
      </c>
      <c r="G276" s="75" t="s">
        <v>1161</v>
      </c>
      <c r="H276" s="69"/>
      <c r="P276" s="69">
        <f t="shared" si="4"/>
        <v>0</v>
      </c>
      <c r="Q276" s="69" cm="1">
        <f t="array" ref="Q276">IF(P276=1,IF(SUMPRODUCT(($P$2:P276)*(--($G$2:G276=$G276)))=1,1,0),0)</f>
        <v>0</v>
      </c>
      <c r="R276" s="69" t="str">
        <f>IF(Q276=1,SUM($Q$2:Q276),"")</f>
        <v/>
      </c>
    </row>
    <row r="277" spans="1:18" x14ac:dyDescent="0.2">
      <c r="A277" s="72"/>
      <c r="B277" s="76"/>
      <c r="C277" s="73"/>
      <c r="D277" s="73" t="s">
        <v>963</v>
      </c>
      <c r="E277" s="77" t="s">
        <v>990</v>
      </c>
      <c r="F277" s="75" t="s">
        <v>1493</v>
      </c>
      <c r="G277" s="75" t="s">
        <v>1161</v>
      </c>
      <c r="H277" s="69"/>
      <c r="P277" s="69">
        <f t="shared" si="4"/>
        <v>0</v>
      </c>
      <c r="Q277" s="69" cm="1">
        <f t="array" ref="Q277">IF(P277=1,IF(SUMPRODUCT(($P$2:P277)*(--($G$2:G277=$G277)))=1,1,0),0)</f>
        <v>0</v>
      </c>
      <c r="R277" s="69" t="str">
        <f>IF(Q277=1,SUM($Q$2:Q277),"")</f>
        <v/>
      </c>
    </row>
    <row r="278" spans="1:18" x14ac:dyDescent="0.2">
      <c r="A278" s="72"/>
      <c r="B278" s="76"/>
      <c r="C278" s="73"/>
      <c r="D278" s="73" t="s">
        <v>963</v>
      </c>
      <c r="E278" s="77" t="s">
        <v>990</v>
      </c>
      <c r="F278" s="75" t="s">
        <v>1468</v>
      </c>
      <c r="G278" s="75" t="s">
        <v>1158</v>
      </c>
      <c r="H278" s="69"/>
      <c r="P278" s="69">
        <f t="shared" si="4"/>
        <v>0</v>
      </c>
      <c r="Q278" s="69" cm="1">
        <f t="array" ref="Q278">IF(P278=1,IF(SUMPRODUCT(($P$2:P278)*(--($G$2:G278=$G278)))=1,1,0),0)</f>
        <v>0</v>
      </c>
      <c r="R278" s="69" t="str">
        <f>IF(Q278=1,SUM($Q$2:Q278),"")</f>
        <v/>
      </c>
    </row>
    <row r="279" spans="1:18" x14ac:dyDescent="0.2">
      <c r="A279" s="72"/>
      <c r="B279" s="76"/>
      <c r="C279" s="73"/>
      <c r="D279" s="73" t="s">
        <v>963</v>
      </c>
      <c r="E279" s="77" t="s">
        <v>110</v>
      </c>
      <c r="F279" s="75" t="s">
        <v>1468</v>
      </c>
      <c r="G279" s="75" t="s">
        <v>1158</v>
      </c>
      <c r="H279" s="69"/>
      <c r="P279" s="69">
        <f t="shared" si="4"/>
        <v>0</v>
      </c>
      <c r="Q279" s="69" cm="1">
        <f t="array" ref="Q279">IF(P279=1,IF(SUMPRODUCT(($P$2:P279)*(--($G$2:G279=$G279)))=1,1,0),0)</f>
        <v>0</v>
      </c>
      <c r="R279" s="69" t="str">
        <f>IF(Q279=1,SUM($Q$2:Q279),"")</f>
        <v/>
      </c>
    </row>
    <row r="280" spans="1:18" x14ac:dyDescent="0.2">
      <c r="A280" s="72"/>
      <c r="B280" s="76"/>
      <c r="C280" s="73"/>
      <c r="D280" s="73" t="s">
        <v>963</v>
      </c>
      <c r="E280" s="77" t="s">
        <v>990</v>
      </c>
      <c r="F280" s="75" t="s">
        <v>1469</v>
      </c>
      <c r="G280" s="75" t="s">
        <v>1158</v>
      </c>
      <c r="H280" s="69"/>
      <c r="P280" s="69">
        <f t="shared" si="4"/>
        <v>0</v>
      </c>
      <c r="Q280" s="69" cm="1">
        <f t="array" ref="Q280">IF(P280=1,IF(SUMPRODUCT(($P$2:P280)*(--($G$2:G280=$G280)))=1,1,0),0)</f>
        <v>0</v>
      </c>
      <c r="R280" s="69" t="str">
        <f>IF(Q280=1,SUM($Q$2:Q280),"")</f>
        <v/>
      </c>
    </row>
    <row r="281" spans="1:18" x14ac:dyDescent="0.2">
      <c r="A281" s="72"/>
      <c r="B281" s="76"/>
      <c r="C281" s="73"/>
      <c r="D281" s="73" t="s">
        <v>963</v>
      </c>
      <c r="E281" s="77" t="s">
        <v>110</v>
      </c>
      <c r="F281" s="75" t="s">
        <v>1469</v>
      </c>
      <c r="G281" s="75" t="s">
        <v>1158</v>
      </c>
      <c r="H281" s="69"/>
      <c r="P281" s="69">
        <f t="shared" si="4"/>
        <v>0</v>
      </c>
      <c r="Q281" s="69" cm="1">
        <f t="array" ref="Q281">IF(P281=1,IF(SUMPRODUCT(($P$2:P281)*(--($G$2:G281=$G281)))=1,1,0),0)</f>
        <v>0</v>
      </c>
      <c r="R281" s="69" t="str">
        <f>IF(Q281=1,SUM($Q$2:Q281),"")</f>
        <v/>
      </c>
    </row>
    <row r="282" spans="1:18" x14ac:dyDescent="0.2">
      <c r="A282" s="72"/>
      <c r="B282" s="76"/>
      <c r="C282" s="73"/>
      <c r="D282" s="73" t="s">
        <v>963</v>
      </c>
      <c r="E282" s="77" t="s">
        <v>110</v>
      </c>
      <c r="F282" s="75" t="s">
        <v>1494</v>
      </c>
      <c r="G282" s="75" t="s">
        <v>1160</v>
      </c>
      <c r="H282" s="69"/>
      <c r="P282" s="69">
        <f t="shared" si="4"/>
        <v>0</v>
      </c>
      <c r="Q282" s="69" cm="1">
        <f t="array" ref="Q282">IF(P282=1,IF(SUMPRODUCT(($P$2:P282)*(--($G$2:G282=$G282)))=1,1,0),0)</f>
        <v>0</v>
      </c>
      <c r="R282" s="69" t="str">
        <f>IF(Q282=1,SUM($Q$2:Q282),"")</f>
        <v/>
      </c>
    </row>
    <row r="283" spans="1:18" x14ac:dyDescent="0.2">
      <c r="A283" s="72"/>
      <c r="B283" s="76"/>
      <c r="C283" s="73"/>
      <c r="D283" s="73" t="s">
        <v>963</v>
      </c>
      <c r="E283" s="77" t="s">
        <v>990</v>
      </c>
      <c r="F283" s="75" t="s">
        <v>1494</v>
      </c>
      <c r="G283" s="75" t="s">
        <v>1160</v>
      </c>
      <c r="H283" s="69"/>
      <c r="P283" s="69">
        <f t="shared" si="4"/>
        <v>0</v>
      </c>
      <c r="Q283" s="69" cm="1">
        <f t="array" ref="Q283">IF(P283=1,IF(SUMPRODUCT(($P$2:P283)*(--($G$2:G283=$G283)))=1,1,0),0)</f>
        <v>0</v>
      </c>
      <c r="R283" s="69" t="str">
        <f>IF(Q283=1,SUM($Q$2:Q283),"")</f>
        <v/>
      </c>
    </row>
    <row r="284" spans="1:18" x14ac:dyDescent="0.2">
      <c r="A284" s="72"/>
      <c r="B284" s="76"/>
      <c r="C284" s="73"/>
      <c r="D284" s="73" t="s">
        <v>963</v>
      </c>
      <c r="E284" s="77" t="s">
        <v>110</v>
      </c>
      <c r="F284" s="75" t="s">
        <v>1495</v>
      </c>
      <c r="G284" s="75" t="s">
        <v>1163</v>
      </c>
      <c r="H284" s="69"/>
      <c r="P284" s="69">
        <f t="shared" si="4"/>
        <v>0</v>
      </c>
      <c r="Q284" s="69" cm="1">
        <f t="array" ref="Q284">IF(P284=1,IF(SUMPRODUCT(($P$2:P284)*(--($G$2:G284=$G284)))=1,1,0),0)</f>
        <v>0</v>
      </c>
      <c r="R284" s="69" t="str">
        <f>IF(Q284=1,SUM($Q$2:Q284),"")</f>
        <v/>
      </c>
    </row>
    <row r="285" spans="1:18" x14ac:dyDescent="0.2">
      <c r="A285" s="72"/>
      <c r="B285" s="76"/>
      <c r="C285" s="73"/>
      <c r="D285" s="73" t="s">
        <v>963</v>
      </c>
      <c r="E285" s="77" t="s">
        <v>990</v>
      </c>
      <c r="F285" s="75" t="s">
        <v>1495</v>
      </c>
      <c r="G285" s="75" t="s">
        <v>1163</v>
      </c>
      <c r="H285" s="69"/>
      <c r="P285" s="69">
        <f t="shared" si="4"/>
        <v>0</v>
      </c>
      <c r="Q285" s="69" cm="1">
        <f t="array" ref="Q285">IF(P285=1,IF(SUMPRODUCT(($P$2:P285)*(--($G$2:G285=$G285)))=1,1,0),0)</f>
        <v>0</v>
      </c>
      <c r="R285" s="69" t="str">
        <f>IF(Q285=1,SUM($Q$2:Q285),"")</f>
        <v/>
      </c>
    </row>
    <row r="286" spans="1:18" ht="16" x14ac:dyDescent="0.2">
      <c r="A286" s="72"/>
      <c r="B286" s="76"/>
      <c r="C286" s="73"/>
      <c r="D286" s="73" t="s">
        <v>963</v>
      </c>
      <c r="E286" s="77" t="s">
        <v>110</v>
      </c>
      <c r="F286" s="75" t="s">
        <v>1453</v>
      </c>
      <c r="G286" s="74" t="s">
        <v>1168</v>
      </c>
      <c r="H286" s="69"/>
      <c r="P286" s="69">
        <f t="shared" si="4"/>
        <v>0</v>
      </c>
      <c r="Q286" s="69" cm="1">
        <f t="array" ref="Q286">IF(P286=1,IF(SUMPRODUCT(($P$2:P286)*(--($G$2:G286=$G286)))=1,1,0),0)</f>
        <v>0</v>
      </c>
      <c r="R286" s="69" t="str">
        <f>IF(Q286=1,SUM($Q$2:Q286),"")</f>
        <v/>
      </c>
    </row>
    <row r="287" spans="1:18" ht="16" x14ac:dyDescent="0.2">
      <c r="A287" s="72"/>
      <c r="B287" s="76"/>
      <c r="C287" s="73"/>
      <c r="D287" s="73" t="s">
        <v>963</v>
      </c>
      <c r="E287" s="77" t="s">
        <v>990</v>
      </c>
      <c r="F287" s="75" t="s">
        <v>1453</v>
      </c>
      <c r="G287" s="74" t="s">
        <v>1168</v>
      </c>
      <c r="H287" s="69"/>
      <c r="P287" s="69">
        <f t="shared" si="4"/>
        <v>0</v>
      </c>
      <c r="Q287" s="69" cm="1">
        <f t="array" ref="Q287">IF(P287=1,IF(SUMPRODUCT(($P$2:P287)*(--($G$2:G287=$G287)))=1,1,0),0)</f>
        <v>0</v>
      </c>
      <c r="R287" s="69" t="str">
        <f>IF(Q287=1,SUM($Q$2:Q287),"")</f>
        <v/>
      </c>
    </row>
    <row r="288" spans="1:18" ht="16" x14ac:dyDescent="0.2">
      <c r="A288" s="72"/>
      <c r="B288" s="76"/>
      <c r="C288" s="73"/>
      <c r="D288" s="73" t="s">
        <v>963</v>
      </c>
      <c r="E288" s="77" t="s">
        <v>110</v>
      </c>
      <c r="F288" s="75" t="s">
        <v>1454</v>
      </c>
      <c r="G288" s="74" t="s">
        <v>1168</v>
      </c>
      <c r="H288" s="69"/>
      <c r="P288" s="69">
        <f t="shared" si="4"/>
        <v>0</v>
      </c>
      <c r="Q288" s="69" cm="1">
        <f t="array" ref="Q288">IF(P288=1,IF(SUMPRODUCT(($P$2:P288)*(--($G$2:G288=$G288)))=1,1,0),0)</f>
        <v>0</v>
      </c>
      <c r="R288" s="69" t="str">
        <f>IF(Q288=1,SUM($Q$2:Q288),"")</f>
        <v/>
      </c>
    </row>
    <row r="289" spans="1:18" ht="16" x14ac:dyDescent="0.2">
      <c r="A289" s="72"/>
      <c r="B289" s="76"/>
      <c r="C289" s="73"/>
      <c r="D289" s="73" t="s">
        <v>963</v>
      </c>
      <c r="E289" s="77" t="s">
        <v>990</v>
      </c>
      <c r="F289" s="75" t="s">
        <v>1454</v>
      </c>
      <c r="G289" s="74" t="s">
        <v>1168</v>
      </c>
      <c r="H289" s="69"/>
      <c r="P289" s="69">
        <f t="shared" si="4"/>
        <v>0</v>
      </c>
      <c r="Q289" s="69" cm="1">
        <f t="array" ref="Q289">IF(P289=1,IF(SUMPRODUCT(($P$2:P289)*(--($G$2:G289=$G289)))=1,1,0),0)</f>
        <v>0</v>
      </c>
      <c r="R289" s="69" t="str">
        <f>IF(Q289=1,SUM($Q$2:Q289),"")</f>
        <v/>
      </c>
    </row>
    <row r="290" spans="1:18" ht="16" x14ac:dyDescent="0.2">
      <c r="A290" s="72"/>
      <c r="B290" s="76"/>
      <c r="C290" s="73"/>
      <c r="D290" s="73" t="s">
        <v>963</v>
      </c>
      <c r="E290" s="77" t="s">
        <v>110</v>
      </c>
      <c r="F290" s="75" t="s">
        <v>1496</v>
      </c>
      <c r="G290" s="74" t="s">
        <v>1168</v>
      </c>
      <c r="H290" s="69"/>
      <c r="P290" s="69">
        <f t="shared" si="4"/>
        <v>0</v>
      </c>
      <c r="Q290" s="69" cm="1">
        <f t="array" ref="Q290">IF(P290=1,IF(SUMPRODUCT(($P$2:P290)*(--($G$2:G290=$G290)))=1,1,0),0)</f>
        <v>0</v>
      </c>
      <c r="R290" s="69" t="str">
        <f>IF(Q290=1,SUM($Q$2:Q290),"")</f>
        <v/>
      </c>
    </row>
    <row r="291" spans="1:18" ht="16" x14ac:dyDescent="0.2">
      <c r="A291" s="72"/>
      <c r="B291" s="76"/>
      <c r="C291" s="73"/>
      <c r="D291" s="73" t="s">
        <v>963</v>
      </c>
      <c r="E291" s="77" t="s">
        <v>990</v>
      </c>
      <c r="F291" s="75" t="s">
        <v>1496</v>
      </c>
      <c r="G291" s="74" t="s">
        <v>1168</v>
      </c>
      <c r="H291" s="69"/>
      <c r="P291" s="69">
        <f t="shared" si="4"/>
        <v>0</v>
      </c>
      <c r="Q291" s="69" cm="1">
        <f t="array" ref="Q291">IF(P291=1,IF(SUMPRODUCT(($P$2:P291)*(--($G$2:G291=$G291)))=1,1,0),0)</f>
        <v>0</v>
      </c>
      <c r="R291" s="69" t="str">
        <f>IF(Q291=1,SUM($Q$2:Q291),"")</f>
        <v/>
      </c>
    </row>
    <row r="292" spans="1:18" ht="16" x14ac:dyDescent="0.2">
      <c r="A292" s="72"/>
      <c r="B292" s="76"/>
      <c r="C292" s="73"/>
      <c r="D292" s="73" t="s">
        <v>963</v>
      </c>
      <c r="E292" s="77" t="s">
        <v>110</v>
      </c>
      <c r="F292" s="75" t="s">
        <v>1455</v>
      </c>
      <c r="G292" s="74" t="s">
        <v>1168</v>
      </c>
      <c r="H292" s="69"/>
      <c r="P292" s="69">
        <f t="shared" si="4"/>
        <v>0</v>
      </c>
      <c r="Q292" s="69" cm="1">
        <f t="array" ref="Q292">IF(P292=1,IF(SUMPRODUCT(($P$2:P292)*(--($G$2:G292=$G292)))=1,1,0),0)</f>
        <v>0</v>
      </c>
      <c r="R292" s="69" t="str">
        <f>IF(Q292=1,SUM($Q$2:Q292),"")</f>
        <v/>
      </c>
    </row>
    <row r="293" spans="1:18" ht="16" x14ac:dyDescent="0.2">
      <c r="A293" s="72"/>
      <c r="B293" s="76"/>
      <c r="C293" s="73"/>
      <c r="D293" s="73" t="s">
        <v>963</v>
      </c>
      <c r="E293" s="77" t="s">
        <v>990</v>
      </c>
      <c r="F293" s="75" t="s">
        <v>1455</v>
      </c>
      <c r="G293" s="74" t="s">
        <v>1168</v>
      </c>
      <c r="H293" s="69"/>
      <c r="P293" s="69">
        <f t="shared" si="4"/>
        <v>0</v>
      </c>
      <c r="Q293" s="69" cm="1">
        <f t="array" ref="Q293">IF(P293=1,IF(SUMPRODUCT(($P$2:P293)*(--($G$2:G293=$G293)))=1,1,0),0)</f>
        <v>0</v>
      </c>
      <c r="R293" s="69" t="str">
        <f>IF(Q293=1,SUM($Q$2:Q293),"")</f>
        <v/>
      </c>
    </row>
    <row r="294" spans="1:18" ht="16" x14ac:dyDescent="0.2">
      <c r="A294" s="72"/>
      <c r="B294" s="76"/>
      <c r="C294" s="73"/>
      <c r="D294" s="73" t="s">
        <v>963</v>
      </c>
      <c r="E294" s="77" t="s">
        <v>110</v>
      </c>
      <c r="F294" s="75" t="s">
        <v>1456</v>
      </c>
      <c r="G294" s="74" t="s">
        <v>1168</v>
      </c>
      <c r="H294" s="69"/>
      <c r="P294" s="69">
        <f t="shared" si="4"/>
        <v>0</v>
      </c>
      <c r="Q294" s="69" cm="1">
        <f t="array" ref="Q294">IF(P294=1,IF(SUMPRODUCT(($P$2:P294)*(--($G$2:G294=$G294)))=1,1,0),0)</f>
        <v>0</v>
      </c>
      <c r="R294" s="69" t="str">
        <f>IF(Q294=1,SUM($Q$2:Q294),"")</f>
        <v/>
      </c>
    </row>
    <row r="295" spans="1:18" ht="16" x14ac:dyDescent="0.2">
      <c r="A295" s="72"/>
      <c r="B295" s="76"/>
      <c r="C295" s="73"/>
      <c r="D295" s="73" t="s">
        <v>963</v>
      </c>
      <c r="E295" s="77" t="s">
        <v>990</v>
      </c>
      <c r="F295" s="75" t="s">
        <v>1456</v>
      </c>
      <c r="G295" s="74" t="s">
        <v>1168</v>
      </c>
      <c r="H295" s="69"/>
      <c r="P295" s="69">
        <f t="shared" si="4"/>
        <v>0</v>
      </c>
      <c r="Q295" s="69" cm="1">
        <f t="array" ref="Q295">IF(P295=1,IF(SUMPRODUCT(($P$2:P295)*(--($G$2:G295=$G295)))=1,1,0),0)</f>
        <v>0</v>
      </c>
      <c r="R295" s="69" t="str">
        <f>IF(Q295=1,SUM($Q$2:Q295),"")</f>
        <v/>
      </c>
    </row>
    <row r="296" spans="1:18" ht="16" x14ac:dyDescent="0.2">
      <c r="A296" s="72"/>
      <c r="B296" s="76"/>
      <c r="C296" s="73"/>
      <c r="D296" s="73" t="s">
        <v>963</v>
      </c>
      <c r="E296" s="77" t="s">
        <v>110</v>
      </c>
      <c r="F296" s="75" t="s">
        <v>1457</v>
      </c>
      <c r="G296" s="74" t="s">
        <v>1168</v>
      </c>
      <c r="H296" s="69"/>
      <c r="P296" s="69">
        <f t="shared" si="4"/>
        <v>0</v>
      </c>
      <c r="Q296" s="69" cm="1">
        <f t="array" ref="Q296">IF(P296=1,IF(SUMPRODUCT(($P$2:P296)*(--($G$2:G296=$G296)))=1,1,0),0)</f>
        <v>0</v>
      </c>
      <c r="R296" s="69" t="str">
        <f>IF(Q296=1,SUM($Q$2:Q296),"")</f>
        <v/>
      </c>
    </row>
    <row r="297" spans="1:18" ht="16" x14ac:dyDescent="0.2">
      <c r="A297" s="72"/>
      <c r="B297" s="76"/>
      <c r="C297" s="73"/>
      <c r="D297" s="73" t="s">
        <v>963</v>
      </c>
      <c r="E297" s="77" t="s">
        <v>990</v>
      </c>
      <c r="F297" s="75" t="s">
        <v>1457</v>
      </c>
      <c r="G297" s="74" t="s">
        <v>1168</v>
      </c>
      <c r="H297" s="69"/>
      <c r="P297" s="69">
        <f t="shared" si="4"/>
        <v>0</v>
      </c>
      <c r="Q297" s="69" cm="1">
        <f t="array" ref="Q297">IF(P297=1,IF(SUMPRODUCT(($P$2:P297)*(--($G$2:G297=$G297)))=1,1,0),0)</f>
        <v>0</v>
      </c>
      <c r="R297" s="69" t="str">
        <f>IF(Q297=1,SUM($Q$2:Q297),"")</f>
        <v/>
      </c>
    </row>
    <row r="298" spans="1:18" ht="16" x14ac:dyDescent="0.2">
      <c r="A298" s="72"/>
      <c r="B298" s="76"/>
      <c r="C298" s="73"/>
      <c r="D298" s="73" t="s">
        <v>963</v>
      </c>
      <c r="E298" s="77" t="s">
        <v>110</v>
      </c>
      <c r="F298" s="75" t="s">
        <v>1497</v>
      </c>
      <c r="G298" s="74" t="s">
        <v>1168</v>
      </c>
      <c r="H298" s="69"/>
      <c r="P298" s="69">
        <f t="shared" si="4"/>
        <v>0</v>
      </c>
      <c r="Q298" s="69" cm="1">
        <f t="array" ref="Q298">IF(P298=1,IF(SUMPRODUCT(($P$2:P298)*(--($G$2:G298=$G298)))=1,1,0),0)</f>
        <v>0</v>
      </c>
      <c r="R298" s="69" t="str">
        <f>IF(Q298=1,SUM($Q$2:Q298),"")</f>
        <v/>
      </c>
    </row>
    <row r="299" spans="1:18" ht="16" x14ac:dyDescent="0.2">
      <c r="A299" s="72"/>
      <c r="B299" s="76"/>
      <c r="C299" s="73"/>
      <c r="D299" s="73" t="s">
        <v>963</v>
      </c>
      <c r="E299" s="77" t="s">
        <v>990</v>
      </c>
      <c r="F299" s="75" t="s">
        <v>1497</v>
      </c>
      <c r="G299" s="74" t="s">
        <v>1168</v>
      </c>
      <c r="H299" s="69"/>
      <c r="P299" s="69">
        <f t="shared" si="4"/>
        <v>0</v>
      </c>
      <c r="Q299" s="69" cm="1">
        <f t="array" ref="Q299">IF(P299=1,IF(SUMPRODUCT(($P$2:P299)*(--($G$2:G299=$G299)))=1,1,0),0)</f>
        <v>0</v>
      </c>
      <c r="R299" s="69" t="str">
        <f>IF(Q299=1,SUM($Q$2:Q299),"")</f>
        <v/>
      </c>
    </row>
    <row r="300" spans="1:18" ht="16" x14ac:dyDescent="0.2">
      <c r="A300" s="72"/>
      <c r="B300" s="76"/>
      <c r="C300" s="73"/>
      <c r="D300" s="73" t="s">
        <v>963</v>
      </c>
      <c r="E300" s="77" t="s">
        <v>110</v>
      </c>
      <c r="F300" s="75" t="s">
        <v>1498</v>
      </c>
      <c r="G300" s="74" t="s">
        <v>1165</v>
      </c>
      <c r="H300" s="69"/>
      <c r="P300" s="69">
        <f t="shared" si="4"/>
        <v>0</v>
      </c>
      <c r="Q300" s="69" cm="1">
        <f t="array" ref="Q300">IF(P300=1,IF(SUMPRODUCT(($P$2:P300)*(--($G$2:G300=$G300)))=1,1,0),0)</f>
        <v>0</v>
      </c>
      <c r="R300" s="69" t="str">
        <f>IF(Q300=1,SUM($Q$2:Q300),"")</f>
        <v/>
      </c>
    </row>
    <row r="301" spans="1:18" ht="16" x14ac:dyDescent="0.2">
      <c r="A301" s="72"/>
      <c r="B301" s="76"/>
      <c r="C301" s="73"/>
      <c r="D301" s="73" t="s">
        <v>963</v>
      </c>
      <c r="E301" s="77" t="s">
        <v>990</v>
      </c>
      <c r="F301" s="75" t="s">
        <v>1498</v>
      </c>
      <c r="G301" s="74" t="s">
        <v>1165</v>
      </c>
      <c r="H301" s="69"/>
      <c r="P301" s="69">
        <f t="shared" si="4"/>
        <v>0</v>
      </c>
      <c r="Q301" s="69" cm="1">
        <f t="array" ref="Q301">IF(P301=1,IF(SUMPRODUCT(($P$2:P301)*(--($G$2:G301=$G301)))=1,1,0),0)</f>
        <v>0</v>
      </c>
      <c r="R301" s="69" t="str">
        <f>IF(Q301=1,SUM($Q$2:Q301),"")</f>
        <v/>
      </c>
    </row>
    <row r="302" spans="1:18" ht="16" x14ac:dyDescent="0.2">
      <c r="A302" s="72"/>
      <c r="B302" s="76"/>
      <c r="C302" s="73"/>
      <c r="D302" s="73" t="s">
        <v>963</v>
      </c>
      <c r="E302" s="77" t="s">
        <v>110</v>
      </c>
      <c r="F302" s="75" t="s">
        <v>1499</v>
      </c>
      <c r="G302" s="74" t="s">
        <v>1165</v>
      </c>
      <c r="H302" s="69"/>
      <c r="P302" s="69">
        <f t="shared" si="4"/>
        <v>0</v>
      </c>
      <c r="Q302" s="69" cm="1">
        <f t="array" ref="Q302">IF(P302=1,IF(SUMPRODUCT(($P$2:P302)*(--($G$2:G302=$G302)))=1,1,0),0)</f>
        <v>0</v>
      </c>
      <c r="R302" s="69" t="str">
        <f>IF(Q302=1,SUM($Q$2:Q302),"")</f>
        <v/>
      </c>
    </row>
    <row r="303" spans="1:18" ht="16" x14ac:dyDescent="0.2">
      <c r="A303" s="72"/>
      <c r="B303" s="76"/>
      <c r="C303" s="73"/>
      <c r="D303" s="73" t="s">
        <v>963</v>
      </c>
      <c r="E303" s="77" t="s">
        <v>990</v>
      </c>
      <c r="F303" s="75" t="s">
        <v>1499</v>
      </c>
      <c r="G303" s="74" t="s">
        <v>1165</v>
      </c>
      <c r="H303" s="69"/>
      <c r="P303" s="69">
        <f t="shared" si="4"/>
        <v>0</v>
      </c>
      <c r="Q303" s="69" cm="1">
        <f t="array" ref="Q303">IF(P303=1,IF(SUMPRODUCT(($P$2:P303)*(--($G$2:G303=$G303)))=1,1,0),0)</f>
        <v>0</v>
      </c>
      <c r="R303" s="69" t="str">
        <f>IF(Q303=1,SUM($Q$2:Q303),"")</f>
        <v/>
      </c>
    </row>
    <row r="304" spans="1:18" ht="16" x14ac:dyDescent="0.2">
      <c r="A304" s="72"/>
      <c r="B304" s="76"/>
      <c r="C304" s="73"/>
      <c r="D304" s="73" t="s">
        <v>963</v>
      </c>
      <c r="E304" s="77" t="s">
        <v>110</v>
      </c>
      <c r="F304" s="75" t="s">
        <v>1500</v>
      </c>
      <c r="G304" s="74" t="s">
        <v>1166</v>
      </c>
      <c r="H304" s="69"/>
      <c r="P304" s="69">
        <f t="shared" si="4"/>
        <v>0</v>
      </c>
      <c r="Q304" s="69" cm="1">
        <f t="array" ref="Q304">IF(P304=1,IF(SUMPRODUCT(($P$2:P304)*(--($G$2:G304=$G304)))=1,1,0),0)</f>
        <v>0</v>
      </c>
      <c r="R304" s="69" t="str">
        <f>IF(Q304=1,SUM($Q$2:Q304),"")</f>
        <v/>
      </c>
    </row>
    <row r="305" spans="1:18" ht="16" x14ac:dyDescent="0.2">
      <c r="A305" s="72"/>
      <c r="B305" s="76"/>
      <c r="C305" s="73"/>
      <c r="D305" s="73" t="s">
        <v>963</v>
      </c>
      <c r="E305" s="77" t="s">
        <v>110</v>
      </c>
      <c r="F305" s="75" t="s">
        <v>1501</v>
      </c>
      <c r="G305" s="74" t="s">
        <v>1166</v>
      </c>
      <c r="H305" s="69"/>
      <c r="P305" s="69">
        <f t="shared" si="4"/>
        <v>0</v>
      </c>
      <c r="Q305" s="69" cm="1">
        <f t="array" ref="Q305">IF(P305=1,IF(SUMPRODUCT(($P$2:P305)*(--($G$2:G305=$G305)))=1,1,0),0)</f>
        <v>0</v>
      </c>
      <c r="R305" s="69" t="str">
        <f>IF(Q305=1,SUM($Q$2:Q305),"")</f>
        <v/>
      </c>
    </row>
    <row r="306" spans="1:18" ht="16" x14ac:dyDescent="0.2">
      <c r="A306" s="72"/>
      <c r="B306" s="76"/>
      <c r="C306" s="73"/>
      <c r="D306" s="73" t="s">
        <v>963</v>
      </c>
      <c r="E306" s="77" t="s">
        <v>110</v>
      </c>
      <c r="F306" s="75" t="s">
        <v>1502</v>
      </c>
      <c r="G306" s="74" t="s">
        <v>1166</v>
      </c>
      <c r="H306" s="69"/>
      <c r="P306" s="69">
        <f t="shared" si="4"/>
        <v>0</v>
      </c>
      <c r="Q306" s="69" cm="1">
        <f t="array" ref="Q306">IF(P306=1,IF(SUMPRODUCT(($P$2:P306)*(--($G$2:G306=$G306)))=1,1,0),0)</f>
        <v>0</v>
      </c>
      <c r="R306" s="69" t="str">
        <f>IF(Q306=1,SUM($Q$2:Q306),"")</f>
        <v/>
      </c>
    </row>
    <row r="307" spans="1:18" ht="16" x14ac:dyDescent="0.2">
      <c r="A307" s="72"/>
      <c r="B307" s="76"/>
      <c r="C307" s="73"/>
      <c r="D307" s="73" t="s">
        <v>963</v>
      </c>
      <c r="E307" s="77" t="s">
        <v>110</v>
      </c>
      <c r="F307" s="75" t="s">
        <v>1503</v>
      </c>
      <c r="G307" s="74" t="s">
        <v>1166</v>
      </c>
      <c r="H307" s="69"/>
      <c r="P307" s="69">
        <f t="shared" si="4"/>
        <v>0</v>
      </c>
      <c r="Q307" s="69" cm="1">
        <f t="array" ref="Q307">IF(P307=1,IF(SUMPRODUCT(($P$2:P307)*(--($G$2:G307=$G307)))=1,1,0),0)</f>
        <v>0</v>
      </c>
      <c r="R307" s="69" t="str">
        <f>IF(Q307=1,SUM($Q$2:Q307),"")</f>
        <v/>
      </c>
    </row>
    <row r="308" spans="1:18" x14ac:dyDescent="0.2">
      <c r="A308" s="72"/>
      <c r="B308" s="76"/>
      <c r="C308" s="73"/>
      <c r="D308" s="73" t="s">
        <v>963</v>
      </c>
      <c r="E308" s="77" t="s">
        <v>110</v>
      </c>
      <c r="F308" s="75" t="s">
        <v>1458</v>
      </c>
      <c r="G308" s="75" t="s">
        <v>1170</v>
      </c>
      <c r="H308" s="69"/>
      <c r="P308" s="69">
        <f t="shared" si="4"/>
        <v>0</v>
      </c>
      <c r="Q308" s="69" cm="1">
        <f t="array" ref="Q308">IF(P308=1,IF(SUMPRODUCT(($P$2:P308)*(--($G$2:G308=$G308)))=1,1,0),0)</f>
        <v>0</v>
      </c>
      <c r="R308" s="69" t="str">
        <f>IF(Q308=1,SUM($Q$2:Q308),"")</f>
        <v/>
      </c>
    </row>
    <row r="309" spans="1:18" x14ac:dyDescent="0.2">
      <c r="A309" s="72"/>
      <c r="B309" s="76"/>
      <c r="C309" s="73"/>
      <c r="D309" s="73" t="s">
        <v>963</v>
      </c>
      <c r="E309" s="77" t="s">
        <v>990</v>
      </c>
      <c r="F309" s="75" t="s">
        <v>1458</v>
      </c>
      <c r="G309" s="75" t="s">
        <v>1170</v>
      </c>
      <c r="H309" s="69"/>
      <c r="P309" s="69">
        <f t="shared" si="4"/>
        <v>0</v>
      </c>
      <c r="Q309" s="69" cm="1">
        <f t="array" ref="Q309">IF(P309=1,IF(SUMPRODUCT(($P$2:P309)*(--($G$2:G309=$G309)))=1,1,0),0)</f>
        <v>0</v>
      </c>
      <c r="R309" s="69" t="str">
        <f>IF(Q309=1,SUM($Q$2:Q309),"")</f>
        <v/>
      </c>
    </row>
    <row r="310" spans="1:18" x14ac:dyDescent="0.2">
      <c r="A310" s="72"/>
      <c r="B310" s="76"/>
      <c r="C310" s="73"/>
      <c r="D310" s="73" t="s">
        <v>963</v>
      </c>
      <c r="E310" s="77" t="s">
        <v>110</v>
      </c>
      <c r="F310" s="75" t="s">
        <v>1459</v>
      </c>
      <c r="G310" s="75" t="s">
        <v>1170</v>
      </c>
      <c r="H310" s="69"/>
      <c r="P310" s="69">
        <f t="shared" si="4"/>
        <v>0</v>
      </c>
      <c r="Q310" s="69" cm="1">
        <f t="array" ref="Q310">IF(P310=1,IF(SUMPRODUCT(($P$2:P310)*(--($G$2:G310=$G310)))=1,1,0),0)</f>
        <v>0</v>
      </c>
      <c r="R310" s="69" t="str">
        <f>IF(Q310=1,SUM($Q$2:Q310),"")</f>
        <v/>
      </c>
    </row>
    <row r="311" spans="1:18" x14ac:dyDescent="0.2">
      <c r="A311" s="72"/>
      <c r="B311" s="76"/>
      <c r="C311" s="73"/>
      <c r="D311" s="73" t="s">
        <v>963</v>
      </c>
      <c r="E311" s="77" t="s">
        <v>990</v>
      </c>
      <c r="F311" s="75" t="s">
        <v>1459</v>
      </c>
      <c r="G311" s="75" t="s">
        <v>1170</v>
      </c>
      <c r="H311" s="69"/>
      <c r="P311" s="69">
        <f t="shared" si="4"/>
        <v>0</v>
      </c>
      <c r="Q311" s="69" cm="1">
        <f t="array" ref="Q311">IF(P311=1,IF(SUMPRODUCT(($P$2:P311)*(--($G$2:G311=$G311)))=1,1,0),0)</f>
        <v>0</v>
      </c>
      <c r="R311" s="69" t="str">
        <f>IF(Q311=1,SUM($Q$2:Q311),"")</f>
        <v/>
      </c>
    </row>
    <row r="312" spans="1:18" x14ac:dyDescent="0.2">
      <c r="A312" s="72"/>
      <c r="B312" s="76"/>
      <c r="C312" s="73"/>
      <c r="D312" s="73" t="s">
        <v>963</v>
      </c>
      <c r="E312" s="77" t="s">
        <v>110</v>
      </c>
      <c r="F312" s="75" t="s">
        <v>1504</v>
      </c>
      <c r="G312" s="75" t="s">
        <v>1169</v>
      </c>
      <c r="H312" s="69"/>
      <c r="P312" s="69">
        <f t="shared" si="4"/>
        <v>0</v>
      </c>
      <c r="Q312" s="69" cm="1">
        <f t="array" ref="Q312">IF(P312=1,IF(SUMPRODUCT(($P$2:P312)*(--($G$2:G312=$G312)))=1,1,0),0)</f>
        <v>0</v>
      </c>
      <c r="R312" s="69" t="str">
        <f>IF(Q312=1,SUM($Q$2:Q312),"")</f>
        <v/>
      </c>
    </row>
    <row r="313" spans="1:18" ht="15" customHeight="1" x14ac:dyDescent="0.2">
      <c r="A313" s="72"/>
      <c r="B313" s="76"/>
      <c r="C313" s="73"/>
      <c r="D313" s="73" t="s">
        <v>963</v>
      </c>
      <c r="E313" s="77" t="s">
        <v>990</v>
      </c>
      <c r="F313" s="75" t="s">
        <v>1504</v>
      </c>
      <c r="G313" s="75" t="s">
        <v>1169</v>
      </c>
      <c r="H313" s="69"/>
      <c r="P313" s="69">
        <f t="shared" si="4"/>
        <v>0</v>
      </c>
      <c r="Q313" s="69" cm="1">
        <f t="array" ref="Q313">IF(P313=1,IF(SUMPRODUCT(($P$2:P313)*(--($G$2:G313=$G313)))=1,1,0),0)</f>
        <v>0</v>
      </c>
      <c r="R313" s="69" t="str">
        <f>IF(Q313=1,SUM($Q$2:Q313),"")</f>
        <v/>
      </c>
    </row>
    <row r="314" spans="1:18" x14ac:dyDescent="0.2">
      <c r="A314" s="72"/>
      <c r="B314" s="76"/>
      <c r="C314" s="73"/>
      <c r="D314" s="73" t="s">
        <v>963</v>
      </c>
      <c r="E314" s="77" t="s">
        <v>110</v>
      </c>
      <c r="F314" s="75" t="s">
        <v>1505</v>
      </c>
      <c r="G314" s="75" t="s">
        <v>1169</v>
      </c>
      <c r="H314" s="69"/>
      <c r="P314" s="69">
        <f t="shared" si="4"/>
        <v>0</v>
      </c>
      <c r="Q314" s="69" cm="1">
        <f t="array" ref="Q314">IF(P314=1,IF(SUMPRODUCT(($P$2:P314)*(--($G$2:G314=$G314)))=1,1,0),0)</f>
        <v>0</v>
      </c>
      <c r="R314" s="69" t="str">
        <f>IF(Q314=1,SUM($Q$2:Q314),"")</f>
        <v/>
      </c>
    </row>
    <row r="315" spans="1:18" x14ac:dyDescent="0.2">
      <c r="A315" s="72"/>
      <c r="B315" s="76"/>
      <c r="C315" s="73"/>
      <c r="D315" s="73" t="s">
        <v>963</v>
      </c>
      <c r="E315" s="77" t="s">
        <v>990</v>
      </c>
      <c r="F315" s="75" t="s">
        <v>1505</v>
      </c>
      <c r="G315" s="75" t="s">
        <v>1169</v>
      </c>
      <c r="H315" s="69"/>
      <c r="P315" s="69">
        <f t="shared" si="4"/>
        <v>0</v>
      </c>
      <c r="Q315" s="69" cm="1">
        <f t="array" ref="Q315">IF(P315=1,IF(SUMPRODUCT(($P$2:P315)*(--($G$2:G315=$G315)))=1,1,0),0)</f>
        <v>0</v>
      </c>
      <c r="R315" s="69" t="str">
        <f>IF(Q315=1,SUM($Q$2:Q315),"")</f>
        <v/>
      </c>
    </row>
    <row r="316" spans="1:18" x14ac:dyDescent="0.2">
      <c r="A316" s="72"/>
      <c r="B316" s="76"/>
      <c r="C316" s="73"/>
      <c r="D316" s="73" t="s">
        <v>963</v>
      </c>
      <c r="E316" s="77" t="s">
        <v>110</v>
      </c>
      <c r="F316" s="75" t="s">
        <v>1452</v>
      </c>
      <c r="G316" s="75" t="s">
        <v>1177</v>
      </c>
      <c r="H316" s="69"/>
      <c r="P316" s="69">
        <f t="shared" si="4"/>
        <v>0</v>
      </c>
      <c r="Q316" s="69" cm="1">
        <f t="array" ref="Q316">IF(P316=1,IF(SUMPRODUCT(($P$2:P316)*(--($G$2:G316=$G316)))=1,1,0),0)</f>
        <v>0</v>
      </c>
      <c r="R316" s="69" t="str">
        <f>IF(Q316=1,SUM($Q$2:Q316),"")</f>
        <v/>
      </c>
    </row>
    <row r="317" spans="1:18" ht="15" customHeight="1" x14ac:dyDescent="0.2">
      <c r="A317" s="72"/>
      <c r="B317" s="76"/>
      <c r="C317" s="73"/>
      <c r="D317" s="73" t="s">
        <v>963</v>
      </c>
      <c r="E317" s="77" t="s">
        <v>990</v>
      </c>
      <c r="F317" s="75" t="s">
        <v>1452</v>
      </c>
      <c r="G317" s="75" t="s">
        <v>1177</v>
      </c>
      <c r="H317" s="69"/>
      <c r="P317" s="69">
        <f t="shared" si="4"/>
        <v>0</v>
      </c>
      <c r="Q317" s="69" cm="1">
        <f t="array" ref="Q317">IF(P317=1,IF(SUMPRODUCT(($P$2:P317)*(--($G$2:G317=$G317)))=1,1,0),0)</f>
        <v>0</v>
      </c>
      <c r="R317" s="69" t="str">
        <f>IF(Q317=1,SUM($Q$2:Q317),"")</f>
        <v/>
      </c>
    </row>
    <row r="318" spans="1:18" x14ac:dyDescent="0.2">
      <c r="A318" s="72"/>
      <c r="B318" s="76"/>
      <c r="C318" s="73"/>
      <c r="D318" s="73" t="s">
        <v>963</v>
      </c>
      <c r="E318" s="77" t="s">
        <v>110</v>
      </c>
      <c r="F318" s="75" t="s">
        <v>1451</v>
      </c>
      <c r="G318" s="75" t="s">
        <v>1177</v>
      </c>
      <c r="H318" s="69"/>
      <c r="P318" s="69">
        <f t="shared" si="4"/>
        <v>0</v>
      </c>
      <c r="Q318" s="69" cm="1">
        <f t="array" ref="Q318">IF(P318=1,IF(SUMPRODUCT(($P$2:P318)*(--($G$2:G318=$G318)))=1,1,0),0)</f>
        <v>0</v>
      </c>
      <c r="R318" s="69" t="str">
        <f>IF(Q318=1,SUM($Q$2:Q318),"")</f>
        <v/>
      </c>
    </row>
    <row r="319" spans="1:18" ht="15" customHeight="1" x14ac:dyDescent="0.2">
      <c r="A319" s="72"/>
      <c r="B319" s="76"/>
      <c r="C319" s="73"/>
      <c r="D319" s="73" t="s">
        <v>963</v>
      </c>
      <c r="E319" s="77" t="s">
        <v>990</v>
      </c>
      <c r="F319" s="75" t="s">
        <v>1451</v>
      </c>
      <c r="G319" s="75" t="s">
        <v>1177</v>
      </c>
      <c r="H319" s="69"/>
      <c r="P319" s="69">
        <f t="shared" si="4"/>
        <v>0</v>
      </c>
      <c r="Q319" s="69" cm="1">
        <f t="array" ref="Q319">IF(P319=1,IF(SUMPRODUCT(($P$2:P319)*(--($G$2:G319=$G319)))=1,1,0),0)</f>
        <v>0</v>
      </c>
      <c r="R319" s="69" t="str">
        <f>IF(Q319=1,SUM($Q$2:Q319),"")</f>
        <v/>
      </c>
    </row>
    <row r="320" spans="1:18" x14ac:dyDescent="0.2">
      <c r="A320" s="72"/>
      <c r="B320" s="76"/>
      <c r="C320" s="73"/>
      <c r="D320" s="73" t="s">
        <v>963</v>
      </c>
      <c r="E320" s="77" t="s">
        <v>110</v>
      </c>
      <c r="F320" s="75" t="s">
        <v>1506</v>
      </c>
      <c r="G320" s="75" t="s">
        <v>1167</v>
      </c>
      <c r="H320" s="69"/>
      <c r="P320" s="69">
        <f t="shared" si="4"/>
        <v>0</v>
      </c>
      <c r="Q320" s="69" cm="1">
        <f t="array" ref="Q320">IF(P320=1,IF(SUMPRODUCT(($P$2:P320)*(--($G$2:G320=$G320)))=1,1,0),0)</f>
        <v>0</v>
      </c>
      <c r="R320" s="69" t="str">
        <f>IF(Q320=1,SUM($Q$2:Q320),"")</f>
        <v/>
      </c>
    </row>
    <row r="321" spans="1:18" x14ac:dyDescent="0.2">
      <c r="A321" s="72"/>
      <c r="B321" s="76"/>
      <c r="C321" s="73"/>
      <c r="D321" s="73" t="s">
        <v>963</v>
      </c>
      <c r="E321" s="77" t="s">
        <v>990</v>
      </c>
      <c r="F321" s="75" t="s">
        <v>1506</v>
      </c>
      <c r="G321" s="75" t="s">
        <v>1167</v>
      </c>
      <c r="H321" s="69"/>
      <c r="P321" s="69">
        <f t="shared" si="4"/>
        <v>0</v>
      </c>
      <c r="Q321" s="69" cm="1">
        <f t="array" ref="Q321">IF(P321=1,IF(SUMPRODUCT(($P$2:P321)*(--($G$2:G321=$G321)))=1,1,0),0)</f>
        <v>0</v>
      </c>
      <c r="R321" s="69" t="str">
        <f>IF(Q321=1,SUM($Q$2:Q321),"")</f>
        <v/>
      </c>
    </row>
    <row r="322" spans="1:18" x14ac:dyDescent="0.2">
      <c r="A322" s="72"/>
      <c r="B322" s="76"/>
      <c r="C322" s="73"/>
      <c r="D322" s="73" t="s">
        <v>963</v>
      </c>
      <c r="E322" s="77" t="s">
        <v>110</v>
      </c>
      <c r="F322" s="75" t="s">
        <v>1507</v>
      </c>
      <c r="G322" s="75" t="s">
        <v>1167</v>
      </c>
      <c r="H322" s="69"/>
      <c r="P322" s="69">
        <f t="shared" si="4"/>
        <v>0</v>
      </c>
      <c r="Q322" s="69" cm="1">
        <f t="array" ref="Q322">IF(P322=1,IF(SUMPRODUCT(($P$2:P322)*(--($G$2:G322=$G322)))=1,1,0),0)</f>
        <v>0</v>
      </c>
      <c r="R322" s="69" t="str">
        <f>IF(Q322=1,SUM($Q$2:Q322),"")</f>
        <v/>
      </c>
    </row>
    <row r="323" spans="1:18" x14ac:dyDescent="0.2">
      <c r="A323" s="72"/>
      <c r="B323" s="76"/>
      <c r="C323" s="73"/>
      <c r="D323" s="73" t="s">
        <v>963</v>
      </c>
      <c r="E323" s="77" t="s">
        <v>990</v>
      </c>
      <c r="F323" s="75" t="s">
        <v>1507</v>
      </c>
      <c r="G323" s="75" t="s">
        <v>1167</v>
      </c>
      <c r="H323" s="69"/>
      <c r="P323" s="69">
        <f t="shared" ref="P323:P386" si="5">IF(AND(IF(TRIM($J$2&amp;"")="",TRUE,LEFT($D323,LEN($J$2))=$J$2),IF(TRIM($K$2&amp;"")="",TRUE,$E323=$K$2),IF($L$2="",TRUE,$F323=$L$2)),1,0)</f>
        <v>0</v>
      </c>
      <c r="Q323" s="69" cm="1">
        <f t="array" ref="Q323">IF(P323=1,IF(SUMPRODUCT(($P$2:P323)*(--($G$2:G323=$G323)))=1,1,0),0)</f>
        <v>0</v>
      </c>
      <c r="R323" s="69" t="str">
        <f>IF(Q323=1,SUM($Q$2:Q323),"")</f>
        <v/>
      </c>
    </row>
    <row r="324" spans="1:18" x14ac:dyDescent="0.2">
      <c r="A324" s="72"/>
      <c r="B324" s="76"/>
      <c r="C324" s="73"/>
      <c r="D324" s="73" t="s">
        <v>963</v>
      </c>
      <c r="E324" s="77" t="s">
        <v>110</v>
      </c>
      <c r="F324" s="75" t="s">
        <v>1508</v>
      </c>
      <c r="G324" s="75" t="s">
        <v>1157</v>
      </c>
      <c r="H324" s="69"/>
      <c r="P324" s="69">
        <f t="shared" si="5"/>
        <v>0</v>
      </c>
      <c r="Q324" s="69" cm="1">
        <f t="array" ref="Q324">IF(P324=1,IF(SUMPRODUCT(($P$2:P324)*(--($G$2:G324=$G324)))=1,1,0),0)</f>
        <v>0</v>
      </c>
      <c r="R324" s="69" t="str">
        <f>IF(Q324=1,SUM($Q$2:Q324),"")</f>
        <v/>
      </c>
    </row>
    <row r="325" spans="1:18" x14ac:dyDescent="0.2">
      <c r="A325" s="72"/>
      <c r="B325" s="76"/>
      <c r="C325" s="73"/>
      <c r="D325" s="73" t="s">
        <v>963</v>
      </c>
      <c r="E325" s="77" t="s">
        <v>990</v>
      </c>
      <c r="F325" s="75" t="s">
        <v>1508</v>
      </c>
      <c r="G325" s="75" t="s">
        <v>1157</v>
      </c>
      <c r="H325" s="69"/>
      <c r="P325" s="69">
        <f t="shared" si="5"/>
        <v>0</v>
      </c>
      <c r="Q325" s="69" cm="1">
        <f t="array" ref="Q325">IF(P325=1,IF(SUMPRODUCT(($P$2:P325)*(--($G$2:G325=$G325)))=1,1,0),0)</f>
        <v>0</v>
      </c>
      <c r="R325" s="69" t="str">
        <f>IF(Q325=1,SUM($Q$2:Q325),"")</f>
        <v/>
      </c>
    </row>
    <row r="326" spans="1:18" x14ac:dyDescent="0.2">
      <c r="A326" s="72"/>
      <c r="B326" s="76"/>
      <c r="C326" s="73"/>
      <c r="D326" s="73" t="s">
        <v>963</v>
      </c>
      <c r="E326" s="77" t="s">
        <v>110</v>
      </c>
      <c r="F326" s="75" t="s">
        <v>1509</v>
      </c>
      <c r="G326" s="75" t="s">
        <v>1157</v>
      </c>
      <c r="H326" s="69"/>
      <c r="P326" s="69">
        <f t="shared" si="5"/>
        <v>0</v>
      </c>
      <c r="Q326" s="69" cm="1">
        <f t="array" ref="Q326">IF(P326=1,IF(SUMPRODUCT(($P$2:P326)*(--($G$2:G326=$G326)))=1,1,0),0)</f>
        <v>0</v>
      </c>
      <c r="R326" s="69" t="str">
        <f>IF(Q326=1,SUM($Q$2:Q326),"")</f>
        <v/>
      </c>
    </row>
    <row r="327" spans="1:18" x14ac:dyDescent="0.2">
      <c r="A327" s="72"/>
      <c r="B327" s="76"/>
      <c r="C327" s="73"/>
      <c r="D327" s="73" t="s">
        <v>963</v>
      </c>
      <c r="E327" s="77" t="s">
        <v>990</v>
      </c>
      <c r="F327" s="75" t="s">
        <v>1509</v>
      </c>
      <c r="G327" s="75" t="s">
        <v>1157</v>
      </c>
      <c r="H327" s="69"/>
      <c r="P327" s="69">
        <f t="shared" si="5"/>
        <v>0</v>
      </c>
      <c r="Q327" s="69" cm="1">
        <f t="array" ref="Q327">IF(P327=1,IF(SUMPRODUCT(($P$2:P327)*(--($G$2:G327=$G327)))=1,1,0),0)</f>
        <v>0</v>
      </c>
      <c r="R327" s="69" t="str">
        <f>IF(Q327=1,SUM($Q$2:Q327),"")</f>
        <v/>
      </c>
    </row>
    <row r="328" spans="1:18" ht="16" x14ac:dyDescent="0.2">
      <c r="A328" s="72"/>
      <c r="B328" s="84"/>
      <c r="C328" s="73"/>
      <c r="D328" s="73" t="s">
        <v>960</v>
      </c>
      <c r="E328" s="77" t="s">
        <v>990</v>
      </c>
      <c r="F328" s="75" t="s">
        <v>223</v>
      </c>
      <c r="G328" s="74" t="s">
        <v>1130</v>
      </c>
      <c r="H328" s="69"/>
      <c r="P328" s="69">
        <f t="shared" si="5"/>
        <v>0</v>
      </c>
      <c r="Q328" s="69" cm="1">
        <f t="array" ref="Q328">IF(P328=1,IF(SUMPRODUCT(($P$2:P328)*(--($G$2:G328=$G328)))=1,1,0),0)</f>
        <v>0</v>
      </c>
      <c r="R328" s="69" t="str">
        <f>IF(Q328=1,SUM($Q$2:Q328),"")</f>
        <v/>
      </c>
    </row>
    <row r="329" spans="1:18" ht="16" x14ac:dyDescent="0.2">
      <c r="A329" s="72"/>
      <c r="B329" s="84"/>
      <c r="C329" s="73"/>
      <c r="D329" s="73" t="s">
        <v>960</v>
      </c>
      <c r="E329" s="77" t="s">
        <v>990</v>
      </c>
      <c r="F329" s="75" t="s">
        <v>1510</v>
      </c>
      <c r="G329" s="74" t="s">
        <v>1130</v>
      </c>
      <c r="H329" s="69"/>
      <c r="P329" s="69">
        <f t="shared" si="5"/>
        <v>0</v>
      </c>
      <c r="Q329" s="69" cm="1">
        <f t="array" ref="Q329">IF(P329=1,IF(SUMPRODUCT(($P$2:P329)*(--($G$2:G329=$G329)))=1,1,0),0)</f>
        <v>0</v>
      </c>
      <c r="R329" s="69" t="str">
        <f>IF(Q329=1,SUM($Q$2:Q329),"")</f>
        <v/>
      </c>
    </row>
    <row r="330" spans="1:18" ht="16" x14ac:dyDescent="0.2">
      <c r="A330" s="72"/>
      <c r="B330" s="84"/>
      <c r="C330" s="73"/>
      <c r="D330" s="73" t="s">
        <v>960</v>
      </c>
      <c r="E330" s="77" t="s">
        <v>990</v>
      </c>
      <c r="F330" s="75" t="s">
        <v>1511</v>
      </c>
      <c r="G330" s="74" t="s">
        <v>1130</v>
      </c>
      <c r="H330" s="69"/>
      <c r="P330" s="69">
        <f t="shared" si="5"/>
        <v>0</v>
      </c>
      <c r="Q330" s="69" cm="1">
        <f t="array" ref="Q330">IF(P330=1,IF(SUMPRODUCT(($P$2:P330)*(--($G$2:G330=$G330)))=1,1,0),0)</f>
        <v>0</v>
      </c>
      <c r="R330" s="69" t="str">
        <f>IF(Q330=1,SUM($Q$2:Q330),"")</f>
        <v/>
      </c>
    </row>
    <row r="331" spans="1:18" x14ac:dyDescent="0.2">
      <c r="A331" s="72"/>
      <c r="B331" s="76"/>
      <c r="C331" s="73"/>
      <c r="D331" s="73" t="s">
        <v>960</v>
      </c>
      <c r="E331" s="77" t="s">
        <v>110</v>
      </c>
      <c r="F331" s="75" t="s">
        <v>223</v>
      </c>
      <c r="G331" s="75" t="s">
        <v>1131</v>
      </c>
      <c r="H331" s="69"/>
      <c r="P331" s="69">
        <f t="shared" si="5"/>
        <v>0</v>
      </c>
      <c r="Q331" s="69" cm="1">
        <f t="array" ref="Q331">IF(P331=1,IF(SUMPRODUCT(($P$2:P331)*(--($G$2:G331=$G331)))=1,1,0),0)</f>
        <v>0</v>
      </c>
      <c r="R331" s="69" t="str">
        <f>IF(Q331=1,SUM($Q$2:Q331),"")</f>
        <v/>
      </c>
    </row>
    <row r="332" spans="1:18" x14ac:dyDescent="0.2">
      <c r="A332" s="72"/>
      <c r="B332" s="76"/>
      <c r="C332" s="73"/>
      <c r="D332" s="73" t="s">
        <v>960</v>
      </c>
      <c r="E332" s="77" t="s">
        <v>990</v>
      </c>
      <c r="F332" s="75" t="s">
        <v>223</v>
      </c>
      <c r="G332" s="75" t="s">
        <v>1131</v>
      </c>
      <c r="H332" s="69"/>
      <c r="P332" s="69">
        <f t="shared" si="5"/>
        <v>0</v>
      </c>
      <c r="Q332" s="69" cm="1">
        <f t="array" ref="Q332">IF(P332=1,IF(SUMPRODUCT(($P$2:P332)*(--($G$2:G332=$G332)))=1,1,0),0)</f>
        <v>0</v>
      </c>
      <c r="R332" s="69" t="str">
        <f>IF(Q332=1,SUM($Q$2:Q332),"")</f>
        <v/>
      </c>
    </row>
    <row r="333" spans="1:18" x14ac:dyDescent="0.2">
      <c r="A333" s="72"/>
      <c r="B333" s="76"/>
      <c r="C333" s="73"/>
      <c r="D333" s="73" t="s">
        <v>960</v>
      </c>
      <c r="E333" s="77" t="s">
        <v>126</v>
      </c>
      <c r="F333" s="75" t="s">
        <v>223</v>
      </c>
      <c r="G333" s="75" t="s">
        <v>1131</v>
      </c>
      <c r="H333" s="69"/>
      <c r="P333" s="69">
        <f t="shared" si="5"/>
        <v>0</v>
      </c>
      <c r="Q333" s="69" cm="1">
        <f t="array" ref="Q333">IF(P333=1,IF(SUMPRODUCT(($P$2:P333)*(--($G$2:G333=$G333)))=1,1,0),0)</f>
        <v>0</v>
      </c>
      <c r="R333" s="69" t="str">
        <f>IF(Q333=1,SUM($Q$2:Q333),"")</f>
        <v/>
      </c>
    </row>
    <row r="334" spans="1:18" x14ac:dyDescent="0.2">
      <c r="A334" s="72"/>
      <c r="B334" s="76"/>
      <c r="C334" s="73"/>
      <c r="D334" s="73" t="s">
        <v>960</v>
      </c>
      <c r="E334" s="77" t="s">
        <v>110</v>
      </c>
      <c r="F334" s="75" t="s">
        <v>1510</v>
      </c>
      <c r="G334" s="75" t="s">
        <v>1131</v>
      </c>
      <c r="H334" s="69"/>
      <c r="P334" s="69">
        <f t="shared" si="5"/>
        <v>0</v>
      </c>
      <c r="Q334" s="69" cm="1">
        <f t="array" ref="Q334">IF(P334=1,IF(SUMPRODUCT(($P$2:P334)*(--($G$2:G334=$G334)))=1,1,0),0)</f>
        <v>0</v>
      </c>
      <c r="R334" s="69" t="str">
        <f>IF(Q334=1,SUM($Q$2:Q334),"")</f>
        <v/>
      </c>
    </row>
    <row r="335" spans="1:18" x14ac:dyDescent="0.2">
      <c r="A335" s="72"/>
      <c r="B335" s="76"/>
      <c r="C335" s="73"/>
      <c r="D335" s="73" t="s">
        <v>960</v>
      </c>
      <c r="E335" s="77" t="s">
        <v>990</v>
      </c>
      <c r="F335" s="75" t="s">
        <v>1510</v>
      </c>
      <c r="G335" s="75" t="s">
        <v>1131</v>
      </c>
      <c r="H335" s="69"/>
      <c r="P335" s="69">
        <f t="shared" si="5"/>
        <v>0</v>
      </c>
      <c r="Q335" s="69" cm="1">
        <f t="array" ref="Q335">IF(P335=1,IF(SUMPRODUCT(($P$2:P335)*(--($G$2:G335=$G335)))=1,1,0),0)</f>
        <v>0</v>
      </c>
      <c r="R335" s="69" t="str">
        <f>IF(Q335=1,SUM($Q$2:Q335),"")</f>
        <v/>
      </c>
    </row>
    <row r="336" spans="1:18" x14ac:dyDescent="0.2">
      <c r="A336" s="72"/>
      <c r="B336" s="76"/>
      <c r="C336" s="73"/>
      <c r="D336" s="73" t="s">
        <v>960</v>
      </c>
      <c r="E336" s="77" t="s">
        <v>126</v>
      </c>
      <c r="F336" s="75" t="s">
        <v>1510</v>
      </c>
      <c r="G336" s="75" t="s">
        <v>1131</v>
      </c>
      <c r="H336" s="69"/>
      <c r="P336" s="69">
        <f t="shared" si="5"/>
        <v>0</v>
      </c>
      <c r="Q336" s="69" cm="1">
        <f t="array" ref="Q336">IF(P336=1,IF(SUMPRODUCT(($P$2:P336)*(--($G$2:G336=$G336)))=1,1,0),0)</f>
        <v>0</v>
      </c>
      <c r="R336" s="69" t="str">
        <f>IF(Q336=1,SUM($Q$2:Q336),"")</f>
        <v/>
      </c>
    </row>
    <row r="337" spans="1:18" x14ac:dyDescent="0.2">
      <c r="A337" s="72"/>
      <c r="B337" s="76"/>
      <c r="C337" s="73"/>
      <c r="D337" s="73" t="s">
        <v>960</v>
      </c>
      <c r="E337" s="77" t="s">
        <v>110</v>
      </c>
      <c r="F337" s="75" t="s">
        <v>228</v>
      </c>
      <c r="G337" s="75" t="s">
        <v>1133</v>
      </c>
      <c r="H337" s="69"/>
      <c r="P337" s="69">
        <f t="shared" si="5"/>
        <v>0</v>
      </c>
      <c r="Q337" s="69" cm="1">
        <f t="array" ref="Q337">IF(P337=1,IF(SUMPRODUCT(($P$2:P337)*(--($G$2:G337=$G337)))=1,1,0),0)</f>
        <v>0</v>
      </c>
      <c r="R337" s="69" t="str">
        <f>IF(Q337=1,SUM($Q$2:Q337),"")</f>
        <v/>
      </c>
    </row>
    <row r="338" spans="1:18" x14ac:dyDescent="0.2">
      <c r="A338" s="72"/>
      <c r="B338" s="76"/>
      <c r="C338" s="73"/>
      <c r="D338" s="73" t="s">
        <v>960</v>
      </c>
      <c r="E338" s="77" t="s">
        <v>990</v>
      </c>
      <c r="F338" s="75" t="s">
        <v>228</v>
      </c>
      <c r="G338" s="75" t="s">
        <v>1133</v>
      </c>
      <c r="H338" s="69"/>
      <c r="P338" s="69">
        <f t="shared" si="5"/>
        <v>0</v>
      </c>
      <c r="Q338" s="69" cm="1">
        <f t="array" ref="Q338">IF(P338=1,IF(SUMPRODUCT(($P$2:P338)*(--($G$2:G338=$G338)))=1,1,0),0)</f>
        <v>0</v>
      </c>
      <c r="R338" s="69" t="str">
        <f>IF(Q338=1,SUM($Q$2:Q338),"")</f>
        <v/>
      </c>
    </row>
    <row r="339" spans="1:18" x14ac:dyDescent="0.2">
      <c r="A339" s="72"/>
      <c r="B339" s="76"/>
      <c r="C339" s="73"/>
      <c r="D339" s="73" t="s">
        <v>960</v>
      </c>
      <c r="E339" s="77" t="s">
        <v>126</v>
      </c>
      <c r="F339" s="75" t="s">
        <v>228</v>
      </c>
      <c r="G339" s="75" t="s">
        <v>1133</v>
      </c>
      <c r="H339" s="69"/>
      <c r="P339" s="69">
        <f t="shared" si="5"/>
        <v>0</v>
      </c>
      <c r="Q339" s="69" cm="1">
        <f t="array" ref="Q339">IF(P339=1,IF(SUMPRODUCT(($P$2:P339)*(--($G$2:G339=$G339)))=1,1,0),0)</f>
        <v>0</v>
      </c>
      <c r="R339" s="69" t="str">
        <f>IF(Q339=1,SUM($Q$2:Q339),"")</f>
        <v/>
      </c>
    </row>
    <row r="340" spans="1:18" x14ac:dyDescent="0.2">
      <c r="A340" s="72"/>
      <c r="B340" s="76"/>
      <c r="C340" s="73"/>
      <c r="D340" s="73" t="s">
        <v>960</v>
      </c>
      <c r="E340" s="77" t="s">
        <v>110</v>
      </c>
      <c r="F340" s="75" t="s">
        <v>1512</v>
      </c>
      <c r="G340" s="75" t="s">
        <v>1134</v>
      </c>
      <c r="H340" s="69"/>
      <c r="P340" s="69">
        <f t="shared" si="5"/>
        <v>0</v>
      </c>
      <c r="Q340" s="69" cm="1">
        <f t="array" ref="Q340">IF(P340=1,IF(SUMPRODUCT(($P$2:P340)*(--($G$2:G340=$G340)))=1,1,0),0)</f>
        <v>0</v>
      </c>
      <c r="R340" s="69" t="str">
        <f>IF(Q340=1,SUM($Q$2:Q340),"")</f>
        <v/>
      </c>
    </row>
    <row r="341" spans="1:18" x14ac:dyDescent="0.2">
      <c r="A341" s="72"/>
      <c r="B341" s="76"/>
      <c r="C341" s="73"/>
      <c r="D341" s="73" t="s">
        <v>960</v>
      </c>
      <c r="E341" s="77" t="s">
        <v>990</v>
      </c>
      <c r="F341" s="75" t="s">
        <v>1512</v>
      </c>
      <c r="G341" s="75" t="s">
        <v>1134</v>
      </c>
      <c r="H341" s="69"/>
      <c r="P341" s="69">
        <f t="shared" si="5"/>
        <v>0</v>
      </c>
      <c r="Q341" s="69" cm="1">
        <f t="array" ref="Q341">IF(P341=1,IF(SUMPRODUCT(($P$2:P341)*(--($G$2:G341=$G341)))=1,1,0),0)</f>
        <v>0</v>
      </c>
      <c r="R341" s="69" t="str">
        <f>IF(Q341=1,SUM($Q$2:Q341),"")</f>
        <v/>
      </c>
    </row>
    <row r="342" spans="1:18" x14ac:dyDescent="0.2">
      <c r="A342" s="72"/>
      <c r="B342" s="76"/>
      <c r="C342" s="73"/>
      <c r="D342" s="73" t="s">
        <v>960</v>
      </c>
      <c r="E342" s="77" t="s">
        <v>126</v>
      </c>
      <c r="F342" s="75" t="s">
        <v>1512</v>
      </c>
      <c r="G342" s="75" t="s">
        <v>1134</v>
      </c>
      <c r="H342" s="69"/>
      <c r="P342" s="69">
        <f t="shared" si="5"/>
        <v>0</v>
      </c>
      <c r="Q342" s="69" cm="1">
        <f t="array" ref="Q342">IF(P342=1,IF(SUMPRODUCT(($P$2:P342)*(--($G$2:G342=$G342)))=1,1,0),0)</f>
        <v>0</v>
      </c>
      <c r="R342" s="69" t="str">
        <f>IF(Q342=1,SUM($Q$2:Q342),"")</f>
        <v/>
      </c>
    </row>
    <row r="343" spans="1:18" x14ac:dyDescent="0.2">
      <c r="A343" s="72"/>
      <c r="B343" s="76"/>
      <c r="C343" s="73"/>
      <c r="D343" s="73" t="s">
        <v>960</v>
      </c>
      <c r="E343" s="77" t="s">
        <v>110</v>
      </c>
      <c r="F343" s="75" t="s">
        <v>1513</v>
      </c>
      <c r="G343" s="75" t="s">
        <v>1136</v>
      </c>
      <c r="H343" s="69"/>
      <c r="P343" s="69">
        <f t="shared" si="5"/>
        <v>0</v>
      </c>
      <c r="Q343" s="69" cm="1">
        <f t="array" ref="Q343">IF(P343=1,IF(SUMPRODUCT(($P$2:P343)*(--($G$2:G343=$G343)))=1,1,0),0)</f>
        <v>0</v>
      </c>
      <c r="R343" s="69" t="str">
        <f>IF(Q343=1,SUM($Q$2:Q343),"")</f>
        <v/>
      </c>
    </row>
    <row r="344" spans="1:18" x14ac:dyDescent="0.2">
      <c r="A344" s="72"/>
      <c r="B344" s="76"/>
      <c r="C344" s="73"/>
      <c r="D344" s="73" t="s">
        <v>960</v>
      </c>
      <c r="E344" s="77" t="s">
        <v>990</v>
      </c>
      <c r="F344" s="75" t="s">
        <v>1513</v>
      </c>
      <c r="G344" s="75" t="s">
        <v>1136</v>
      </c>
      <c r="H344" s="69"/>
      <c r="P344" s="69">
        <f t="shared" si="5"/>
        <v>0</v>
      </c>
      <c r="Q344" s="69" cm="1">
        <f t="array" ref="Q344">IF(P344=1,IF(SUMPRODUCT(($P$2:P344)*(--($G$2:G344=$G344)))=1,1,0),0)</f>
        <v>0</v>
      </c>
      <c r="R344" s="69" t="str">
        <f>IF(Q344=1,SUM($Q$2:Q344),"")</f>
        <v/>
      </c>
    </row>
    <row r="345" spans="1:18" x14ac:dyDescent="0.2">
      <c r="A345" s="72"/>
      <c r="B345" s="76"/>
      <c r="C345" s="73"/>
      <c r="D345" s="73" t="s">
        <v>960</v>
      </c>
      <c r="E345" s="77" t="s">
        <v>126</v>
      </c>
      <c r="F345" s="75" t="s">
        <v>1513</v>
      </c>
      <c r="G345" s="75" t="s">
        <v>1136</v>
      </c>
      <c r="H345" s="69"/>
      <c r="P345" s="69">
        <f t="shared" si="5"/>
        <v>0</v>
      </c>
      <c r="Q345" s="69" cm="1">
        <f t="array" ref="Q345">IF(P345=1,IF(SUMPRODUCT(($P$2:P345)*(--($G$2:G345=$G345)))=1,1,0),0)</f>
        <v>0</v>
      </c>
      <c r="R345" s="69" t="str">
        <f>IF(Q345=1,SUM($Q$2:Q345),"")</f>
        <v/>
      </c>
    </row>
    <row r="346" spans="1:18" x14ac:dyDescent="0.2">
      <c r="A346" s="72"/>
      <c r="B346" s="76"/>
      <c r="C346" s="73"/>
      <c r="D346" s="73" t="s">
        <v>960</v>
      </c>
      <c r="E346" s="77" t="s">
        <v>110</v>
      </c>
      <c r="F346" s="75" t="s">
        <v>1514</v>
      </c>
      <c r="G346" s="75" t="s">
        <v>1136</v>
      </c>
      <c r="H346" s="69"/>
      <c r="P346" s="69">
        <f t="shared" si="5"/>
        <v>0</v>
      </c>
      <c r="Q346" s="69" cm="1">
        <f t="array" ref="Q346">IF(P346=1,IF(SUMPRODUCT(($P$2:P346)*(--($G$2:G346=$G346)))=1,1,0),0)</f>
        <v>0</v>
      </c>
      <c r="R346" s="69" t="str">
        <f>IF(Q346=1,SUM($Q$2:Q346),"")</f>
        <v/>
      </c>
    </row>
    <row r="347" spans="1:18" x14ac:dyDescent="0.2">
      <c r="A347" s="72"/>
      <c r="B347" s="76"/>
      <c r="C347" s="73"/>
      <c r="D347" s="73" t="s">
        <v>960</v>
      </c>
      <c r="E347" s="77" t="s">
        <v>990</v>
      </c>
      <c r="F347" s="75" t="s">
        <v>1514</v>
      </c>
      <c r="G347" s="75" t="s">
        <v>1136</v>
      </c>
      <c r="H347" s="69"/>
      <c r="P347" s="69">
        <f t="shared" si="5"/>
        <v>0</v>
      </c>
      <c r="Q347" s="69" cm="1">
        <f t="array" ref="Q347">IF(P347=1,IF(SUMPRODUCT(($P$2:P347)*(--($G$2:G347=$G347)))=1,1,0),0)</f>
        <v>0</v>
      </c>
      <c r="R347" s="69" t="str">
        <f>IF(Q347=1,SUM($Q$2:Q347),"")</f>
        <v/>
      </c>
    </row>
    <row r="348" spans="1:18" x14ac:dyDescent="0.2">
      <c r="A348" s="72"/>
      <c r="B348" s="76"/>
      <c r="C348" s="73"/>
      <c r="D348" s="73" t="s">
        <v>960</v>
      </c>
      <c r="E348" s="77" t="s">
        <v>126</v>
      </c>
      <c r="F348" s="75" t="s">
        <v>1514</v>
      </c>
      <c r="G348" s="75" t="s">
        <v>1136</v>
      </c>
      <c r="H348" s="69"/>
      <c r="P348" s="69">
        <f t="shared" si="5"/>
        <v>0</v>
      </c>
      <c r="Q348" s="69" cm="1">
        <f t="array" ref="Q348">IF(P348=1,IF(SUMPRODUCT(($P$2:P348)*(--($G$2:G348=$G348)))=1,1,0),0)</f>
        <v>0</v>
      </c>
      <c r="R348" s="69" t="str">
        <f>IF(Q348=1,SUM($Q$2:Q348),"")</f>
        <v/>
      </c>
    </row>
    <row r="349" spans="1:18" x14ac:dyDescent="0.2">
      <c r="A349" s="72"/>
      <c r="B349" s="76"/>
      <c r="C349" s="73"/>
      <c r="D349" s="73" t="s">
        <v>960</v>
      </c>
      <c r="E349" s="77" t="s">
        <v>110</v>
      </c>
      <c r="F349" s="75" t="s">
        <v>1515</v>
      </c>
      <c r="G349" s="75" t="s">
        <v>1136</v>
      </c>
      <c r="H349" s="69"/>
      <c r="P349" s="69">
        <f t="shared" si="5"/>
        <v>0</v>
      </c>
      <c r="Q349" s="69" cm="1">
        <f t="array" ref="Q349">IF(P349=1,IF(SUMPRODUCT(($P$2:P349)*(--($G$2:G349=$G349)))=1,1,0),0)</f>
        <v>0</v>
      </c>
      <c r="R349" s="69" t="str">
        <f>IF(Q349=1,SUM($Q$2:Q349),"")</f>
        <v/>
      </c>
    </row>
    <row r="350" spans="1:18" x14ac:dyDescent="0.2">
      <c r="A350" s="72"/>
      <c r="B350" s="76"/>
      <c r="C350" s="73"/>
      <c r="D350" s="73" t="s">
        <v>960</v>
      </c>
      <c r="E350" s="77" t="s">
        <v>990</v>
      </c>
      <c r="F350" s="75" t="s">
        <v>1515</v>
      </c>
      <c r="G350" s="75" t="s">
        <v>1136</v>
      </c>
      <c r="H350" s="69"/>
      <c r="P350" s="69">
        <f t="shared" si="5"/>
        <v>0</v>
      </c>
      <c r="Q350" s="69" cm="1">
        <f t="array" ref="Q350">IF(P350=1,IF(SUMPRODUCT(($P$2:P350)*(--($G$2:G350=$G350)))=1,1,0),0)</f>
        <v>0</v>
      </c>
      <c r="R350" s="69" t="str">
        <f>IF(Q350=1,SUM($Q$2:Q350),"")</f>
        <v/>
      </c>
    </row>
    <row r="351" spans="1:18" x14ac:dyDescent="0.2">
      <c r="A351" s="72"/>
      <c r="B351" s="76"/>
      <c r="C351" s="73"/>
      <c r="D351" s="73" t="s">
        <v>960</v>
      </c>
      <c r="E351" s="77" t="s">
        <v>126</v>
      </c>
      <c r="F351" s="75" t="s">
        <v>1515</v>
      </c>
      <c r="G351" s="75" t="s">
        <v>1136</v>
      </c>
      <c r="H351" s="69"/>
      <c r="P351" s="69">
        <f t="shared" si="5"/>
        <v>0</v>
      </c>
      <c r="Q351" s="69" cm="1">
        <f t="array" ref="Q351">IF(P351=1,IF(SUMPRODUCT(($P$2:P351)*(--($G$2:G351=$G351)))=1,1,0),0)</f>
        <v>0</v>
      </c>
      <c r="R351" s="69" t="str">
        <f>IF(Q351=1,SUM($Q$2:Q351),"")</f>
        <v/>
      </c>
    </row>
    <row r="352" spans="1:18" x14ac:dyDescent="0.2">
      <c r="A352" s="72"/>
      <c r="B352" s="76"/>
      <c r="C352" s="73"/>
      <c r="D352" s="73" t="s">
        <v>960</v>
      </c>
      <c r="E352" s="77" t="s">
        <v>110</v>
      </c>
      <c r="F352" s="75" t="s">
        <v>1516</v>
      </c>
      <c r="G352" s="75" t="s">
        <v>1135</v>
      </c>
      <c r="H352" s="69"/>
      <c r="P352" s="69">
        <f t="shared" si="5"/>
        <v>0</v>
      </c>
      <c r="Q352" s="69" cm="1">
        <f t="array" ref="Q352">IF(P352=1,IF(SUMPRODUCT(($P$2:P352)*(--($G$2:G352=$G352)))=1,1,0),0)</f>
        <v>0</v>
      </c>
      <c r="R352" s="69" t="str">
        <f>IF(Q352=1,SUM($Q$2:Q352),"")</f>
        <v/>
      </c>
    </row>
    <row r="353" spans="1:18" x14ac:dyDescent="0.2">
      <c r="A353" s="72"/>
      <c r="B353" s="76"/>
      <c r="C353" s="73"/>
      <c r="D353" s="73" t="s">
        <v>960</v>
      </c>
      <c r="E353" s="77" t="s">
        <v>990</v>
      </c>
      <c r="F353" s="75" t="s">
        <v>1516</v>
      </c>
      <c r="G353" s="75" t="s">
        <v>1135</v>
      </c>
      <c r="H353" s="69"/>
      <c r="P353" s="69">
        <f t="shared" si="5"/>
        <v>0</v>
      </c>
      <c r="Q353" s="69" cm="1">
        <f t="array" ref="Q353">IF(P353=1,IF(SUMPRODUCT(($P$2:P353)*(--($G$2:G353=$G353)))=1,1,0),0)</f>
        <v>0</v>
      </c>
      <c r="R353" s="69" t="str">
        <f>IF(Q353=1,SUM($Q$2:Q353),"")</f>
        <v/>
      </c>
    </row>
    <row r="354" spans="1:18" x14ac:dyDescent="0.2">
      <c r="A354" s="72"/>
      <c r="B354" s="76"/>
      <c r="C354" s="73"/>
      <c r="D354" s="73" t="s">
        <v>960</v>
      </c>
      <c r="E354" s="77" t="s">
        <v>126</v>
      </c>
      <c r="F354" s="75" t="s">
        <v>1516</v>
      </c>
      <c r="G354" s="75" t="s">
        <v>1135</v>
      </c>
      <c r="H354" s="69"/>
      <c r="P354" s="69">
        <f t="shared" si="5"/>
        <v>0</v>
      </c>
      <c r="Q354" s="69" cm="1">
        <f t="array" ref="Q354">IF(P354=1,IF(SUMPRODUCT(($P$2:P354)*(--($G$2:G354=$G354)))=1,1,0),0)</f>
        <v>0</v>
      </c>
      <c r="R354" s="69" t="str">
        <f>IF(Q354=1,SUM($Q$2:Q354),"")</f>
        <v/>
      </c>
    </row>
    <row r="355" spans="1:18" x14ac:dyDescent="0.2">
      <c r="A355" s="72"/>
      <c r="B355" s="76"/>
      <c r="C355" s="73"/>
      <c r="D355" s="73" t="s">
        <v>960</v>
      </c>
      <c r="E355" s="77" t="s">
        <v>110</v>
      </c>
      <c r="F355" s="75" t="s">
        <v>1517</v>
      </c>
      <c r="G355" s="75" t="s">
        <v>1135</v>
      </c>
      <c r="H355" s="69"/>
      <c r="P355" s="69">
        <f t="shared" si="5"/>
        <v>0</v>
      </c>
      <c r="Q355" s="69" cm="1">
        <f t="array" ref="Q355">IF(P355=1,IF(SUMPRODUCT(($P$2:P355)*(--($G$2:G355=$G355)))=1,1,0),0)</f>
        <v>0</v>
      </c>
      <c r="R355" s="69" t="str">
        <f>IF(Q355=1,SUM($Q$2:Q355),"")</f>
        <v/>
      </c>
    </row>
    <row r="356" spans="1:18" x14ac:dyDescent="0.2">
      <c r="A356" s="72"/>
      <c r="B356" s="76"/>
      <c r="C356" s="73"/>
      <c r="D356" s="73" t="s">
        <v>960</v>
      </c>
      <c r="E356" s="77" t="s">
        <v>990</v>
      </c>
      <c r="F356" s="75" t="s">
        <v>1517</v>
      </c>
      <c r="G356" s="75" t="s">
        <v>1135</v>
      </c>
      <c r="H356" s="69"/>
      <c r="P356" s="69">
        <f t="shared" si="5"/>
        <v>0</v>
      </c>
      <c r="Q356" s="69" cm="1">
        <f t="array" ref="Q356">IF(P356=1,IF(SUMPRODUCT(($P$2:P356)*(--($G$2:G356=$G356)))=1,1,0),0)</f>
        <v>0</v>
      </c>
      <c r="R356" s="69" t="str">
        <f>IF(Q356=1,SUM($Q$2:Q356),"")</f>
        <v/>
      </c>
    </row>
    <row r="357" spans="1:18" x14ac:dyDescent="0.2">
      <c r="A357" s="72"/>
      <c r="B357" s="76"/>
      <c r="C357" s="73"/>
      <c r="D357" s="73" t="s">
        <v>960</v>
      </c>
      <c r="E357" s="77" t="s">
        <v>126</v>
      </c>
      <c r="F357" s="75" t="s">
        <v>1517</v>
      </c>
      <c r="G357" s="75" t="s">
        <v>1135</v>
      </c>
      <c r="H357" s="69"/>
      <c r="P357" s="69">
        <f t="shared" si="5"/>
        <v>0</v>
      </c>
      <c r="Q357" s="69" cm="1">
        <f t="array" ref="Q357">IF(P357=1,IF(SUMPRODUCT(($P$2:P357)*(--($G$2:G357=$G357)))=1,1,0),0)</f>
        <v>0</v>
      </c>
      <c r="R357" s="69" t="str">
        <f>IF(Q357=1,SUM($Q$2:Q357),"")</f>
        <v/>
      </c>
    </row>
    <row r="358" spans="1:18" x14ac:dyDescent="0.2">
      <c r="A358" s="72"/>
      <c r="B358" s="76"/>
      <c r="C358" s="73"/>
      <c r="D358" s="73" t="s">
        <v>960</v>
      </c>
      <c r="E358" s="77" t="s">
        <v>110</v>
      </c>
      <c r="F358" s="75" t="s">
        <v>1518</v>
      </c>
      <c r="G358" s="75" t="s">
        <v>1135</v>
      </c>
      <c r="H358" s="69"/>
      <c r="P358" s="69">
        <f t="shared" si="5"/>
        <v>0</v>
      </c>
      <c r="Q358" s="69" cm="1">
        <f t="array" ref="Q358">IF(P358=1,IF(SUMPRODUCT(($P$2:P358)*(--($G$2:G358=$G358)))=1,1,0),0)</f>
        <v>0</v>
      </c>
      <c r="R358" s="69" t="str">
        <f>IF(Q358=1,SUM($Q$2:Q358),"")</f>
        <v/>
      </c>
    </row>
    <row r="359" spans="1:18" x14ac:dyDescent="0.2">
      <c r="A359" s="72"/>
      <c r="B359" s="76"/>
      <c r="C359" s="73"/>
      <c r="D359" s="73" t="s">
        <v>960</v>
      </c>
      <c r="E359" s="77" t="s">
        <v>990</v>
      </c>
      <c r="F359" s="75" t="s">
        <v>1518</v>
      </c>
      <c r="G359" s="75" t="s">
        <v>1135</v>
      </c>
      <c r="H359" s="69"/>
      <c r="P359" s="69">
        <f t="shared" si="5"/>
        <v>0</v>
      </c>
      <c r="Q359" s="69" cm="1">
        <f t="array" ref="Q359">IF(P359=1,IF(SUMPRODUCT(($P$2:P359)*(--($G$2:G359=$G359)))=1,1,0),0)</f>
        <v>0</v>
      </c>
      <c r="R359" s="69" t="str">
        <f>IF(Q359=1,SUM($Q$2:Q359),"")</f>
        <v/>
      </c>
    </row>
    <row r="360" spans="1:18" x14ac:dyDescent="0.2">
      <c r="A360" s="72"/>
      <c r="B360" s="76"/>
      <c r="C360" s="73"/>
      <c r="D360" s="73" t="s">
        <v>960</v>
      </c>
      <c r="E360" s="77" t="s">
        <v>126</v>
      </c>
      <c r="F360" s="75" t="s">
        <v>1518</v>
      </c>
      <c r="G360" s="75" t="s">
        <v>1135</v>
      </c>
      <c r="H360" s="69"/>
      <c r="P360" s="69">
        <f t="shared" si="5"/>
        <v>0</v>
      </c>
      <c r="Q360" s="69" cm="1">
        <f t="array" ref="Q360">IF(P360=1,IF(SUMPRODUCT(($P$2:P360)*(--($G$2:G360=$G360)))=1,1,0),0)</f>
        <v>0</v>
      </c>
      <c r="R360" s="69" t="str">
        <f>IF(Q360=1,SUM($Q$2:Q360),"")</f>
        <v/>
      </c>
    </row>
    <row r="361" spans="1:18" x14ac:dyDescent="0.2">
      <c r="A361" s="72"/>
      <c r="B361" s="76"/>
      <c r="C361" s="73"/>
      <c r="D361" s="73" t="s">
        <v>960</v>
      </c>
      <c r="E361" s="77" t="s">
        <v>110</v>
      </c>
      <c r="F361" s="75" t="s">
        <v>1519</v>
      </c>
      <c r="G361" s="75" t="s">
        <v>1135</v>
      </c>
      <c r="H361" s="69"/>
      <c r="P361" s="69">
        <f t="shared" si="5"/>
        <v>0</v>
      </c>
      <c r="Q361" s="69" cm="1">
        <f t="array" ref="Q361">IF(P361=1,IF(SUMPRODUCT(($P$2:P361)*(--($G$2:G361=$G361)))=1,1,0),0)</f>
        <v>0</v>
      </c>
      <c r="R361" s="69" t="str">
        <f>IF(Q361=1,SUM($Q$2:Q361),"")</f>
        <v/>
      </c>
    </row>
    <row r="362" spans="1:18" x14ac:dyDescent="0.2">
      <c r="A362" s="72"/>
      <c r="B362" s="76"/>
      <c r="C362" s="73"/>
      <c r="D362" s="73" t="s">
        <v>960</v>
      </c>
      <c r="E362" s="77" t="s">
        <v>990</v>
      </c>
      <c r="F362" s="75" t="s">
        <v>1519</v>
      </c>
      <c r="G362" s="75" t="s">
        <v>1135</v>
      </c>
      <c r="H362" s="69"/>
      <c r="P362" s="69">
        <f t="shared" si="5"/>
        <v>0</v>
      </c>
      <c r="Q362" s="69" cm="1">
        <f t="array" ref="Q362">IF(P362=1,IF(SUMPRODUCT(($P$2:P362)*(--($G$2:G362=$G362)))=1,1,0),0)</f>
        <v>0</v>
      </c>
      <c r="R362" s="69" t="str">
        <f>IF(Q362=1,SUM($Q$2:Q362),"")</f>
        <v/>
      </c>
    </row>
    <row r="363" spans="1:18" x14ac:dyDescent="0.2">
      <c r="A363" s="72"/>
      <c r="B363" s="76"/>
      <c r="C363" s="73"/>
      <c r="D363" s="73" t="s">
        <v>960</v>
      </c>
      <c r="E363" s="77" t="s">
        <v>126</v>
      </c>
      <c r="F363" s="75" t="s">
        <v>1519</v>
      </c>
      <c r="G363" s="75" t="s">
        <v>1135</v>
      </c>
      <c r="H363" s="69"/>
      <c r="P363" s="69">
        <f t="shared" si="5"/>
        <v>0</v>
      </c>
      <c r="Q363" s="69" cm="1">
        <f t="array" ref="Q363">IF(P363=1,IF(SUMPRODUCT(($P$2:P363)*(--($G$2:G363=$G363)))=1,1,0),0)</f>
        <v>0</v>
      </c>
      <c r="R363" s="69" t="str">
        <f>IF(Q363=1,SUM($Q$2:Q363),"")</f>
        <v/>
      </c>
    </row>
    <row r="364" spans="1:18" ht="16" x14ac:dyDescent="0.2">
      <c r="A364" s="72"/>
      <c r="B364" s="84"/>
      <c r="C364" s="73"/>
      <c r="D364" s="73" t="s">
        <v>960</v>
      </c>
      <c r="E364" s="77" t="s">
        <v>110</v>
      </c>
      <c r="F364" s="75" t="s">
        <v>1520</v>
      </c>
      <c r="G364" s="74" t="s">
        <v>1058</v>
      </c>
      <c r="H364" s="69"/>
      <c r="P364" s="69">
        <f t="shared" si="5"/>
        <v>0</v>
      </c>
      <c r="Q364" s="69" cm="1">
        <f t="array" ref="Q364">IF(P364=1,IF(SUMPRODUCT(($P$2:P364)*(--($G$2:G364=$G364)))=1,1,0),0)</f>
        <v>0</v>
      </c>
      <c r="R364" s="69" t="str">
        <f>IF(Q364=1,SUM($Q$2:Q364),"")</f>
        <v/>
      </c>
    </row>
    <row r="365" spans="1:18" ht="16" x14ac:dyDescent="0.2">
      <c r="A365" s="72"/>
      <c r="B365" s="84"/>
      <c r="C365" s="73"/>
      <c r="D365" s="73" t="s">
        <v>960</v>
      </c>
      <c r="E365" s="77" t="s">
        <v>990</v>
      </c>
      <c r="F365" s="75" t="s">
        <v>1520</v>
      </c>
      <c r="G365" s="74" t="s">
        <v>1058</v>
      </c>
      <c r="H365" s="69"/>
      <c r="P365" s="69">
        <f t="shared" si="5"/>
        <v>0</v>
      </c>
      <c r="Q365" s="69" cm="1">
        <f t="array" ref="Q365">IF(P365=1,IF(SUMPRODUCT(($P$2:P365)*(--($G$2:G365=$G365)))=1,1,0),0)</f>
        <v>0</v>
      </c>
      <c r="R365" s="69" t="str">
        <f>IF(Q365=1,SUM($Q$2:Q365),"")</f>
        <v/>
      </c>
    </row>
    <row r="366" spans="1:18" ht="16" x14ac:dyDescent="0.2">
      <c r="A366" s="72"/>
      <c r="B366" s="84"/>
      <c r="C366" s="73"/>
      <c r="D366" s="73" t="s">
        <v>960</v>
      </c>
      <c r="E366" s="77" t="s">
        <v>126</v>
      </c>
      <c r="F366" s="75" t="s">
        <v>1520</v>
      </c>
      <c r="G366" s="74" t="s">
        <v>1058</v>
      </c>
      <c r="H366" s="69"/>
      <c r="P366" s="69">
        <f t="shared" si="5"/>
        <v>0</v>
      </c>
      <c r="Q366" s="69" cm="1">
        <f t="array" ref="Q366">IF(P366=1,IF(SUMPRODUCT(($P$2:P366)*(--($G$2:G366=$G366)))=1,1,0),0)</f>
        <v>0</v>
      </c>
      <c r="R366" s="69" t="str">
        <f>IF(Q366=1,SUM($Q$2:Q366),"")</f>
        <v/>
      </c>
    </row>
    <row r="367" spans="1:18" ht="16" x14ac:dyDescent="0.2">
      <c r="A367" s="72"/>
      <c r="B367" s="84"/>
      <c r="C367" s="73"/>
      <c r="D367" s="73" t="s">
        <v>960</v>
      </c>
      <c r="E367" s="77" t="s">
        <v>110</v>
      </c>
      <c r="F367" s="75" t="s">
        <v>1522</v>
      </c>
      <c r="G367" s="74" t="s">
        <v>1058</v>
      </c>
      <c r="H367" s="69"/>
      <c r="P367" s="69">
        <f t="shared" si="5"/>
        <v>0</v>
      </c>
      <c r="Q367" s="69" cm="1">
        <f t="array" ref="Q367">IF(P367=1,IF(SUMPRODUCT(($P$2:P367)*(--($G$2:G367=$G367)))=1,1,0),0)</f>
        <v>0</v>
      </c>
      <c r="R367" s="69" t="str">
        <f>IF(Q367=1,SUM($Q$2:Q367),"")</f>
        <v/>
      </c>
    </row>
    <row r="368" spans="1:18" ht="16" x14ac:dyDescent="0.2">
      <c r="A368" s="72"/>
      <c r="B368" s="84"/>
      <c r="C368" s="73"/>
      <c r="D368" s="73" t="s">
        <v>960</v>
      </c>
      <c r="E368" s="77" t="s">
        <v>990</v>
      </c>
      <c r="F368" s="75" t="s">
        <v>1522</v>
      </c>
      <c r="G368" s="74" t="s">
        <v>1058</v>
      </c>
      <c r="H368" s="69"/>
      <c r="P368" s="69">
        <f t="shared" si="5"/>
        <v>0</v>
      </c>
      <c r="Q368" s="69" cm="1">
        <f t="array" ref="Q368">IF(P368=1,IF(SUMPRODUCT(($P$2:P368)*(--($G$2:G368=$G368)))=1,1,0),0)</f>
        <v>0</v>
      </c>
      <c r="R368" s="69" t="str">
        <f>IF(Q368=1,SUM($Q$2:Q368),"")</f>
        <v/>
      </c>
    </row>
    <row r="369" spans="1:18" ht="16" x14ac:dyDescent="0.2">
      <c r="A369" s="72"/>
      <c r="B369" s="84"/>
      <c r="C369" s="73"/>
      <c r="D369" s="73" t="s">
        <v>960</v>
      </c>
      <c r="E369" s="77" t="s">
        <v>126</v>
      </c>
      <c r="F369" s="75" t="s">
        <v>1522</v>
      </c>
      <c r="G369" s="74" t="s">
        <v>1058</v>
      </c>
      <c r="H369" s="69"/>
      <c r="P369" s="69">
        <f t="shared" si="5"/>
        <v>0</v>
      </c>
      <c r="Q369" s="69" cm="1">
        <f t="array" ref="Q369">IF(P369=1,IF(SUMPRODUCT(($P$2:P369)*(--($G$2:G369=$G369)))=1,1,0),0)</f>
        <v>0</v>
      </c>
      <c r="R369" s="69" t="str">
        <f>IF(Q369=1,SUM($Q$2:Q369),"")</f>
        <v/>
      </c>
    </row>
    <row r="370" spans="1:18" ht="16" x14ac:dyDescent="0.2">
      <c r="A370" s="72"/>
      <c r="B370" s="84"/>
      <c r="C370" s="73"/>
      <c r="D370" s="73" t="s">
        <v>960</v>
      </c>
      <c r="E370" s="77" t="s">
        <v>110</v>
      </c>
      <c r="F370" s="75" t="s">
        <v>1523</v>
      </c>
      <c r="G370" s="74" t="s">
        <v>1132</v>
      </c>
      <c r="H370" s="69"/>
      <c r="P370" s="69">
        <f t="shared" si="5"/>
        <v>0</v>
      </c>
      <c r="Q370" s="69" cm="1">
        <f t="array" ref="Q370">IF(P370=1,IF(SUMPRODUCT(($P$2:P370)*(--($G$2:G370=$G370)))=1,1,0),0)</f>
        <v>0</v>
      </c>
      <c r="R370" s="69" t="str">
        <f>IF(Q370=1,SUM($Q$2:Q370),"")</f>
        <v/>
      </c>
    </row>
    <row r="371" spans="1:18" ht="16" x14ac:dyDescent="0.2">
      <c r="A371" s="72"/>
      <c r="B371" s="84"/>
      <c r="C371" s="73"/>
      <c r="D371" s="73" t="s">
        <v>960</v>
      </c>
      <c r="E371" s="77" t="s">
        <v>990</v>
      </c>
      <c r="F371" s="75" t="s">
        <v>1523</v>
      </c>
      <c r="G371" s="74" t="s">
        <v>1132</v>
      </c>
      <c r="H371" s="69"/>
      <c r="P371" s="69">
        <f t="shared" si="5"/>
        <v>0</v>
      </c>
      <c r="Q371" s="69" cm="1">
        <f t="array" ref="Q371">IF(P371=1,IF(SUMPRODUCT(($P$2:P371)*(--($G$2:G371=$G371)))=1,1,0),0)</f>
        <v>0</v>
      </c>
      <c r="R371" s="69" t="str">
        <f>IF(Q371=1,SUM($Q$2:Q371),"")</f>
        <v/>
      </c>
    </row>
    <row r="372" spans="1:18" ht="16" x14ac:dyDescent="0.2">
      <c r="A372" s="72"/>
      <c r="B372" s="84"/>
      <c r="C372" s="73"/>
      <c r="D372" s="73" t="s">
        <v>960</v>
      </c>
      <c r="E372" s="77" t="s">
        <v>126</v>
      </c>
      <c r="F372" s="75" t="s">
        <v>1523</v>
      </c>
      <c r="G372" s="74" t="s">
        <v>1132</v>
      </c>
      <c r="H372" s="69"/>
      <c r="P372" s="69">
        <f t="shared" si="5"/>
        <v>0</v>
      </c>
      <c r="Q372" s="69" cm="1">
        <f t="array" ref="Q372">IF(P372=1,IF(SUMPRODUCT(($P$2:P372)*(--($G$2:G372=$G372)))=1,1,0),0)</f>
        <v>0</v>
      </c>
      <c r="R372" s="69" t="str">
        <f>IF(Q372=1,SUM($Q$2:Q372),"")</f>
        <v/>
      </c>
    </row>
    <row r="373" spans="1:18" ht="16" x14ac:dyDescent="0.2">
      <c r="A373" s="72"/>
      <c r="B373" s="84"/>
      <c r="C373" s="73"/>
      <c r="D373" s="73" t="s">
        <v>960</v>
      </c>
      <c r="E373" s="77" t="s">
        <v>110</v>
      </c>
      <c r="F373" s="75" t="s">
        <v>1524</v>
      </c>
      <c r="G373" s="74" t="s">
        <v>1132</v>
      </c>
      <c r="H373" s="69"/>
      <c r="P373" s="69">
        <f t="shared" si="5"/>
        <v>0</v>
      </c>
      <c r="Q373" s="69" cm="1">
        <f t="array" ref="Q373">IF(P373=1,IF(SUMPRODUCT(($P$2:P373)*(--($G$2:G373=$G373)))=1,1,0),0)</f>
        <v>0</v>
      </c>
      <c r="R373" s="69" t="str">
        <f>IF(Q373=1,SUM($Q$2:Q373),"")</f>
        <v/>
      </c>
    </row>
    <row r="374" spans="1:18" ht="16" x14ac:dyDescent="0.2">
      <c r="A374" s="72"/>
      <c r="B374" s="84"/>
      <c r="C374" s="73"/>
      <c r="D374" s="73" t="s">
        <v>960</v>
      </c>
      <c r="E374" s="77" t="s">
        <v>990</v>
      </c>
      <c r="F374" s="75" t="s">
        <v>1524</v>
      </c>
      <c r="G374" s="74" t="s">
        <v>1132</v>
      </c>
      <c r="H374" s="69"/>
      <c r="P374" s="69">
        <f t="shared" si="5"/>
        <v>0</v>
      </c>
      <c r="Q374" s="69" cm="1">
        <f t="array" ref="Q374">IF(P374=1,IF(SUMPRODUCT(($P$2:P374)*(--($G$2:G374=$G374)))=1,1,0),0)</f>
        <v>0</v>
      </c>
      <c r="R374" s="69" t="str">
        <f>IF(Q374=1,SUM($Q$2:Q374),"")</f>
        <v/>
      </c>
    </row>
    <row r="375" spans="1:18" ht="16" x14ac:dyDescent="0.2">
      <c r="A375" s="72"/>
      <c r="B375" s="84"/>
      <c r="C375" s="73"/>
      <c r="D375" s="73" t="s">
        <v>960</v>
      </c>
      <c r="E375" s="77" t="s">
        <v>126</v>
      </c>
      <c r="F375" s="75" t="s">
        <v>1524</v>
      </c>
      <c r="G375" s="74" t="s">
        <v>1132</v>
      </c>
      <c r="H375" s="69"/>
      <c r="P375" s="69">
        <f t="shared" si="5"/>
        <v>0</v>
      </c>
      <c r="Q375" s="69" cm="1">
        <f t="array" ref="Q375">IF(P375=1,IF(SUMPRODUCT(($P$2:P375)*(--($G$2:G375=$G375)))=1,1,0),0)</f>
        <v>0</v>
      </c>
      <c r="R375" s="69" t="str">
        <f>IF(Q375=1,SUM($Q$2:Q375),"")</f>
        <v/>
      </c>
    </row>
    <row r="376" spans="1:18" ht="16" x14ac:dyDescent="0.2">
      <c r="A376" s="72"/>
      <c r="B376" s="84"/>
      <c r="C376" s="73"/>
      <c r="D376" s="73" t="s">
        <v>960</v>
      </c>
      <c r="E376" s="77" t="s">
        <v>126</v>
      </c>
      <c r="F376" s="75" t="s">
        <v>1525</v>
      </c>
      <c r="G376" s="74" t="s">
        <v>1057</v>
      </c>
      <c r="H376" s="69"/>
      <c r="P376" s="69">
        <f t="shared" si="5"/>
        <v>0</v>
      </c>
      <c r="Q376" s="69" cm="1">
        <f t="array" ref="Q376">IF(P376=1,IF(SUMPRODUCT(($P$2:P376)*(--($G$2:G376=$G376)))=1,1,0),0)</f>
        <v>0</v>
      </c>
      <c r="R376" s="69" t="str">
        <f>IF(Q376=1,SUM($Q$2:Q376),"")</f>
        <v/>
      </c>
    </row>
    <row r="377" spans="1:18" ht="16" x14ac:dyDescent="0.2">
      <c r="A377" s="72"/>
      <c r="B377" s="84"/>
      <c r="C377" s="73"/>
      <c r="D377" s="73" t="s">
        <v>960</v>
      </c>
      <c r="E377" s="77" t="s">
        <v>110</v>
      </c>
      <c r="F377" s="75" t="s">
        <v>1525</v>
      </c>
      <c r="G377" s="74" t="s">
        <v>1057</v>
      </c>
      <c r="H377" s="69"/>
      <c r="P377" s="69">
        <f t="shared" si="5"/>
        <v>0</v>
      </c>
      <c r="Q377" s="69" cm="1">
        <f t="array" ref="Q377">IF(P377=1,IF(SUMPRODUCT(($P$2:P377)*(--($G$2:G377=$G377)))=1,1,0),0)</f>
        <v>0</v>
      </c>
      <c r="R377" s="69" t="str">
        <f>IF(Q377=1,SUM($Q$2:Q377),"")</f>
        <v/>
      </c>
    </row>
    <row r="378" spans="1:18" ht="16" x14ac:dyDescent="0.2">
      <c r="A378" s="72"/>
      <c r="B378" s="84"/>
      <c r="C378" s="73"/>
      <c r="D378" s="73" t="s">
        <v>960</v>
      </c>
      <c r="E378" s="77" t="s">
        <v>990</v>
      </c>
      <c r="F378" s="75" t="s">
        <v>1525</v>
      </c>
      <c r="G378" s="74" t="s">
        <v>1057</v>
      </c>
      <c r="H378" s="69"/>
      <c r="P378" s="69">
        <f t="shared" si="5"/>
        <v>0</v>
      </c>
      <c r="Q378" s="69" cm="1">
        <f t="array" ref="Q378">IF(P378=1,IF(SUMPRODUCT(($P$2:P378)*(--($G$2:G378=$G378)))=1,1,0),0)</f>
        <v>0</v>
      </c>
      <c r="R378" s="69" t="str">
        <f>IF(Q378=1,SUM($Q$2:Q378),"")</f>
        <v/>
      </c>
    </row>
    <row r="379" spans="1:18" ht="16" x14ac:dyDescent="0.2">
      <c r="A379" s="72"/>
      <c r="B379" s="76"/>
      <c r="C379" s="73"/>
      <c r="D379" s="73" t="s">
        <v>959</v>
      </c>
      <c r="E379" s="77" t="s">
        <v>94</v>
      </c>
      <c r="F379" s="75" t="s">
        <v>2080</v>
      </c>
      <c r="G379" s="74" t="s">
        <v>1128</v>
      </c>
      <c r="H379" s="69"/>
      <c r="P379" s="69">
        <f t="shared" si="5"/>
        <v>0</v>
      </c>
      <c r="Q379" s="69" cm="1">
        <f t="array" ref="Q379">IF(P379=1,IF(SUMPRODUCT(($P$2:P379)*(--($G$2:G379=$G379)))=1,1,0),0)</f>
        <v>0</v>
      </c>
      <c r="R379" s="69" t="str">
        <f>IF(Q379=1,SUM($Q$2:Q379),"")</f>
        <v/>
      </c>
    </row>
    <row r="380" spans="1:18" ht="16" x14ac:dyDescent="0.2">
      <c r="A380" s="72"/>
      <c r="B380" s="76"/>
      <c r="C380" s="73"/>
      <c r="D380" s="73" t="s">
        <v>959</v>
      </c>
      <c r="E380" s="77" t="s">
        <v>135</v>
      </c>
      <c r="F380" s="75" t="s">
        <v>2080</v>
      </c>
      <c r="G380" s="74" t="s">
        <v>1128</v>
      </c>
      <c r="H380" s="69"/>
      <c r="P380" s="69">
        <f t="shared" si="5"/>
        <v>0</v>
      </c>
      <c r="Q380" s="69" cm="1">
        <f t="array" ref="Q380">IF(P380=1,IF(SUMPRODUCT(($P$2:P380)*(--($G$2:G380=$G380)))=1,1,0),0)</f>
        <v>0</v>
      </c>
      <c r="R380" s="69" t="str">
        <f>IF(Q380=1,SUM($Q$2:Q380),"")</f>
        <v/>
      </c>
    </row>
    <row r="381" spans="1:18" ht="16" x14ac:dyDescent="0.2">
      <c r="A381" s="72"/>
      <c r="B381" s="76"/>
      <c r="C381" s="73"/>
      <c r="D381" s="73" t="s">
        <v>959</v>
      </c>
      <c r="E381" s="77" t="s">
        <v>94</v>
      </c>
      <c r="F381" s="75" t="s">
        <v>286</v>
      </c>
      <c r="G381" s="74" t="s">
        <v>1128</v>
      </c>
      <c r="H381" s="69"/>
      <c r="P381" s="69">
        <f t="shared" si="5"/>
        <v>0</v>
      </c>
      <c r="Q381" s="69" cm="1">
        <f t="array" ref="Q381">IF(P381=1,IF(SUMPRODUCT(($P$2:P381)*(--($G$2:G381=$G381)))=1,1,0),0)</f>
        <v>0</v>
      </c>
      <c r="R381" s="69" t="str">
        <f>IF(Q381=1,SUM($Q$2:Q381),"")</f>
        <v/>
      </c>
    </row>
    <row r="382" spans="1:18" ht="16" x14ac:dyDescent="0.2">
      <c r="A382" s="72"/>
      <c r="B382" s="76"/>
      <c r="C382" s="73"/>
      <c r="D382" s="73" t="s">
        <v>959</v>
      </c>
      <c r="E382" s="77" t="s">
        <v>135</v>
      </c>
      <c r="F382" s="75" t="s">
        <v>286</v>
      </c>
      <c r="G382" s="74" t="s">
        <v>1128</v>
      </c>
      <c r="H382" s="69"/>
      <c r="P382" s="69">
        <f t="shared" si="5"/>
        <v>0</v>
      </c>
      <c r="Q382" s="69" cm="1">
        <f t="array" ref="Q382">IF(P382=1,IF(SUMPRODUCT(($P$2:P382)*(--($G$2:G382=$G382)))=1,1,0),0)</f>
        <v>0</v>
      </c>
      <c r="R382" s="69" t="str">
        <f>IF(Q382=1,SUM($Q$2:Q382),"")</f>
        <v/>
      </c>
    </row>
    <row r="383" spans="1:18" ht="16" x14ac:dyDescent="0.2">
      <c r="A383" s="72"/>
      <c r="B383" s="76"/>
      <c r="C383" s="73"/>
      <c r="D383" s="73" t="s">
        <v>959</v>
      </c>
      <c r="E383" s="77" t="s">
        <v>94</v>
      </c>
      <c r="F383" s="75" t="s">
        <v>2217</v>
      </c>
      <c r="G383" s="74" t="s">
        <v>1128</v>
      </c>
      <c r="H383" s="69"/>
      <c r="P383" s="69">
        <f t="shared" si="5"/>
        <v>0</v>
      </c>
      <c r="Q383" s="69" cm="1">
        <f t="array" ref="Q383">IF(P383=1,IF(SUMPRODUCT(($P$2:P383)*(--($G$2:G383=$G383)))=1,1,0),0)</f>
        <v>0</v>
      </c>
      <c r="R383" s="69" t="str">
        <f>IF(Q383=1,SUM($Q$2:Q383),"")</f>
        <v/>
      </c>
    </row>
    <row r="384" spans="1:18" ht="16" x14ac:dyDescent="0.2">
      <c r="A384" s="72"/>
      <c r="B384" s="76"/>
      <c r="C384" s="73"/>
      <c r="D384" s="73" t="s">
        <v>959</v>
      </c>
      <c r="E384" s="77" t="s">
        <v>135</v>
      </c>
      <c r="F384" s="75" t="s">
        <v>2217</v>
      </c>
      <c r="G384" s="74" t="s">
        <v>1128</v>
      </c>
      <c r="H384" s="69"/>
      <c r="P384" s="69">
        <f t="shared" si="5"/>
        <v>0</v>
      </c>
      <c r="Q384" s="69" cm="1">
        <f t="array" ref="Q384">IF(P384=1,IF(SUMPRODUCT(($P$2:P384)*(--($G$2:G384=$G384)))=1,1,0),0)</f>
        <v>0</v>
      </c>
      <c r="R384" s="69" t="str">
        <f>IF(Q384=1,SUM($Q$2:Q384),"")</f>
        <v/>
      </c>
    </row>
    <row r="385" spans="1:18" ht="16" x14ac:dyDescent="0.2">
      <c r="A385" s="72"/>
      <c r="B385" s="76"/>
      <c r="C385" s="73"/>
      <c r="D385" s="73" t="s">
        <v>959</v>
      </c>
      <c r="E385" s="77" t="s">
        <v>94</v>
      </c>
      <c r="F385" s="75" t="s">
        <v>2218</v>
      </c>
      <c r="G385" s="74" t="s">
        <v>1128</v>
      </c>
      <c r="H385" s="69"/>
      <c r="P385" s="69">
        <f t="shared" si="5"/>
        <v>0</v>
      </c>
      <c r="Q385" s="69" cm="1">
        <f t="array" ref="Q385">IF(P385=1,IF(SUMPRODUCT(($P$2:P385)*(--($G$2:G385=$G385)))=1,1,0),0)</f>
        <v>0</v>
      </c>
      <c r="R385" s="69" t="str">
        <f>IF(Q385=1,SUM($Q$2:Q385),"")</f>
        <v/>
      </c>
    </row>
    <row r="386" spans="1:18" ht="16" x14ac:dyDescent="0.2">
      <c r="A386" s="72"/>
      <c r="B386" s="76"/>
      <c r="C386" s="73"/>
      <c r="D386" s="73" t="s">
        <v>959</v>
      </c>
      <c r="E386" s="77" t="s">
        <v>135</v>
      </c>
      <c r="F386" s="75" t="s">
        <v>2218</v>
      </c>
      <c r="G386" s="74" t="s">
        <v>1128</v>
      </c>
      <c r="H386" s="69"/>
      <c r="P386" s="69">
        <f t="shared" si="5"/>
        <v>0</v>
      </c>
      <c r="Q386" s="69" cm="1">
        <f t="array" ref="Q386">IF(P386=1,IF(SUMPRODUCT(($P$2:P386)*(--($G$2:G386=$G386)))=1,1,0),0)</f>
        <v>0</v>
      </c>
      <c r="R386" s="69" t="str">
        <f>IF(Q386=1,SUM($Q$2:Q386),"")</f>
        <v/>
      </c>
    </row>
    <row r="387" spans="1:18" ht="16" x14ac:dyDescent="0.2">
      <c r="A387" s="72"/>
      <c r="B387" s="76"/>
      <c r="C387" s="73"/>
      <c r="D387" s="73" t="s">
        <v>959</v>
      </c>
      <c r="E387" s="77" t="s">
        <v>94</v>
      </c>
      <c r="F387" s="75" t="s">
        <v>2219</v>
      </c>
      <c r="G387" s="74" t="s">
        <v>1128</v>
      </c>
      <c r="H387" s="69"/>
      <c r="P387" s="69">
        <f t="shared" ref="P387:P450" si="6">IF(AND(IF(TRIM($J$2&amp;"")="",TRUE,LEFT($D387,LEN($J$2))=$J$2),IF(TRIM($K$2&amp;"")="",TRUE,$E387=$K$2),IF($L$2="",TRUE,$F387=$L$2)),1,0)</f>
        <v>0</v>
      </c>
      <c r="Q387" s="69" cm="1">
        <f t="array" ref="Q387">IF(P387=1,IF(SUMPRODUCT(($P$2:P387)*(--($G$2:G387=$G387)))=1,1,0),0)</f>
        <v>0</v>
      </c>
      <c r="R387" s="69" t="str">
        <f>IF(Q387=1,SUM($Q$2:Q387),"")</f>
        <v/>
      </c>
    </row>
    <row r="388" spans="1:18" ht="16" x14ac:dyDescent="0.2">
      <c r="A388" s="72"/>
      <c r="B388" s="76"/>
      <c r="C388" s="73"/>
      <c r="D388" s="73" t="s">
        <v>959</v>
      </c>
      <c r="E388" s="77" t="s">
        <v>135</v>
      </c>
      <c r="F388" s="75" t="s">
        <v>2219</v>
      </c>
      <c r="G388" s="74" t="s">
        <v>1128</v>
      </c>
      <c r="H388" s="69"/>
      <c r="P388" s="69">
        <f t="shared" si="6"/>
        <v>0</v>
      </c>
      <c r="Q388" s="69" cm="1">
        <f t="array" ref="Q388">IF(P388=1,IF(SUMPRODUCT(($P$2:P388)*(--($G$2:G388=$G388)))=1,1,0),0)</f>
        <v>0</v>
      </c>
      <c r="R388" s="69" t="str">
        <f>IF(Q388=1,SUM($Q$2:Q388),"")</f>
        <v/>
      </c>
    </row>
    <row r="389" spans="1:18" ht="16" x14ac:dyDescent="0.2">
      <c r="A389" s="72"/>
      <c r="B389" s="84"/>
      <c r="C389" s="73"/>
      <c r="D389" s="73" t="s">
        <v>959</v>
      </c>
      <c r="E389" s="77" t="s">
        <v>94</v>
      </c>
      <c r="F389" s="75" t="s">
        <v>2222</v>
      </c>
      <c r="G389" s="74" t="s">
        <v>1054</v>
      </c>
      <c r="H389" s="69"/>
      <c r="P389" s="69">
        <f t="shared" si="6"/>
        <v>0</v>
      </c>
      <c r="Q389" s="69" cm="1">
        <f t="array" ref="Q389">IF(P389=1,IF(SUMPRODUCT(($P$2:P389)*(--($G$2:G389=$G389)))=1,1,0),0)</f>
        <v>0</v>
      </c>
      <c r="R389" s="69" t="str">
        <f>IF(Q389=1,SUM($Q$2:Q389),"")</f>
        <v/>
      </c>
    </row>
    <row r="390" spans="1:18" ht="16" x14ac:dyDescent="0.2">
      <c r="A390" s="72"/>
      <c r="B390" s="84"/>
      <c r="C390" s="73"/>
      <c r="D390" s="73" t="s">
        <v>959</v>
      </c>
      <c r="E390" s="77" t="s">
        <v>135</v>
      </c>
      <c r="F390" s="75" t="s">
        <v>2222</v>
      </c>
      <c r="G390" s="74" t="s">
        <v>1054</v>
      </c>
      <c r="H390" s="69"/>
      <c r="P390" s="69">
        <f t="shared" si="6"/>
        <v>0</v>
      </c>
      <c r="Q390" s="69" cm="1">
        <f t="array" ref="Q390">IF(P390=1,IF(SUMPRODUCT(($P$2:P390)*(--($G$2:G390=$G390)))=1,1,0),0)</f>
        <v>0</v>
      </c>
      <c r="R390" s="69" t="str">
        <f>IF(Q390=1,SUM($Q$2:Q390),"")</f>
        <v/>
      </c>
    </row>
    <row r="391" spans="1:18" ht="16" x14ac:dyDescent="0.2">
      <c r="A391" s="72"/>
      <c r="B391" s="76"/>
      <c r="C391" s="73"/>
      <c r="D391" s="73" t="s">
        <v>959</v>
      </c>
      <c r="E391" s="77" t="s">
        <v>103</v>
      </c>
      <c r="F391" s="75" t="s">
        <v>2080</v>
      </c>
      <c r="G391" s="74" t="s">
        <v>388</v>
      </c>
      <c r="H391" s="69"/>
      <c r="P391" s="69">
        <f t="shared" si="6"/>
        <v>0</v>
      </c>
      <c r="Q391" s="69" cm="1">
        <f t="array" ref="Q391">IF(P391=1,IF(SUMPRODUCT(($P$2:P391)*(--($G$2:G391=$G391)))=1,1,0),0)</f>
        <v>0</v>
      </c>
      <c r="R391" s="69" t="str">
        <f>IF(Q391=1,SUM($Q$2:Q391),"")</f>
        <v/>
      </c>
    </row>
    <row r="392" spans="1:18" ht="16" x14ac:dyDescent="0.2">
      <c r="A392" s="72"/>
      <c r="B392" s="76"/>
      <c r="C392" s="73"/>
      <c r="D392" s="73" t="s">
        <v>959</v>
      </c>
      <c r="E392" s="77" t="s">
        <v>103</v>
      </c>
      <c r="F392" s="75" t="s">
        <v>286</v>
      </c>
      <c r="G392" s="74" t="s">
        <v>388</v>
      </c>
      <c r="H392" s="69"/>
      <c r="P392" s="69">
        <f t="shared" si="6"/>
        <v>0</v>
      </c>
      <c r="Q392" s="69" cm="1">
        <f t="array" ref="Q392">IF(P392=1,IF(SUMPRODUCT(($P$2:P392)*(--($G$2:G392=$G392)))=1,1,0),0)</f>
        <v>0</v>
      </c>
      <c r="R392" s="69" t="str">
        <f>IF(Q392=1,SUM($Q$2:Q392),"")</f>
        <v/>
      </c>
    </row>
    <row r="393" spans="1:18" ht="16" x14ac:dyDescent="0.2">
      <c r="A393" s="72"/>
      <c r="B393" s="76"/>
      <c r="C393" s="73"/>
      <c r="D393" s="73" t="s">
        <v>959</v>
      </c>
      <c r="E393" s="77" t="s">
        <v>103</v>
      </c>
      <c r="F393" s="75" t="s">
        <v>2217</v>
      </c>
      <c r="G393" s="74" t="s">
        <v>388</v>
      </c>
      <c r="H393" s="69"/>
      <c r="P393" s="69">
        <f t="shared" si="6"/>
        <v>0</v>
      </c>
      <c r="Q393" s="69" cm="1">
        <f t="array" ref="Q393">IF(P393=1,IF(SUMPRODUCT(($P$2:P393)*(--($G$2:G393=$G393)))=1,1,0),0)</f>
        <v>0</v>
      </c>
      <c r="R393" s="69" t="str">
        <f>IF(Q393=1,SUM($Q$2:Q393),"")</f>
        <v/>
      </c>
    </row>
    <row r="394" spans="1:18" ht="16" x14ac:dyDescent="0.2">
      <c r="A394" s="72"/>
      <c r="B394" s="76"/>
      <c r="C394" s="73"/>
      <c r="D394" s="73" t="s">
        <v>959</v>
      </c>
      <c r="E394" s="77" t="s">
        <v>103</v>
      </c>
      <c r="F394" s="75" t="s">
        <v>2218</v>
      </c>
      <c r="G394" s="74" t="s">
        <v>388</v>
      </c>
      <c r="H394" s="69"/>
      <c r="P394" s="69">
        <f t="shared" si="6"/>
        <v>0</v>
      </c>
      <c r="Q394" s="69" cm="1">
        <f t="array" ref="Q394">IF(P394=1,IF(SUMPRODUCT(($P$2:P394)*(--($G$2:G394=$G394)))=1,1,0),0)</f>
        <v>0</v>
      </c>
      <c r="R394" s="69" t="str">
        <f>IF(Q394=1,SUM($Q$2:Q394),"")</f>
        <v/>
      </c>
    </row>
    <row r="395" spans="1:18" ht="16" x14ac:dyDescent="0.2">
      <c r="A395" s="72"/>
      <c r="B395" s="76"/>
      <c r="C395" s="73"/>
      <c r="D395" s="73" t="s">
        <v>959</v>
      </c>
      <c r="E395" s="77" t="s">
        <v>103</v>
      </c>
      <c r="F395" s="75" t="s">
        <v>2219</v>
      </c>
      <c r="G395" s="74" t="s">
        <v>388</v>
      </c>
      <c r="H395" s="69"/>
      <c r="P395" s="69">
        <f t="shared" si="6"/>
        <v>0</v>
      </c>
      <c r="Q395" s="69" cm="1">
        <f t="array" ref="Q395">IF(P395=1,IF(SUMPRODUCT(($P$2:P395)*(--($G$2:G395=$G395)))=1,1,0),0)</f>
        <v>0</v>
      </c>
      <c r="R395" s="69" t="str">
        <f>IF(Q395=1,SUM($Q$2:Q395),"")</f>
        <v/>
      </c>
    </row>
    <row r="396" spans="1:18" ht="16" x14ac:dyDescent="0.2">
      <c r="A396" s="72"/>
      <c r="B396" s="76"/>
      <c r="C396" s="73"/>
      <c r="D396" s="73" t="s">
        <v>959</v>
      </c>
      <c r="E396" s="77" t="s">
        <v>103</v>
      </c>
      <c r="F396" s="75" t="s">
        <v>2225</v>
      </c>
      <c r="G396" s="74" t="s">
        <v>388</v>
      </c>
      <c r="H396" s="69"/>
      <c r="P396" s="69">
        <f t="shared" si="6"/>
        <v>0</v>
      </c>
      <c r="Q396" s="69" cm="1">
        <f t="array" ref="Q396">IF(P396=1,IF(SUMPRODUCT(($P$2:P396)*(--($G$2:G396=$G396)))=1,1,0),0)</f>
        <v>0</v>
      </c>
      <c r="R396" s="69" t="str">
        <f>IF(Q396=1,SUM($Q$2:Q396),"")</f>
        <v/>
      </c>
    </row>
    <row r="397" spans="1:18" ht="16" x14ac:dyDescent="0.2">
      <c r="A397" s="72"/>
      <c r="B397" s="76"/>
      <c r="C397" s="73"/>
      <c r="D397" s="73" t="s">
        <v>959</v>
      </c>
      <c r="E397" s="77" t="s">
        <v>103</v>
      </c>
      <c r="F397" s="75" t="s">
        <v>2226</v>
      </c>
      <c r="G397" s="74" t="s">
        <v>388</v>
      </c>
      <c r="H397" s="69"/>
      <c r="P397" s="69">
        <f t="shared" si="6"/>
        <v>0</v>
      </c>
      <c r="Q397" s="69" cm="1">
        <f t="array" ref="Q397">IF(P397=1,IF(SUMPRODUCT(($P$2:P397)*(--($G$2:G397=$G397)))=1,1,0),0)</f>
        <v>0</v>
      </c>
      <c r="R397" s="69" t="str">
        <f>IF(Q397=1,SUM($Q$2:Q397),"")</f>
        <v/>
      </c>
    </row>
    <row r="398" spans="1:18" ht="16" x14ac:dyDescent="0.2">
      <c r="A398" s="72"/>
      <c r="B398" s="76"/>
      <c r="C398" s="73"/>
      <c r="D398" s="73" t="s">
        <v>959</v>
      </c>
      <c r="E398" s="77" t="s">
        <v>103</v>
      </c>
      <c r="F398" s="75" t="s">
        <v>2227</v>
      </c>
      <c r="G398" s="74" t="s">
        <v>388</v>
      </c>
      <c r="H398" s="69"/>
      <c r="P398" s="69">
        <f t="shared" si="6"/>
        <v>0</v>
      </c>
      <c r="Q398" s="69" cm="1">
        <f t="array" ref="Q398">IF(P398=1,IF(SUMPRODUCT(($P$2:P398)*(--($G$2:G398=$G398)))=1,1,0),0)</f>
        <v>0</v>
      </c>
      <c r="R398" s="69" t="str">
        <f>IF(Q398=1,SUM($Q$2:Q398),"")</f>
        <v/>
      </c>
    </row>
    <row r="399" spans="1:18" ht="16" x14ac:dyDescent="0.2">
      <c r="A399" s="72"/>
      <c r="B399" s="76"/>
      <c r="C399" s="73"/>
      <c r="D399" s="73" t="s">
        <v>959</v>
      </c>
      <c r="E399" s="77" t="s">
        <v>103</v>
      </c>
      <c r="F399" s="75" t="s">
        <v>2228</v>
      </c>
      <c r="G399" s="74" t="s">
        <v>388</v>
      </c>
      <c r="H399" s="69"/>
      <c r="P399" s="69">
        <f t="shared" si="6"/>
        <v>0</v>
      </c>
      <c r="Q399" s="69" cm="1">
        <f t="array" ref="Q399">IF(P399=1,IF(SUMPRODUCT(($P$2:P399)*(--($G$2:G399=$G399)))=1,1,0),0)</f>
        <v>0</v>
      </c>
      <c r="R399" s="69" t="str">
        <f>IF(Q399=1,SUM($Q$2:Q399),"")</f>
        <v/>
      </c>
    </row>
    <row r="400" spans="1:18" x14ac:dyDescent="0.2">
      <c r="A400" s="72"/>
      <c r="B400" s="76"/>
      <c r="C400" s="73"/>
      <c r="D400" s="73" t="s">
        <v>959</v>
      </c>
      <c r="E400" s="77" t="s">
        <v>110</v>
      </c>
      <c r="F400" s="75" t="s">
        <v>2080</v>
      </c>
      <c r="G400" s="75" t="s">
        <v>1129</v>
      </c>
      <c r="H400" s="69"/>
      <c r="P400" s="69">
        <f t="shared" si="6"/>
        <v>0</v>
      </c>
      <c r="Q400" s="69" cm="1">
        <f t="array" ref="Q400">IF(P400=1,IF(SUMPRODUCT(($P$2:P400)*(--($G$2:G400=$G400)))=1,1,0),0)</f>
        <v>0</v>
      </c>
      <c r="R400" s="69" t="str">
        <f>IF(Q400=1,SUM($Q$2:Q400),"")</f>
        <v/>
      </c>
    </row>
    <row r="401" spans="1:18" x14ac:dyDescent="0.2">
      <c r="A401" s="72"/>
      <c r="B401" s="76"/>
      <c r="C401" s="73"/>
      <c r="D401" s="73" t="s">
        <v>959</v>
      </c>
      <c r="E401" s="77" t="s">
        <v>990</v>
      </c>
      <c r="F401" s="75" t="s">
        <v>2080</v>
      </c>
      <c r="G401" s="75" t="s">
        <v>1129</v>
      </c>
      <c r="H401" s="69"/>
      <c r="P401" s="69">
        <f t="shared" si="6"/>
        <v>0</v>
      </c>
      <c r="Q401" s="69" cm="1">
        <f t="array" ref="Q401">IF(P401=1,IF(SUMPRODUCT(($P$2:P401)*(--($G$2:G401=$G401)))=1,1,0),0)</f>
        <v>0</v>
      </c>
      <c r="R401" s="69" t="str">
        <f>IF(Q401=1,SUM($Q$2:Q401),"")</f>
        <v/>
      </c>
    </row>
    <row r="402" spans="1:18" x14ac:dyDescent="0.2">
      <c r="A402" s="72"/>
      <c r="B402" s="76"/>
      <c r="C402" s="73"/>
      <c r="D402" s="73" t="s">
        <v>959</v>
      </c>
      <c r="E402" s="77" t="s">
        <v>117</v>
      </c>
      <c r="F402" s="75" t="s">
        <v>2080</v>
      </c>
      <c r="G402" s="75" t="s">
        <v>1129</v>
      </c>
      <c r="H402" s="69"/>
      <c r="P402" s="69">
        <f t="shared" si="6"/>
        <v>0</v>
      </c>
      <c r="Q402" s="69" cm="1">
        <f t="array" ref="Q402">IF(P402=1,IF(SUMPRODUCT(($P$2:P402)*(--($G$2:G402=$G402)))=1,1,0),0)</f>
        <v>0</v>
      </c>
      <c r="R402" s="69" t="str">
        <f>IF(Q402=1,SUM($Q$2:Q402),"")</f>
        <v/>
      </c>
    </row>
    <row r="403" spans="1:18" x14ac:dyDescent="0.2">
      <c r="A403" s="72"/>
      <c r="B403" s="76"/>
      <c r="C403" s="73"/>
      <c r="D403" s="73" t="s">
        <v>959</v>
      </c>
      <c r="E403" s="77" t="s">
        <v>110</v>
      </c>
      <c r="F403" s="75" t="s">
        <v>2217</v>
      </c>
      <c r="G403" s="75" t="s">
        <v>1129</v>
      </c>
      <c r="H403" s="69"/>
      <c r="P403" s="69">
        <f t="shared" si="6"/>
        <v>0</v>
      </c>
      <c r="Q403" s="69" cm="1">
        <f t="array" ref="Q403">IF(P403=1,IF(SUMPRODUCT(($P$2:P403)*(--($G$2:G403=$G403)))=1,1,0),0)</f>
        <v>0</v>
      </c>
      <c r="R403" s="69" t="str">
        <f>IF(Q403=1,SUM($Q$2:Q403),"")</f>
        <v/>
      </c>
    </row>
    <row r="404" spans="1:18" x14ac:dyDescent="0.2">
      <c r="A404" s="72"/>
      <c r="B404" s="76"/>
      <c r="C404" s="73"/>
      <c r="D404" s="73" t="s">
        <v>959</v>
      </c>
      <c r="E404" s="77" t="s">
        <v>990</v>
      </c>
      <c r="F404" s="75" t="s">
        <v>2217</v>
      </c>
      <c r="G404" s="75" t="s">
        <v>1129</v>
      </c>
      <c r="H404" s="69"/>
      <c r="P404" s="69">
        <f t="shared" si="6"/>
        <v>0</v>
      </c>
      <c r="Q404" s="69" cm="1">
        <f t="array" ref="Q404">IF(P404=1,IF(SUMPRODUCT(($P$2:P404)*(--($G$2:G404=$G404)))=1,1,0),0)</f>
        <v>0</v>
      </c>
      <c r="R404" s="69" t="str">
        <f>IF(Q404=1,SUM($Q$2:Q404),"")</f>
        <v/>
      </c>
    </row>
    <row r="405" spans="1:18" x14ac:dyDescent="0.2">
      <c r="A405" s="72"/>
      <c r="B405" s="76"/>
      <c r="C405" s="73"/>
      <c r="D405" s="73" t="s">
        <v>959</v>
      </c>
      <c r="E405" s="77" t="s">
        <v>117</v>
      </c>
      <c r="F405" s="75" t="s">
        <v>2217</v>
      </c>
      <c r="G405" s="75" t="s">
        <v>1129</v>
      </c>
      <c r="H405" s="69"/>
      <c r="P405" s="69">
        <f t="shared" si="6"/>
        <v>0</v>
      </c>
      <c r="Q405" s="69" cm="1">
        <f t="array" ref="Q405">IF(P405=1,IF(SUMPRODUCT(($P$2:P405)*(--($G$2:G405=$G405)))=1,1,0),0)</f>
        <v>0</v>
      </c>
      <c r="R405" s="69" t="str">
        <f>IF(Q405=1,SUM($Q$2:Q405),"")</f>
        <v/>
      </c>
    </row>
    <row r="406" spans="1:18" x14ac:dyDescent="0.2">
      <c r="A406" s="72"/>
      <c r="B406" s="76"/>
      <c r="C406" s="73"/>
      <c r="D406" s="73" t="s">
        <v>959</v>
      </c>
      <c r="E406" s="77" t="s">
        <v>110</v>
      </c>
      <c r="F406" s="75" t="s">
        <v>2218</v>
      </c>
      <c r="G406" s="75" t="s">
        <v>1129</v>
      </c>
      <c r="H406" s="69"/>
      <c r="P406" s="69">
        <f t="shared" si="6"/>
        <v>0</v>
      </c>
      <c r="Q406" s="69" cm="1">
        <f t="array" ref="Q406">IF(P406=1,IF(SUMPRODUCT(($P$2:P406)*(--($G$2:G406=$G406)))=1,1,0),0)</f>
        <v>0</v>
      </c>
      <c r="R406" s="69" t="str">
        <f>IF(Q406=1,SUM($Q$2:Q406),"")</f>
        <v/>
      </c>
    </row>
    <row r="407" spans="1:18" x14ac:dyDescent="0.2">
      <c r="A407" s="72"/>
      <c r="B407" s="76"/>
      <c r="C407" s="73"/>
      <c r="D407" s="73" t="s">
        <v>959</v>
      </c>
      <c r="E407" s="77" t="s">
        <v>990</v>
      </c>
      <c r="F407" s="75" t="s">
        <v>2218</v>
      </c>
      <c r="G407" s="75" t="s">
        <v>1129</v>
      </c>
      <c r="H407" s="69"/>
      <c r="P407" s="69">
        <f t="shared" si="6"/>
        <v>0</v>
      </c>
      <c r="Q407" s="69" cm="1">
        <f t="array" ref="Q407">IF(P407=1,IF(SUMPRODUCT(($P$2:P407)*(--($G$2:G407=$G407)))=1,1,0),0)</f>
        <v>0</v>
      </c>
      <c r="R407" s="69" t="str">
        <f>IF(Q407=1,SUM($Q$2:Q407),"")</f>
        <v/>
      </c>
    </row>
    <row r="408" spans="1:18" x14ac:dyDescent="0.2">
      <c r="A408" s="72"/>
      <c r="B408" s="76"/>
      <c r="C408" s="73"/>
      <c r="D408" s="73" t="s">
        <v>959</v>
      </c>
      <c r="E408" s="77" t="s">
        <v>117</v>
      </c>
      <c r="F408" s="75" t="s">
        <v>2218</v>
      </c>
      <c r="G408" s="75" t="s">
        <v>1129</v>
      </c>
      <c r="H408" s="69"/>
      <c r="P408" s="69">
        <f t="shared" si="6"/>
        <v>0</v>
      </c>
      <c r="Q408" s="69" cm="1">
        <f t="array" ref="Q408">IF(P408=1,IF(SUMPRODUCT(($P$2:P408)*(--($G$2:G408=$G408)))=1,1,0),0)</f>
        <v>0</v>
      </c>
      <c r="R408" s="69" t="str">
        <f>IF(Q408=1,SUM($Q$2:Q408),"")</f>
        <v/>
      </c>
    </row>
    <row r="409" spans="1:18" x14ac:dyDescent="0.2">
      <c r="A409" s="72"/>
      <c r="B409" s="76"/>
      <c r="C409" s="73"/>
      <c r="D409" s="73" t="s">
        <v>959</v>
      </c>
      <c r="E409" s="77" t="s">
        <v>110</v>
      </c>
      <c r="F409" s="75" t="s">
        <v>2219</v>
      </c>
      <c r="G409" s="75" t="s">
        <v>1129</v>
      </c>
      <c r="H409" s="69"/>
      <c r="P409" s="69">
        <f t="shared" si="6"/>
        <v>0</v>
      </c>
      <c r="Q409" s="69" cm="1">
        <f t="array" ref="Q409">IF(P409=1,IF(SUMPRODUCT(($P$2:P409)*(--($G$2:G409=$G409)))=1,1,0),0)</f>
        <v>0</v>
      </c>
      <c r="R409" s="69" t="str">
        <f>IF(Q409=1,SUM($Q$2:Q409),"")</f>
        <v/>
      </c>
    </row>
    <row r="410" spans="1:18" x14ac:dyDescent="0.2">
      <c r="A410" s="72"/>
      <c r="B410" s="76"/>
      <c r="C410" s="73"/>
      <c r="D410" s="73" t="s">
        <v>959</v>
      </c>
      <c r="E410" s="77" t="s">
        <v>990</v>
      </c>
      <c r="F410" s="75" t="s">
        <v>2219</v>
      </c>
      <c r="G410" s="75" t="s">
        <v>1129</v>
      </c>
      <c r="H410" s="69"/>
      <c r="P410" s="69">
        <f t="shared" si="6"/>
        <v>0</v>
      </c>
      <c r="Q410" s="69" cm="1">
        <f t="array" ref="Q410">IF(P410=1,IF(SUMPRODUCT(($P$2:P410)*(--($G$2:G410=$G410)))=1,1,0),0)</f>
        <v>0</v>
      </c>
      <c r="R410" s="69" t="str">
        <f>IF(Q410=1,SUM($Q$2:Q410),"")</f>
        <v/>
      </c>
    </row>
    <row r="411" spans="1:18" x14ac:dyDescent="0.2">
      <c r="A411" s="72"/>
      <c r="B411" s="76"/>
      <c r="C411" s="73"/>
      <c r="D411" s="73" t="s">
        <v>959</v>
      </c>
      <c r="E411" s="77" t="s">
        <v>117</v>
      </c>
      <c r="F411" s="75" t="s">
        <v>2219</v>
      </c>
      <c r="G411" s="75" t="s">
        <v>1129</v>
      </c>
      <c r="H411" s="69"/>
      <c r="P411" s="69">
        <f t="shared" si="6"/>
        <v>0</v>
      </c>
      <c r="Q411" s="69" cm="1">
        <f t="array" ref="Q411">IF(P411=1,IF(SUMPRODUCT(($P$2:P411)*(--($G$2:G411=$G411)))=1,1,0),0)</f>
        <v>0</v>
      </c>
      <c r="R411" s="69" t="str">
        <f>IF(Q411=1,SUM($Q$2:Q411),"")</f>
        <v/>
      </c>
    </row>
    <row r="412" spans="1:18" x14ac:dyDescent="0.2">
      <c r="A412" s="72"/>
      <c r="B412" s="76"/>
      <c r="C412" s="73"/>
      <c r="D412" s="73" t="s">
        <v>959</v>
      </c>
      <c r="E412" s="77" t="s">
        <v>110</v>
      </c>
      <c r="F412" s="75" t="s">
        <v>2225</v>
      </c>
      <c r="G412" s="75" t="s">
        <v>1122</v>
      </c>
      <c r="H412" s="69"/>
      <c r="P412" s="69">
        <f t="shared" si="6"/>
        <v>0</v>
      </c>
      <c r="Q412" s="69" cm="1">
        <f t="array" ref="Q412">IF(P412=1,IF(SUMPRODUCT(($P$2:P412)*(--($G$2:G412=$G412)))=1,1,0),0)</f>
        <v>0</v>
      </c>
      <c r="R412" s="69" t="str">
        <f>IF(Q412=1,SUM($Q$2:Q412),"")</f>
        <v/>
      </c>
    </row>
    <row r="413" spans="1:18" x14ac:dyDescent="0.2">
      <c r="A413" s="72"/>
      <c r="B413" s="76"/>
      <c r="C413" s="73"/>
      <c r="D413" s="73" t="s">
        <v>959</v>
      </c>
      <c r="E413" s="77" t="s">
        <v>990</v>
      </c>
      <c r="F413" s="75" t="s">
        <v>2225</v>
      </c>
      <c r="G413" s="75" t="s">
        <v>1122</v>
      </c>
      <c r="H413" s="69"/>
      <c r="P413" s="69">
        <f t="shared" si="6"/>
        <v>0</v>
      </c>
      <c r="Q413" s="69" cm="1">
        <f t="array" ref="Q413">IF(P413=1,IF(SUMPRODUCT(($P$2:P413)*(--($G$2:G413=$G413)))=1,1,0),0)</f>
        <v>0</v>
      </c>
      <c r="R413" s="69" t="str">
        <f>IF(Q413=1,SUM($Q$2:Q413),"")</f>
        <v/>
      </c>
    </row>
    <row r="414" spans="1:18" x14ac:dyDescent="0.2">
      <c r="A414" s="72"/>
      <c r="B414" s="76"/>
      <c r="C414" s="73"/>
      <c r="D414" s="73" t="s">
        <v>959</v>
      </c>
      <c r="E414" s="77" t="s">
        <v>110</v>
      </c>
      <c r="F414" s="75" t="s">
        <v>1526</v>
      </c>
      <c r="G414" s="75" t="s">
        <v>1122</v>
      </c>
      <c r="H414" s="69"/>
      <c r="P414" s="69">
        <f t="shared" si="6"/>
        <v>0</v>
      </c>
      <c r="Q414" s="69" cm="1">
        <f t="array" ref="Q414">IF(P414=1,IF(SUMPRODUCT(($P$2:P414)*(--($G$2:G414=$G414)))=1,1,0),0)</f>
        <v>0</v>
      </c>
      <c r="R414" s="69" t="str">
        <f>IF(Q414=1,SUM($Q$2:Q414),"")</f>
        <v/>
      </c>
    </row>
    <row r="415" spans="1:18" x14ac:dyDescent="0.2">
      <c r="A415" s="72"/>
      <c r="B415" s="76"/>
      <c r="C415" s="73"/>
      <c r="D415" s="73" t="s">
        <v>959</v>
      </c>
      <c r="E415" s="77" t="s">
        <v>990</v>
      </c>
      <c r="F415" s="75" t="s">
        <v>1526</v>
      </c>
      <c r="G415" s="75" t="s">
        <v>1122</v>
      </c>
      <c r="H415" s="69"/>
      <c r="P415" s="69">
        <f t="shared" si="6"/>
        <v>0</v>
      </c>
      <c r="Q415" s="69" cm="1">
        <f t="array" ref="Q415">IF(P415=1,IF(SUMPRODUCT(($P$2:P415)*(--($G$2:G415=$G415)))=1,1,0),0)</f>
        <v>0</v>
      </c>
      <c r="R415" s="69" t="str">
        <f>IF(Q415=1,SUM($Q$2:Q415),"")</f>
        <v/>
      </c>
    </row>
    <row r="416" spans="1:18" x14ac:dyDescent="0.2">
      <c r="A416" s="72"/>
      <c r="B416" s="76"/>
      <c r="C416" s="73"/>
      <c r="D416" s="73" t="s">
        <v>959</v>
      </c>
      <c r="E416" s="77" t="s">
        <v>110</v>
      </c>
      <c r="F416" s="75" t="s">
        <v>2225</v>
      </c>
      <c r="G416" s="75" t="s">
        <v>1122</v>
      </c>
      <c r="H416" s="69"/>
      <c r="P416" s="69">
        <f t="shared" si="6"/>
        <v>0</v>
      </c>
      <c r="Q416" s="69" cm="1">
        <f t="array" ref="Q416">IF(P416=1,IF(SUMPRODUCT(($P$2:P416)*(--($G$2:G416=$G416)))=1,1,0),0)</f>
        <v>0</v>
      </c>
      <c r="R416" s="69" t="str">
        <f>IF(Q416=1,SUM($Q$2:Q416),"")</f>
        <v/>
      </c>
    </row>
    <row r="417" spans="1:18" x14ac:dyDescent="0.2">
      <c r="A417" s="72"/>
      <c r="B417" s="76"/>
      <c r="C417" s="73"/>
      <c r="D417" s="73" t="s">
        <v>959</v>
      </c>
      <c r="E417" s="77" t="s">
        <v>990</v>
      </c>
      <c r="F417" s="75" t="s">
        <v>2225</v>
      </c>
      <c r="G417" s="75" t="s">
        <v>1122</v>
      </c>
      <c r="H417" s="69"/>
      <c r="P417" s="69">
        <f t="shared" si="6"/>
        <v>0</v>
      </c>
      <c r="Q417" s="69" cm="1">
        <f t="array" ref="Q417">IF(P417=1,IF(SUMPRODUCT(($P$2:P417)*(--($G$2:G417=$G417)))=1,1,0),0)</f>
        <v>0</v>
      </c>
      <c r="R417" s="69" t="str">
        <f>IF(Q417=1,SUM($Q$2:Q417),"")</f>
        <v/>
      </c>
    </row>
    <row r="418" spans="1:18" x14ac:dyDescent="0.2">
      <c r="A418" s="72"/>
      <c r="B418" s="76"/>
      <c r="C418" s="73"/>
      <c r="D418" s="73" t="s">
        <v>959</v>
      </c>
      <c r="E418" s="77" t="s">
        <v>110</v>
      </c>
      <c r="F418" s="75" t="s">
        <v>1526</v>
      </c>
      <c r="G418" s="75" t="s">
        <v>1122</v>
      </c>
      <c r="H418" s="69"/>
      <c r="P418" s="69">
        <f t="shared" si="6"/>
        <v>0</v>
      </c>
      <c r="Q418" s="69" cm="1">
        <f t="array" ref="Q418">IF(P418=1,IF(SUMPRODUCT(($P$2:P418)*(--($G$2:G418=$G418)))=1,1,0),0)</f>
        <v>0</v>
      </c>
      <c r="R418" s="69" t="str">
        <f>IF(Q418=1,SUM($Q$2:Q418),"")</f>
        <v/>
      </c>
    </row>
    <row r="419" spans="1:18" x14ac:dyDescent="0.2">
      <c r="A419" s="72"/>
      <c r="B419" s="76"/>
      <c r="C419" s="73"/>
      <c r="D419" s="73" t="s">
        <v>959</v>
      </c>
      <c r="E419" s="77" t="s">
        <v>990</v>
      </c>
      <c r="F419" s="75" t="s">
        <v>1526</v>
      </c>
      <c r="G419" s="75" t="s">
        <v>1122</v>
      </c>
      <c r="H419" s="69"/>
      <c r="P419" s="69">
        <f t="shared" si="6"/>
        <v>0</v>
      </c>
      <c r="Q419" s="69" cm="1">
        <f t="array" ref="Q419">IF(P419=1,IF(SUMPRODUCT(($P$2:P419)*(--($G$2:G419=$G419)))=1,1,0),0)</f>
        <v>0</v>
      </c>
      <c r="R419" s="69" t="str">
        <f>IF(Q419=1,SUM($Q$2:Q419),"")</f>
        <v/>
      </c>
    </row>
    <row r="420" spans="1:18" x14ac:dyDescent="0.2">
      <c r="A420" s="72"/>
      <c r="B420" s="76"/>
      <c r="C420" s="73"/>
      <c r="D420" s="73" t="s">
        <v>959</v>
      </c>
      <c r="E420" s="77" t="s">
        <v>103</v>
      </c>
      <c r="F420" s="75" t="s">
        <v>2220</v>
      </c>
      <c r="G420" s="75" t="s">
        <v>1125</v>
      </c>
      <c r="H420" s="69"/>
      <c r="P420" s="69">
        <f t="shared" si="6"/>
        <v>0</v>
      </c>
      <c r="Q420" s="69" cm="1">
        <f t="array" ref="Q420">IF(P420=1,IF(SUMPRODUCT(($P$2:P420)*(--($G$2:G420=$G420)))=1,1,0),0)</f>
        <v>0</v>
      </c>
      <c r="R420" s="69" t="str">
        <f>IF(Q420=1,SUM($Q$2:Q420),"")</f>
        <v/>
      </c>
    </row>
    <row r="421" spans="1:18" x14ac:dyDescent="0.2">
      <c r="A421" s="72"/>
      <c r="B421" s="76"/>
      <c r="C421" s="73"/>
      <c r="D421" s="73" t="s">
        <v>959</v>
      </c>
      <c r="E421" s="77" t="s">
        <v>103</v>
      </c>
      <c r="F421" s="75" t="s">
        <v>2229</v>
      </c>
      <c r="G421" s="75" t="s">
        <v>1125</v>
      </c>
      <c r="H421" s="69"/>
      <c r="P421" s="69">
        <f t="shared" si="6"/>
        <v>0</v>
      </c>
      <c r="Q421" s="69" cm="1">
        <f t="array" ref="Q421">IF(P421=1,IF(SUMPRODUCT(($P$2:P421)*(--($G$2:G421=$G421)))=1,1,0),0)</f>
        <v>0</v>
      </c>
      <c r="R421" s="69" t="str">
        <f>IF(Q421=1,SUM($Q$2:Q421),"")</f>
        <v/>
      </c>
    </row>
    <row r="422" spans="1:18" x14ac:dyDescent="0.2">
      <c r="A422" s="72"/>
      <c r="B422" s="76"/>
      <c r="C422" s="73"/>
      <c r="D422" s="73" t="s">
        <v>959</v>
      </c>
      <c r="E422" s="77" t="s">
        <v>103</v>
      </c>
      <c r="F422" s="75" t="s">
        <v>2230</v>
      </c>
      <c r="G422" s="75" t="s">
        <v>1125</v>
      </c>
      <c r="H422" s="69"/>
      <c r="P422" s="69">
        <f t="shared" si="6"/>
        <v>0</v>
      </c>
      <c r="Q422" s="69" cm="1">
        <f t="array" ref="Q422">IF(P422=1,IF(SUMPRODUCT(($P$2:P422)*(--($G$2:G422=$G422)))=1,1,0),0)</f>
        <v>0</v>
      </c>
      <c r="R422" s="69" t="str">
        <f>IF(Q422=1,SUM($Q$2:Q422),"")</f>
        <v/>
      </c>
    </row>
    <row r="423" spans="1:18" x14ac:dyDescent="0.2">
      <c r="A423" s="72"/>
      <c r="B423" s="76"/>
      <c r="C423" s="73"/>
      <c r="D423" s="73" t="s">
        <v>959</v>
      </c>
      <c r="E423" s="77" t="s">
        <v>94</v>
      </c>
      <c r="F423" s="75" t="s">
        <v>2220</v>
      </c>
      <c r="G423" s="75" t="s">
        <v>1126</v>
      </c>
      <c r="H423" s="69"/>
      <c r="P423" s="69">
        <f t="shared" si="6"/>
        <v>0</v>
      </c>
      <c r="Q423" s="69" cm="1">
        <f t="array" ref="Q423">IF(P423=1,IF(SUMPRODUCT(($P$2:P423)*(--($G$2:G423=$G423)))=1,1,0),0)</f>
        <v>0</v>
      </c>
      <c r="R423" s="69" t="str">
        <f>IF(Q423=1,SUM($Q$2:Q423),"")</f>
        <v/>
      </c>
    </row>
    <row r="424" spans="1:18" x14ac:dyDescent="0.2">
      <c r="A424" s="72"/>
      <c r="B424" s="76"/>
      <c r="C424" s="73"/>
      <c r="D424" s="73" t="s">
        <v>959</v>
      </c>
      <c r="E424" s="77" t="s">
        <v>94</v>
      </c>
      <c r="F424" s="75" t="s">
        <v>2221</v>
      </c>
      <c r="G424" s="75" t="s">
        <v>1126</v>
      </c>
      <c r="H424" s="69"/>
      <c r="P424" s="69">
        <f t="shared" si="6"/>
        <v>0</v>
      </c>
      <c r="Q424" s="69" cm="1">
        <f t="array" ref="Q424">IF(P424=1,IF(SUMPRODUCT(($P$2:P424)*(--($G$2:G424=$G424)))=1,1,0),0)</f>
        <v>0</v>
      </c>
      <c r="R424" s="69" t="str">
        <f>IF(Q424=1,SUM($Q$2:Q424),"")</f>
        <v/>
      </c>
    </row>
    <row r="425" spans="1:18" x14ac:dyDescent="0.2">
      <c r="A425" s="72"/>
      <c r="B425" s="76"/>
      <c r="C425" s="73"/>
      <c r="D425" s="73" t="s">
        <v>959</v>
      </c>
      <c r="E425" s="77" t="s">
        <v>94</v>
      </c>
      <c r="F425" s="75" t="s">
        <v>2231</v>
      </c>
      <c r="G425" s="75" t="s">
        <v>1126</v>
      </c>
      <c r="H425" s="69"/>
      <c r="P425" s="69">
        <f t="shared" si="6"/>
        <v>0</v>
      </c>
      <c r="Q425" s="69" cm="1">
        <f t="array" ref="Q425">IF(P425=1,IF(SUMPRODUCT(($P$2:P425)*(--($G$2:G425=$G425)))=1,1,0),0)</f>
        <v>0</v>
      </c>
      <c r="R425" s="69" t="str">
        <f>IF(Q425=1,SUM($Q$2:Q425),"")</f>
        <v/>
      </c>
    </row>
    <row r="426" spans="1:18" x14ac:dyDescent="0.2">
      <c r="A426" s="72"/>
      <c r="B426" s="76"/>
      <c r="C426" s="73"/>
      <c r="D426" s="73" t="s">
        <v>959</v>
      </c>
      <c r="E426" s="77" t="s">
        <v>135</v>
      </c>
      <c r="F426" s="75" t="s">
        <v>2220</v>
      </c>
      <c r="G426" s="75" t="s">
        <v>1126</v>
      </c>
      <c r="H426" s="69"/>
      <c r="P426" s="69">
        <f t="shared" si="6"/>
        <v>0</v>
      </c>
      <c r="Q426" s="69" cm="1">
        <f t="array" ref="Q426">IF(P426=1,IF(SUMPRODUCT(($P$2:P426)*(--($G$2:G426=$G426)))=1,1,0),0)</f>
        <v>0</v>
      </c>
      <c r="R426" s="69" t="str">
        <f>IF(Q426=1,SUM($Q$2:Q426),"")</f>
        <v/>
      </c>
    </row>
    <row r="427" spans="1:18" x14ac:dyDescent="0.2">
      <c r="A427" s="72"/>
      <c r="B427" s="76"/>
      <c r="C427" s="73"/>
      <c r="D427" s="73" t="s">
        <v>959</v>
      </c>
      <c r="E427" s="77" t="s">
        <v>135</v>
      </c>
      <c r="F427" s="75" t="s">
        <v>2221</v>
      </c>
      <c r="G427" s="75" t="s">
        <v>1126</v>
      </c>
      <c r="H427" s="69"/>
      <c r="P427" s="69">
        <f t="shared" si="6"/>
        <v>0</v>
      </c>
      <c r="Q427" s="69" cm="1">
        <f t="array" ref="Q427">IF(P427=1,IF(SUMPRODUCT(($P$2:P427)*(--($G$2:G427=$G427)))=1,1,0),0)</f>
        <v>0</v>
      </c>
      <c r="R427" s="69" t="str">
        <f>IF(Q427=1,SUM($Q$2:Q427),"")</f>
        <v/>
      </c>
    </row>
    <row r="428" spans="1:18" x14ac:dyDescent="0.2">
      <c r="A428" s="72"/>
      <c r="B428" s="76"/>
      <c r="C428" s="73"/>
      <c r="D428" s="73" t="s">
        <v>959</v>
      </c>
      <c r="E428" s="77" t="s">
        <v>135</v>
      </c>
      <c r="F428" s="75" t="s">
        <v>2231</v>
      </c>
      <c r="G428" s="75" t="s">
        <v>1126</v>
      </c>
      <c r="H428" s="69"/>
      <c r="P428" s="69">
        <f t="shared" si="6"/>
        <v>0</v>
      </c>
      <c r="Q428" s="69" cm="1">
        <f t="array" ref="Q428">IF(P428=1,IF(SUMPRODUCT(($P$2:P428)*(--($G$2:G428=$G428)))=1,1,0),0)</f>
        <v>0</v>
      </c>
      <c r="R428" s="69" t="str">
        <f>IF(Q428=1,SUM($Q$2:Q428),"")</f>
        <v/>
      </c>
    </row>
    <row r="429" spans="1:18" ht="16" x14ac:dyDescent="0.2">
      <c r="A429" s="72"/>
      <c r="B429" s="76"/>
      <c r="C429" s="73"/>
      <c r="D429" s="73" t="s">
        <v>959</v>
      </c>
      <c r="E429" s="77" t="s">
        <v>110</v>
      </c>
      <c r="F429" s="75" t="s">
        <v>2225</v>
      </c>
      <c r="G429" s="74" t="s">
        <v>1122</v>
      </c>
      <c r="H429" s="69"/>
      <c r="P429" s="69">
        <f t="shared" si="6"/>
        <v>0</v>
      </c>
      <c r="Q429" s="69" cm="1">
        <f t="array" ref="Q429">IF(P429=1,IF(SUMPRODUCT(($P$2:P429)*(--($G$2:G429=$G429)))=1,1,0),0)</f>
        <v>0</v>
      </c>
      <c r="R429" s="69" t="str">
        <f>IF(Q429=1,SUM($Q$2:Q429),"")</f>
        <v/>
      </c>
    </row>
    <row r="430" spans="1:18" ht="16" x14ac:dyDescent="0.2">
      <c r="A430" s="72"/>
      <c r="B430" s="76"/>
      <c r="C430" s="73"/>
      <c r="D430" s="73" t="s">
        <v>959</v>
      </c>
      <c r="E430" s="77" t="s">
        <v>990</v>
      </c>
      <c r="F430" s="75" t="s">
        <v>2225</v>
      </c>
      <c r="G430" s="74" t="s">
        <v>1122</v>
      </c>
      <c r="H430" s="69"/>
      <c r="P430" s="69">
        <f t="shared" si="6"/>
        <v>0</v>
      </c>
      <c r="Q430" s="69" cm="1">
        <f t="array" ref="Q430">IF(P430=1,IF(SUMPRODUCT(($P$2:P430)*(--($G$2:G430=$G430)))=1,1,0),0)</f>
        <v>0</v>
      </c>
      <c r="R430" s="69" t="str">
        <f>IF(Q430=1,SUM($Q$2:Q430),"")</f>
        <v/>
      </c>
    </row>
    <row r="431" spans="1:18" ht="16" x14ac:dyDescent="0.2">
      <c r="A431" s="72"/>
      <c r="B431" s="76"/>
      <c r="C431" s="73"/>
      <c r="D431" s="73" t="s">
        <v>959</v>
      </c>
      <c r="E431" s="77" t="s">
        <v>110</v>
      </c>
      <c r="F431" s="75" t="s">
        <v>2226</v>
      </c>
      <c r="G431" s="74" t="s">
        <v>1122</v>
      </c>
      <c r="H431" s="69"/>
      <c r="P431" s="69">
        <f t="shared" si="6"/>
        <v>0</v>
      </c>
      <c r="Q431" s="69" cm="1">
        <f t="array" ref="Q431">IF(P431=1,IF(SUMPRODUCT(($P$2:P431)*(--($G$2:G431=$G431)))=1,1,0),0)</f>
        <v>0</v>
      </c>
      <c r="R431" s="69" t="str">
        <f>IF(Q431=1,SUM($Q$2:Q431),"")</f>
        <v/>
      </c>
    </row>
    <row r="432" spans="1:18" ht="16" x14ac:dyDescent="0.2">
      <c r="A432" s="72"/>
      <c r="B432" s="76"/>
      <c r="C432" s="73"/>
      <c r="D432" s="73" t="s">
        <v>959</v>
      </c>
      <c r="E432" s="77" t="s">
        <v>990</v>
      </c>
      <c r="F432" s="75" t="s">
        <v>2226</v>
      </c>
      <c r="G432" s="74" t="s">
        <v>1122</v>
      </c>
      <c r="H432" s="69"/>
      <c r="P432" s="69">
        <f t="shared" si="6"/>
        <v>0</v>
      </c>
      <c r="Q432" s="69" cm="1">
        <f t="array" ref="Q432">IF(P432=1,IF(SUMPRODUCT(($P$2:P432)*(--($G$2:G432=$G432)))=1,1,0),0)</f>
        <v>0</v>
      </c>
      <c r="R432" s="69" t="str">
        <f>IF(Q432=1,SUM($Q$2:Q432),"")</f>
        <v/>
      </c>
    </row>
    <row r="433" spans="1:18" ht="16" x14ac:dyDescent="0.2">
      <c r="A433" s="72"/>
      <c r="B433" s="76"/>
      <c r="C433" s="73"/>
      <c r="D433" s="73" t="s">
        <v>959</v>
      </c>
      <c r="E433" s="77" t="s">
        <v>110</v>
      </c>
      <c r="F433" s="75" t="s">
        <v>2228</v>
      </c>
      <c r="G433" s="74" t="s">
        <v>1122</v>
      </c>
      <c r="H433" s="69"/>
      <c r="P433" s="69">
        <f t="shared" si="6"/>
        <v>0</v>
      </c>
      <c r="Q433" s="69" cm="1">
        <f t="array" ref="Q433">IF(P433=1,IF(SUMPRODUCT(($P$2:P433)*(--($G$2:G433=$G433)))=1,1,0),0)</f>
        <v>0</v>
      </c>
      <c r="R433" s="69" t="str">
        <f>IF(Q433=1,SUM($Q$2:Q433),"")</f>
        <v/>
      </c>
    </row>
    <row r="434" spans="1:18" ht="16" x14ac:dyDescent="0.2">
      <c r="A434" s="72"/>
      <c r="B434" s="76"/>
      <c r="C434" s="73"/>
      <c r="D434" s="73" t="s">
        <v>959</v>
      </c>
      <c r="E434" s="77" t="s">
        <v>990</v>
      </c>
      <c r="F434" s="75" t="s">
        <v>2228</v>
      </c>
      <c r="G434" s="74" t="s">
        <v>1122</v>
      </c>
      <c r="H434" s="69"/>
      <c r="P434" s="69">
        <f t="shared" si="6"/>
        <v>0</v>
      </c>
      <c r="Q434" s="69" cm="1">
        <f t="array" ref="Q434">IF(P434=1,IF(SUMPRODUCT(($P$2:P434)*(--($G$2:G434=$G434)))=1,1,0),0)</f>
        <v>0</v>
      </c>
      <c r="R434" s="69" t="str">
        <f>IF(Q434=1,SUM($Q$2:Q434),"")</f>
        <v/>
      </c>
    </row>
    <row r="435" spans="1:18" ht="16" x14ac:dyDescent="0.2">
      <c r="A435" s="72"/>
      <c r="B435" s="76"/>
      <c r="C435" s="73"/>
      <c r="D435" s="73" t="s">
        <v>959</v>
      </c>
      <c r="E435" s="77" t="s">
        <v>103</v>
      </c>
      <c r="F435" s="75" t="s">
        <v>94</v>
      </c>
      <c r="G435" s="74" t="s">
        <v>382</v>
      </c>
      <c r="H435" s="69"/>
      <c r="P435" s="69">
        <f t="shared" si="6"/>
        <v>0</v>
      </c>
      <c r="Q435" s="69" cm="1">
        <f t="array" ref="Q435">IF(P435=1,IF(SUMPRODUCT(($P$2:P435)*(--($G$2:G435=$G435)))=1,1,0),0)</f>
        <v>0</v>
      </c>
      <c r="R435" s="69" t="str">
        <f>IF(Q435=1,SUM($Q$2:Q435),"")</f>
        <v/>
      </c>
    </row>
    <row r="436" spans="1:18" x14ac:dyDescent="0.2">
      <c r="A436" s="72"/>
      <c r="B436" s="76"/>
      <c r="C436" s="73"/>
      <c r="D436" s="73" t="s">
        <v>959</v>
      </c>
      <c r="E436" s="77" t="s">
        <v>110</v>
      </c>
      <c r="F436" s="75" t="s">
        <v>94</v>
      </c>
      <c r="G436" s="75" t="s">
        <v>1121</v>
      </c>
      <c r="H436" s="69"/>
      <c r="P436" s="69">
        <f t="shared" si="6"/>
        <v>0</v>
      </c>
      <c r="Q436" s="69" cm="1">
        <f t="array" ref="Q436">IF(P436=1,IF(SUMPRODUCT(($P$2:P436)*(--($G$2:G436=$G436)))=1,1,0),0)</f>
        <v>0</v>
      </c>
      <c r="R436" s="69" t="str">
        <f>IF(Q436=1,SUM($Q$2:Q436),"")</f>
        <v/>
      </c>
    </row>
    <row r="437" spans="1:18" ht="16" x14ac:dyDescent="0.2">
      <c r="A437" s="72"/>
      <c r="B437" s="76"/>
      <c r="C437" s="73"/>
      <c r="D437" s="73" t="s">
        <v>959</v>
      </c>
      <c r="E437" s="77" t="s">
        <v>103</v>
      </c>
      <c r="F437" s="75" t="s">
        <v>94</v>
      </c>
      <c r="G437" s="74" t="s">
        <v>382</v>
      </c>
      <c r="H437" s="69"/>
      <c r="P437" s="69">
        <f t="shared" si="6"/>
        <v>0</v>
      </c>
      <c r="Q437" s="69" cm="1">
        <f t="array" ref="Q437">IF(P437=1,IF(SUMPRODUCT(($P$2:P437)*(--($G$2:G437=$G437)))=1,1,0),0)</f>
        <v>0</v>
      </c>
      <c r="R437" s="69" t="str">
        <f>IF(Q437=1,SUM($Q$2:Q437),"")</f>
        <v/>
      </c>
    </row>
    <row r="438" spans="1:18" x14ac:dyDescent="0.2">
      <c r="A438" s="72"/>
      <c r="B438" s="76"/>
      <c r="C438" s="73"/>
      <c r="D438" s="73" t="s">
        <v>959</v>
      </c>
      <c r="E438" s="77" t="s">
        <v>110</v>
      </c>
      <c r="F438" s="75" t="s">
        <v>94</v>
      </c>
      <c r="G438" s="75" t="s">
        <v>1121</v>
      </c>
      <c r="H438" s="69"/>
      <c r="P438" s="69">
        <f t="shared" si="6"/>
        <v>0</v>
      </c>
      <c r="Q438" s="69" cm="1">
        <f t="array" ref="Q438">IF(P438=1,IF(SUMPRODUCT(($P$2:P438)*(--($G$2:G438=$G438)))=1,1,0),0)</f>
        <v>0</v>
      </c>
      <c r="R438" s="69" t="str">
        <f>IF(Q438=1,SUM($Q$2:Q438),"")</f>
        <v/>
      </c>
    </row>
    <row r="439" spans="1:18" ht="16" x14ac:dyDescent="0.2">
      <c r="A439" s="72"/>
      <c r="B439" s="84"/>
      <c r="C439" s="73"/>
      <c r="D439" s="73" t="s">
        <v>959</v>
      </c>
      <c r="E439" s="77" t="s">
        <v>103</v>
      </c>
      <c r="F439" s="75" t="s">
        <v>330</v>
      </c>
      <c r="G439" s="74" t="s">
        <v>396</v>
      </c>
      <c r="H439" s="69"/>
      <c r="P439" s="69">
        <f t="shared" si="6"/>
        <v>0</v>
      </c>
      <c r="Q439" s="69" cm="1">
        <f t="array" ref="Q439">IF(P439=1,IF(SUMPRODUCT(($P$2:P439)*(--($G$2:G439=$G439)))=1,1,0),0)</f>
        <v>0</v>
      </c>
      <c r="R439" s="69" t="str">
        <f>IF(Q439=1,SUM($Q$2:Q439),"")</f>
        <v/>
      </c>
    </row>
    <row r="440" spans="1:18" x14ac:dyDescent="0.2">
      <c r="A440" s="72"/>
      <c r="B440" s="84"/>
      <c r="C440" s="73"/>
      <c r="D440" s="73" t="s">
        <v>959</v>
      </c>
      <c r="E440" s="77" t="s">
        <v>103</v>
      </c>
      <c r="F440" s="75" t="s">
        <v>1441</v>
      </c>
      <c r="G440" s="75" t="s">
        <v>1127</v>
      </c>
      <c r="H440" s="69"/>
      <c r="P440" s="69">
        <f t="shared" si="6"/>
        <v>0</v>
      </c>
      <c r="Q440" s="69" cm="1">
        <f t="array" ref="Q440">IF(P440=1,IF(SUMPRODUCT(($P$2:P440)*(--($G$2:G440=$G440)))=1,1,0),0)</f>
        <v>0</v>
      </c>
      <c r="R440" s="69" t="str">
        <f>IF(Q440=1,SUM($Q$2:Q440),"")</f>
        <v/>
      </c>
    </row>
    <row r="441" spans="1:18" ht="16" x14ac:dyDescent="0.2">
      <c r="A441" s="72"/>
      <c r="B441" s="86"/>
      <c r="C441" s="73"/>
      <c r="D441" s="73" t="s">
        <v>965</v>
      </c>
      <c r="E441" s="77" t="s">
        <v>126</v>
      </c>
      <c r="F441" s="75" t="s">
        <v>228</v>
      </c>
      <c r="G441" s="74" t="s">
        <v>1186</v>
      </c>
      <c r="H441" s="69"/>
      <c r="P441" s="69">
        <f t="shared" si="6"/>
        <v>0</v>
      </c>
      <c r="Q441" s="69" cm="1">
        <f t="array" ref="Q441">IF(P441=1,IF(SUMPRODUCT(($P$2:P441)*(--($G$2:G441=$G441)))=1,1,0),0)</f>
        <v>0</v>
      </c>
      <c r="R441" s="69" t="str">
        <f>IF(Q441=1,SUM($Q$2:Q441),"")</f>
        <v/>
      </c>
    </row>
    <row r="442" spans="1:18" ht="16" x14ac:dyDescent="0.2">
      <c r="A442" s="72"/>
      <c r="B442" s="86"/>
      <c r="C442" s="73"/>
      <c r="D442" s="73" t="s">
        <v>965</v>
      </c>
      <c r="E442" s="77" t="s">
        <v>110</v>
      </c>
      <c r="F442" s="75" t="s">
        <v>228</v>
      </c>
      <c r="G442" s="74" t="s">
        <v>1185</v>
      </c>
      <c r="H442" s="69"/>
      <c r="P442" s="69">
        <f t="shared" si="6"/>
        <v>0</v>
      </c>
      <c r="Q442" s="69" cm="1">
        <f t="array" ref="Q442">IF(P442=1,IF(SUMPRODUCT(($P$2:P442)*(--($G$2:G442=$G442)))=1,1,0),0)</f>
        <v>0</v>
      </c>
      <c r="R442" s="69" t="str">
        <f>IF(Q442=1,SUM($Q$2:Q442),"")</f>
        <v/>
      </c>
    </row>
    <row r="443" spans="1:18" ht="16" x14ac:dyDescent="0.2">
      <c r="A443" s="72"/>
      <c r="B443" s="86"/>
      <c r="C443" s="73"/>
      <c r="D443" s="73" t="s">
        <v>965</v>
      </c>
      <c r="E443" s="77" t="s">
        <v>990</v>
      </c>
      <c r="F443" s="75" t="s">
        <v>228</v>
      </c>
      <c r="G443" s="74" t="s">
        <v>1185</v>
      </c>
      <c r="H443" s="69"/>
      <c r="P443" s="69">
        <f t="shared" si="6"/>
        <v>0</v>
      </c>
      <c r="Q443" s="69" cm="1">
        <f t="array" ref="Q443">IF(P443=1,IF(SUMPRODUCT(($P$2:P443)*(--($G$2:G443=$G443)))=1,1,0),0)</f>
        <v>0</v>
      </c>
      <c r="R443" s="69" t="str">
        <f>IF(Q443=1,SUM($Q$2:Q443),"")</f>
        <v/>
      </c>
    </row>
    <row r="444" spans="1:18" ht="16" x14ac:dyDescent="0.2">
      <c r="A444" s="72"/>
      <c r="B444" s="86"/>
      <c r="C444" s="73"/>
      <c r="D444" s="73" t="s">
        <v>965</v>
      </c>
      <c r="E444" s="77" t="s">
        <v>94</v>
      </c>
      <c r="F444" s="75" t="s">
        <v>228</v>
      </c>
      <c r="G444" s="74" t="s">
        <v>1184</v>
      </c>
      <c r="H444" s="69"/>
      <c r="P444" s="69">
        <f t="shared" si="6"/>
        <v>0</v>
      </c>
      <c r="Q444" s="69" cm="1">
        <f t="array" ref="Q444">IF(P444=1,IF(SUMPRODUCT(($P$2:P444)*(--($G$2:G444=$G444)))=1,1,0),0)</f>
        <v>0</v>
      </c>
      <c r="R444" s="69" t="str">
        <f>IF(Q444=1,SUM($Q$2:Q444),"")</f>
        <v/>
      </c>
    </row>
    <row r="445" spans="1:18" ht="16" x14ac:dyDescent="0.2">
      <c r="A445" s="72"/>
      <c r="B445" s="86"/>
      <c r="C445" s="73"/>
      <c r="D445" s="73" t="s">
        <v>965</v>
      </c>
      <c r="E445" s="77" t="s">
        <v>135</v>
      </c>
      <c r="F445" s="75" t="s">
        <v>228</v>
      </c>
      <c r="G445" s="74" t="s">
        <v>1184</v>
      </c>
      <c r="H445" s="69"/>
      <c r="P445" s="69">
        <f t="shared" si="6"/>
        <v>0</v>
      </c>
      <c r="Q445" s="69" cm="1">
        <f t="array" ref="Q445">IF(P445=1,IF(SUMPRODUCT(($P$2:P445)*(--($G$2:G445=$G445)))=1,1,0),0)</f>
        <v>0</v>
      </c>
      <c r="R445" s="69" t="str">
        <f>IF(Q445=1,SUM($Q$2:Q445),"")</f>
        <v/>
      </c>
    </row>
    <row r="446" spans="1:18" ht="16" x14ac:dyDescent="0.2">
      <c r="A446" s="72"/>
      <c r="B446" s="86"/>
      <c r="C446" s="73"/>
      <c r="D446" s="73" t="s">
        <v>965</v>
      </c>
      <c r="E446" s="77" t="s">
        <v>94</v>
      </c>
      <c r="F446" s="75" t="s">
        <v>1527</v>
      </c>
      <c r="G446" s="74" t="s">
        <v>1188</v>
      </c>
      <c r="H446" s="69"/>
      <c r="P446" s="69">
        <f t="shared" si="6"/>
        <v>0</v>
      </c>
      <c r="Q446" s="69" cm="1">
        <f t="array" ref="Q446">IF(P446=1,IF(SUMPRODUCT(($P$2:P446)*(--($G$2:G446=$G446)))=1,1,0),0)</f>
        <v>0</v>
      </c>
      <c r="R446" s="69" t="str">
        <f>IF(Q446=1,SUM($Q$2:Q446),"")</f>
        <v/>
      </c>
    </row>
    <row r="447" spans="1:18" ht="16" x14ac:dyDescent="0.2">
      <c r="A447" s="72"/>
      <c r="B447" s="86"/>
      <c r="C447" s="73"/>
      <c r="D447" s="73" t="s">
        <v>965</v>
      </c>
      <c r="E447" s="77" t="s">
        <v>94</v>
      </c>
      <c r="F447" s="75" t="s">
        <v>1528</v>
      </c>
      <c r="G447" s="74" t="s">
        <v>1188</v>
      </c>
      <c r="H447" s="69"/>
      <c r="P447" s="69">
        <f t="shared" si="6"/>
        <v>0</v>
      </c>
      <c r="Q447" s="69" cm="1">
        <f t="array" ref="Q447">IF(P447=1,IF(SUMPRODUCT(($P$2:P447)*(--($G$2:G447=$G447)))=1,1,0),0)</f>
        <v>0</v>
      </c>
      <c r="R447" s="69" t="str">
        <f>IF(Q447=1,SUM($Q$2:Q447),"")</f>
        <v/>
      </c>
    </row>
    <row r="448" spans="1:18" ht="16" x14ac:dyDescent="0.2">
      <c r="A448" s="72"/>
      <c r="B448" s="86"/>
      <c r="C448" s="73"/>
      <c r="D448" s="73" t="s">
        <v>965</v>
      </c>
      <c r="E448" s="77" t="s">
        <v>94</v>
      </c>
      <c r="F448" s="75" t="s">
        <v>1529</v>
      </c>
      <c r="G448" s="74" t="s">
        <v>1188</v>
      </c>
      <c r="H448" s="69"/>
      <c r="P448" s="69">
        <f t="shared" si="6"/>
        <v>0</v>
      </c>
      <c r="Q448" s="69" cm="1">
        <f t="array" ref="Q448">IF(P448=1,IF(SUMPRODUCT(($P$2:P448)*(--($G$2:G448=$G448)))=1,1,0),0)</f>
        <v>0</v>
      </c>
      <c r="R448" s="69" t="str">
        <f>IF(Q448=1,SUM($Q$2:Q448),"")</f>
        <v/>
      </c>
    </row>
    <row r="449" spans="1:18" ht="16" x14ac:dyDescent="0.2">
      <c r="A449" s="72"/>
      <c r="B449" s="86"/>
      <c r="C449" s="73"/>
      <c r="D449" s="73" t="s">
        <v>965</v>
      </c>
      <c r="E449" s="77" t="s">
        <v>94</v>
      </c>
      <c r="F449" s="75" t="s">
        <v>1530</v>
      </c>
      <c r="G449" s="74" t="s">
        <v>1187</v>
      </c>
      <c r="H449" s="69"/>
      <c r="P449" s="69">
        <f t="shared" si="6"/>
        <v>0</v>
      </c>
      <c r="Q449" s="69" cm="1">
        <f t="array" ref="Q449">IF(P449=1,IF(SUMPRODUCT(($P$2:P449)*(--($G$2:G449=$G449)))=1,1,0),0)</f>
        <v>0</v>
      </c>
      <c r="R449" s="69" t="str">
        <f>IF(Q449=1,SUM($Q$2:Q449),"")</f>
        <v/>
      </c>
    </row>
    <row r="450" spans="1:18" ht="16" x14ac:dyDescent="0.2">
      <c r="A450" s="72"/>
      <c r="B450" s="86"/>
      <c r="C450" s="73"/>
      <c r="D450" s="73" t="s">
        <v>965</v>
      </c>
      <c r="E450" s="77" t="s">
        <v>94</v>
      </c>
      <c r="F450" s="75" t="s">
        <v>1531</v>
      </c>
      <c r="G450" s="74" t="s">
        <v>1187</v>
      </c>
      <c r="H450" s="69"/>
      <c r="P450" s="69">
        <f t="shared" si="6"/>
        <v>0</v>
      </c>
      <c r="Q450" s="69" cm="1">
        <f t="array" ref="Q450">IF(P450=1,IF(SUMPRODUCT(($P$2:P450)*(--($G$2:G450=$G450)))=1,1,0),0)</f>
        <v>0</v>
      </c>
      <c r="R450" s="69" t="str">
        <f>IF(Q450=1,SUM($Q$2:Q450),"")</f>
        <v/>
      </c>
    </row>
    <row r="451" spans="1:18" ht="16" x14ac:dyDescent="0.2">
      <c r="A451" s="72"/>
      <c r="B451" s="86"/>
      <c r="C451" s="73"/>
      <c r="D451" s="73" t="s">
        <v>965</v>
      </c>
      <c r="E451" s="77" t="s">
        <v>94</v>
      </c>
      <c r="F451" s="75" t="s">
        <v>1532</v>
      </c>
      <c r="G451" s="74" t="s">
        <v>1187</v>
      </c>
      <c r="H451" s="69"/>
      <c r="P451" s="69">
        <f t="shared" ref="P451:P514" si="7">IF(AND(IF(TRIM($J$2&amp;"")="",TRUE,LEFT($D451,LEN($J$2))=$J$2),IF(TRIM($K$2&amp;"")="",TRUE,$E451=$K$2),IF($L$2="",TRUE,$F451=$L$2)),1,0)</f>
        <v>0</v>
      </c>
      <c r="Q451" s="69" cm="1">
        <f t="array" ref="Q451">IF(P451=1,IF(SUMPRODUCT(($P$2:P451)*(--($G$2:G451=$G451)))=1,1,0),0)</f>
        <v>0</v>
      </c>
      <c r="R451" s="69" t="str">
        <f>IF(Q451=1,SUM($Q$2:Q451),"")</f>
        <v/>
      </c>
    </row>
    <row r="452" spans="1:18" ht="16" x14ac:dyDescent="0.2">
      <c r="A452" s="72"/>
      <c r="B452" s="84"/>
      <c r="C452" s="73"/>
      <c r="D452" s="73" t="s">
        <v>965</v>
      </c>
      <c r="E452" s="77" t="s">
        <v>110</v>
      </c>
      <c r="F452" s="75" t="s">
        <v>1533</v>
      </c>
      <c r="G452" s="74" t="s">
        <v>949</v>
      </c>
      <c r="H452" s="69"/>
      <c r="P452" s="69">
        <f t="shared" si="7"/>
        <v>0</v>
      </c>
      <c r="Q452" s="69" cm="1">
        <f t="array" ref="Q452">IF(P452=1,IF(SUMPRODUCT(($P$2:P452)*(--($G$2:G452=$G452)))=1,1,0),0)</f>
        <v>0</v>
      </c>
      <c r="R452" s="69" t="str">
        <f>IF(Q452=1,SUM($Q$2:Q452),"")</f>
        <v/>
      </c>
    </row>
    <row r="453" spans="1:18" ht="16" x14ac:dyDescent="0.2">
      <c r="A453" s="72"/>
      <c r="B453" s="84"/>
      <c r="C453" s="73"/>
      <c r="D453" s="73" t="s">
        <v>965</v>
      </c>
      <c r="E453" s="77" t="s">
        <v>110</v>
      </c>
      <c r="F453" s="75" t="s">
        <v>1534</v>
      </c>
      <c r="G453" s="74" t="s">
        <v>949</v>
      </c>
      <c r="H453" s="69"/>
      <c r="P453" s="69">
        <f t="shared" si="7"/>
        <v>0</v>
      </c>
      <c r="Q453" s="69" cm="1">
        <f t="array" ref="Q453">IF(P453=1,IF(SUMPRODUCT(($P$2:P453)*(--($G$2:G453=$G453)))=1,1,0),0)</f>
        <v>0</v>
      </c>
      <c r="R453" s="69" t="str">
        <f>IF(Q453=1,SUM($Q$2:Q453),"")</f>
        <v/>
      </c>
    </row>
    <row r="454" spans="1:18" ht="16" x14ac:dyDescent="0.2">
      <c r="A454" s="72"/>
      <c r="B454" s="84"/>
      <c r="C454" s="73"/>
      <c r="D454" s="73" t="s">
        <v>965</v>
      </c>
      <c r="E454" s="77" t="s">
        <v>110</v>
      </c>
      <c r="F454" s="75" t="s">
        <v>1535</v>
      </c>
      <c r="G454" s="74" t="s">
        <v>949</v>
      </c>
      <c r="H454" s="69"/>
      <c r="P454" s="69">
        <f t="shared" si="7"/>
        <v>0</v>
      </c>
      <c r="Q454" s="69" cm="1">
        <f t="array" ref="Q454">IF(P454=1,IF(SUMPRODUCT(($P$2:P454)*(--($G$2:G454=$G454)))=1,1,0),0)</f>
        <v>0</v>
      </c>
      <c r="R454" s="69" t="str">
        <f>IF(Q454=1,SUM($Q$2:Q454),"")</f>
        <v/>
      </c>
    </row>
    <row r="455" spans="1:18" ht="16" x14ac:dyDescent="0.2">
      <c r="A455" s="72"/>
      <c r="B455" s="84"/>
      <c r="C455" s="73"/>
      <c r="D455" s="73" t="s">
        <v>965</v>
      </c>
      <c r="E455" s="77" t="s">
        <v>110</v>
      </c>
      <c r="F455" s="75" t="s">
        <v>372</v>
      </c>
      <c r="G455" s="74" t="s">
        <v>949</v>
      </c>
      <c r="H455" s="69"/>
      <c r="P455" s="69">
        <f t="shared" si="7"/>
        <v>0</v>
      </c>
      <c r="Q455" s="69" cm="1">
        <f t="array" ref="Q455">IF(P455=1,IF(SUMPRODUCT(($P$2:P455)*(--($G$2:G455=$G455)))=1,1,0),0)</f>
        <v>0</v>
      </c>
      <c r="R455" s="69" t="str">
        <f>IF(Q455=1,SUM($Q$2:Q455),"")</f>
        <v/>
      </c>
    </row>
    <row r="456" spans="1:18" ht="16" x14ac:dyDescent="0.2">
      <c r="A456" s="72"/>
      <c r="B456" s="84"/>
      <c r="C456" s="73"/>
      <c r="D456" s="73" t="s">
        <v>965</v>
      </c>
      <c r="E456" s="77" t="s">
        <v>110</v>
      </c>
      <c r="F456" s="75" t="s">
        <v>1536</v>
      </c>
      <c r="G456" s="74" t="s">
        <v>1189</v>
      </c>
      <c r="H456" s="69"/>
      <c r="P456" s="69">
        <f t="shared" si="7"/>
        <v>0</v>
      </c>
      <c r="Q456" s="69" cm="1">
        <f t="array" ref="Q456">IF(P456=1,IF(SUMPRODUCT(($P$2:P456)*(--($G$2:G456=$G456)))=1,1,0),0)</f>
        <v>0</v>
      </c>
      <c r="R456" s="69" t="str">
        <f>IF(Q456=1,SUM($Q$2:Q456),"")</f>
        <v/>
      </c>
    </row>
    <row r="457" spans="1:18" ht="16" x14ac:dyDescent="0.2">
      <c r="A457" s="72"/>
      <c r="B457" s="84"/>
      <c r="C457" s="73"/>
      <c r="D457" s="73" t="s">
        <v>965</v>
      </c>
      <c r="E457" s="77" t="s">
        <v>110</v>
      </c>
      <c r="F457" s="75" t="s">
        <v>1537</v>
      </c>
      <c r="G457" s="74" t="s">
        <v>1189</v>
      </c>
      <c r="H457" s="69"/>
      <c r="P457" s="69">
        <f t="shared" si="7"/>
        <v>0</v>
      </c>
      <c r="Q457" s="69" cm="1">
        <f t="array" ref="Q457">IF(P457=1,IF(SUMPRODUCT(($P$2:P457)*(--($G$2:G457=$G457)))=1,1,0),0)</f>
        <v>0</v>
      </c>
      <c r="R457" s="69" t="str">
        <f>IF(Q457=1,SUM($Q$2:Q457),"")</f>
        <v/>
      </c>
    </row>
    <row r="458" spans="1:18" ht="16" x14ac:dyDescent="0.2">
      <c r="A458" s="72"/>
      <c r="B458" s="84"/>
      <c r="C458" s="73"/>
      <c r="D458" s="73" t="s">
        <v>965</v>
      </c>
      <c r="E458" s="77" t="s">
        <v>110</v>
      </c>
      <c r="F458" s="75" t="s">
        <v>1538</v>
      </c>
      <c r="G458" s="74" t="s">
        <v>1189</v>
      </c>
      <c r="H458" s="69"/>
      <c r="P458" s="69">
        <f t="shared" si="7"/>
        <v>0</v>
      </c>
      <c r="Q458" s="69" cm="1">
        <f t="array" ref="Q458">IF(P458=1,IF(SUMPRODUCT(($P$2:P458)*(--($G$2:G458=$G458)))=1,1,0),0)</f>
        <v>0</v>
      </c>
      <c r="R458" s="69" t="str">
        <f>IF(Q458=1,SUM($Q$2:Q458),"")</f>
        <v/>
      </c>
    </row>
    <row r="459" spans="1:18" ht="16" x14ac:dyDescent="0.2">
      <c r="A459" s="72"/>
      <c r="B459" s="84"/>
      <c r="C459" s="73"/>
      <c r="D459" s="73" t="s">
        <v>965</v>
      </c>
      <c r="E459" s="77" t="s">
        <v>110</v>
      </c>
      <c r="F459" s="75" t="s">
        <v>1539</v>
      </c>
      <c r="G459" s="74" t="s">
        <v>1189</v>
      </c>
      <c r="H459" s="69"/>
      <c r="P459" s="69">
        <f t="shared" si="7"/>
        <v>0</v>
      </c>
      <c r="Q459" s="69" cm="1">
        <f t="array" ref="Q459">IF(P459=1,IF(SUMPRODUCT(($P$2:P459)*(--($G$2:G459=$G459)))=1,1,0),0)</f>
        <v>0</v>
      </c>
      <c r="R459" s="69" t="str">
        <f>IF(Q459=1,SUM($Q$2:Q459),"")</f>
        <v/>
      </c>
    </row>
    <row r="460" spans="1:18" ht="16" x14ac:dyDescent="0.2">
      <c r="A460" s="72"/>
      <c r="B460" s="84"/>
      <c r="C460" s="73"/>
      <c r="D460" s="73" t="s">
        <v>965</v>
      </c>
      <c r="E460" s="77" t="s">
        <v>990</v>
      </c>
      <c r="F460" s="75" t="s">
        <v>1536</v>
      </c>
      <c r="G460" s="74" t="s">
        <v>1189</v>
      </c>
      <c r="H460" s="69"/>
      <c r="P460" s="69">
        <f t="shared" si="7"/>
        <v>0</v>
      </c>
      <c r="Q460" s="69" cm="1">
        <f t="array" ref="Q460">IF(P460=1,IF(SUMPRODUCT(($P$2:P460)*(--($G$2:G460=$G460)))=1,1,0),0)</f>
        <v>0</v>
      </c>
      <c r="R460" s="69" t="str">
        <f>IF(Q460=1,SUM($Q$2:Q460),"")</f>
        <v/>
      </c>
    </row>
    <row r="461" spans="1:18" ht="16" x14ac:dyDescent="0.2">
      <c r="A461" s="72"/>
      <c r="B461" s="84"/>
      <c r="C461" s="73"/>
      <c r="D461" s="73" t="s">
        <v>965</v>
      </c>
      <c r="E461" s="77" t="s">
        <v>990</v>
      </c>
      <c r="F461" s="75" t="s">
        <v>1537</v>
      </c>
      <c r="G461" s="74" t="s">
        <v>1189</v>
      </c>
      <c r="H461" s="69"/>
      <c r="P461" s="69">
        <f t="shared" si="7"/>
        <v>0</v>
      </c>
      <c r="Q461" s="69" cm="1">
        <f t="array" ref="Q461">IF(P461=1,IF(SUMPRODUCT(($P$2:P461)*(--($G$2:G461=$G461)))=1,1,0),0)</f>
        <v>0</v>
      </c>
      <c r="R461" s="69" t="str">
        <f>IF(Q461=1,SUM($Q$2:Q461),"")</f>
        <v/>
      </c>
    </row>
    <row r="462" spans="1:18" ht="16" x14ac:dyDescent="0.2">
      <c r="A462" s="72"/>
      <c r="B462" s="84"/>
      <c r="C462" s="73"/>
      <c r="D462" s="73" t="s">
        <v>965</v>
      </c>
      <c r="E462" s="77" t="s">
        <v>990</v>
      </c>
      <c r="F462" s="75" t="s">
        <v>1538</v>
      </c>
      <c r="G462" s="74" t="s">
        <v>1189</v>
      </c>
      <c r="H462" s="69"/>
      <c r="P462" s="69">
        <f t="shared" si="7"/>
        <v>0</v>
      </c>
      <c r="Q462" s="69" cm="1">
        <f t="array" ref="Q462">IF(P462=1,IF(SUMPRODUCT(($P$2:P462)*(--($G$2:G462=$G462)))=1,1,0),0)</f>
        <v>0</v>
      </c>
      <c r="R462" s="69" t="str">
        <f>IF(Q462=1,SUM($Q$2:Q462),"")</f>
        <v/>
      </c>
    </row>
    <row r="463" spans="1:18" ht="16" x14ac:dyDescent="0.2">
      <c r="A463" s="72"/>
      <c r="B463" s="84"/>
      <c r="C463" s="73"/>
      <c r="D463" s="73" t="s">
        <v>965</v>
      </c>
      <c r="E463" s="77" t="s">
        <v>990</v>
      </c>
      <c r="F463" s="75" t="s">
        <v>1539</v>
      </c>
      <c r="G463" s="74" t="s">
        <v>1189</v>
      </c>
      <c r="H463" s="69"/>
      <c r="P463" s="69">
        <f t="shared" si="7"/>
        <v>0</v>
      </c>
      <c r="Q463" s="69" cm="1">
        <f t="array" ref="Q463">IF(P463=1,IF(SUMPRODUCT(($P$2:P463)*(--($G$2:G463=$G463)))=1,1,0),0)</f>
        <v>0</v>
      </c>
      <c r="R463" s="69" t="str">
        <f>IF(Q463=1,SUM($Q$2:Q463),"")</f>
        <v/>
      </c>
    </row>
    <row r="464" spans="1:18" ht="16" x14ac:dyDescent="0.2">
      <c r="A464" s="72"/>
      <c r="B464" s="84"/>
      <c r="C464" s="73"/>
      <c r="D464" s="73" t="s">
        <v>965</v>
      </c>
      <c r="E464" s="77" t="s">
        <v>110</v>
      </c>
      <c r="F464" s="75" t="s">
        <v>1540</v>
      </c>
      <c r="G464" s="74" t="s">
        <v>1191</v>
      </c>
      <c r="H464" s="69"/>
      <c r="P464" s="69">
        <f t="shared" si="7"/>
        <v>0</v>
      </c>
      <c r="Q464" s="69" cm="1">
        <f t="array" ref="Q464">IF(P464=1,IF(SUMPRODUCT(($P$2:P464)*(--($G$2:G464=$G464)))=1,1,0),0)</f>
        <v>0</v>
      </c>
      <c r="R464" s="69" t="str">
        <f>IF(Q464=1,SUM($Q$2:Q464),"")</f>
        <v/>
      </c>
    </row>
    <row r="465" spans="1:18" ht="16" x14ac:dyDescent="0.2">
      <c r="A465" s="72"/>
      <c r="B465" s="84"/>
      <c r="C465" s="73"/>
      <c r="D465" s="73" t="s">
        <v>965</v>
      </c>
      <c r="E465" s="77" t="s">
        <v>110</v>
      </c>
      <c r="F465" s="75" t="s">
        <v>1541</v>
      </c>
      <c r="G465" s="74" t="s">
        <v>1191</v>
      </c>
      <c r="H465" s="69"/>
      <c r="P465" s="69">
        <f t="shared" si="7"/>
        <v>0</v>
      </c>
      <c r="Q465" s="69" cm="1">
        <f t="array" ref="Q465">IF(P465=1,IF(SUMPRODUCT(($P$2:P465)*(--($G$2:G465=$G465)))=1,1,0),0)</f>
        <v>0</v>
      </c>
      <c r="R465" s="69" t="str">
        <f>IF(Q465=1,SUM($Q$2:Q465),"")</f>
        <v/>
      </c>
    </row>
    <row r="466" spans="1:18" ht="16" x14ac:dyDescent="0.2">
      <c r="A466" s="72"/>
      <c r="B466" s="84"/>
      <c r="C466" s="73"/>
      <c r="D466" s="73" t="s">
        <v>965</v>
      </c>
      <c r="E466" s="77" t="s">
        <v>110</v>
      </c>
      <c r="F466" s="75" t="s">
        <v>1542</v>
      </c>
      <c r="G466" s="74" t="s">
        <v>1191</v>
      </c>
      <c r="H466" s="69"/>
      <c r="P466" s="69">
        <f t="shared" si="7"/>
        <v>0</v>
      </c>
      <c r="Q466" s="69" cm="1">
        <f t="array" ref="Q466">IF(P466=1,IF(SUMPRODUCT(($P$2:P466)*(--($G$2:G466=$G466)))=1,1,0),0)</f>
        <v>0</v>
      </c>
      <c r="R466" s="69" t="str">
        <f>IF(Q466=1,SUM($Q$2:Q466),"")</f>
        <v/>
      </c>
    </row>
    <row r="467" spans="1:18" ht="16" x14ac:dyDescent="0.2">
      <c r="A467" s="72"/>
      <c r="B467" s="84"/>
      <c r="C467" s="73"/>
      <c r="D467" s="73" t="s">
        <v>965</v>
      </c>
      <c r="E467" s="77" t="s">
        <v>110</v>
      </c>
      <c r="F467" s="75" t="s">
        <v>1543</v>
      </c>
      <c r="G467" s="74" t="s">
        <v>1191</v>
      </c>
      <c r="H467" s="69"/>
      <c r="P467" s="69">
        <f t="shared" si="7"/>
        <v>0</v>
      </c>
      <c r="Q467" s="69" cm="1">
        <f t="array" ref="Q467">IF(P467=1,IF(SUMPRODUCT(($P$2:P467)*(--($G$2:G467=$G467)))=1,1,0),0)</f>
        <v>0</v>
      </c>
      <c r="R467" s="69" t="str">
        <f>IF(Q467=1,SUM($Q$2:Q467),"")</f>
        <v/>
      </c>
    </row>
    <row r="468" spans="1:18" ht="16" x14ac:dyDescent="0.2">
      <c r="A468" s="72"/>
      <c r="B468" s="84"/>
      <c r="C468" s="73"/>
      <c r="D468" s="73" t="s">
        <v>965</v>
      </c>
      <c r="E468" s="77" t="s">
        <v>990</v>
      </c>
      <c r="F468" s="75" t="s">
        <v>1540</v>
      </c>
      <c r="G468" s="74" t="s">
        <v>1191</v>
      </c>
      <c r="H468" s="69"/>
      <c r="P468" s="69">
        <f t="shared" si="7"/>
        <v>0</v>
      </c>
      <c r="Q468" s="69" cm="1">
        <f t="array" ref="Q468">IF(P468=1,IF(SUMPRODUCT(($P$2:P468)*(--($G$2:G468=$G468)))=1,1,0),0)</f>
        <v>0</v>
      </c>
      <c r="R468" s="69" t="str">
        <f>IF(Q468=1,SUM($Q$2:Q468),"")</f>
        <v/>
      </c>
    </row>
    <row r="469" spans="1:18" ht="16" x14ac:dyDescent="0.2">
      <c r="A469" s="72"/>
      <c r="B469" s="84"/>
      <c r="C469" s="73"/>
      <c r="D469" s="73" t="s">
        <v>965</v>
      </c>
      <c r="E469" s="77" t="s">
        <v>990</v>
      </c>
      <c r="F469" s="75" t="s">
        <v>1541</v>
      </c>
      <c r="G469" s="74" t="s">
        <v>1191</v>
      </c>
      <c r="H469" s="69"/>
      <c r="P469" s="69">
        <f t="shared" si="7"/>
        <v>0</v>
      </c>
      <c r="Q469" s="69" cm="1">
        <f t="array" ref="Q469">IF(P469=1,IF(SUMPRODUCT(($P$2:P469)*(--($G$2:G469=$G469)))=1,1,0),0)</f>
        <v>0</v>
      </c>
      <c r="R469" s="69" t="str">
        <f>IF(Q469=1,SUM($Q$2:Q469),"")</f>
        <v/>
      </c>
    </row>
    <row r="470" spans="1:18" ht="16" x14ac:dyDescent="0.2">
      <c r="A470" s="72"/>
      <c r="B470" s="84"/>
      <c r="C470" s="73"/>
      <c r="D470" s="73" t="s">
        <v>965</v>
      </c>
      <c r="E470" s="77" t="s">
        <v>990</v>
      </c>
      <c r="F470" s="75" t="s">
        <v>1542</v>
      </c>
      <c r="G470" s="74" t="s">
        <v>1191</v>
      </c>
      <c r="H470" s="69"/>
      <c r="P470" s="69">
        <f t="shared" si="7"/>
        <v>0</v>
      </c>
      <c r="Q470" s="69" cm="1">
        <f t="array" ref="Q470">IF(P470=1,IF(SUMPRODUCT(($P$2:P470)*(--($G$2:G470=$G470)))=1,1,0),0)</f>
        <v>0</v>
      </c>
      <c r="R470" s="69" t="str">
        <f>IF(Q470=1,SUM($Q$2:Q470),"")</f>
        <v/>
      </c>
    </row>
    <row r="471" spans="1:18" ht="16" x14ac:dyDescent="0.2">
      <c r="A471" s="72"/>
      <c r="B471" s="84"/>
      <c r="C471" s="73"/>
      <c r="D471" s="73" t="s">
        <v>965</v>
      </c>
      <c r="E471" s="77" t="s">
        <v>990</v>
      </c>
      <c r="F471" s="75" t="s">
        <v>1543</v>
      </c>
      <c r="G471" s="74" t="s">
        <v>1191</v>
      </c>
      <c r="H471" s="69"/>
      <c r="P471" s="69">
        <f t="shared" si="7"/>
        <v>0</v>
      </c>
      <c r="Q471" s="69" cm="1">
        <f t="array" ref="Q471">IF(P471=1,IF(SUMPRODUCT(($P$2:P471)*(--($G$2:G471=$G471)))=1,1,0),0)</f>
        <v>0</v>
      </c>
      <c r="R471" s="69" t="str">
        <f>IF(Q471=1,SUM($Q$2:Q471),"")</f>
        <v/>
      </c>
    </row>
    <row r="472" spans="1:18" ht="16" x14ac:dyDescent="0.2">
      <c r="A472" s="72"/>
      <c r="B472" s="84"/>
      <c r="C472" s="73"/>
      <c r="D472" s="73" t="s">
        <v>965</v>
      </c>
      <c r="E472" s="77" t="s">
        <v>991</v>
      </c>
      <c r="F472" s="75" t="s">
        <v>1544</v>
      </c>
      <c r="G472" s="74" t="s">
        <v>1183</v>
      </c>
      <c r="H472" s="69"/>
      <c r="P472" s="69">
        <f t="shared" si="7"/>
        <v>0</v>
      </c>
      <c r="Q472" s="69" cm="1">
        <f t="array" ref="Q472">IF(P472=1,IF(SUMPRODUCT(($P$2:P472)*(--($G$2:G472=$G472)))=1,1,0),0)</f>
        <v>0</v>
      </c>
      <c r="R472" s="69" t="str">
        <f>IF(Q472=1,SUM($Q$2:Q472),"")</f>
        <v/>
      </c>
    </row>
    <row r="473" spans="1:18" ht="16" x14ac:dyDescent="0.2">
      <c r="A473" s="72"/>
      <c r="B473" s="84"/>
      <c r="C473" s="73"/>
      <c r="D473" s="73" t="s">
        <v>965</v>
      </c>
      <c r="E473" s="77" t="s">
        <v>991</v>
      </c>
      <c r="F473" s="75" t="s">
        <v>369</v>
      </c>
      <c r="G473" s="74" t="s">
        <v>1183</v>
      </c>
      <c r="H473" s="69"/>
      <c r="P473" s="69">
        <f t="shared" si="7"/>
        <v>0</v>
      </c>
      <c r="Q473" s="69" cm="1">
        <f t="array" ref="Q473">IF(P473=1,IF(SUMPRODUCT(($P$2:P473)*(--($G$2:G473=$G473)))=1,1,0),0)</f>
        <v>0</v>
      </c>
      <c r="R473" s="69" t="str">
        <f>IF(Q473=1,SUM($Q$2:Q473),"")</f>
        <v/>
      </c>
    </row>
    <row r="474" spans="1:18" ht="16" x14ac:dyDescent="0.2">
      <c r="A474" s="72"/>
      <c r="B474" s="84"/>
      <c r="C474" s="73"/>
      <c r="D474" s="73" t="s">
        <v>965</v>
      </c>
      <c r="E474" s="77" t="s">
        <v>110</v>
      </c>
      <c r="F474" s="75" t="s">
        <v>369</v>
      </c>
      <c r="G474" s="74" t="s">
        <v>1183</v>
      </c>
      <c r="H474" s="69"/>
      <c r="P474" s="69">
        <f t="shared" si="7"/>
        <v>0</v>
      </c>
      <c r="Q474" s="69" cm="1">
        <f t="array" ref="Q474">IF(P474=1,IF(SUMPRODUCT(($P$2:P474)*(--($G$2:G474=$G474)))=1,1,0),0)</f>
        <v>0</v>
      </c>
      <c r="R474" s="69" t="str">
        <f>IF(Q474=1,SUM($Q$2:Q474),"")</f>
        <v/>
      </c>
    </row>
    <row r="475" spans="1:18" ht="16" x14ac:dyDescent="0.2">
      <c r="A475" s="72"/>
      <c r="B475" s="84"/>
      <c r="C475" s="73"/>
      <c r="D475" s="73" t="s">
        <v>969</v>
      </c>
      <c r="E475" s="77" t="s">
        <v>126</v>
      </c>
      <c r="F475" s="75" t="s">
        <v>1545</v>
      </c>
      <c r="G475" s="74" t="s">
        <v>378</v>
      </c>
      <c r="H475" s="69"/>
      <c r="P475" s="69">
        <f t="shared" si="7"/>
        <v>0</v>
      </c>
      <c r="Q475" s="69" cm="1">
        <f t="array" ref="Q475">IF(P475=1,IF(SUMPRODUCT(($P$2:P475)*(--($G$2:G475=$G475)))=1,1,0),0)</f>
        <v>0</v>
      </c>
      <c r="R475" s="69" t="str">
        <f>IF(Q475=1,SUM($Q$2:Q475),"")</f>
        <v/>
      </c>
    </row>
    <row r="476" spans="1:18" ht="16" x14ac:dyDescent="0.2">
      <c r="A476" s="72"/>
      <c r="B476" s="84"/>
      <c r="C476" s="73"/>
      <c r="D476" s="73" t="s">
        <v>969</v>
      </c>
      <c r="E476" s="77" t="s">
        <v>126</v>
      </c>
      <c r="F476" s="75" t="s">
        <v>1546</v>
      </c>
      <c r="G476" s="74" t="s">
        <v>378</v>
      </c>
      <c r="H476" s="69"/>
      <c r="P476" s="69">
        <f t="shared" si="7"/>
        <v>0</v>
      </c>
      <c r="Q476" s="69" cm="1">
        <f t="array" ref="Q476">IF(P476=1,IF(SUMPRODUCT(($P$2:P476)*(--($G$2:G476=$G476)))=1,1,0),0)</f>
        <v>0</v>
      </c>
      <c r="R476" s="69" t="str">
        <f>IF(Q476=1,SUM($Q$2:Q476),"")</f>
        <v/>
      </c>
    </row>
    <row r="477" spans="1:18" ht="16" x14ac:dyDescent="0.2">
      <c r="A477" s="72"/>
      <c r="B477" s="84"/>
      <c r="C477" s="73"/>
      <c r="D477" s="73" t="s">
        <v>969</v>
      </c>
      <c r="E477" s="77" t="s">
        <v>126</v>
      </c>
      <c r="F477" s="75" t="s">
        <v>1535</v>
      </c>
      <c r="G477" s="74" t="s">
        <v>378</v>
      </c>
      <c r="H477" s="69"/>
      <c r="P477" s="69">
        <f t="shared" si="7"/>
        <v>0</v>
      </c>
      <c r="Q477" s="69" cm="1">
        <f t="array" ref="Q477">IF(P477=1,IF(SUMPRODUCT(($P$2:P477)*(--($G$2:G477=$G477)))=1,1,0),0)</f>
        <v>0</v>
      </c>
      <c r="R477" s="69" t="str">
        <f>IF(Q477=1,SUM($Q$2:Q477),"")</f>
        <v/>
      </c>
    </row>
    <row r="478" spans="1:18" x14ac:dyDescent="0.2">
      <c r="A478" s="72"/>
      <c r="B478" s="76"/>
      <c r="C478" s="73"/>
      <c r="D478" s="73" t="s">
        <v>965</v>
      </c>
      <c r="E478" s="77" t="s">
        <v>110</v>
      </c>
      <c r="F478" s="75" t="s">
        <v>1547</v>
      </c>
      <c r="G478" s="75" t="s">
        <v>1064</v>
      </c>
      <c r="H478" s="69"/>
      <c r="P478" s="69">
        <f t="shared" si="7"/>
        <v>0</v>
      </c>
      <c r="Q478" s="69" cm="1">
        <f t="array" ref="Q478">IF(P478=1,IF(SUMPRODUCT(($P$2:P478)*(--($G$2:G478=$G478)))=1,1,0),0)</f>
        <v>0</v>
      </c>
      <c r="R478" s="69" t="str">
        <f>IF(Q478=1,SUM($Q$2:Q478),"")</f>
        <v/>
      </c>
    </row>
    <row r="479" spans="1:18" x14ac:dyDescent="0.2">
      <c r="A479" s="72"/>
      <c r="B479" s="76"/>
      <c r="C479" s="73"/>
      <c r="D479" s="73" t="s">
        <v>965</v>
      </c>
      <c r="E479" s="77" t="s">
        <v>110</v>
      </c>
      <c r="F479" s="75" t="s">
        <v>1548</v>
      </c>
      <c r="G479" s="75" t="s">
        <v>1064</v>
      </c>
      <c r="H479" s="69"/>
      <c r="P479" s="69">
        <f t="shared" si="7"/>
        <v>0</v>
      </c>
      <c r="Q479" s="69" cm="1">
        <f t="array" ref="Q479">IF(P479=1,IF(SUMPRODUCT(($P$2:P479)*(--($G$2:G479=$G479)))=1,1,0),0)</f>
        <v>0</v>
      </c>
      <c r="R479" s="69" t="str">
        <f>IF(Q479=1,SUM($Q$2:Q479),"")</f>
        <v/>
      </c>
    </row>
    <row r="480" spans="1:18" x14ac:dyDescent="0.2">
      <c r="A480" s="72"/>
      <c r="B480" s="76"/>
      <c r="C480" s="73"/>
      <c r="D480" s="73" t="s">
        <v>965</v>
      </c>
      <c r="E480" s="77" t="s">
        <v>110</v>
      </c>
      <c r="F480" s="75" t="s">
        <v>1549</v>
      </c>
      <c r="G480" s="75" t="s">
        <v>1064</v>
      </c>
      <c r="H480" s="69"/>
      <c r="P480" s="69">
        <f t="shared" si="7"/>
        <v>0</v>
      </c>
      <c r="Q480" s="69" cm="1">
        <f t="array" ref="Q480">IF(P480=1,IF(SUMPRODUCT(($P$2:P480)*(--($G$2:G480=$G480)))=1,1,0),0)</f>
        <v>0</v>
      </c>
      <c r="R480" s="69" t="str">
        <f>IF(Q480=1,SUM($Q$2:Q480),"")</f>
        <v/>
      </c>
    </row>
    <row r="481" spans="1:18" x14ac:dyDescent="0.2">
      <c r="A481" s="72"/>
      <c r="B481" s="76"/>
      <c r="C481" s="73"/>
      <c r="D481" s="73" t="s">
        <v>965</v>
      </c>
      <c r="E481" s="77" t="s">
        <v>110</v>
      </c>
      <c r="F481" s="75" t="s">
        <v>1550</v>
      </c>
      <c r="G481" s="75" t="s">
        <v>1064</v>
      </c>
      <c r="H481" s="69"/>
      <c r="P481" s="69">
        <f t="shared" si="7"/>
        <v>0</v>
      </c>
      <c r="Q481" s="69" cm="1">
        <f t="array" ref="Q481">IF(P481=1,IF(SUMPRODUCT(($P$2:P481)*(--($G$2:G481=$G481)))=1,1,0),0)</f>
        <v>0</v>
      </c>
      <c r="R481" s="69" t="str">
        <f>IF(Q481=1,SUM($Q$2:Q481),"")</f>
        <v/>
      </c>
    </row>
    <row r="482" spans="1:18" x14ac:dyDescent="0.2">
      <c r="A482" s="72"/>
      <c r="B482" s="76"/>
      <c r="C482" s="73"/>
      <c r="D482" s="73" t="s">
        <v>965</v>
      </c>
      <c r="E482" s="77" t="s">
        <v>990</v>
      </c>
      <c r="F482" s="75" t="s">
        <v>1547</v>
      </c>
      <c r="G482" s="75" t="s">
        <v>1064</v>
      </c>
      <c r="H482" s="69"/>
      <c r="P482" s="69">
        <f t="shared" si="7"/>
        <v>0</v>
      </c>
      <c r="Q482" s="69" cm="1">
        <f t="array" ref="Q482">IF(P482=1,IF(SUMPRODUCT(($P$2:P482)*(--($G$2:G482=$G482)))=1,1,0),0)</f>
        <v>0</v>
      </c>
      <c r="R482" s="69" t="str">
        <f>IF(Q482=1,SUM($Q$2:Q482),"")</f>
        <v/>
      </c>
    </row>
    <row r="483" spans="1:18" x14ac:dyDescent="0.2">
      <c r="A483" s="72"/>
      <c r="B483" s="76"/>
      <c r="C483" s="73"/>
      <c r="D483" s="73" t="s">
        <v>965</v>
      </c>
      <c r="E483" s="77" t="s">
        <v>990</v>
      </c>
      <c r="F483" s="75" t="s">
        <v>1548</v>
      </c>
      <c r="G483" s="75" t="s">
        <v>1064</v>
      </c>
      <c r="H483" s="69"/>
      <c r="P483" s="69">
        <f t="shared" si="7"/>
        <v>0</v>
      </c>
      <c r="Q483" s="69" cm="1">
        <f t="array" ref="Q483">IF(P483=1,IF(SUMPRODUCT(($P$2:P483)*(--($G$2:G483=$G483)))=1,1,0),0)</f>
        <v>0</v>
      </c>
      <c r="R483" s="69" t="str">
        <f>IF(Q483=1,SUM($Q$2:Q483),"")</f>
        <v/>
      </c>
    </row>
    <row r="484" spans="1:18" x14ac:dyDescent="0.2">
      <c r="A484" s="72"/>
      <c r="B484" s="76"/>
      <c r="C484" s="73"/>
      <c r="D484" s="73" t="s">
        <v>965</v>
      </c>
      <c r="E484" s="77" t="s">
        <v>990</v>
      </c>
      <c r="F484" s="75" t="s">
        <v>1549</v>
      </c>
      <c r="G484" s="75" t="s">
        <v>1064</v>
      </c>
      <c r="H484" s="69"/>
      <c r="P484" s="69">
        <f t="shared" si="7"/>
        <v>0</v>
      </c>
      <c r="Q484" s="69" cm="1">
        <f t="array" ref="Q484">IF(P484=1,IF(SUMPRODUCT(($P$2:P484)*(--($G$2:G484=$G484)))=1,1,0),0)</f>
        <v>0</v>
      </c>
      <c r="R484" s="69" t="str">
        <f>IF(Q484=1,SUM($Q$2:Q484),"")</f>
        <v/>
      </c>
    </row>
    <row r="485" spans="1:18" x14ac:dyDescent="0.2">
      <c r="A485" s="72"/>
      <c r="B485" s="76"/>
      <c r="C485" s="73"/>
      <c r="D485" s="73" t="s">
        <v>965</v>
      </c>
      <c r="E485" s="77" t="s">
        <v>990</v>
      </c>
      <c r="F485" s="75" t="s">
        <v>1550</v>
      </c>
      <c r="G485" s="75" t="s">
        <v>1064</v>
      </c>
      <c r="H485" s="69"/>
      <c r="P485" s="69">
        <f t="shared" si="7"/>
        <v>0</v>
      </c>
      <c r="Q485" s="69" cm="1">
        <f t="array" ref="Q485">IF(P485=1,IF(SUMPRODUCT(($P$2:P485)*(--($G$2:G485=$G485)))=1,1,0),0)</f>
        <v>0</v>
      </c>
      <c r="R485" s="69" t="str">
        <f>IF(Q485=1,SUM($Q$2:Q485),"")</f>
        <v/>
      </c>
    </row>
    <row r="486" spans="1:18" x14ac:dyDescent="0.2">
      <c r="A486" s="72"/>
      <c r="B486" s="76"/>
      <c r="C486" s="73"/>
      <c r="D486" s="73" t="s">
        <v>969</v>
      </c>
      <c r="E486" s="77" t="s">
        <v>110</v>
      </c>
      <c r="F486" s="75" t="s">
        <v>1551</v>
      </c>
      <c r="G486" s="75" t="s">
        <v>1065</v>
      </c>
      <c r="H486" s="69"/>
      <c r="P486" s="69">
        <f t="shared" si="7"/>
        <v>0</v>
      </c>
      <c r="Q486" s="69" cm="1">
        <f t="array" ref="Q486">IF(P486=1,IF(SUMPRODUCT(($P$2:P486)*(--($G$2:G486=$G486)))=1,1,0),0)</f>
        <v>0</v>
      </c>
      <c r="R486" s="69" t="str">
        <f>IF(Q486=1,SUM($Q$2:Q486),"")</f>
        <v/>
      </c>
    </row>
    <row r="487" spans="1:18" x14ac:dyDescent="0.2">
      <c r="A487" s="72"/>
      <c r="B487" s="76"/>
      <c r="C487" s="73"/>
      <c r="D487" s="73" t="s">
        <v>969</v>
      </c>
      <c r="E487" s="77" t="s">
        <v>110</v>
      </c>
      <c r="F487" s="75" t="s">
        <v>1548</v>
      </c>
      <c r="G487" s="75" t="s">
        <v>1065</v>
      </c>
      <c r="H487" s="69"/>
      <c r="P487" s="69">
        <f t="shared" si="7"/>
        <v>0</v>
      </c>
      <c r="Q487" s="69" cm="1">
        <f t="array" ref="Q487">IF(P487=1,IF(SUMPRODUCT(($P$2:P487)*(--($G$2:G487=$G487)))=1,1,0),0)</f>
        <v>0</v>
      </c>
      <c r="R487" s="69" t="str">
        <f>IF(Q487=1,SUM($Q$2:Q487),"")</f>
        <v/>
      </c>
    </row>
    <row r="488" spans="1:18" x14ac:dyDescent="0.2">
      <c r="A488" s="72"/>
      <c r="B488" s="76"/>
      <c r="C488" s="73"/>
      <c r="D488" s="73" t="s">
        <v>969</v>
      </c>
      <c r="E488" s="77" t="s">
        <v>110</v>
      </c>
      <c r="F488" s="75" t="s">
        <v>1552</v>
      </c>
      <c r="G488" s="75" t="s">
        <v>1065</v>
      </c>
      <c r="H488" s="69"/>
      <c r="P488" s="69">
        <f t="shared" si="7"/>
        <v>0</v>
      </c>
      <c r="Q488" s="69" cm="1">
        <f t="array" ref="Q488">IF(P488=1,IF(SUMPRODUCT(($P$2:P488)*(--($G$2:G488=$G488)))=1,1,0),0)</f>
        <v>0</v>
      </c>
      <c r="R488" s="69" t="str">
        <f>IF(Q488=1,SUM($Q$2:Q488),"")</f>
        <v/>
      </c>
    </row>
    <row r="489" spans="1:18" x14ac:dyDescent="0.2">
      <c r="A489" s="72"/>
      <c r="B489" s="76"/>
      <c r="C489" s="73"/>
      <c r="D489" s="73" t="s">
        <v>969</v>
      </c>
      <c r="E489" s="77" t="s">
        <v>110</v>
      </c>
      <c r="F489" s="75" t="s">
        <v>1550</v>
      </c>
      <c r="G489" s="75" t="s">
        <v>1065</v>
      </c>
      <c r="H489" s="69"/>
      <c r="P489" s="69">
        <f t="shared" si="7"/>
        <v>0</v>
      </c>
      <c r="Q489" s="69" cm="1">
        <f t="array" ref="Q489">IF(P489=1,IF(SUMPRODUCT(($P$2:P489)*(--($G$2:G489=$G489)))=1,1,0),0)</f>
        <v>0</v>
      </c>
      <c r="R489" s="69" t="str">
        <f>IF(Q489=1,SUM($Q$2:Q489),"")</f>
        <v/>
      </c>
    </row>
    <row r="490" spans="1:18" x14ac:dyDescent="0.2">
      <c r="A490" s="72"/>
      <c r="B490" s="76"/>
      <c r="C490" s="73"/>
      <c r="D490" s="73" t="s">
        <v>969</v>
      </c>
      <c r="E490" s="77" t="s">
        <v>990</v>
      </c>
      <c r="F490" s="75" t="s">
        <v>1551</v>
      </c>
      <c r="G490" s="75" t="s">
        <v>1065</v>
      </c>
      <c r="H490" s="69"/>
      <c r="P490" s="69">
        <f t="shared" si="7"/>
        <v>0</v>
      </c>
      <c r="Q490" s="69" cm="1">
        <f t="array" ref="Q490">IF(P490=1,IF(SUMPRODUCT(($P$2:P490)*(--($G$2:G490=$G490)))=1,1,0),0)</f>
        <v>0</v>
      </c>
      <c r="R490" s="69" t="str">
        <f>IF(Q490=1,SUM($Q$2:Q490),"")</f>
        <v/>
      </c>
    </row>
    <row r="491" spans="1:18" x14ac:dyDescent="0.2">
      <c r="A491" s="72"/>
      <c r="B491" s="76"/>
      <c r="C491" s="73"/>
      <c r="D491" s="73" t="s">
        <v>969</v>
      </c>
      <c r="E491" s="77" t="s">
        <v>990</v>
      </c>
      <c r="F491" s="75" t="s">
        <v>1548</v>
      </c>
      <c r="G491" s="75" t="s">
        <v>1065</v>
      </c>
      <c r="H491" s="69"/>
      <c r="P491" s="69">
        <f t="shared" si="7"/>
        <v>0</v>
      </c>
      <c r="Q491" s="69" cm="1">
        <f t="array" ref="Q491">IF(P491=1,IF(SUMPRODUCT(($P$2:P491)*(--($G$2:G491=$G491)))=1,1,0),0)</f>
        <v>0</v>
      </c>
      <c r="R491" s="69" t="str">
        <f>IF(Q491=1,SUM($Q$2:Q491),"")</f>
        <v/>
      </c>
    </row>
    <row r="492" spans="1:18" x14ac:dyDescent="0.2">
      <c r="A492" s="72"/>
      <c r="B492" s="76"/>
      <c r="C492" s="73"/>
      <c r="D492" s="73" t="s">
        <v>969</v>
      </c>
      <c r="E492" s="77" t="s">
        <v>990</v>
      </c>
      <c r="F492" s="75" t="s">
        <v>1552</v>
      </c>
      <c r="G492" s="75" t="s">
        <v>1065</v>
      </c>
      <c r="H492" s="69"/>
      <c r="P492" s="69">
        <f t="shared" si="7"/>
        <v>0</v>
      </c>
      <c r="Q492" s="69" cm="1">
        <f t="array" ref="Q492">IF(P492=1,IF(SUMPRODUCT(($P$2:P492)*(--($G$2:G492=$G492)))=1,1,0),0)</f>
        <v>0</v>
      </c>
      <c r="R492" s="69" t="str">
        <f>IF(Q492=1,SUM($Q$2:Q492),"")</f>
        <v/>
      </c>
    </row>
    <row r="493" spans="1:18" x14ac:dyDescent="0.2">
      <c r="A493" s="72"/>
      <c r="B493" s="76"/>
      <c r="C493" s="73"/>
      <c r="D493" s="73" t="s">
        <v>969</v>
      </c>
      <c r="E493" s="77" t="s">
        <v>990</v>
      </c>
      <c r="F493" s="75" t="s">
        <v>1550</v>
      </c>
      <c r="G493" s="75" t="s">
        <v>1065</v>
      </c>
      <c r="H493" s="69"/>
      <c r="P493" s="69">
        <f t="shared" si="7"/>
        <v>0</v>
      </c>
      <c r="Q493" s="69" cm="1">
        <f t="array" ref="Q493">IF(P493=1,IF(SUMPRODUCT(($P$2:P493)*(--($G$2:G493=$G493)))=1,1,0),0)</f>
        <v>0</v>
      </c>
      <c r="R493" s="69" t="str">
        <f>IF(Q493=1,SUM($Q$2:Q493),"")</f>
        <v/>
      </c>
    </row>
    <row r="494" spans="1:18" ht="16" x14ac:dyDescent="0.2">
      <c r="A494" s="72"/>
      <c r="B494" s="76"/>
      <c r="C494" s="73"/>
      <c r="D494" s="73" t="s">
        <v>969</v>
      </c>
      <c r="E494" s="77" t="s">
        <v>110</v>
      </c>
      <c r="F494" s="75" t="s">
        <v>1553</v>
      </c>
      <c r="G494" s="74" t="s">
        <v>1119</v>
      </c>
      <c r="H494" s="69"/>
      <c r="P494" s="69">
        <f t="shared" si="7"/>
        <v>0</v>
      </c>
      <c r="Q494" s="69" cm="1">
        <f t="array" ref="Q494">IF(P494=1,IF(SUMPRODUCT(($P$2:P494)*(--($G$2:G494=$G494)))=1,1,0),0)</f>
        <v>0</v>
      </c>
      <c r="R494" s="69" t="str">
        <f>IF(Q494=1,SUM($Q$2:Q494),"")</f>
        <v/>
      </c>
    </row>
    <row r="495" spans="1:18" ht="16" x14ac:dyDescent="0.2">
      <c r="A495" s="72"/>
      <c r="B495" s="76"/>
      <c r="C495" s="73"/>
      <c r="D495" s="73" t="s">
        <v>969</v>
      </c>
      <c r="E495" s="77" t="s">
        <v>110</v>
      </c>
      <c r="F495" s="75" t="s">
        <v>1554</v>
      </c>
      <c r="G495" s="74" t="s">
        <v>1119</v>
      </c>
      <c r="H495" s="69"/>
      <c r="P495" s="69">
        <f t="shared" si="7"/>
        <v>0</v>
      </c>
      <c r="Q495" s="69" cm="1">
        <f t="array" ref="Q495">IF(P495=1,IF(SUMPRODUCT(($P$2:P495)*(--($G$2:G495=$G495)))=1,1,0),0)</f>
        <v>0</v>
      </c>
      <c r="R495" s="69" t="str">
        <f>IF(Q495=1,SUM($Q$2:Q495),"")</f>
        <v/>
      </c>
    </row>
    <row r="496" spans="1:18" ht="16" x14ac:dyDescent="0.2">
      <c r="A496" s="72"/>
      <c r="B496" s="76"/>
      <c r="C496" s="73"/>
      <c r="D496" s="73" t="s">
        <v>969</v>
      </c>
      <c r="E496" s="77" t="s">
        <v>110</v>
      </c>
      <c r="F496" s="75" t="s">
        <v>1555</v>
      </c>
      <c r="G496" s="74" t="s">
        <v>1119</v>
      </c>
      <c r="H496" s="69"/>
      <c r="P496" s="69">
        <f t="shared" si="7"/>
        <v>0</v>
      </c>
      <c r="Q496" s="69" cm="1">
        <f t="array" ref="Q496">IF(P496=1,IF(SUMPRODUCT(($P$2:P496)*(--($G$2:G496=$G496)))=1,1,0),0)</f>
        <v>0</v>
      </c>
      <c r="R496" s="69" t="str">
        <f>IF(Q496=1,SUM($Q$2:Q496),"")</f>
        <v/>
      </c>
    </row>
    <row r="497" spans="1:18" ht="16" x14ac:dyDescent="0.2">
      <c r="A497" s="72"/>
      <c r="B497" s="76"/>
      <c r="C497" s="73"/>
      <c r="D497" s="73" t="s">
        <v>969</v>
      </c>
      <c r="E497" s="77" t="s">
        <v>110</v>
      </c>
      <c r="F497" s="75" t="s">
        <v>1535</v>
      </c>
      <c r="G497" s="74" t="s">
        <v>1119</v>
      </c>
      <c r="H497" s="69"/>
      <c r="P497" s="69">
        <f t="shared" si="7"/>
        <v>0</v>
      </c>
      <c r="Q497" s="69" cm="1">
        <f t="array" ref="Q497">IF(P497=1,IF(SUMPRODUCT(($P$2:P497)*(--($G$2:G497=$G497)))=1,1,0),0)</f>
        <v>0</v>
      </c>
      <c r="R497" s="69" t="str">
        <f>IF(Q497=1,SUM($Q$2:Q497),"")</f>
        <v/>
      </c>
    </row>
    <row r="498" spans="1:18" ht="16" x14ac:dyDescent="0.2">
      <c r="A498" s="72"/>
      <c r="B498" s="76"/>
      <c r="C498" s="73"/>
      <c r="D498" s="73" t="s">
        <v>969</v>
      </c>
      <c r="E498" s="77" t="s">
        <v>110</v>
      </c>
      <c r="F498" s="75" t="s">
        <v>372</v>
      </c>
      <c r="G498" s="74" t="s">
        <v>1119</v>
      </c>
      <c r="H498" s="69"/>
      <c r="P498" s="69">
        <f t="shared" si="7"/>
        <v>0</v>
      </c>
      <c r="Q498" s="69" cm="1">
        <f t="array" ref="Q498">IF(P498=1,IF(SUMPRODUCT(($P$2:P498)*(--($G$2:G498=$G498)))=1,1,0),0)</f>
        <v>0</v>
      </c>
      <c r="R498" s="69" t="str">
        <f>IF(Q498=1,SUM($Q$2:Q498),"")</f>
        <v/>
      </c>
    </row>
    <row r="499" spans="1:18" ht="16" x14ac:dyDescent="0.2">
      <c r="A499" s="72"/>
      <c r="B499" s="76"/>
      <c r="C499" s="73"/>
      <c r="D499" s="73" t="s">
        <v>969</v>
      </c>
      <c r="E499" s="77" t="s">
        <v>110</v>
      </c>
      <c r="F499" s="75" t="s">
        <v>1556</v>
      </c>
      <c r="G499" s="74" t="s">
        <v>1119</v>
      </c>
      <c r="H499" s="69"/>
      <c r="P499" s="69">
        <f t="shared" si="7"/>
        <v>0</v>
      </c>
      <c r="Q499" s="69" cm="1">
        <f t="array" ref="Q499">IF(P499=1,IF(SUMPRODUCT(($P$2:P499)*(--($G$2:G499=$G499)))=1,1,0),0)</f>
        <v>0</v>
      </c>
      <c r="R499" s="69" t="str">
        <f>IF(Q499=1,SUM($Q$2:Q499),"")</f>
        <v/>
      </c>
    </row>
    <row r="500" spans="1:18" ht="16" x14ac:dyDescent="0.2">
      <c r="A500" s="72"/>
      <c r="B500" s="76"/>
      <c r="C500" s="73"/>
      <c r="D500" s="73" t="s">
        <v>969</v>
      </c>
      <c r="E500" s="77" t="s">
        <v>990</v>
      </c>
      <c r="F500" s="75" t="s">
        <v>1553</v>
      </c>
      <c r="G500" s="74" t="s">
        <v>1119</v>
      </c>
      <c r="H500" s="69"/>
      <c r="P500" s="69">
        <f t="shared" si="7"/>
        <v>0</v>
      </c>
      <c r="Q500" s="69" cm="1">
        <f t="array" ref="Q500">IF(P500=1,IF(SUMPRODUCT(($P$2:P500)*(--($G$2:G500=$G500)))=1,1,0),0)</f>
        <v>0</v>
      </c>
      <c r="R500" s="69" t="str">
        <f>IF(Q500=1,SUM($Q$2:Q500),"")</f>
        <v/>
      </c>
    </row>
    <row r="501" spans="1:18" ht="16" x14ac:dyDescent="0.2">
      <c r="A501" s="72"/>
      <c r="B501" s="76"/>
      <c r="C501" s="73"/>
      <c r="D501" s="73" t="s">
        <v>969</v>
      </c>
      <c r="E501" s="77" t="s">
        <v>990</v>
      </c>
      <c r="F501" s="75" t="s">
        <v>1554</v>
      </c>
      <c r="G501" s="74" t="s">
        <v>1119</v>
      </c>
      <c r="H501" s="69"/>
      <c r="P501" s="69">
        <f t="shared" si="7"/>
        <v>0</v>
      </c>
      <c r="Q501" s="69" cm="1">
        <f t="array" ref="Q501">IF(P501=1,IF(SUMPRODUCT(($P$2:P501)*(--($G$2:G501=$G501)))=1,1,0),0)</f>
        <v>0</v>
      </c>
      <c r="R501" s="69" t="str">
        <f>IF(Q501=1,SUM($Q$2:Q501),"")</f>
        <v/>
      </c>
    </row>
    <row r="502" spans="1:18" ht="16" x14ac:dyDescent="0.2">
      <c r="A502" s="72"/>
      <c r="B502" s="76"/>
      <c r="C502" s="73"/>
      <c r="D502" s="73" t="s">
        <v>969</v>
      </c>
      <c r="E502" s="77" t="s">
        <v>990</v>
      </c>
      <c r="F502" s="75" t="s">
        <v>1555</v>
      </c>
      <c r="G502" s="74" t="s">
        <v>1119</v>
      </c>
      <c r="H502" s="69"/>
      <c r="P502" s="69">
        <f t="shared" si="7"/>
        <v>0</v>
      </c>
      <c r="Q502" s="69" cm="1">
        <f t="array" ref="Q502">IF(P502=1,IF(SUMPRODUCT(($P$2:P502)*(--($G$2:G502=$G502)))=1,1,0),0)</f>
        <v>0</v>
      </c>
      <c r="R502" s="69" t="str">
        <f>IF(Q502=1,SUM($Q$2:Q502),"")</f>
        <v/>
      </c>
    </row>
    <row r="503" spans="1:18" ht="16" x14ac:dyDescent="0.2">
      <c r="A503" s="72"/>
      <c r="B503" s="76"/>
      <c r="C503" s="73"/>
      <c r="D503" s="73" t="s">
        <v>969</v>
      </c>
      <c r="E503" s="77" t="s">
        <v>990</v>
      </c>
      <c r="F503" s="75" t="s">
        <v>1535</v>
      </c>
      <c r="G503" s="74" t="s">
        <v>1119</v>
      </c>
      <c r="H503" s="69"/>
      <c r="P503" s="69">
        <f t="shared" si="7"/>
        <v>0</v>
      </c>
      <c r="Q503" s="69" cm="1">
        <f t="array" ref="Q503">IF(P503=1,IF(SUMPRODUCT(($P$2:P503)*(--($G$2:G503=$G503)))=1,1,0),0)</f>
        <v>0</v>
      </c>
      <c r="R503" s="69" t="str">
        <f>IF(Q503=1,SUM($Q$2:Q503),"")</f>
        <v/>
      </c>
    </row>
    <row r="504" spans="1:18" ht="16" x14ac:dyDescent="0.2">
      <c r="A504" s="72"/>
      <c r="B504" s="76"/>
      <c r="C504" s="73"/>
      <c r="D504" s="73" t="s">
        <v>969</v>
      </c>
      <c r="E504" s="77" t="s">
        <v>990</v>
      </c>
      <c r="F504" s="75" t="s">
        <v>372</v>
      </c>
      <c r="G504" s="74" t="s">
        <v>1119</v>
      </c>
      <c r="H504" s="69"/>
      <c r="P504" s="69">
        <f t="shared" si="7"/>
        <v>0</v>
      </c>
      <c r="Q504" s="69" cm="1">
        <f t="array" ref="Q504">IF(P504=1,IF(SUMPRODUCT(($P$2:P504)*(--($G$2:G504=$G504)))=1,1,0),0)</f>
        <v>0</v>
      </c>
      <c r="R504" s="69" t="str">
        <f>IF(Q504=1,SUM($Q$2:Q504),"")</f>
        <v/>
      </c>
    </row>
    <row r="505" spans="1:18" ht="16" x14ac:dyDescent="0.2">
      <c r="A505" s="72"/>
      <c r="B505" s="76"/>
      <c r="C505" s="73"/>
      <c r="D505" s="73" t="s">
        <v>969</v>
      </c>
      <c r="E505" s="77" t="s">
        <v>990</v>
      </c>
      <c r="F505" s="75" t="s">
        <v>1556</v>
      </c>
      <c r="G505" s="74" t="s">
        <v>1119</v>
      </c>
      <c r="H505" s="69"/>
      <c r="P505" s="69">
        <f t="shared" si="7"/>
        <v>0</v>
      </c>
      <c r="Q505" s="69" cm="1">
        <f t="array" ref="Q505">IF(P505=1,IF(SUMPRODUCT(($P$2:P505)*(--($G$2:G505=$G505)))=1,1,0),0)</f>
        <v>0</v>
      </c>
      <c r="R505" s="69" t="str">
        <f>IF(Q505=1,SUM($Q$2:Q505),"")</f>
        <v/>
      </c>
    </row>
    <row r="506" spans="1:18" ht="16" x14ac:dyDescent="0.2">
      <c r="A506" s="72"/>
      <c r="B506" s="76"/>
      <c r="C506" s="73"/>
      <c r="D506" s="73" t="s">
        <v>969</v>
      </c>
      <c r="E506" s="77" t="s">
        <v>94</v>
      </c>
      <c r="F506" s="75" t="s">
        <v>1553</v>
      </c>
      <c r="G506" s="74" t="s">
        <v>1118</v>
      </c>
      <c r="H506" s="69"/>
      <c r="P506" s="69">
        <f t="shared" si="7"/>
        <v>0</v>
      </c>
      <c r="Q506" s="69" cm="1">
        <f t="array" ref="Q506">IF(P506=1,IF(SUMPRODUCT(($P$2:P506)*(--($G$2:G506=$G506)))=1,1,0),0)</f>
        <v>0</v>
      </c>
      <c r="R506" s="69" t="str">
        <f>IF(Q506=1,SUM($Q$2:Q506),"")</f>
        <v/>
      </c>
    </row>
    <row r="507" spans="1:18" ht="16" x14ac:dyDescent="0.2">
      <c r="A507" s="72"/>
      <c r="B507" s="76"/>
      <c r="C507" s="73"/>
      <c r="D507" s="73" t="s">
        <v>969</v>
      </c>
      <c r="E507" s="77" t="s">
        <v>94</v>
      </c>
      <c r="F507" s="75" t="s">
        <v>1554</v>
      </c>
      <c r="G507" s="74" t="s">
        <v>1118</v>
      </c>
      <c r="H507" s="69"/>
      <c r="P507" s="69">
        <f t="shared" si="7"/>
        <v>0</v>
      </c>
      <c r="Q507" s="69" cm="1">
        <f t="array" ref="Q507">IF(P507=1,IF(SUMPRODUCT(($P$2:P507)*(--($G$2:G507=$G507)))=1,1,0),0)</f>
        <v>0</v>
      </c>
      <c r="R507" s="69" t="str">
        <f>IF(Q507=1,SUM($Q$2:Q507),"")</f>
        <v/>
      </c>
    </row>
    <row r="508" spans="1:18" ht="16" x14ac:dyDescent="0.2">
      <c r="A508" s="72"/>
      <c r="B508" s="76"/>
      <c r="C508" s="73"/>
      <c r="D508" s="73" t="s">
        <v>969</v>
      </c>
      <c r="E508" s="77" t="s">
        <v>94</v>
      </c>
      <c r="F508" s="75" t="s">
        <v>1555</v>
      </c>
      <c r="G508" s="74" t="s">
        <v>1118</v>
      </c>
      <c r="H508" s="69"/>
      <c r="P508" s="69">
        <f t="shared" si="7"/>
        <v>0</v>
      </c>
      <c r="Q508" s="69" cm="1">
        <f t="array" ref="Q508">IF(P508=1,IF(SUMPRODUCT(($P$2:P508)*(--($G$2:G508=$G508)))=1,1,0),0)</f>
        <v>0</v>
      </c>
      <c r="R508" s="69" t="str">
        <f>IF(Q508=1,SUM($Q$2:Q508),"")</f>
        <v/>
      </c>
    </row>
    <row r="509" spans="1:18" ht="16" x14ac:dyDescent="0.2">
      <c r="A509" s="72"/>
      <c r="B509" s="76"/>
      <c r="C509" s="73"/>
      <c r="D509" s="73" t="s">
        <v>969</v>
      </c>
      <c r="E509" s="77" t="s">
        <v>94</v>
      </c>
      <c r="F509" s="75" t="s">
        <v>1535</v>
      </c>
      <c r="G509" s="74" t="s">
        <v>1118</v>
      </c>
      <c r="H509" s="69"/>
      <c r="P509" s="69">
        <f t="shared" si="7"/>
        <v>0</v>
      </c>
      <c r="Q509" s="69" cm="1">
        <f t="array" ref="Q509">IF(P509=1,IF(SUMPRODUCT(($P$2:P509)*(--($G$2:G509=$G509)))=1,1,0),0)</f>
        <v>0</v>
      </c>
      <c r="R509" s="69" t="str">
        <f>IF(Q509=1,SUM($Q$2:Q509),"")</f>
        <v/>
      </c>
    </row>
    <row r="510" spans="1:18" ht="16" x14ac:dyDescent="0.2">
      <c r="A510" s="72"/>
      <c r="B510" s="76"/>
      <c r="C510" s="73"/>
      <c r="D510" s="73" t="s">
        <v>969</v>
      </c>
      <c r="E510" s="77" t="s">
        <v>94</v>
      </c>
      <c r="F510" s="75" t="s">
        <v>372</v>
      </c>
      <c r="G510" s="74" t="s">
        <v>1118</v>
      </c>
      <c r="H510" s="69"/>
      <c r="P510" s="69">
        <f t="shared" si="7"/>
        <v>0</v>
      </c>
      <c r="Q510" s="69" cm="1">
        <f t="array" ref="Q510">IF(P510=1,IF(SUMPRODUCT(($P$2:P510)*(--($G$2:G510=$G510)))=1,1,0),0)</f>
        <v>0</v>
      </c>
      <c r="R510" s="69" t="str">
        <f>IF(Q510=1,SUM($Q$2:Q510),"")</f>
        <v/>
      </c>
    </row>
    <row r="511" spans="1:18" ht="16" x14ac:dyDescent="0.2">
      <c r="A511" s="72"/>
      <c r="B511" s="76"/>
      <c r="C511" s="73"/>
      <c r="D511" s="73" t="s">
        <v>969</v>
      </c>
      <c r="E511" s="77" t="s">
        <v>94</v>
      </c>
      <c r="F511" s="75" t="s">
        <v>1556</v>
      </c>
      <c r="G511" s="74" t="s">
        <v>1118</v>
      </c>
      <c r="H511" s="69"/>
      <c r="P511" s="69">
        <f t="shared" si="7"/>
        <v>0</v>
      </c>
      <c r="Q511" s="69" cm="1">
        <f t="array" ref="Q511">IF(P511=1,IF(SUMPRODUCT(($P$2:P511)*(--($G$2:G511=$G511)))=1,1,0),0)</f>
        <v>0</v>
      </c>
      <c r="R511" s="69" t="str">
        <f>IF(Q511=1,SUM($Q$2:Q511),"")</f>
        <v/>
      </c>
    </row>
    <row r="512" spans="1:18" ht="16" x14ac:dyDescent="0.2">
      <c r="A512" s="72"/>
      <c r="B512" s="76"/>
      <c r="C512" s="73"/>
      <c r="D512" s="73" t="s">
        <v>965</v>
      </c>
      <c r="E512" s="77" t="s">
        <v>94</v>
      </c>
      <c r="F512" s="75" t="s">
        <v>1553</v>
      </c>
      <c r="G512" s="74" t="s">
        <v>1116</v>
      </c>
      <c r="H512" s="69"/>
      <c r="P512" s="69">
        <f t="shared" si="7"/>
        <v>0</v>
      </c>
      <c r="Q512" s="69" cm="1">
        <f t="array" ref="Q512">IF(P512=1,IF(SUMPRODUCT(($P$2:P512)*(--($G$2:G512=$G512)))=1,1,0),0)</f>
        <v>0</v>
      </c>
      <c r="R512" s="69" t="str">
        <f>IF(Q512=1,SUM($Q$2:Q512),"")</f>
        <v/>
      </c>
    </row>
    <row r="513" spans="1:18" ht="16" x14ac:dyDescent="0.2">
      <c r="A513" s="72"/>
      <c r="B513" s="76"/>
      <c r="C513" s="73"/>
      <c r="D513" s="73" t="s">
        <v>965</v>
      </c>
      <c r="E513" s="77" t="s">
        <v>94</v>
      </c>
      <c r="F513" s="75" t="s">
        <v>1554</v>
      </c>
      <c r="G513" s="74" t="s">
        <v>1116</v>
      </c>
      <c r="H513" s="69"/>
      <c r="P513" s="69">
        <f t="shared" si="7"/>
        <v>0</v>
      </c>
      <c r="Q513" s="69" cm="1">
        <f t="array" ref="Q513">IF(P513=1,IF(SUMPRODUCT(($P$2:P513)*(--($G$2:G513=$G513)))=1,1,0),0)</f>
        <v>0</v>
      </c>
      <c r="R513" s="69" t="str">
        <f>IF(Q513=1,SUM($Q$2:Q513),"")</f>
        <v/>
      </c>
    </row>
    <row r="514" spans="1:18" ht="16" x14ac:dyDescent="0.2">
      <c r="A514" s="72"/>
      <c r="B514" s="76"/>
      <c r="C514" s="73"/>
      <c r="D514" s="73" t="s">
        <v>965</v>
      </c>
      <c r="E514" s="77" t="s">
        <v>94</v>
      </c>
      <c r="F514" s="75" t="s">
        <v>1555</v>
      </c>
      <c r="G514" s="74" t="s">
        <v>1116</v>
      </c>
      <c r="H514" s="69"/>
      <c r="P514" s="69">
        <f t="shared" si="7"/>
        <v>0</v>
      </c>
      <c r="Q514" s="69" cm="1">
        <f t="array" ref="Q514">IF(P514=1,IF(SUMPRODUCT(($P$2:P514)*(--($G$2:G514=$G514)))=1,1,0),0)</f>
        <v>0</v>
      </c>
      <c r="R514" s="69" t="str">
        <f>IF(Q514=1,SUM($Q$2:Q514),"")</f>
        <v/>
      </c>
    </row>
    <row r="515" spans="1:18" ht="16" x14ac:dyDescent="0.2">
      <c r="A515" s="72"/>
      <c r="B515" s="76"/>
      <c r="C515" s="73"/>
      <c r="D515" s="73" t="s">
        <v>965</v>
      </c>
      <c r="E515" s="77" t="s">
        <v>94</v>
      </c>
      <c r="F515" s="75" t="s">
        <v>1535</v>
      </c>
      <c r="G515" s="74" t="s">
        <v>1116</v>
      </c>
      <c r="H515" s="69"/>
      <c r="P515" s="69">
        <f t="shared" ref="P515:P578" si="8">IF(AND(IF(TRIM($J$2&amp;"")="",TRUE,LEFT($D515,LEN($J$2))=$J$2),IF(TRIM($K$2&amp;"")="",TRUE,$E515=$K$2),IF($L$2="",TRUE,$F515=$L$2)),1,0)</f>
        <v>0</v>
      </c>
      <c r="Q515" s="69" cm="1">
        <f t="array" ref="Q515">IF(P515=1,IF(SUMPRODUCT(($P$2:P515)*(--($G$2:G515=$G515)))=1,1,0),0)</f>
        <v>0</v>
      </c>
      <c r="R515" s="69" t="str">
        <f>IF(Q515=1,SUM($Q$2:Q515),"")</f>
        <v/>
      </c>
    </row>
    <row r="516" spans="1:18" ht="16" x14ac:dyDescent="0.2">
      <c r="A516" s="72"/>
      <c r="B516" s="76"/>
      <c r="C516" s="73"/>
      <c r="D516" s="73" t="s">
        <v>965</v>
      </c>
      <c r="E516" s="77" t="s">
        <v>94</v>
      </c>
      <c r="F516" s="75" t="s">
        <v>372</v>
      </c>
      <c r="G516" s="74" t="s">
        <v>1116</v>
      </c>
      <c r="H516" s="69"/>
      <c r="P516" s="69">
        <f t="shared" si="8"/>
        <v>0</v>
      </c>
      <c r="Q516" s="69" cm="1">
        <f t="array" ref="Q516">IF(P516=1,IF(SUMPRODUCT(($P$2:P516)*(--($G$2:G516=$G516)))=1,1,0),0)</f>
        <v>0</v>
      </c>
      <c r="R516" s="69" t="str">
        <f>IF(Q516=1,SUM($Q$2:Q516),"")</f>
        <v/>
      </c>
    </row>
    <row r="517" spans="1:18" ht="16" x14ac:dyDescent="0.2">
      <c r="A517" s="72"/>
      <c r="B517" s="76"/>
      <c r="C517" s="73"/>
      <c r="D517" s="73" t="s">
        <v>965</v>
      </c>
      <c r="E517" s="77" t="s">
        <v>94</v>
      </c>
      <c r="F517" s="75" t="s">
        <v>1556</v>
      </c>
      <c r="G517" s="74" t="s">
        <v>1116</v>
      </c>
      <c r="H517" s="69"/>
      <c r="P517" s="69">
        <f t="shared" si="8"/>
        <v>0</v>
      </c>
      <c r="Q517" s="69" cm="1">
        <f t="array" ref="Q517">IF(P517=1,IF(SUMPRODUCT(($P$2:P517)*(--($G$2:G517=$G517)))=1,1,0),0)</f>
        <v>0</v>
      </c>
      <c r="R517" s="69" t="str">
        <f>IF(Q517=1,SUM($Q$2:Q517),"")</f>
        <v/>
      </c>
    </row>
    <row r="518" spans="1:18" ht="16" x14ac:dyDescent="0.2">
      <c r="A518" s="72"/>
      <c r="B518" s="76"/>
      <c r="C518" s="73"/>
      <c r="D518" s="73" t="s">
        <v>965</v>
      </c>
      <c r="E518" s="77" t="s">
        <v>110</v>
      </c>
      <c r="F518" s="75" t="s">
        <v>1557</v>
      </c>
      <c r="G518" s="74" t="s">
        <v>352</v>
      </c>
      <c r="H518" s="69"/>
      <c r="P518" s="69">
        <f t="shared" si="8"/>
        <v>0</v>
      </c>
      <c r="Q518" s="69" cm="1">
        <f t="array" ref="Q518">IF(P518=1,IF(SUMPRODUCT(($P$2:P518)*(--($G$2:G518=$G518)))=1,1,0),0)</f>
        <v>0</v>
      </c>
      <c r="R518" s="69" t="str">
        <f>IF(Q518=1,SUM($Q$2:Q518),"")</f>
        <v/>
      </c>
    </row>
    <row r="519" spans="1:18" ht="16" x14ac:dyDescent="0.2">
      <c r="A519" s="72"/>
      <c r="B519" s="76"/>
      <c r="C519" s="73"/>
      <c r="D519" s="73" t="s">
        <v>965</v>
      </c>
      <c r="E519" s="77" t="s">
        <v>126</v>
      </c>
      <c r="F519" s="75" t="s">
        <v>1557</v>
      </c>
      <c r="G519" s="74" t="s">
        <v>352</v>
      </c>
      <c r="H519" s="69"/>
      <c r="P519" s="69">
        <f t="shared" si="8"/>
        <v>0</v>
      </c>
      <c r="Q519" s="69" cm="1">
        <f t="array" ref="Q519">IF(P519=1,IF(SUMPRODUCT(($P$2:P519)*(--($G$2:G519=$G519)))=1,1,0),0)</f>
        <v>0</v>
      </c>
      <c r="R519" s="69" t="str">
        <f>IF(Q519=1,SUM($Q$2:Q519),"")</f>
        <v/>
      </c>
    </row>
    <row r="520" spans="1:18" ht="16" x14ac:dyDescent="0.2">
      <c r="A520" s="72"/>
      <c r="B520" s="76"/>
      <c r="C520" s="73"/>
      <c r="D520" s="73" t="s">
        <v>965</v>
      </c>
      <c r="E520" s="77" t="s">
        <v>110</v>
      </c>
      <c r="F520" s="75" t="s">
        <v>1558</v>
      </c>
      <c r="G520" s="74" t="s">
        <v>352</v>
      </c>
      <c r="H520" s="69"/>
      <c r="P520" s="69">
        <f t="shared" si="8"/>
        <v>0</v>
      </c>
      <c r="Q520" s="69" cm="1">
        <f t="array" ref="Q520">IF(P520=1,IF(SUMPRODUCT(($P$2:P520)*(--($G$2:G520=$G520)))=1,1,0),0)</f>
        <v>0</v>
      </c>
      <c r="R520" s="69" t="str">
        <f>IF(Q520=1,SUM($Q$2:Q520),"")</f>
        <v/>
      </c>
    </row>
    <row r="521" spans="1:18" ht="16" x14ac:dyDescent="0.2">
      <c r="A521" s="72"/>
      <c r="B521" s="76"/>
      <c r="C521" s="73"/>
      <c r="D521" s="73" t="s">
        <v>965</v>
      </c>
      <c r="E521" s="77" t="s">
        <v>126</v>
      </c>
      <c r="F521" s="75" t="s">
        <v>1558</v>
      </c>
      <c r="G521" s="74" t="s">
        <v>352</v>
      </c>
      <c r="H521" s="69"/>
      <c r="P521" s="69">
        <f t="shared" si="8"/>
        <v>0</v>
      </c>
      <c r="Q521" s="69" cm="1">
        <f t="array" ref="Q521">IF(P521=1,IF(SUMPRODUCT(($P$2:P521)*(--($G$2:G521=$G521)))=1,1,0),0)</f>
        <v>0</v>
      </c>
      <c r="R521" s="69" t="str">
        <f>IF(Q521=1,SUM($Q$2:Q521),"")</f>
        <v/>
      </c>
    </row>
    <row r="522" spans="1:18" ht="16" x14ac:dyDescent="0.2">
      <c r="A522" s="72"/>
      <c r="B522" s="76"/>
      <c r="C522" s="73"/>
      <c r="D522" s="73" t="s">
        <v>965</v>
      </c>
      <c r="E522" s="77" t="s">
        <v>110</v>
      </c>
      <c r="F522" s="75" t="s">
        <v>1535</v>
      </c>
      <c r="G522" s="74" t="s">
        <v>352</v>
      </c>
      <c r="H522" s="69"/>
      <c r="P522" s="69">
        <f t="shared" si="8"/>
        <v>0</v>
      </c>
      <c r="Q522" s="69" cm="1">
        <f t="array" ref="Q522">IF(P522=1,IF(SUMPRODUCT(($P$2:P522)*(--($G$2:G522=$G522)))=1,1,0),0)</f>
        <v>0</v>
      </c>
      <c r="R522" s="69" t="str">
        <f>IF(Q522=1,SUM($Q$2:Q522),"")</f>
        <v/>
      </c>
    </row>
    <row r="523" spans="1:18" ht="16" x14ac:dyDescent="0.2">
      <c r="A523" s="72"/>
      <c r="B523" s="76"/>
      <c r="C523" s="73"/>
      <c r="D523" s="73" t="s">
        <v>965</v>
      </c>
      <c r="E523" s="77" t="s">
        <v>126</v>
      </c>
      <c r="F523" s="75" t="s">
        <v>1535</v>
      </c>
      <c r="G523" s="74" t="s">
        <v>352</v>
      </c>
      <c r="H523" s="69"/>
      <c r="P523" s="69">
        <f t="shared" si="8"/>
        <v>0</v>
      </c>
      <c r="Q523" s="69" cm="1">
        <f t="array" ref="Q523">IF(P523=1,IF(SUMPRODUCT(($P$2:P523)*(--($G$2:G523=$G523)))=1,1,0),0)</f>
        <v>0</v>
      </c>
      <c r="R523" s="69" t="str">
        <f>IF(Q523=1,SUM($Q$2:Q523),"")</f>
        <v/>
      </c>
    </row>
    <row r="524" spans="1:18" ht="16" x14ac:dyDescent="0.2">
      <c r="A524" s="72"/>
      <c r="B524" s="76"/>
      <c r="C524" s="73"/>
      <c r="D524" s="73" t="s">
        <v>965</v>
      </c>
      <c r="E524" s="77" t="s">
        <v>110</v>
      </c>
      <c r="F524" s="75" t="s">
        <v>372</v>
      </c>
      <c r="G524" s="74" t="s">
        <v>352</v>
      </c>
      <c r="H524" s="69"/>
      <c r="P524" s="69">
        <f t="shared" si="8"/>
        <v>0</v>
      </c>
      <c r="Q524" s="69" cm="1">
        <f t="array" ref="Q524">IF(P524=1,IF(SUMPRODUCT(($P$2:P524)*(--($G$2:G524=$G524)))=1,1,0),0)</f>
        <v>0</v>
      </c>
      <c r="R524" s="69" t="str">
        <f>IF(Q524=1,SUM($Q$2:Q524),"")</f>
        <v/>
      </c>
    </row>
    <row r="525" spans="1:18" ht="16" x14ac:dyDescent="0.2">
      <c r="A525" s="72"/>
      <c r="B525" s="76"/>
      <c r="C525" s="73"/>
      <c r="D525" s="73" t="s">
        <v>965</v>
      </c>
      <c r="E525" s="77" t="s">
        <v>126</v>
      </c>
      <c r="F525" s="75" t="s">
        <v>372</v>
      </c>
      <c r="G525" s="74" t="s">
        <v>352</v>
      </c>
      <c r="H525" s="69"/>
      <c r="P525" s="69">
        <f t="shared" si="8"/>
        <v>0</v>
      </c>
      <c r="Q525" s="69" cm="1">
        <f t="array" ref="Q525">IF(P525=1,IF(SUMPRODUCT(($P$2:P525)*(--($G$2:G525=$G525)))=1,1,0),0)</f>
        <v>0</v>
      </c>
      <c r="R525" s="69" t="str">
        <f>IF(Q525=1,SUM($Q$2:Q525),"")</f>
        <v/>
      </c>
    </row>
    <row r="526" spans="1:18" ht="16" x14ac:dyDescent="0.2">
      <c r="A526" s="72"/>
      <c r="B526" s="76"/>
      <c r="C526" s="73"/>
      <c r="D526" s="73" t="s">
        <v>965</v>
      </c>
      <c r="E526" s="77" t="s">
        <v>110</v>
      </c>
      <c r="F526" s="75" t="s">
        <v>1556</v>
      </c>
      <c r="G526" s="74" t="s">
        <v>352</v>
      </c>
      <c r="H526" s="69"/>
      <c r="P526" s="69">
        <f t="shared" si="8"/>
        <v>0</v>
      </c>
      <c r="Q526" s="69" cm="1">
        <f t="array" ref="Q526">IF(P526=1,IF(SUMPRODUCT(($P$2:P526)*(--($G$2:G526=$G526)))=1,1,0),0)</f>
        <v>0</v>
      </c>
      <c r="R526" s="69" t="str">
        <f>IF(Q526=1,SUM($Q$2:Q526),"")</f>
        <v/>
      </c>
    </row>
    <row r="527" spans="1:18" ht="16" x14ac:dyDescent="0.2">
      <c r="A527" s="72"/>
      <c r="B527" s="76"/>
      <c r="C527" s="73"/>
      <c r="D527" s="73" t="s">
        <v>965</v>
      </c>
      <c r="E527" s="77" t="s">
        <v>126</v>
      </c>
      <c r="F527" s="75" t="s">
        <v>1556</v>
      </c>
      <c r="G527" s="74" t="s">
        <v>352</v>
      </c>
      <c r="H527" s="69"/>
      <c r="P527" s="69">
        <f t="shared" si="8"/>
        <v>0</v>
      </c>
      <c r="Q527" s="69" cm="1">
        <f t="array" ref="Q527">IF(P527=1,IF(SUMPRODUCT(($P$2:P527)*(--($G$2:G527=$G527)))=1,1,0),0)</f>
        <v>0</v>
      </c>
      <c r="R527" s="69" t="str">
        <f>IF(Q527=1,SUM($Q$2:Q527),"")</f>
        <v/>
      </c>
    </row>
    <row r="528" spans="1:18" ht="16" x14ac:dyDescent="0.2">
      <c r="A528" s="72"/>
      <c r="B528" s="76"/>
      <c r="C528" s="73"/>
      <c r="D528" s="73" t="s">
        <v>969</v>
      </c>
      <c r="E528" s="77" t="s">
        <v>117</v>
      </c>
      <c r="F528" s="75" t="s">
        <v>1533</v>
      </c>
      <c r="G528" s="74" t="s">
        <v>333</v>
      </c>
      <c r="H528" s="69"/>
      <c r="P528" s="69">
        <f t="shared" si="8"/>
        <v>0</v>
      </c>
      <c r="Q528" s="69" cm="1">
        <f t="array" ref="Q528">IF(P528=1,IF(SUMPRODUCT(($P$2:P528)*(--($G$2:G528=$G528)))=1,1,0),0)</f>
        <v>0</v>
      </c>
      <c r="R528" s="69" t="str">
        <f>IF(Q528=1,SUM($Q$2:Q528),"")</f>
        <v/>
      </c>
    </row>
    <row r="529" spans="1:18" ht="16" x14ac:dyDescent="0.2">
      <c r="A529" s="72"/>
      <c r="B529" s="76"/>
      <c r="C529" s="73"/>
      <c r="D529" s="73" t="s">
        <v>969</v>
      </c>
      <c r="E529" s="77" t="s">
        <v>117</v>
      </c>
      <c r="F529" s="75" t="s">
        <v>1559</v>
      </c>
      <c r="G529" s="74" t="s">
        <v>333</v>
      </c>
      <c r="H529" s="69"/>
      <c r="P529" s="69">
        <f t="shared" si="8"/>
        <v>0</v>
      </c>
      <c r="Q529" s="69" cm="1">
        <f t="array" ref="Q529">IF(P529=1,IF(SUMPRODUCT(($P$2:P529)*(--($G$2:G529=$G529)))=1,1,0),0)</f>
        <v>0</v>
      </c>
      <c r="R529" s="69" t="str">
        <f>IF(Q529=1,SUM($Q$2:Q529),"")</f>
        <v/>
      </c>
    </row>
    <row r="530" spans="1:18" ht="16" x14ac:dyDescent="0.2">
      <c r="A530" s="72"/>
      <c r="B530" s="76"/>
      <c r="C530" s="73"/>
      <c r="D530" s="73" t="s">
        <v>969</v>
      </c>
      <c r="E530" s="77" t="s">
        <v>117</v>
      </c>
      <c r="F530" s="75" t="s">
        <v>1535</v>
      </c>
      <c r="G530" s="74" t="s">
        <v>333</v>
      </c>
      <c r="H530" s="69"/>
      <c r="P530" s="69">
        <f t="shared" si="8"/>
        <v>0</v>
      </c>
      <c r="Q530" s="69" cm="1">
        <f t="array" ref="Q530">IF(P530=1,IF(SUMPRODUCT(($P$2:P530)*(--($G$2:G530=$G530)))=1,1,0),0)</f>
        <v>0</v>
      </c>
      <c r="R530" s="69" t="str">
        <f>IF(Q530=1,SUM($Q$2:Q530),"")</f>
        <v/>
      </c>
    </row>
    <row r="531" spans="1:18" ht="16" x14ac:dyDescent="0.2">
      <c r="A531" s="72"/>
      <c r="B531" s="76"/>
      <c r="C531" s="73"/>
      <c r="D531" s="73" t="s">
        <v>969</v>
      </c>
      <c r="E531" s="77" t="s">
        <v>117</v>
      </c>
      <c r="F531" s="75" t="s">
        <v>372</v>
      </c>
      <c r="G531" s="74" t="s">
        <v>333</v>
      </c>
      <c r="H531" s="69"/>
      <c r="P531" s="69">
        <f t="shared" si="8"/>
        <v>0</v>
      </c>
      <c r="Q531" s="69" cm="1">
        <f t="array" ref="Q531">IF(P531=1,IF(SUMPRODUCT(($P$2:P531)*(--($G$2:G531=$G531)))=1,1,0),0)</f>
        <v>0</v>
      </c>
      <c r="R531" s="69" t="str">
        <f>IF(Q531=1,SUM($Q$2:Q531),"")</f>
        <v/>
      </c>
    </row>
    <row r="532" spans="1:18" ht="16" x14ac:dyDescent="0.2">
      <c r="A532" s="72"/>
      <c r="B532" s="76"/>
      <c r="C532" s="73"/>
      <c r="D532" s="73" t="s">
        <v>969</v>
      </c>
      <c r="E532" s="77" t="s">
        <v>117</v>
      </c>
      <c r="F532" s="75" t="s">
        <v>1556</v>
      </c>
      <c r="G532" s="74" t="s">
        <v>333</v>
      </c>
      <c r="H532" s="69"/>
      <c r="P532" s="69">
        <f t="shared" si="8"/>
        <v>0</v>
      </c>
      <c r="Q532" s="69" cm="1">
        <f t="array" ref="Q532">IF(P532=1,IF(SUMPRODUCT(($P$2:P532)*(--($G$2:G532=$G532)))=1,1,0),0)</f>
        <v>0</v>
      </c>
      <c r="R532" s="69" t="str">
        <f>IF(Q532=1,SUM($Q$2:Q532),"")</f>
        <v/>
      </c>
    </row>
    <row r="533" spans="1:18" x14ac:dyDescent="0.2">
      <c r="A533" s="72"/>
      <c r="B533" s="76"/>
      <c r="C533" s="73"/>
      <c r="D533" s="73" t="s">
        <v>969</v>
      </c>
      <c r="E533" s="77" t="s">
        <v>110</v>
      </c>
      <c r="F533" s="75" t="s">
        <v>1560</v>
      </c>
      <c r="G533" s="75" t="s">
        <v>1120</v>
      </c>
      <c r="H533" s="69"/>
      <c r="P533" s="69">
        <f t="shared" si="8"/>
        <v>0</v>
      </c>
      <c r="Q533" s="69" cm="1">
        <f t="array" ref="Q533">IF(P533=1,IF(SUMPRODUCT(($P$2:P533)*(--($G$2:G533=$G533)))=1,1,0),0)</f>
        <v>0</v>
      </c>
      <c r="R533" s="69" t="str">
        <f>IF(Q533=1,SUM($Q$2:Q533),"")</f>
        <v/>
      </c>
    </row>
    <row r="534" spans="1:18" x14ac:dyDescent="0.2">
      <c r="A534" s="72"/>
      <c r="B534" s="76"/>
      <c r="C534" s="73"/>
      <c r="D534" s="73" t="s">
        <v>969</v>
      </c>
      <c r="E534" s="77" t="s">
        <v>110</v>
      </c>
      <c r="F534" s="75" t="s">
        <v>1561</v>
      </c>
      <c r="G534" s="75" t="s">
        <v>1120</v>
      </c>
      <c r="H534" s="69"/>
      <c r="P534" s="69">
        <f t="shared" si="8"/>
        <v>0</v>
      </c>
      <c r="Q534" s="69" cm="1">
        <f t="array" ref="Q534">IF(P534=1,IF(SUMPRODUCT(($P$2:P534)*(--($G$2:G534=$G534)))=1,1,0),0)</f>
        <v>0</v>
      </c>
      <c r="R534" s="69" t="str">
        <f>IF(Q534=1,SUM($Q$2:Q534),"")</f>
        <v/>
      </c>
    </row>
    <row r="535" spans="1:18" x14ac:dyDescent="0.2">
      <c r="A535" s="72"/>
      <c r="B535" s="76"/>
      <c r="C535" s="73"/>
      <c r="D535" s="73" t="s">
        <v>969</v>
      </c>
      <c r="E535" s="77" t="s">
        <v>110</v>
      </c>
      <c r="F535" s="75" t="s">
        <v>1562</v>
      </c>
      <c r="G535" s="75" t="s">
        <v>1120</v>
      </c>
      <c r="H535" s="69"/>
      <c r="P535" s="69">
        <f t="shared" si="8"/>
        <v>0</v>
      </c>
      <c r="Q535" s="69" cm="1">
        <f t="array" ref="Q535">IF(P535=1,IF(SUMPRODUCT(($P$2:P535)*(--($G$2:G535=$G535)))=1,1,0),0)</f>
        <v>0</v>
      </c>
      <c r="R535" s="69" t="str">
        <f>IF(Q535=1,SUM($Q$2:Q535),"")</f>
        <v/>
      </c>
    </row>
    <row r="536" spans="1:18" x14ac:dyDescent="0.2">
      <c r="A536" s="72"/>
      <c r="B536" s="76"/>
      <c r="C536" s="73"/>
      <c r="D536" s="73" t="s">
        <v>969</v>
      </c>
      <c r="E536" s="77" t="s">
        <v>110</v>
      </c>
      <c r="F536" s="75" t="s">
        <v>1563</v>
      </c>
      <c r="G536" s="75" t="s">
        <v>1120</v>
      </c>
      <c r="H536" s="69"/>
      <c r="P536" s="69">
        <f t="shared" si="8"/>
        <v>0</v>
      </c>
      <c r="Q536" s="69" cm="1">
        <f t="array" ref="Q536">IF(P536=1,IF(SUMPRODUCT(($P$2:P536)*(--($G$2:G536=$G536)))=1,1,0),0)</f>
        <v>0</v>
      </c>
      <c r="R536" s="69" t="str">
        <f>IF(Q536=1,SUM($Q$2:Q536),"")</f>
        <v/>
      </c>
    </row>
    <row r="537" spans="1:18" x14ac:dyDescent="0.2">
      <c r="A537" s="72"/>
      <c r="B537" s="76"/>
      <c r="C537" s="73"/>
      <c r="D537" s="73" t="s">
        <v>969</v>
      </c>
      <c r="E537" s="77" t="s">
        <v>110</v>
      </c>
      <c r="F537" s="75" t="s">
        <v>1539</v>
      </c>
      <c r="G537" s="75" t="s">
        <v>1120</v>
      </c>
      <c r="H537" s="69"/>
      <c r="P537" s="69">
        <f t="shared" si="8"/>
        <v>0</v>
      </c>
      <c r="Q537" s="69" cm="1">
        <f t="array" ref="Q537">IF(P537=1,IF(SUMPRODUCT(($P$2:P537)*(--($G$2:G537=$G537)))=1,1,0),0)</f>
        <v>0</v>
      </c>
      <c r="R537" s="69" t="str">
        <f>IF(Q537=1,SUM($Q$2:Q537),"")</f>
        <v/>
      </c>
    </row>
    <row r="538" spans="1:18" x14ac:dyDescent="0.2">
      <c r="A538" s="72"/>
      <c r="B538" s="76"/>
      <c r="C538" s="73"/>
      <c r="D538" s="73" t="s">
        <v>969</v>
      </c>
      <c r="E538" s="77" t="s">
        <v>110</v>
      </c>
      <c r="F538" s="75" t="s">
        <v>1537</v>
      </c>
      <c r="G538" s="75" t="s">
        <v>1120</v>
      </c>
      <c r="H538" s="69"/>
      <c r="P538" s="69">
        <f t="shared" si="8"/>
        <v>0</v>
      </c>
      <c r="Q538" s="69" cm="1">
        <f t="array" ref="Q538">IF(P538=1,IF(SUMPRODUCT(($P$2:P538)*(--($G$2:G538=$G538)))=1,1,0),0)</f>
        <v>0</v>
      </c>
      <c r="R538" s="69" t="str">
        <f>IF(Q538=1,SUM($Q$2:Q538),"")</f>
        <v/>
      </c>
    </row>
    <row r="539" spans="1:18" x14ac:dyDescent="0.2">
      <c r="A539" s="72"/>
      <c r="B539" s="76"/>
      <c r="C539" s="73"/>
      <c r="D539" s="73" t="s">
        <v>969</v>
      </c>
      <c r="E539" s="77" t="s">
        <v>990</v>
      </c>
      <c r="F539" s="75" t="s">
        <v>1537</v>
      </c>
      <c r="G539" s="75" t="s">
        <v>1120</v>
      </c>
      <c r="H539" s="69"/>
      <c r="P539" s="69">
        <f t="shared" si="8"/>
        <v>0</v>
      </c>
      <c r="Q539" s="69" cm="1">
        <f t="array" ref="Q539">IF(P539=1,IF(SUMPRODUCT(($P$2:P539)*(--($G$2:G539=$G539)))=1,1,0),0)</f>
        <v>0</v>
      </c>
      <c r="R539" s="69" t="str">
        <f>IF(Q539=1,SUM($Q$2:Q539),"")</f>
        <v/>
      </c>
    </row>
    <row r="540" spans="1:18" x14ac:dyDescent="0.2">
      <c r="A540" s="72"/>
      <c r="B540" s="76"/>
      <c r="C540" s="73"/>
      <c r="D540" s="73" t="s">
        <v>969</v>
      </c>
      <c r="E540" s="77" t="s">
        <v>990</v>
      </c>
      <c r="F540" s="75" t="s">
        <v>1560</v>
      </c>
      <c r="G540" s="75" t="s">
        <v>1120</v>
      </c>
      <c r="H540" s="69"/>
      <c r="P540" s="69">
        <f t="shared" si="8"/>
        <v>0</v>
      </c>
      <c r="Q540" s="69" cm="1">
        <f t="array" ref="Q540">IF(P540=1,IF(SUMPRODUCT(($P$2:P540)*(--($G$2:G540=$G540)))=1,1,0),0)</f>
        <v>0</v>
      </c>
      <c r="R540" s="69" t="str">
        <f>IF(Q540=1,SUM($Q$2:Q540),"")</f>
        <v/>
      </c>
    </row>
    <row r="541" spans="1:18" x14ac:dyDescent="0.2">
      <c r="A541" s="72"/>
      <c r="B541" s="76"/>
      <c r="C541" s="73"/>
      <c r="D541" s="73" t="s">
        <v>969</v>
      </c>
      <c r="E541" s="77" t="s">
        <v>990</v>
      </c>
      <c r="F541" s="75" t="s">
        <v>1561</v>
      </c>
      <c r="G541" s="75" t="s">
        <v>1120</v>
      </c>
      <c r="H541" s="69"/>
      <c r="P541" s="69">
        <f t="shared" si="8"/>
        <v>0</v>
      </c>
      <c r="Q541" s="69" cm="1">
        <f t="array" ref="Q541">IF(P541=1,IF(SUMPRODUCT(($P$2:P541)*(--($G$2:G541=$G541)))=1,1,0),0)</f>
        <v>0</v>
      </c>
      <c r="R541" s="69" t="str">
        <f>IF(Q541=1,SUM($Q$2:Q541),"")</f>
        <v/>
      </c>
    </row>
    <row r="542" spans="1:18" x14ac:dyDescent="0.2">
      <c r="A542" s="72"/>
      <c r="B542" s="76"/>
      <c r="C542" s="73"/>
      <c r="D542" s="73" t="s">
        <v>969</v>
      </c>
      <c r="E542" s="77" t="s">
        <v>990</v>
      </c>
      <c r="F542" s="75" t="s">
        <v>1562</v>
      </c>
      <c r="G542" s="75" t="s">
        <v>1120</v>
      </c>
      <c r="H542" s="69"/>
      <c r="P542" s="69">
        <f t="shared" si="8"/>
        <v>0</v>
      </c>
      <c r="Q542" s="69" cm="1">
        <f t="array" ref="Q542">IF(P542=1,IF(SUMPRODUCT(($P$2:P542)*(--($G$2:G542=$G542)))=1,1,0),0)</f>
        <v>0</v>
      </c>
      <c r="R542" s="69" t="str">
        <f>IF(Q542=1,SUM($Q$2:Q542),"")</f>
        <v/>
      </c>
    </row>
    <row r="543" spans="1:18" x14ac:dyDescent="0.2">
      <c r="A543" s="72"/>
      <c r="B543" s="76"/>
      <c r="C543" s="73"/>
      <c r="D543" s="73" t="s">
        <v>969</v>
      </c>
      <c r="E543" s="77" t="s">
        <v>990</v>
      </c>
      <c r="F543" s="75" t="s">
        <v>1563</v>
      </c>
      <c r="G543" s="75" t="s">
        <v>1120</v>
      </c>
      <c r="H543" s="69"/>
      <c r="P543" s="69">
        <f t="shared" si="8"/>
        <v>0</v>
      </c>
      <c r="Q543" s="69" cm="1">
        <f t="array" ref="Q543">IF(P543=1,IF(SUMPRODUCT(($P$2:P543)*(--($G$2:G543=$G543)))=1,1,0),0)</f>
        <v>0</v>
      </c>
      <c r="R543" s="69" t="str">
        <f>IF(Q543=1,SUM($Q$2:Q543),"")</f>
        <v/>
      </c>
    </row>
    <row r="544" spans="1:18" x14ac:dyDescent="0.2">
      <c r="A544" s="72"/>
      <c r="B544" s="76"/>
      <c r="C544" s="73"/>
      <c r="D544" s="73" t="s">
        <v>969</v>
      </c>
      <c r="E544" s="77" t="s">
        <v>990</v>
      </c>
      <c r="F544" s="75" t="s">
        <v>1539</v>
      </c>
      <c r="G544" s="75" t="s">
        <v>1120</v>
      </c>
      <c r="H544" s="69"/>
      <c r="P544" s="69">
        <f t="shared" si="8"/>
        <v>0</v>
      </c>
      <c r="Q544" s="69" cm="1">
        <f t="array" ref="Q544">IF(P544=1,IF(SUMPRODUCT(($P$2:P544)*(--($G$2:G544=$G544)))=1,1,0),0)</f>
        <v>0</v>
      </c>
      <c r="R544" s="69" t="str">
        <f>IF(Q544=1,SUM($Q$2:Q544),"")</f>
        <v/>
      </c>
    </row>
    <row r="545" spans="1:18" x14ac:dyDescent="0.2">
      <c r="A545" s="72"/>
      <c r="B545" s="76"/>
      <c r="C545" s="73"/>
      <c r="D545" s="73" t="s">
        <v>965</v>
      </c>
      <c r="E545" s="77" t="s">
        <v>110</v>
      </c>
      <c r="F545" s="75" t="s">
        <v>1564</v>
      </c>
      <c r="G545" s="75" t="s">
        <v>1117</v>
      </c>
      <c r="H545" s="69"/>
      <c r="P545" s="69">
        <f t="shared" si="8"/>
        <v>0</v>
      </c>
      <c r="Q545" s="69" cm="1">
        <f t="array" ref="Q545">IF(P545=1,IF(SUMPRODUCT(($P$2:P545)*(--($G$2:G545=$G545)))=1,1,0),0)</f>
        <v>0</v>
      </c>
      <c r="R545" s="69" t="str">
        <f>IF(Q545=1,SUM($Q$2:Q545),"")</f>
        <v/>
      </c>
    </row>
    <row r="546" spans="1:18" x14ac:dyDescent="0.2">
      <c r="A546" s="72"/>
      <c r="B546" s="76"/>
      <c r="C546" s="73"/>
      <c r="D546" s="73" t="s">
        <v>965</v>
      </c>
      <c r="E546" s="77" t="s">
        <v>110</v>
      </c>
      <c r="F546" s="75" t="s">
        <v>1565</v>
      </c>
      <c r="G546" s="75" t="s">
        <v>1117</v>
      </c>
      <c r="H546" s="69"/>
      <c r="P546" s="69">
        <f t="shared" si="8"/>
        <v>0</v>
      </c>
      <c r="Q546" s="69" cm="1">
        <f t="array" ref="Q546">IF(P546=1,IF(SUMPRODUCT(($P$2:P546)*(--($G$2:G546=$G546)))=1,1,0),0)</f>
        <v>0</v>
      </c>
      <c r="R546" s="69" t="str">
        <f>IF(Q546=1,SUM($Q$2:Q546),"")</f>
        <v/>
      </c>
    </row>
    <row r="547" spans="1:18" x14ac:dyDescent="0.2">
      <c r="A547" s="72"/>
      <c r="B547" s="76"/>
      <c r="C547" s="73"/>
      <c r="D547" s="73" t="s">
        <v>965</v>
      </c>
      <c r="E547" s="77" t="s">
        <v>110</v>
      </c>
      <c r="F547" s="75" t="s">
        <v>1539</v>
      </c>
      <c r="G547" s="75" t="s">
        <v>1117</v>
      </c>
      <c r="H547" s="69"/>
      <c r="P547" s="69">
        <f t="shared" si="8"/>
        <v>0</v>
      </c>
      <c r="Q547" s="69" cm="1">
        <f t="array" ref="Q547">IF(P547=1,IF(SUMPRODUCT(($P$2:P547)*(--($G$2:G547=$G547)))=1,1,0),0)</f>
        <v>0</v>
      </c>
      <c r="R547" s="69" t="str">
        <f>IF(Q547=1,SUM($Q$2:Q547),"")</f>
        <v/>
      </c>
    </row>
    <row r="548" spans="1:18" x14ac:dyDescent="0.2">
      <c r="A548" s="72"/>
      <c r="B548" s="76"/>
      <c r="C548" s="73"/>
      <c r="D548" s="73" t="s">
        <v>965</v>
      </c>
      <c r="E548" s="77" t="s">
        <v>110</v>
      </c>
      <c r="F548" s="75" t="s">
        <v>1563</v>
      </c>
      <c r="G548" s="75" t="s">
        <v>1117</v>
      </c>
      <c r="H548" s="69"/>
      <c r="P548" s="69">
        <f t="shared" si="8"/>
        <v>0</v>
      </c>
      <c r="Q548" s="69" cm="1">
        <f t="array" ref="Q548">IF(P548=1,IF(SUMPRODUCT(($P$2:P548)*(--($G$2:G548=$G548)))=1,1,0),0)</f>
        <v>0</v>
      </c>
      <c r="R548" s="69" t="str">
        <f>IF(Q548=1,SUM($Q$2:Q548),"")</f>
        <v/>
      </c>
    </row>
    <row r="549" spans="1:18" x14ac:dyDescent="0.2">
      <c r="A549" s="72"/>
      <c r="B549" s="76"/>
      <c r="C549" s="73"/>
      <c r="D549" s="73" t="s">
        <v>965</v>
      </c>
      <c r="E549" s="77" t="s">
        <v>110</v>
      </c>
      <c r="F549" s="75" t="s">
        <v>1566</v>
      </c>
      <c r="G549" s="75" t="s">
        <v>1117</v>
      </c>
      <c r="H549" s="69"/>
      <c r="P549" s="69">
        <f t="shared" si="8"/>
        <v>0</v>
      </c>
      <c r="Q549" s="69" cm="1">
        <f t="array" ref="Q549">IF(P549=1,IF(SUMPRODUCT(($P$2:P549)*(--($G$2:G549=$G549)))=1,1,0),0)</f>
        <v>0</v>
      </c>
      <c r="R549" s="69" t="str">
        <f>IF(Q549=1,SUM($Q$2:Q549),"")</f>
        <v/>
      </c>
    </row>
    <row r="550" spans="1:18" x14ac:dyDescent="0.2">
      <c r="A550" s="72"/>
      <c r="B550" s="76"/>
      <c r="C550" s="73"/>
      <c r="D550" s="73" t="s">
        <v>965</v>
      </c>
      <c r="E550" s="77" t="s">
        <v>110</v>
      </c>
      <c r="F550" s="75" t="s">
        <v>1537</v>
      </c>
      <c r="G550" s="75" t="s">
        <v>1117</v>
      </c>
      <c r="H550" s="69"/>
      <c r="P550" s="69">
        <f t="shared" si="8"/>
        <v>0</v>
      </c>
      <c r="Q550" s="69" cm="1">
        <f t="array" ref="Q550">IF(P550=1,IF(SUMPRODUCT(($P$2:P550)*(--($G$2:G550=$G550)))=1,1,0),0)</f>
        <v>0</v>
      </c>
      <c r="R550" s="69" t="str">
        <f>IF(Q550=1,SUM($Q$2:Q550),"")</f>
        <v/>
      </c>
    </row>
    <row r="551" spans="1:18" x14ac:dyDescent="0.2">
      <c r="A551" s="72"/>
      <c r="B551" s="76"/>
      <c r="C551" s="73"/>
      <c r="D551" s="73" t="s">
        <v>965</v>
      </c>
      <c r="E551" s="77" t="s">
        <v>110</v>
      </c>
      <c r="F551" s="75" t="s">
        <v>1562</v>
      </c>
      <c r="G551" s="75" t="s">
        <v>1117</v>
      </c>
      <c r="H551" s="69"/>
      <c r="P551" s="69">
        <f t="shared" si="8"/>
        <v>0</v>
      </c>
      <c r="Q551" s="69" cm="1">
        <f t="array" ref="Q551">IF(P551=1,IF(SUMPRODUCT(($P$2:P551)*(--($G$2:G551=$G551)))=1,1,0),0)</f>
        <v>0</v>
      </c>
      <c r="R551" s="69" t="str">
        <f>IF(Q551=1,SUM($Q$2:Q551),"")</f>
        <v/>
      </c>
    </row>
    <row r="552" spans="1:18" x14ac:dyDescent="0.2">
      <c r="A552" s="72"/>
      <c r="B552" s="76"/>
      <c r="C552" s="73"/>
      <c r="D552" s="73" t="s">
        <v>965</v>
      </c>
      <c r="E552" s="77" t="s">
        <v>110</v>
      </c>
      <c r="F552" s="75" t="s">
        <v>1567</v>
      </c>
      <c r="G552" s="75" t="s">
        <v>1117</v>
      </c>
      <c r="H552" s="69"/>
      <c r="P552" s="69">
        <f t="shared" si="8"/>
        <v>0</v>
      </c>
      <c r="Q552" s="69" cm="1">
        <f t="array" ref="Q552">IF(P552=1,IF(SUMPRODUCT(($P$2:P552)*(--($G$2:G552=$G552)))=1,1,0),0)</f>
        <v>0</v>
      </c>
      <c r="R552" s="69" t="str">
        <f>IF(Q552=1,SUM($Q$2:Q552),"")</f>
        <v/>
      </c>
    </row>
    <row r="553" spans="1:18" ht="16" x14ac:dyDescent="0.2">
      <c r="A553" s="72"/>
      <c r="B553" s="76"/>
      <c r="C553" s="73"/>
      <c r="D553" s="73" t="s">
        <v>965</v>
      </c>
      <c r="E553" s="77" t="s">
        <v>110</v>
      </c>
      <c r="F553" s="75" t="s">
        <v>1568</v>
      </c>
      <c r="G553" s="74" t="s">
        <v>1190</v>
      </c>
      <c r="H553" s="69"/>
      <c r="P553" s="69">
        <f t="shared" si="8"/>
        <v>0</v>
      </c>
      <c r="Q553" s="69" cm="1">
        <f t="array" ref="Q553">IF(P553=1,IF(SUMPRODUCT(($P$2:P553)*(--($G$2:G553=$G553)))=1,1,0),0)</f>
        <v>0</v>
      </c>
      <c r="R553" s="69" t="str">
        <f>IF(Q553=1,SUM($Q$2:Q553),"")</f>
        <v/>
      </c>
    </row>
    <row r="554" spans="1:18" ht="16" x14ac:dyDescent="0.2">
      <c r="A554" s="72"/>
      <c r="B554" s="76"/>
      <c r="C554" s="73"/>
      <c r="D554" s="73" t="s">
        <v>965</v>
      </c>
      <c r="E554" s="77" t="s">
        <v>991</v>
      </c>
      <c r="F554" s="75" t="s">
        <v>1568</v>
      </c>
      <c r="G554" s="74" t="s">
        <v>1190</v>
      </c>
      <c r="H554" s="69"/>
      <c r="P554" s="69">
        <f t="shared" si="8"/>
        <v>0</v>
      </c>
      <c r="Q554" s="69" cm="1">
        <f t="array" ref="Q554">IF(P554=1,IF(SUMPRODUCT(($P$2:P554)*(--($G$2:G554=$G554)))=1,1,0),0)</f>
        <v>0</v>
      </c>
      <c r="R554" s="69" t="str">
        <f>IF(Q554=1,SUM($Q$2:Q554),"")</f>
        <v/>
      </c>
    </row>
    <row r="555" spans="1:18" ht="16" x14ac:dyDescent="0.2">
      <c r="A555" s="72"/>
      <c r="B555" s="76"/>
      <c r="C555" s="73"/>
      <c r="D555" s="73" t="s">
        <v>965</v>
      </c>
      <c r="E555" s="77" t="s">
        <v>110</v>
      </c>
      <c r="F555" s="75" t="s">
        <v>1569</v>
      </c>
      <c r="G555" s="74" t="s">
        <v>1190</v>
      </c>
      <c r="H555" s="69"/>
      <c r="P555" s="69">
        <f t="shared" si="8"/>
        <v>0</v>
      </c>
      <c r="Q555" s="69" cm="1">
        <f t="array" ref="Q555">IF(P555=1,IF(SUMPRODUCT(($P$2:P555)*(--($G$2:G555=$G555)))=1,1,0),0)</f>
        <v>0</v>
      </c>
      <c r="R555" s="69" t="str">
        <f>IF(Q555=1,SUM($Q$2:Q555),"")</f>
        <v/>
      </c>
    </row>
    <row r="556" spans="1:18" ht="16" x14ac:dyDescent="0.2">
      <c r="A556" s="72"/>
      <c r="B556" s="76"/>
      <c r="C556" s="73"/>
      <c r="D556" s="73" t="s">
        <v>965</v>
      </c>
      <c r="E556" s="77" t="s">
        <v>991</v>
      </c>
      <c r="F556" s="75" t="s">
        <v>1569</v>
      </c>
      <c r="G556" s="74" t="s">
        <v>1190</v>
      </c>
      <c r="H556" s="69"/>
      <c r="P556" s="69">
        <f t="shared" si="8"/>
        <v>0</v>
      </c>
      <c r="Q556" s="69" cm="1">
        <f t="array" ref="Q556">IF(P556=1,IF(SUMPRODUCT(($P$2:P556)*(--($G$2:G556=$G556)))=1,1,0),0)</f>
        <v>0</v>
      </c>
      <c r="R556" s="69" t="str">
        <f>IF(Q556=1,SUM($Q$2:Q556),"")</f>
        <v/>
      </c>
    </row>
    <row r="557" spans="1:18" ht="16" x14ac:dyDescent="0.2">
      <c r="A557" s="72"/>
      <c r="B557" s="76"/>
      <c r="C557" s="73"/>
      <c r="D557" s="73" t="s">
        <v>965</v>
      </c>
      <c r="E557" s="77" t="s">
        <v>110</v>
      </c>
      <c r="F557" s="75" t="s">
        <v>1570</v>
      </c>
      <c r="G557" s="74" t="s">
        <v>1190</v>
      </c>
      <c r="H557" s="69"/>
      <c r="P557" s="69">
        <f t="shared" si="8"/>
        <v>0</v>
      </c>
      <c r="Q557" s="69" cm="1">
        <f t="array" ref="Q557">IF(P557=1,IF(SUMPRODUCT(($P$2:P557)*(--($G$2:G557=$G557)))=1,1,0),0)</f>
        <v>0</v>
      </c>
      <c r="R557" s="69" t="str">
        <f>IF(Q557=1,SUM($Q$2:Q557),"")</f>
        <v/>
      </c>
    </row>
    <row r="558" spans="1:18" ht="16" x14ac:dyDescent="0.2">
      <c r="A558" s="72"/>
      <c r="B558" s="76"/>
      <c r="C558" s="73"/>
      <c r="D558" s="73" t="s">
        <v>965</v>
      </c>
      <c r="E558" s="77" t="s">
        <v>991</v>
      </c>
      <c r="F558" s="75" t="s">
        <v>1570</v>
      </c>
      <c r="G558" s="74" t="s">
        <v>1190</v>
      </c>
      <c r="H558" s="69"/>
      <c r="P558" s="69">
        <f t="shared" si="8"/>
        <v>0</v>
      </c>
      <c r="Q558" s="69" cm="1">
        <f t="array" ref="Q558">IF(P558=1,IF(SUMPRODUCT(($P$2:P558)*(--($G$2:G558=$G558)))=1,1,0),0)</f>
        <v>0</v>
      </c>
      <c r="R558" s="69" t="str">
        <f>IF(Q558=1,SUM($Q$2:Q558),"")</f>
        <v/>
      </c>
    </row>
    <row r="559" spans="1:18" ht="16" x14ac:dyDescent="0.2">
      <c r="A559" s="72"/>
      <c r="B559" s="76"/>
      <c r="C559" s="73"/>
      <c r="D559" s="73" t="s">
        <v>965</v>
      </c>
      <c r="E559" s="77" t="s">
        <v>990</v>
      </c>
      <c r="F559" s="75" t="s">
        <v>1570</v>
      </c>
      <c r="G559" s="74" t="s">
        <v>1190</v>
      </c>
      <c r="H559" s="69"/>
      <c r="P559" s="69">
        <f t="shared" si="8"/>
        <v>0</v>
      </c>
      <c r="Q559" s="69" cm="1">
        <f t="array" ref="Q559">IF(P559=1,IF(SUMPRODUCT(($P$2:P559)*(--($G$2:G559=$G559)))=1,1,0),0)</f>
        <v>0</v>
      </c>
      <c r="R559" s="69" t="str">
        <f>IF(Q559=1,SUM($Q$2:Q559),"")</f>
        <v/>
      </c>
    </row>
    <row r="560" spans="1:18" ht="16" x14ac:dyDescent="0.2">
      <c r="A560" s="72"/>
      <c r="B560" s="76"/>
      <c r="C560" s="73"/>
      <c r="D560" s="73" t="s">
        <v>965</v>
      </c>
      <c r="E560" s="77" t="s">
        <v>117</v>
      </c>
      <c r="F560" s="75" t="s">
        <v>1571</v>
      </c>
      <c r="G560" s="74" t="s">
        <v>313</v>
      </c>
      <c r="H560" s="69"/>
      <c r="P560" s="69">
        <f t="shared" si="8"/>
        <v>0</v>
      </c>
      <c r="Q560" s="69" cm="1">
        <f t="array" ref="Q560">IF(P560=1,IF(SUMPRODUCT(($P$2:P560)*(--($G$2:G560=$G560)))=1,1,0),0)</f>
        <v>0</v>
      </c>
      <c r="R560" s="69" t="str">
        <f>IF(Q560=1,SUM($Q$2:Q560),"")</f>
        <v/>
      </c>
    </row>
    <row r="561" spans="1:18" ht="16" x14ac:dyDescent="0.2">
      <c r="A561" s="72"/>
      <c r="B561" s="76"/>
      <c r="C561" s="73"/>
      <c r="D561" s="73" t="s">
        <v>965</v>
      </c>
      <c r="E561" s="77" t="s">
        <v>117</v>
      </c>
      <c r="F561" s="75" t="s">
        <v>1572</v>
      </c>
      <c r="G561" s="74" t="s">
        <v>313</v>
      </c>
      <c r="H561" s="69"/>
      <c r="P561" s="69">
        <f t="shared" si="8"/>
        <v>0</v>
      </c>
      <c r="Q561" s="69" cm="1">
        <f t="array" ref="Q561">IF(P561=1,IF(SUMPRODUCT(($P$2:P561)*(--($G$2:G561=$G561)))=1,1,0),0)</f>
        <v>0</v>
      </c>
      <c r="R561" s="69" t="str">
        <f>IF(Q561=1,SUM($Q$2:Q561),"")</f>
        <v/>
      </c>
    </row>
    <row r="562" spans="1:18" ht="16" x14ac:dyDescent="0.2">
      <c r="A562" s="72"/>
      <c r="B562" s="76"/>
      <c r="C562" s="73"/>
      <c r="D562" s="73" t="s">
        <v>965</v>
      </c>
      <c r="E562" s="77" t="s">
        <v>117</v>
      </c>
      <c r="F562" s="75" t="s">
        <v>375</v>
      </c>
      <c r="G562" s="74" t="s">
        <v>313</v>
      </c>
      <c r="H562" s="69"/>
      <c r="P562" s="69">
        <f t="shared" si="8"/>
        <v>0</v>
      </c>
      <c r="Q562" s="69" cm="1">
        <f t="array" ref="Q562">IF(P562=1,IF(SUMPRODUCT(($P$2:P562)*(--($G$2:G562=$G562)))=1,1,0),0)</f>
        <v>0</v>
      </c>
      <c r="R562" s="69" t="str">
        <f>IF(Q562=1,SUM($Q$2:Q562),"")</f>
        <v/>
      </c>
    </row>
    <row r="563" spans="1:18" ht="16" x14ac:dyDescent="0.2">
      <c r="A563" s="72"/>
      <c r="B563" s="76"/>
      <c r="C563" s="73"/>
      <c r="D563" s="73" t="s">
        <v>969</v>
      </c>
      <c r="E563" s="77" t="s">
        <v>94</v>
      </c>
      <c r="F563" s="75" t="s">
        <v>1573</v>
      </c>
      <c r="G563" s="74" t="s">
        <v>324</v>
      </c>
      <c r="H563" s="69"/>
      <c r="P563" s="69">
        <f t="shared" si="8"/>
        <v>0</v>
      </c>
      <c r="Q563" s="69" cm="1">
        <f t="array" ref="Q563">IF(P563=1,IF(SUMPRODUCT(($P$2:P563)*(--($G$2:G563=$G563)))=1,1,0),0)</f>
        <v>0</v>
      </c>
      <c r="R563" s="69" t="str">
        <f>IF(Q563=1,SUM($Q$2:Q563),"")</f>
        <v/>
      </c>
    </row>
    <row r="564" spans="1:18" ht="16" x14ac:dyDescent="0.2">
      <c r="A564" s="72"/>
      <c r="B564" s="76"/>
      <c r="C564" s="73"/>
      <c r="D564" s="73" t="s">
        <v>969</v>
      </c>
      <c r="E564" s="77" t="s">
        <v>117</v>
      </c>
      <c r="F564" s="75" t="s">
        <v>1573</v>
      </c>
      <c r="G564" s="74" t="s">
        <v>324</v>
      </c>
      <c r="H564" s="69"/>
      <c r="P564" s="69">
        <f t="shared" si="8"/>
        <v>0</v>
      </c>
      <c r="Q564" s="69" cm="1">
        <f t="array" ref="Q564">IF(P564=1,IF(SUMPRODUCT(($P$2:P564)*(--($G$2:G564=$G564)))=1,1,0),0)</f>
        <v>0</v>
      </c>
      <c r="R564" s="69" t="str">
        <f>IF(Q564=1,SUM($Q$2:Q564),"")</f>
        <v/>
      </c>
    </row>
    <row r="565" spans="1:18" ht="16" x14ac:dyDescent="0.2">
      <c r="A565" s="72"/>
      <c r="B565" s="76"/>
      <c r="C565" s="73"/>
      <c r="D565" s="73" t="s">
        <v>969</v>
      </c>
      <c r="E565" s="77" t="s">
        <v>110</v>
      </c>
      <c r="F565" s="75" t="s">
        <v>1573</v>
      </c>
      <c r="G565" s="74" t="s">
        <v>324</v>
      </c>
      <c r="H565" s="69"/>
      <c r="P565" s="69">
        <f t="shared" si="8"/>
        <v>0</v>
      </c>
      <c r="Q565" s="69" cm="1">
        <f t="array" ref="Q565">IF(P565=1,IF(SUMPRODUCT(($P$2:P565)*(--($G$2:G565=$G565)))=1,1,0),0)</f>
        <v>0</v>
      </c>
      <c r="R565" s="69" t="str">
        <f>IF(Q565=1,SUM($Q$2:Q565),"")</f>
        <v/>
      </c>
    </row>
    <row r="566" spans="1:18" ht="16" x14ac:dyDescent="0.2">
      <c r="A566" s="72"/>
      <c r="B566" s="76"/>
      <c r="C566" s="73"/>
      <c r="D566" s="73" t="s">
        <v>969</v>
      </c>
      <c r="E566" s="77" t="s">
        <v>126</v>
      </c>
      <c r="F566" s="75" t="s">
        <v>1573</v>
      </c>
      <c r="G566" s="74" t="s">
        <v>324</v>
      </c>
      <c r="H566" s="69"/>
      <c r="P566" s="69">
        <f t="shared" si="8"/>
        <v>0</v>
      </c>
      <c r="Q566" s="69" cm="1">
        <f t="array" ref="Q566">IF(P566=1,IF(SUMPRODUCT(($P$2:P566)*(--($G$2:G566=$G566)))=1,1,0),0)</f>
        <v>0</v>
      </c>
      <c r="R566" s="69" t="str">
        <f>IF(Q566=1,SUM($Q$2:Q566),"")</f>
        <v/>
      </c>
    </row>
    <row r="567" spans="1:18" ht="16" x14ac:dyDescent="0.2">
      <c r="A567" s="72"/>
      <c r="B567" s="76"/>
      <c r="C567" s="73"/>
      <c r="D567" s="73" t="s">
        <v>969</v>
      </c>
      <c r="E567" s="77" t="s">
        <v>94</v>
      </c>
      <c r="F567" s="75" t="s">
        <v>1574</v>
      </c>
      <c r="G567" s="74" t="s">
        <v>324</v>
      </c>
      <c r="H567" s="69"/>
      <c r="P567" s="69">
        <f t="shared" si="8"/>
        <v>0</v>
      </c>
      <c r="Q567" s="69" cm="1">
        <f t="array" ref="Q567">IF(P567=1,IF(SUMPRODUCT(($P$2:P567)*(--($G$2:G567=$G567)))=1,1,0),0)</f>
        <v>0</v>
      </c>
      <c r="R567" s="69" t="str">
        <f>IF(Q567=1,SUM($Q$2:Q567),"")</f>
        <v/>
      </c>
    </row>
    <row r="568" spans="1:18" ht="16" x14ac:dyDescent="0.2">
      <c r="A568" s="72"/>
      <c r="B568" s="76"/>
      <c r="C568" s="73"/>
      <c r="D568" s="73" t="s">
        <v>969</v>
      </c>
      <c r="E568" s="77" t="s">
        <v>117</v>
      </c>
      <c r="F568" s="75" t="s">
        <v>1574</v>
      </c>
      <c r="G568" s="74" t="s">
        <v>324</v>
      </c>
      <c r="H568" s="69"/>
      <c r="P568" s="69">
        <f t="shared" si="8"/>
        <v>0</v>
      </c>
      <c r="Q568" s="69" cm="1">
        <f t="array" ref="Q568">IF(P568=1,IF(SUMPRODUCT(($P$2:P568)*(--($G$2:G568=$G568)))=1,1,0),0)</f>
        <v>0</v>
      </c>
      <c r="R568" s="69" t="str">
        <f>IF(Q568=1,SUM($Q$2:Q568),"")</f>
        <v/>
      </c>
    </row>
    <row r="569" spans="1:18" ht="16" x14ac:dyDescent="0.2">
      <c r="A569" s="72"/>
      <c r="B569" s="76"/>
      <c r="C569" s="73"/>
      <c r="D569" s="73" t="s">
        <v>969</v>
      </c>
      <c r="E569" s="77" t="s">
        <v>110</v>
      </c>
      <c r="F569" s="75" t="s">
        <v>1574</v>
      </c>
      <c r="G569" s="74" t="s">
        <v>324</v>
      </c>
      <c r="H569" s="69"/>
      <c r="P569" s="69">
        <f t="shared" si="8"/>
        <v>0</v>
      </c>
      <c r="Q569" s="69" cm="1">
        <f t="array" ref="Q569">IF(P569=1,IF(SUMPRODUCT(($P$2:P569)*(--($G$2:G569=$G569)))=1,1,0),0)</f>
        <v>0</v>
      </c>
      <c r="R569" s="69" t="str">
        <f>IF(Q569=1,SUM($Q$2:Q569),"")</f>
        <v/>
      </c>
    </row>
    <row r="570" spans="1:18" ht="16" x14ac:dyDescent="0.2">
      <c r="A570" s="72"/>
      <c r="B570" s="76"/>
      <c r="C570" s="73"/>
      <c r="D570" s="73" t="s">
        <v>969</v>
      </c>
      <c r="E570" s="77" t="s">
        <v>126</v>
      </c>
      <c r="F570" s="75" t="s">
        <v>1574</v>
      </c>
      <c r="G570" s="74" t="s">
        <v>324</v>
      </c>
      <c r="H570" s="69"/>
      <c r="P570" s="69">
        <f t="shared" si="8"/>
        <v>0</v>
      </c>
      <c r="Q570" s="69" cm="1">
        <f t="array" ref="Q570">IF(P570=1,IF(SUMPRODUCT(($P$2:P570)*(--($G$2:G570=$G570)))=1,1,0),0)</f>
        <v>0</v>
      </c>
      <c r="R570" s="69" t="str">
        <f>IF(Q570=1,SUM($Q$2:Q570),"")</f>
        <v/>
      </c>
    </row>
    <row r="571" spans="1:18" ht="16" x14ac:dyDescent="0.2">
      <c r="A571" s="72"/>
      <c r="B571" s="76"/>
      <c r="C571" s="73"/>
      <c r="D571" s="73" t="s">
        <v>969</v>
      </c>
      <c r="E571" s="77" t="s">
        <v>94</v>
      </c>
      <c r="F571" s="75" t="s">
        <v>1575</v>
      </c>
      <c r="G571" s="74" t="s">
        <v>324</v>
      </c>
      <c r="H571" s="69"/>
      <c r="P571" s="69">
        <f t="shared" si="8"/>
        <v>0</v>
      </c>
      <c r="Q571" s="69" cm="1">
        <f t="array" ref="Q571">IF(P571=1,IF(SUMPRODUCT(($P$2:P571)*(--($G$2:G571=$G571)))=1,1,0),0)</f>
        <v>0</v>
      </c>
      <c r="R571" s="69" t="str">
        <f>IF(Q571=1,SUM($Q$2:Q571),"")</f>
        <v/>
      </c>
    </row>
    <row r="572" spans="1:18" ht="16" x14ac:dyDescent="0.2">
      <c r="A572" s="72"/>
      <c r="B572" s="76"/>
      <c r="C572" s="73"/>
      <c r="D572" s="73" t="s">
        <v>969</v>
      </c>
      <c r="E572" s="77" t="s">
        <v>117</v>
      </c>
      <c r="F572" s="75" t="s">
        <v>1575</v>
      </c>
      <c r="G572" s="74" t="s">
        <v>324</v>
      </c>
      <c r="H572" s="69"/>
      <c r="P572" s="69">
        <f t="shared" si="8"/>
        <v>0</v>
      </c>
      <c r="Q572" s="69" cm="1">
        <f t="array" ref="Q572">IF(P572=1,IF(SUMPRODUCT(($P$2:P572)*(--($G$2:G572=$G572)))=1,1,0),0)</f>
        <v>0</v>
      </c>
      <c r="R572" s="69" t="str">
        <f>IF(Q572=1,SUM($Q$2:Q572),"")</f>
        <v/>
      </c>
    </row>
    <row r="573" spans="1:18" ht="16" x14ac:dyDescent="0.2">
      <c r="A573" s="72"/>
      <c r="B573" s="76"/>
      <c r="C573" s="73"/>
      <c r="D573" s="73" t="s">
        <v>969</v>
      </c>
      <c r="E573" s="77" t="s">
        <v>110</v>
      </c>
      <c r="F573" s="75" t="s">
        <v>1575</v>
      </c>
      <c r="G573" s="74" t="s">
        <v>324</v>
      </c>
      <c r="H573" s="69"/>
      <c r="P573" s="69">
        <f t="shared" si="8"/>
        <v>0</v>
      </c>
      <c r="Q573" s="69" cm="1">
        <f t="array" ref="Q573">IF(P573=1,IF(SUMPRODUCT(($P$2:P573)*(--($G$2:G573=$G573)))=1,1,0),0)</f>
        <v>0</v>
      </c>
      <c r="R573" s="69" t="str">
        <f>IF(Q573=1,SUM($Q$2:Q573),"")</f>
        <v/>
      </c>
    </row>
    <row r="574" spans="1:18" ht="16" x14ac:dyDescent="0.2">
      <c r="A574" s="72"/>
      <c r="B574" s="76"/>
      <c r="C574" s="73"/>
      <c r="D574" s="73" t="s">
        <v>969</v>
      </c>
      <c r="E574" s="77" t="s">
        <v>126</v>
      </c>
      <c r="F574" s="75" t="s">
        <v>1575</v>
      </c>
      <c r="G574" s="74" t="s">
        <v>324</v>
      </c>
      <c r="H574" s="69"/>
      <c r="P574" s="69">
        <f t="shared" si="8"/>
        <v>0</v>
      </c>
      <c r="Q574" s="69" cm="1">
        <f t="array" ref="Q574">IF(P574=1,IF(SUMPRODUCT(($P$2:P574)*(--($G$2:G574=$G574)))=1,1,0),0)</f>
        <v>0</v>
      </c>
      <c r="R574" s="69" t="str">
        <f>IF(Q574=1,SUM($Q$2:Q574),"")</f>
        <v/>
      </c>
    </row>
    <row r="575" spans="1:18" ht="16" x14ac:dyDescent="0.2">
      <c r="A575" s="72"/>
      <c r="B575" s="76"/>
      <c r="C575" s="73"/>
      <c r="D575" s="73" t="s">
        <v>969</v>
      </c>
      <c r="E575" s="77" t="s">
        <v>94</v>
      </c>
      <c r="F575" s="75" t="s">
        <v>375</v>
      </c>
      <c r="G575" s="74" t="s">
        <v>324</v>
      </c>
      <c r="H575" s="69"/>
      <c r="P575" s="69">
        <f t="shared" si="8"/>
        <v>0</v>
      </c>
      <c r="Q575" s="69" cm="1">
        <f t="array" ref="Q575">IF(P575=1,IF(SUMPRODUCT(($P$2:P575)*(--($G$2:G575=$G575)))=1,1,0),0)</f>
        <v>0</v>
      </c>
      <c r="R575" s="69" t="str">
        <f>IF(Q575=1,SUM($Q$2:Q575),"")</f>
        <v/>
      </c>
    </row>
    <row r="576" spans="1:18" ht="16" x14ac:dyDescent="0.2">
      <c r="A576" s="72"/>
      <c r="B576" s="76"/>
      <c r="C576" s="73"/>
      <c r="D576" s="73" t="s">
        <v>969</v>
      </c>
      <c r="E576" s="77" t="s">
        <v>117</v>
      </c>
      <c r="F576" s="75" t="s">
        <v>375</v>
      </c>
      <c r="G576" s="74" t="s">
        <v>324</v>
      </c>
      <c r="H576" s="69"/>
      <c r="P576" s="69">
        <f t="shared" si="8"/>
        <v>0</v>
      </c>
      <c r="Q576" s="69" cm="1">
        <f t="array" ref="Q576">IF(P576=1,IF(SUMPRODUCT(($P$2:P576)*(--($G$2:G576=$G576)))=1,1,0),0)</f>
        <v>0</v>
      </c>
      <c r="R576" s="69" t="str">
        <f>IF(Q576=1,SUM($Q$2:Q576),"")</f>
        <v/>
      </c>
    </row>
    <row r="577" spans="1:18" ht="16" x14ac:dyDescent="0.2">
      <c r="A577" s="72"/>
      <c r="B577" s="76"/>
      <c r="C577" s="73"/>
      <c r="D577" s="73" t="s">
        <v>969</v>
      </c>
      <c r="E577" s="77" t="s">
        <v>110</v>
      </c>
      <c r="F577" s="75" t="s">
        <v>375</v>
      </c>
      <c r="G577" s="74" t="s">
        <v>324</v>
      </c>
      <c r="H577" s="69"/>
      <c r="P577" s="69">
        <f t="shared" si="8"/>
        <v>0</v>
      </c>
      <c r="Q577" s="69" cm="1">
        <f t="array" ref="Q577">IF(P577=1,IF(SUMPRODUCT(($P$2:P577)*(--($G$2:G577=$G577)))=1,1,0),0)</f>
        <v>0</v>
      </c>
      <c r="R577" s="69" t="str">
        <f>IF(Q577=1,SUM($Q$2:Q577),"")</f>
        <v/>
      </c>
    </row>
    <row r="578" spans="1:18" ht="16" x14ac:dyDescent="0.2">
      <c r="A578" s="72"/>
      <c r="B578" s="76"/>
      <c r="C578" s="73"/>
      <c r="D578" s="73" t="s">
        <v>969</v>
      </c>
      <c r="E578" s="77" t="s">
        <v>126</v>
      </c>
      <c r="F578" s="75" t="s">
        <v>375</v>
      </c>
      <c r="G578" s="74" t="s">
        <v>324</v>
      </c>
      <c r="H578" s="69"/>
      <c r="P578" s="69">
        <f t="shared" si="8"/>
        <v>0</v>
      </c>
      <c r="Q578" s="69" cm="1">
        <f t="array" ref="Q578">IF(P578=1,IF(SUMPRODUCT(($P$2:P578)*(--($G$2:G578=$G578)))=1,1,0),0)</f>
        <v>0</v>
      </c>
      <c r="R578" s="69" t="str">
        <f>IF(Q578=1,SUM($Q$2:Q578),"")</f>
        <v/>
      </c>
    </row>
    <row r="579" spans="1:18" ht="16" x14ac:dyDescent="0.2">
      <c r="A579" s="72"/>
      <c r="B579" s="76"/>
      <c r="C579" s="73"/>
      <c r="D579" s="73" t="s">
        <v>969</v>
      </c>
      <c r="E579" s="77" t="s">
        <v>990</v>
      </c>
      <c r="F579" s="75" t="s">
        <v>375</v>
      </c>
      <c r="G579" s="74" t="s">
        <v>324</v>
      </c>
      <c r="H579" s="69"/>
      <c r="P579" s="69">
        <f t="shared" ref="P579:P642" si="9">IF(AND(IF(TRIM($J$2&amp;"")="",TRUE,LEFT($D579,LEN($J$2))=$J$2),IF(TRIM($K$2&amp;"")="",TRUE,$E579=$K$2),IF($L$2="",TRUE,$F579=$L$2)),1,0)</f>
        <v>0</v>
      </c>
      <c r="Q579" s="69" cm="1">
        <f t="array" ref="Q579">IF(P579=1,IF(SUMPRODUCT(($P$2:P579)*(--($G$2:G579=$G579)))=1,1,0),0)</f>
        <v>0</v>
      </c>
      <c r="R579" s="69" t="str">
        <f>IF(Q579=1,SUM($Q$2:Q579),"")</f>
        <v/>
      </c>
    </row>
    <row r="580" spans="1:18" ht="16" x14ac:dyDescent="0.2">
      <c r="A580" s="72"/>
      <c r="B580" s="76"/>
      <c r="C580" s="73"/>
      <c r="D580" s="73" t="s">
        <v>969</v>
      </c>
      <c r="E580" s="77" t="s">
        <v>94</v>
      </c>
      <c r="F580" s="75" t="s">
        <v>1572</v>
      </c>
      <c r="G580" s="74" t="s">
        <v>324</v>
      </c>
      <c r="H580" s="69"/>
      <c r="P580" s="69">
        <f t="shared" si="9"/>
        <v>0</v>
      </c>
      <c r="Q580" s="69" cm="1">
        <f t="array" ref="Q580">IF(P580=1,IF(SUMPRODUCT(($P$2:P580)*(--($G$2:G580=$G580)))=1,1,0),0)</f>
        <v>0</v>
      </c>
      <c r="R580" s="69" t="str">
        <f>IF(Q580=1,SUM($Q$2:Q580),"")</f>
        <v/>
      </c>
    </row>
    <row r="581" spans="1:18" ht="16" x14ac:dyDescent="0.2">
      <c r="A581" s="72"/>
      <c r="B581" s="76"/>
      <c r="C581" s="73"/>
      <c r="D581" s="73" t="s">
        <v>969</v>
      </c>
      <c r="E581" s="77" t="s">
        <v>117</v>
      </c>
      <c r="F581" s="75" t="s">
        <v>1572</v>
      </c>
      <c r="G581" s="74" t="s">
        <v>324</v>
      </c>
      <c r="H581" s="69"/>
      <c r="P581" s="69">
        <f t="shared" si="9"/>
        <v>0</v>
      </c>
      <c r="Q581" s="69" cm="1">
        <f t="array" ref="Q581">IF(P581=1,IF(SUMPRODUCT(($P$2:P581)*(--($G$2:G581=$G581)))=1,1,0),0)</f>
        <v>0</v>
      </c>
      <c r="R581" s="69" t="str">
        <f>IF(Q581=1,SUM($Q$2:Q581),"")</f>
        <v/>
      </c>
    </row>
    <row r="582" spans="1:18" ht="16" x14ac:dyDescent="0.2">
      <c r="A582" s="72"/>
      <c r="B582" s="76"/>
      <c r="C582" s="73"/>
      <c r="D582" s="73" t="s">
        <v>969</v>
      </c>
      <c r="E582" s="77" t="s">
        <v>110</v>
      </c>
      <c r="F582" s="75" t="s">
        <v>1572</v>
      </c>
      <c r="G582" s="74" t="s">
        <v>324</v>
      </c>
      <c r="H582" s="69"/>
      <c r="P582" s="69">
        <f t="shared" si="9"/>
        <v>0</v>
      </c>
      <c r="Q582" s="69" cm="1">
        <f t="array" ref="Q582">IF(P582=1,IF(SUMPRODUCT(($P$2:P582)*(--($G$2:G582=$G582)))=1,1,0),0)</f>
        <v>0</v>
      </c>
      <c r="R582" s="69" t="str">
        <f>IF(Q582=1,SUM($Q$2:Q582),"")</f>
        <v/>
      </c>
    </row>
    <row r="583" spans="1:18" ht="16" x14ac:dyDescent="0.2">
      <c r="A583" s="72"/>
      <c r="B583" s="76"/>
      <c r="C583" s="73"/>
      <c r="D583" s="73" t="s">
        <v>969</v>
      </c>
      <c r="E583" s="77" t="s">
        <v>126</v>
      </c>
      <c r="F583" s="75" t="s">
        <v>1572</v>
      </c>
      <c r="G583" s="74" t="s">
        <v>324</v>
      </c>
      <c r="H583" s="69"/>
      <c r="P583" s="69">
        <f t="shared" si="9"/>
        <v>0</v>
      </c>
      <c r="Q583" s="69" cm="1">
        <f t="array" ref="Q583">IF(P583=1,IF(SUMPRODUCT(($P$2:P583)*(--($G$2:G583=$G583)))=1,1,0),0)</f>
        <v>0</v>
      </c>
      <c r="R583" s="69" t="str">
        <f>IF(Q583=1,SUM($Q$2:Q583),"")</f>
        <v/>
      </c>
    </row>
    <row r="584" spans="1:18" x14ac:dyDescent="0.2">
      <c r="A584" s="72"/>
      <c r="B584" s="76"/>
      <c r="C584" s="73"/>
      <c r="D584" s="73" t="s">
        <v>968</v>
      </c>
      <c r="E584" s="77" t="s">
        <v>103</v>
      </c>
      <c r="F584" s="75" t="s">
        <v>2220</v>
      </c>
      <c r="G584" s="75" t="s">
        <v>1199</v>
      </c>
      <c r="H584" s="69"/>
      <c r="P584" s="69">
        <f t="shared" si="9"/>
        <v>0</v>
      </c>
      <c r="Q584" s="69" cm="1">
        <f t="array" ref="Q584">IF(P584=1,IF(SUMPRODUCT(($P$2:P584)*(--($G$2:G584=$G584)))=1,1,0),0)</f>
        <v>0</v>
      </c>
      <c r="R584" s="69" t="str">
        <f>IF(Q584=1,SUM($Q$2:Q584),"")</f>
        <v/>
      </c>
    </row>
    <row r="585" spans="1:18" x14ac:dyDescent="0.2">
      <c r="A585" s="72"/>
      <c r="B585" s="76"/>
      <c r="C585" s="73"/>
      <c r="D585" s="73" t="s">
        <v>968</v>
      </c>
      <c r="E585" s="77" t="s">
        <v>103</v>
      </c>
      <c r="F585" s="75" t="s">
        <v>2221</v>
      </c>
      <c r="G585" s="75" t="s">
        <v>1199</v>
      </c>
      <c r="H585" s="69"/>
      <c r="P585" s="69">
        <f t="shared" si="9"/>
        <v>0</v>
      </c>
      <c r="Q585" s="69" cm="1">
        <f t="array" ref="Q585">IF(P585=1,IF(SUMPRODUCT(($P$2:P585)*(--($G$2:G585=$G585)))=1,1,0),0)</f>
        <v>0</v>
      </c>
      <c r="R585" s="69" t="str">
        <f>IF(Q585=1,SUM($Q$2:Q585),"")</f>
        <v/>
      </c>
    </row>
    <row r="586" spans="1:18" x14ac:dyDescent="0.2">
      <c r="A586" s="72"/>
      <c r="B586" s="76"/>
      <c r="C586" s="73"/>
      <c r="D586" s="73" t="s">
        <v>968</v>
      </c>
      <c r="E586" s="77" t="s">
        <v>103</v>
      </c>
      <c r="F586" s="75" t="s">
        <v>2229</v>
      </c>
      <c r="G586" s="75" t="s">
        <v>1199</v>
      </c>
      <c r="H586" s="69"/>
      <c r="P586" s="69">
        <f t="shared" si="9"/>
        <v>0</v>
      </c>
      <c r="Q586" s="69" cm="1">
        <f t="array" ref="Q586">IF(P586=1,IF(SUMPRODUCT(($P$2:P586)*(--($G$2:G586=$G586)))=1,1,0),0)</f>
        <v>0</v>
      </c>
      <c r="R586" s="69" t="str">
        <f>IF(Q586=1,SUM($Q$2:Q586),"")</f>
        <v/>
      </c>
    </row>
    <row r="587" spans="1:18" x14ac:dyDescent="0.2">
      <c r="A587" s="72"/>
      <c r="B587" s="76"/>
      <c r="C587" s="73"/>
      <c r="D587" s="73" t="s">
        <v>968</v>
      </c>
      <c r="E587" s="77" t="s">
        <v>103</v>
      </c>
      <c r="F587" s="75" t="s">
        <v>2230</v>
      </c>
      <c r="G587" s="75" t="s">
        <v>1199</v>
      </c>
      <c r="H587" s="69"/>
      <c r="P587" s="69">
        <f t="shared" si="9"/>
        <v>0</v>
      </c>
      <c r="Q587" s="69" cm="1">
        <f t="array" ref="Q587">IF(P587=1,IF(SUMPRODUCT(($P$2:P587)*(--($G$2:G587=$G587)))=1,1,0),0)</f>
        <v>0</v>
      </c>
      <c r="R587" s="69" t="str">
        <f>IF(Q587=1,SUM($Q$2:Q587),"")</f>
        <v/>
      </c>
    </row>
    <row r="588" spans="1:18" x14ac:dyDescent="0.2">
      <c r="A588" s="72"/>
      <c r="B588" s="76"/>
      <c r="C588" s="73"/>
      <c r="D588" s="73" t="s">
        <v>968</v>
      </c>
      <c r="E588" s="77" t="s">
        <v>103</v>
      </c>
      <c r="F588" s="75" t="s">
        <v>1576</v>
      </c>
      <c r="G588" s="75" t="s">
        <v>1198</v>
      </c>
      <c r="H588" s="69"/>
      <c r="P588" s="69">
        <f t="shared" si="9"/>
        <v>0</v>
      </c>
      <c r="Q588" s="69" cm="1">
        <f t="array" ref="Q588">IF(P588=1,IF(SUMPRODUCT(($P$2:P588)*(--($G$2:G588=$G588)))=1,1,0),0)</f>
        <v>0</v>
      </c>
      <c r="R588" s="69" t="str">
        <f>IF(Q588=1,SUM($Q$2:Q588),"")</f>
        <v/>
      </c>
    </row>
    <row r="589" spans="1:18" x14ac:dyDescent="0.2">
      <c r="A589" s="72"/>
      <c r="B589" s="76"/>
      <c r="C589" s="73"/>
      <c r="D589" s="73" t="s">
        <v>968</v>
      </c>
      <c r="E589" s="77" t="s">
        <v>103</v>
      </c>
      <c r="F589" s="75" t="s">
        <v>1577</v>
      </c>
      <c r="G589" s="75" t="s">
        <v>1198</v>
      </c>
      <c r="H589" s="69"/>
      <c r="P589" s="69">
        <f t="shared" si="9"/>
        <v>0</v>
      </c>
      <c r="Q589" s="69" cm="1">
        <f t="array" ref="Q589">IF(P589=1,IF(SUMPRODUCT(($P$2:P589)*(--($G$2:G589=$G589)))=1,1,0),0)</f>
        <v>0</v>
      </c>
      <c r="R589" s="69" t="str">
        <f>IF(Q589=1,SUM($Q$2:Q589),"")</f>
        <v/>
      </c>
    </row>
    <row r="590" spans="1:18" x14ac:dyDescent="0.2">
      <c r="A590" s="72"/>
      <c r="B590" s="76"/>
      <c r="C590" s="73"/>
      <c r="D590" s="73" t="s">
        <v>968</v>
      </c>
      <c r="E590" s="77" t="s">
        <v>103</v>
      </c>
      <c r="F590" s="75" t="s">
        <v>1578</v>
      </c>
      <c r="G590" s="75" t="s">
        <v>1198</v>
      </c>
      <c r="H590" s="69"/>
      <c r="P590" s="69">
        <f t="shared" si="9"/>
        <v>0</v>
      </c>
      <c r="Q590" s="69" cm="1">
        <f t="array" ref="Q590">IF(P590=1,IF(SUMPRODUCT(($P$2:P590)*(--($G$2:G590=$G590)))=1,1,0),0)</f>
        <v>0</v>
      </c>
      <c r="R590" s="69" t="str">
        <f>IF(Q590=1,SUM($Q$2:Q590),"")</f>
        <v/>
      </c>
    </row>
    <row r="591" spans="1:18" x14ac:dyDescent="0.2">
      <c r="A591" s="72"/>
      <c r="B591" s="76"/>
      <c r="C591" s="73"/>
      <c r="D591" s="73" t="s">
        <v>968</v>
      </c>
      <c r="E591" s="77" t="s">
        <v>103</v>
      </c>
      <c r="F591" s="75" t="s">
        <v>1579</v>
      </c>
      <c r="G591" s="75" t="s">
        <v>1198</v>
      </c>
      <c r="H591" s="69"/>
      <c r="P591" s="69">
        <f t="shared" si="9"/>
        <v>0</v>
      </c>
      <c r="Q591" s="69" cm="1">
        <f t="array" ref="Q591">IF(P591=1,IF(SUMPRODUCT(($P$2:P591)*(--($G$2:G591=$G591)))=1,1,0),0)</f>
        <v>0</v>
      </c>
      <c r="R591" s="69" t="str">
        <f>IF(Q591=1,SUM($Q$2:Q591),"")</f>
        <v/>
      </c>
    </row>
    <row r="592" spans="1:18" ht="16" x14ac:dyDescent="0.2">
      <c r="A592" s="72"/>
      <c r="B592" s="76"/>
      <c r="C592" s="73"/>
      <c r="D592" s="73" t="s">
        <v>968</v>
      </c>
      <c r="E592" s="77" t="s">
        <v>94</v>
      </c>
      <c r="F592" s="75" t="s">
        <v>2080</v>
      </c>
      <c r="G592" s="74" t="s">
        <v>532</v>
      </c>
      <c r="H592" s="69"/>
      <c r="P592" s="69">
        <f t="shared" si="9"/>
        <v>0</v>
      </c>
      <c r="Q592" s="69" cm="1">
        <f t="array" ref="Q592">IF(P592=1,IF(SUMPRODUCT(($P$2:P592)*(--($G$2:G592=$G592)))=1,1,0),0)</f>
        <v>0</v>
      </c>
      <c r="R592" s="69" t="str">
        <f>IF(Q592=1,SUM($Q$2:Q592),"")</f>
        <v/>
      </c>
    </row>
    <row r="593" spans="1:18" ht="16" x14ac:dyDescent="0.2">
      <c r="A593" s="72"/>
      <c r="B593" s="76"/>
      <c r="C593" s="73"/>
      <c r="D593" s="73" t="s">
        <v>968</v>
      </c>
      <c r="E593" s="77" t="s">
        <v>94</v>
      </c>
      <c r="F593" s="75" t="s">
        <v>2217</v>
      </c>
      <c r="G593" s="74" t="s">
        <v>532</v>
      </c>
      <c r="H593" s="69"/>
      <c r="P593" s="69">
        <f t="shared" si="9"/>
        <v>0</v>
      </c>
      <c r="Q593" s="69" cm="1">
        <f t="array" ref="Q593">IF(P593=1,IF(SUMPRODUCT(($P$2:P593)*(--($G$2:G593=$G593)))=1,1,0),0)</f>
        <v>0</v>
      </c>
      <c r="R593" s="69" t="str">
        <f>IF(Q593=1,SUM($Q$2:Q593),"")</f>
        <v/>
      </c>
    </row>
    <row r="594" spans="1:18" ht="16" x14ac:dyDescent="0.2">
      <c r="A594" s="72"/>
      <c r="B594" s="76"/>
      <c r="C594" s="73"/>
      <c r="D594" s="73" t="s">
        <v>968</v>
      </c>
      <c r="E594" s="77" t="s">
        <v>94</v>
      </c>
      <c r="F594" s="75" t="s">
        <v>2218</v>
      </c>
      <c r="G594" s="74" t="s">
        <v>532</v>
      </c>
      <c r="H594" s="69"/>
      <c r="P594" s="69">
        <f t="shared" si="9"/>
        <v>0</v>
      </c>
      <c r="Q594" s="69" cm="1">
        <f t="array" ref="Q594">IF(P594=1,IF(SUMPRODUCT(($P$2:P594)*(--($G$2:G594=$G594)))=1,1,0),0)</f>
        <v>0</v>
      </c>
      <c r="R594" s="69" t="str">
        <f>IF(Q594=1,SUM($Q$2:Q594),"")</f>
        <v/>
      </c>
    </row>
    <row r="595" spans="1:18" ht="16" x14ac:dyDescent="0.2">
      <c r="A595" s="72"/>
      <c r="B595" s="76"/>
      <c r="C595" s="73"/>
      <c r="D595" s="73" t="s">
        <v>968</v>
      </c>
      <c r="E595" s="77" t="s">
        <v>94</v>
      </c>
      <c r="F595" s="75" t="s">
        <v>2219</v>
      </c>
      <c r="G595" s="74" t="s">
        <v>532</v>
      </c>
      <c r="H595" s="69"/>
      <c r="P595" s="69">
        <f t="shared" si="9"/>
        <v>0</v>
      </c>
      <c r="Q595" s="69" cm="1">
        <f t="array" ref="Q595">IF(P595=1,IF(SUMPRODUCT(($P$2:P595)*(--($G$2:G595=$G595)))=1,1,0),0)</f>
        <v>0</v>
      </c>
      <c r="R595" s="69" t="str">
        <f>IF(Q595=1,SUM($Q$2:Q595),"")</f>
        <v/>
      </c>
    </row>
    <row r="596" spans="1:18" ht="16" x14ac:dyDescent="0.2">
      <c r="A596" s="72"/>
      <c r="B596" s="76"/>
      <c r="C596" s="73"/>
      <c r="D596" s="73" t="s">
        <v>968</v>
      </c>
      <c r="E596" s="77" t="s">
        <v>103</v>
      </c>
      <c r="F596" s="75" t="s">
        <v>2080</v>
      </c>
      <c r="G596" s="74" t="s">
        <v>530</v>
      </c>
      <c r="H596" s="69"/>
      <c r="P596" s="69">
        <f t="shared" si="9"/>
        <v>0</v>
      </c>
      <c r="Q596" s="69" cm="1">
        <f t="array" ref="Q596">IF(P596=1,IF(SUMPRODUCT(($P$2:P596)*(--($G$2:G596=$G596)))=1,1,0),0)</f>
        <v>0</v>
      </c>
      <c r="R596" s="69" t="str">
        <f>IF(Q596=1,SUM($Q$2:Q596),"")</f>
        <v/>
      </c>
    </row>
    <row r="597" spans="1:18" ht="16" x14ac:dyDescent="0.2">
      <c r="A597" s="72"/>
      <c r="B597" s="76"/>
      <c r="C597" s="73"/>
      <c r="D597" s="73" t="s">
        <v>968</v>
      </c>
      <c r="E597" s="77" t="s">
        <v>103</v>
      </c>
      <c r="F597" s="75" t="s">
        <v>2217</v>
      </c>
      <c r="G597" s="74" t="s">
        <v>530</v>
      </c>
      <c r="H597" s="69"/>
      <c r="P597" s="69">
        <f t="shared" si="9"/>
        <v>0</v>
      </c>
      <c r="Q597" s="69" cm="1">
        <f t="array" ref="Q597">IF(P597=1,IF(SUMPRODUCT(($P$2:P597)*(--($G$2:G597=$G597)))=1,1,0),0)</f>
        <v>0</v>
      </c>
      <c r="R597" s="69" t="str">
        <f>IF(Q597=1,SUM($Q$2:Q597),"")</f>
        <v/>
      </c>
    </row>
    <row r="598" spans="1:18" ht="16" x14ac:dyDescent="0.2">
      <c r="A598" s="72"/>
      <c r="B598" s="76"/>
      <c r="C598" s="73"/>
      <c r="D598" s="73" t="s">
        <v>968</v>
      </c>
      <c r="E598" s="77" t="s">
        <v>103</v>
      </c>
      <c r="F598" s="75" t="s">
        <v>2218</v>
      </c>
      <c r="G598" s="74" t="s">
        <v>530</v>
      </c>
      <c r="H598" s="69"/>
      <c r="P598" s="69">
        <f t="shared" si="9"/>
        <v>0</v>
      </c>
      <c r="Q598" s="69" cm="1">
        <f t="array" ref="Q598">IF(P598=1,IF(SUMPRODUCT(($P$2:P598)*(--($G$2:G598=$G598)))=1,1,0),0)</f>
        <v>0</v>
      </c>
      <c r="R598" s="69" t="str">
        <f>IF(Q598=1,SUM($Q$2:Q598),"")</f>
        <v/>
      </c>
    </row>
    <row r="599" spans="1:18" ht="16" x14ac:dyDescent="0.2">
      <c r="A599" s="72"/>
      <c r="B599" s="76"/>
      <c r="C599" s="73"/>
      <c r="D599" s="73" t="s">
        <v>968</v>
      </c>
      <c r="E599" s="77" t="s">
        <v>103</v>
      </c>
      <c r="F599" s="75" t="s">
        <v>2219</v>
      </c>
      <c r="G599" s="74" t="s">
        <v>530</v>
      </c>
      <c r="H599" s="69"/>
      <c r="P599" s="69">
        <f t="shared" si="9"/>
        <v>0</v>
      </c>
      <c r="Q599" s="69" cm="1">
        <f t="array" ref="Q599">IF(P599=1,IF(SUMPRODUCT(($P$2:P599)*(--($G$2:G599=$G599)))=1,1,0),0)</f>
        <v>0</v>
      </c>
      <c r="R599" s="69" t="str">
        <f>IF(Q599=1,SUM($Q$2:Q599),"")</f>
        <v/>
      </c>
    </row>
    <row r="600" spans="1:18" ht="16" x14ac:dyDescent="0.2">
      <c r="A600" s="72"/>
      <c r="B600" s="76"/>
      <c r="C600" s="73"/>
      <c r="D600" s="73" t="s">
        <v>968</v>
      </c>
      <c r="E600" s="77" t="s">
        <v>103</v>
      </c>
      <c r="F600" s="75" t="s">
        <v>2225</v>
      </c>
      <c r="G600" s="74" t="s">
        <v>530</v>
      </c>
      <c r="H600" s="69"/>
      <c r="P600" s="69">
        <f t="shared" si="9"/>
        <v>0</v>
      </c>
      <c r="Q600" s="69" cm="1">
        <f t="array" ref="Q600">IF(P600=1,IF(SUMPRODUCT(($P$2:P600)*(--($G$2:G600=$G600)))=1,1,0),0)</f>
        <v>0</v>
      </c>
      <c r="R600" s="69" t="str">
        <f>IF(Q600=1,SUM($Q$2:Q600),"")</f>
        <v/>
      </c>
    </row>
    <row r="601" spans="1:18" ht="16" x14ac:dyDescent="0.2">
      <c r="A601" s="72"/>
      <c r="B601" s="76"/>
      <c r="C601" s="73"/>
      <c r="D601" s="73" t="s">
        <v>968</v>
      </c>
      <c r="E601" s="77" t="s">
        <v>103</v>
      </c>
      <c r="F601" s="75" t="s">
        <v>2226</v>
      </c>
      <c r="G601" s="74" t="s">
        <v>530</v>
      </c>
      <c r="H601" s="69"/>
      <c r="P601" s="69">
        <f t="shared" si="9"/>
        <v>0</v>
      </c>
      <c r="Q601" s="69" cm="1">
        <f t="array" ref="Q601">IF(P601=1,IF(SUMPRODUCT(($P$2:P601)*(--($G$2:G601=$G601)))=1,1,0),0)</f>
        <v>0</v>
      </c>
      <c r="R601" s="69" t="str">
        <f>IF(Q601=1,SUM($Q$2:Q601),"")</f>
        <v/>
      </c>
    </row>
    <row r="602" spans="1:18" ht="16" x14ac:dyDescent="0.2">
      <c r="A602" s="72"/>
      <c r="B602" s="76"/>
      <c r="C602" s="73"/>
      <c r="D602" s="73" t="s">
        <v>968</v>
      </c>
      <c r="E602" s="77" t="s">
        <v>103</v>
      </c>
      <c r="F602" s="75" t="s">
        <v>2227</v>
      </c>
      <c r="G602" s="74" t="s">
        <v>530</v>
      </c>
      <c r="H602" s="69"/>
      <c r="P602" s="69">
        <f t="shared" si="9"/>
        <v>0</v>
      </c>
      <c r="Q602" s="69" cm="1">
        <f t="array" ref="Q602">IF(P602=1,IF(SUMPRODUCT(($P$2:P602)*(--($G$2:G602=$G602)))=1,1,0),0)</f>
        <v>0</v>
      </c>
      <c r="R602" s="69" t="str">
        <f>IF(Q602=1,SUM($Q$2:Q602),"")</f>
        <v/>
      </c>
    </row>
    <row r="603" spans="1:18" ht="16" x14ac:dyDescent="0.2">
      <c r="A603" s="72"/>
      <c r="B603" s="76"/>
      <c r="C603" s="73"/>
      <c r="D603" s="73" t="s">
        <v>968</v>
      </c>
      <c r="E603" s="77" t="s">
        <v>103</v>
      </c>
      <c r="F603" s="75" t="s">
        <v>2228</v>
      </c>
      <c r="G603" s="74" t="s">
        <v>530</v>
      </c>
      <c r="H603" s="69"/>
      <c r="P603" s="69">
        <f t="shared" si="9"/>
        <v>0</v>
      </c>
      <c r="Q603" s="69" cm="1">
        <f t="array" ref="Q603">IF(P603=1,IF(SUMPRODUCT(($P$2:P603)*(--($G$2:G603=$G603)))=1,1,0),0)</f>
        <v>0</v>
      </c>
      <c r="R603" s="69" t="str">
        <f>IF(Q603=1,SUM($Q$2:Q603),"")</f>
        <v/>
      </c>
    </row>
    <row r="604" spans="1:18" ht="16" x14ac:dyDescent="0.2">
      <c r="A604" s="72"/>
      <c r="B604" s="76"/>
      <c r="C604" s="73"/>
      <c r="D604" s="73" t="s">
        <v>968</v>
      </c>
      <c r="E604" s="77" t="s">
        <v>94</v>
      </c>
      <c r="F604" s="75" t="s">
        <v>286</v>
      </c>
      <c r="G604" s="74" t="s">
        <v>529</v>
      </c>
      <c r="H604" s="69"/>
      <c r="P604" s="69">
        <f t="shared" si="9"/>
        <v>0</v>
      </c>
      <c r="Q604" s="69" cm="1">
        <f t="array" ref="Q604">IF(P604=1,IF(SUMPRODUCT(($P$2:P604)*(--($G$2:G604=$G604)))=1,1,0),0)</f>
        <v>0</v>
      </c>
      <c r="R604" s="69" t="str">
        <f>IF(Q604=1,SUM($Q$2:Q604),"")</f>
        <v/>
      </c>
    </row>
    <row r="605" spans="1:18" ht="16" x14ac:dyDescent="0.2">
      <c r="A605" s="72"/>
      <c r="B605" s="76"/>
      <c r="C605" s="73"/>
      <c r="D605" s="73" t="s">
        <v>968</v>
      </c>
      <c r="E605" s="77" t="s">
        <v>94</v>
      </c>
      <c r="F605" s="75" t="s">
        <v>1580</v>
      </c>
      <c r="G605" s="74" t="s">
        <v>529</v>
      </c>
      <c r="H605" s="69"/>
      <c r="P605" s="69">
        <f t="shared" si="9"/>
        <v>0</v>
      </c>
      <c r="Q605" s="69" cm="1">
        <f t="array" ref="Q605">IF(P605=1,IF(SUMPRODUCT(($P$2:P605)*(--($G$2:G605=$G605)))=1,1,0),0)</f>
        <v>0</v>
      </c>
      <c r="R605" s="69" t="str">
        <f>IF(Q605=1,SUM($Q$2:Q605),"")</f>
        <v/>
      </c>
    </row>
    <row r="606" spans="1:18" ht="16" x14ac:dyDescent="0.2">
      <c r="A606" s="72"/>
      <c r="B606" s="76"/>
      <c r="C606" s="73"/>
      <c r="D606" s="73" t="s">
        <v>968</v>
      </c>
      <c r="E606" s="77" t="s">
        <v>94</v>
      </c>
      <c r="F606" s="75" t="s">
        <v>1581</v>
      </c>
      <c r="G606" s="74" t="s">
        <v>529</v>
      </c>
      <c r="H606" s="69"/>
      <c r="P606" s="69">
        <f t="shared" si="9"/>
        <v>0</v>
      </c>
      <c r="Q606" s="69" cm="1">
        <f t="array" ref="Q606">IF(P606=1,IF(SUMPRODUCT(($P$2:P606)*(--($G$2:G606=$G606)))=1,1,0),0)</f>
        <v>0</v>
      </c>
      <c r="R606" s="69" t="str">
        <f>IF(Q606=1,SUM($Q$2:Q606),"")</f>
        <v/>
      </c>
    </row>
    <row r="607" spans="1:18" ht="16" x14ac:dyDescent="0.2">
      <c r="A607" s="72"/>
      <c r="B607" s="76"/>
      <c r="C607" s="73"/>
      <c r="D607" s="73" t="s">
        <v>968</v>
      </c>
      <c r="E607" s="77" t="s">
        <v>94</v>
      </c>
      <c r="F607" s="75" t="s">
        <v>1582</v>
      </c>
      <c r="G607" s="74" t="s">
        <v>529</v>
      </c>
      <c r="H607" s="69"/>
      <c r="P607" s="69">
        <f t="shared" si="9"/>
        <v>0</v>
      </c>
      <c r="Q607" s="69" cm="1">
        <f t="array" ref="Q607">IF(P607=1,IF(SUMPRODUCT(($P$2:P607)*(--($G$2:G607=$G607)))=1,1,0),0)</f>
        <v>0</v>
      </c>
      <c r="R607" s="69" t="str">
        <f>IF(Q607=1,SUM($Q$2:Q607),"")</f>
        <v/>
      </c>
    </row>
    <row r="608" spans="1:18" ht="16" x14ac:dyDescent="0.2">
      <c r="A608" s="72"/>
      <c r="B608" s="76"/>
      <c r="C608" s="73"/>
      <c r="D608" s="73" t="s">
        <v>968</v>
      </c>
      <c r="E608" s="77" t="s">
        <v>103</v>
      </c>
      <c r="F608" s="75" t="s">
        <v>286</v>
      </c>
      <c r="G608" s="74" t="s">
        <v>528</v>
      </c>
      <c r="H608" s="69"/>
      <c r="P608" s="69">
        <f t="shared" si="9"/>
        <v>0</v>
      </c>
      <c r="Q608" s="69" cm="1">
        <f t="array" ref="Q608">IF(P608=1,IF(SUMPRODUCT(($P$2:P608)*(--($G$2:G608=$G608)))=1,1,0),0)</f>
        <v>0</v>
      </c>
      <c r="R608" s="69" t="str">
        <f>IF(Q608=1,SUM($Q$2:Q608),"")</f>
        <v/>
      </c>
    </row>
    <row r="609" spans="1:18" ht="16" x14ac:dyDescent="0.2">
      <c r="A609" s="72"/>
      <c r="B609" s="76"/>
      <c r="C609" s="73"/>
      <c r="D609" s="73" t="s">
        <v>968</v>
      </c>
      <c r="E609" s="77" t="s">
        <v>103</v>
      </c>
      <c r="F609" s="75" t="s">
        <v>1580</v>
      </c>
      <c r="G609" s="74" t="s">
        <v>528</v>
      </c>
      <c r="H609" s="69"/>
      <c r="P609" s="69">
        <f t="shared" si="9"/>
        <v>0</v>
      </c>
      <c r="Q609" s="69" cm="1">
        <f t="array" ref="Q609">IF(P609=1,IF(SUMPRODUCT(($P$2:P609)*(--($G$2:G609=$G609)))=1,1,0),0)</f>
        <v>0</v>
      </c>
      <c r="R609" s="69" t="str">
        <f>IF(Q609=1,SUM($Q$2:Q609),"")</f>
        <v/>
      </c>
    </row>
    <row r="610" spans="1:18" ht="16" x14ac:dyDescent="0.2">
      <c r="A610" s="72"/>
      <c r="B610" s="76"/>
      <c r="C610" s="73"/>
      <c r="D610" s="73" t="s">
        <v>968</v>
      </c>
      <c r="E610" s="77" t="s">
        <v>103</v>
      </c>
      <c r="F610" s="75" t="s">
        <v>1581</v>
      </c>
      <c r="G610" s="74" t="s">
        <v>528</v>
      </c>
      <c r="H610" s="69"/>
      <c r="P610" s="69">
        <f t="shared" si="9"/>
        <v>0</v>
      </c>
      <c r="Q610" s="69" cm="1">
        <f t="array" ref="Q610">IF(P610=1,IF(SUMPRODUCT(($P$2:P610)*(--($G$2:G610=$G610)))=1,1,0),0)</f>
        <v>0</v>
      </c>
      <c r="R610" s="69" t="str">
        <f>IF(Q610=1,SUM($Q$2:Q610),"")</f>
        <v/>
      </c>
    </row>
    <row r="611" spans="1:18" ht="16" x14ac:dyDescent="0.2">
      <c r="A611" s="72"/>
      <c r="B611" s="76"/>
      <c r="C611" s="73"/>
      <c r="D611" s="73" t="s">
        <v>968</v>
      </c>
      <c r="E611" s="77" t="s">
        <v>103</v>
      </c>
      <c r="F611" s="75" t="s">
        <v>1582</v>
      </c>
      <c r="G611" s="74" t="s">
        <v>528</v>
      </c>
      <c r="H611" s="69"/>
      <c r="P611" s="69">
        <f t="shared" si="9"/>
        <v>0</v>
      </c>
      <c r="Q611" s="69" cm="1">
        <f t="array" ref="Q611">IF(P611=1,IF(SUMPRODUCT(($P$2:P611)*(--($G$2:G611=$G611)))=1,1,0),0)</f>
        <v>0</v>
      </c>
      <c r="R611" s="69" t="str">
        <f>IF(Q611=1,SUM($Q$2:Q611),"")</f>
        <v/>
      </c>
    </row>
    <row r="612" spans="1:18" ht="16" x14ac:dyDescent="0.2">
      <c r="A612" s="72"/>
      <c r="B612" s="76"/>
      <c r="C612" s="73"/>
      <c r="D612" s="73" t="s">
        <v>968</v>
      </c>
      <c r="E612" s="77" t="s">
        <v>103</v>
      </c>
      <c r="F612" s="75" t="s">
        <v>1526</v>
      </c>
      <c r="G612" s="74" t="s">
        <v>528</v>
      </c>
      <c r="H612" s="69"/>
      <c r="P612" s="69">
        <f t="shared" si="9"/>
        <v>0</v>
      </c>
      <c r="Q612" s="69" cm="1">
        <f t="array" ref="Q612">IF(P612=1,IF(SUMPRODUCT(($P$2:P612)*(--($G$2:G612=$G612)))=1,1,0),0)</f>
        <v>0</v>
      </c>
      <c r="R612" s="69" t="str">
        <f>IF(Q612=1,SUM($Q$2:Q612),"")</f>
        <v/>
      </c>
    </row>
    <row r="613" spans="1:18" ht="16" x14ac:dyDescent="0.2">
      <c r="A613" s="72"/>
      <c r="B613" s="76"/>
      <c r="C613" s="73"/>
      <c r="D613" s="73" t="s">
        <v>968</v>
      </c>
      <c r="E613" s="77" t="s">
        <v>103</v>
      </c>
      <c r="F613" s="75" t="s">
        <v>1583</v>
      </c>
      <c r="G613" s="74" t="s">
        <v>528</v>
      </c>
      <c r="H613" s="69"/>
      <c r="P613" s="69">
        <f t="shared" si="9"/>
        <v>0</v>
      </c>
      <c r="Q613" s="69" cm="1">
        <f t="array" ref="Q613">IF(P613=1,IF(SUMPRODUCT(($P$2:P613)*(--($G$2:G613=$G613)))=1,1,0),0)</f>
        <v>0</v>
      </c>
      <c r="R613" s="69" t="str">
        <f>IF(Q613=1,SUM($Q$2:Q613),"")</f>
        <v/>
      </c>
    </row>
    <row r="614" spans="1:18" ht="16" x14ac:dyDescent="0.2">
      <c r="A614" s="72"/>
      <c r="B614" s="76"/>
      <c r="C614" s="73"/>
      <c r="D614" s="73" t="s">
        <v>968</v>
      </c>
      <c r="E614" s="77" t="s">
        <v>103</v>
      </c>
      <c r="F614" s="75" t="s">
        <v>1584</v>
      </c>
      <c r="G614" s="74" t="s">
        <v>528</v>
      </c>
      <c r="H614" s="69"/>
      <c r="P614" s="69">
        <f t="shared" si="9"/>
        <v>0</v>
      </c>
      <c r="Q614" s="69" cm="1">
        <f t="array" ref="Q614">IF(P614=1,IF(SUMPRODUCT(($P$2:P614)*(--($G$2:G614=$G614)))=1,1,0),0)</f>
        <v>0</v>
      </c>
      <c r="R614" s="69" t="str">
        <f>IF(Q614=1,SUM($Q$2:Q614),"")</f>
        <v/>
      </c>
    </row>
    <row r="615" spans="1:18" ht="16" x14ac:dyDescent="0.2">
      <c r="A615" s="72"/>
      <c r="B615" s="76"/>
      <c r="C615" s="73"/>
      <c r="D615" s="73" t="s">
        <v>968</v>
      </c>
      <c r="E615" s="77" t="s">
        <v>103</v>
      </c>
      <c r="F615" s="75" t="s">
        <v>1585</v>
      </c>
      <c r="G615" s="74" t="s">
        <v>528</v>
      </c>
      <c r="H615" s="69"/>
      <c r="P615" s="69">
        <f t="shared" si="9"/>
        <v>0</v>
      </c>
      <c r="Q615" s="69" cm="1">
        <f t="array" ref="Q615">IF(P615=1,IF(SUMPRODUCT(($P$2:P615)*(--($G$2:G615=$G615)))=1,1,0),0)</f>
        <v>0</v>
      </c>
      <c r="R615" s="69" t="str">
        <f>IF(Q615=1,SUM($Q$2:Q615),"")</f>
        <v/>
      </c>
    </row>
    <row r="616" spans="1:18" x14ac:dyDescent="0.2">
      <c r="A616" s="72"/>
      <c r="B616" s="76"/>
      <c r="C616" s="73"/>
      <c r="D616" s="73" t="s">
        <v>968</v>
      </c>
      <c r="E616" s="77" t="s">
        <v>103</v>
      </c>
      <c r="F616" s="75" t="s">
        <v>1288</v>
      </c>
      <c r="G616" s="85" t="s">
        <v>1586</v>
      </c>
      <c r="H616" s="69"/>
      <c r="P616" s="69">
        <f t="shared" si="9"/>
        <v>0</v>
      </c>
      <c r="Q616" s="69" cm="1">
        <f t="array" ref="Q616">IF(P616=1,IF(SUMPRODUCT(($P$2:P616)*(--($G$2:G616=$G616)))=1,1,0),0)</f>
        <v>0</v>
      </c>
      <c r="R616" s="69" t="str">
        <f>IF(Q616=1,SUM($Q$2:Q616),"")</f>
        <v/>
      </c>
    </row>
    <row r="617" spans="1:18" x14ac:dyDescent="0.2">
      <c r="A617" s="72"/>
      <c r="B617" s="76"/>
      <c r="C617" s="73"/>
      <c r="D617" s="73" t="s">
        <v>968</v>
      </c>
      <c r="E617" s="77" t="s">
        <v>103</v>
      </c>
      <c r="F617" s="75" t="s">
        <v>1288</v>
      </c>
      <c r="G617" s="85" t="s">
        <v>1586</v>
      </c>
      <c r="H617" s="69"/>
      <c r="P617" s="69">
        <f t="shared" si="9"/>
        <v>0</v>
      </c>
      <c r="Q617" s="69" cm="1">
        <f t="array" ref="Q617">IF(P617=1,IF(SUMPRODUCT(($P$2:P617)*(--($G$2:G617=$G617)))=1,1,0),0)</f>
        <v>0</v>
      </c>
      <c r="R617" s="69" t="str">
        <f>IF(Q617=1,SUM($Q$2:Q617),"")</f>
        <v/>
      </c>
    </row>
    <row r="618" spans="1:18" ht="16" x14ac:dyDescent="0.2">
      <c r="A618" s="72"/>
      <c r="B618" s="84"/>
      <c r="C618" s="73"/>
      <c r="D618" s="73" t="s">
        <v>966</v>
      </c>
      <c r="E618" s="77" t="s">
        <v>97</v>
      </c>
      <c r="F618" s="75" t="s">
        <v>1587</v>
      </c>
      <c r="G618" s="74" t="s">
        <v>950</v>
      </c>
      <c r="H618" s="69"/>
      <c r="P618" s="69">
        <f t="shared" si="9"/>
        <v>0</v>
      </c>
      <c r="Q618" s="69" cm="1">
        <f t="array" ref="Q618">IF(P618=1,IF(SUMPRODUCT(($P$2:P618)*(--($G$2:G618=$G618)))=1,1,0),0)</f>
        <v>0</v>
      </c>
      <c r="R618" s="69" t="str">
        <f>IF(Q618=1,SUM($Q$2:Q618),"")</f>
        <v/>
      </c>
    </row>
    <row r="619" spans="1:18" x14ac:dyDescent="0.2">
      <c r="A619" s="72"/>
      <c r="B619" s="76"/>
      <c r="C619" s="73"/>
      <c r="D619" s="73" t="s">
        <v>966</v>
      </c>
      <c r="E619" s="77" t="s">
        <v>110</v>
      </c>
      <c r="F619" s="75" t="s">
        <v>363</v>
      </c>
      <c r="G619" s="85" t="s">
        <v>502</v>
      </c>
      <c r="H619" s="69"/>
      <c r="P619" s="69">
        <f t="shared" si="9"/>
        <v>0</v>
      </c>
      <c r="Q619" s="69" cm="1">
        <f t="array" ref="Q619">IF(P619=1,IF(SUMPRODUCT(($P$2:P619)*(--($G$2:G619=$G619)))=1,1,0),0)</f>
        <v>0</v>
      </c>
      <c r="R619" s="69" t="str">
        <f>IF(Q619=1,SUM($Q$2:Q619),"")</f>
        <v/>
      </c>
    </row>
    <row r="620" spans="1:18" x14ac:dyDescent="0.2">
      <c r="A620" s="72"/>
      <c r="B620" s="76"/>
      <c r="C620" s="73"/>
      <c r="D620" s="73" t="s">
        <v>966</v>
      </c>
      <c r="E620" s="77" t="s">
        <v>990</v>
      </c>
      <c r="F620" s="75" t="s">
        <v>363</v>
      </c>
      <c r="G620" s="85" t="s">
        <v>502</v>
      </c>
      <c r="H620" s="69"/>
      <c r="P620" s="69">
        <f t="shared" si="9"/>
        <v>0</v>
      </c>
      <c r="Q620" s="69" cm="1">
        <f t="array" ref="Q620">IF(P620=1,IF(SUMPRODUCT(($P$2:P620)*(--($G$2:G620=$G620)))=1,1,0),0)</f>
        <v>0</v>
      </c>
      <c r="R620" s="69" t="str">
        <f>IF(Q620=1,SUM($Q$2:Q620),"")</f>
        <v/>
      </c>
    </row>
    <row r="621" spans="1:18" x14ac:dyDescent="0.2">
      <c r="A621" s="72"/>
      <c r="B621" s="76"/>
      <c r="C621" s="73"/>
      <c r="D621" s="73" t="s">
        <v>966</v>
      </c>
      <c r="E621" s="77" t="s">
        <v>110</v>
      </c>
      <c r="F621" s="75" t="s">
        <v>1588</v>
      </c>
      <c r="G621" s="85" t="s">
        <v>502</v>
      </c>
      <c r="H621" s="69"/>
      <c r="P621" s="69">
        <f t="shared" si="9"/>
        <v>0</v>
      </c>
      <c r="Q621" s="69" cm="1">
        <f t="array" ref="Q621">IF(P621=1,IF(SUMPRODUCT(($P$2:P621)*(--($G$2:G621=$G621)))=1,1,0),0)</f>
        <v>0</v>
      </c>
      <c r="R621" s="69" t="str">
        <f>IF(Q621=1,SUM($Q$2:Q621),"")</f>
        <v/>
      </c>
    </row>
    <row r="622" spans="1:18" x14ac:dyDescent="0.2">
      <c r="A622" s="72"/>
      <c r="B622" s="76"/>
      <c r="C622" s="73"/>
      <c r="D622" s="73" t="s">
        <v>966</v>
      </c>
      <c r="E622" s="77" t="s">
        <v>990</v>
      </c>
      <c r="F622" s="75" t="s">
        <v>1588</v>
      </c>
      <c r="G622" s="85" t="s">
        <v>502</v>
      </c>
      <c r="H622" s="69"/>
      <c r="P622" s="69">
        <f t="shared" si="9"/>
        <v>0</v>
      </c>
      <c r="Q622" s="69" cm="1">
        <f t="array" ref="Q622">IF(P622=1,IF(SUMPRODUCT(($P$2:P622)*(--($G$2:G622=$G622)))=1,1,0),0)</f>
        <v>0</v>
      </c>
      <c r="R622" s="69" t="str">
        <f>IF(Q622=1,SUM($Q$2:Q622),"")</f>
        <v/>
      </c>
    </row>
    <row r="623" spans="1:18" ht="16" x14ac:dyDescent="0.2">
      <c r="A623" s="72"/>
      <c r="B623" s="76"/>
      <c r="C623" s="73"/>
      <c r="D623" s="73" t="s">
        <v>966</v>
      </c>
      <c r="E623" s="77" t="s">
        <v>110</v>
      </c>
      <c r="F623" s="75" t="s">
        <v>1589</v>
      </c>
      <c r="G623" s="74" t="s">
        <v>505</v>
      </c>
      <c r="H623" s="69"/>
      <c r="P623" s="69">
        <f t="shared" si="9"/>
        <v>0</v>
      </c>
      <c r="Q623" s="69" cm="1">
        <f t="array" ref="Q623">IF(P623=1,IF(SUMPRODUCT(($P$2:P623)*(--($G$2:G623=$G623)))=1,1,0),0)</f>
        <v>0</v>
      </c>
      <c r="R623" s="69" t="str">
        <f>IF(Q623=1,SUM($Q$2:Q623),"")</f>
        <v/>
      </c>
    </row>
    <row r="624" spans="1:18" ht="16" x14ac:dyDescent="0.2">
      <c r="A624" s="72"/>
      <c r="B624" s="76"/>
      <c r="C624" s="73"/>
      <c r="D624" s="73" t="s">
        <v>966</v>
      </c>
      <c r="E624" s="77" t="s">
        <v>990</v>
      </c>
      <c r="F624" s="75" t="s">
        <v>1589</v>
      </c>
      <c r="G624" s="74" t="s">
        <v>505</v>
      </c>
      <c r="H624" s="69"/>
      <c r="P624" s="69">
        <f t="shared" si="9"/>
        <v>0</v>
      </c>
      <c r="Q624" s="69" cm="1">
        <f t="array" ref="Q624">IF(P624=1,IF(SUMPRODUCT(($P$2:P624)*(--($G$2:G624=$G624)))=1,1,0),0)</f>
        <v>0</v>
      </c>
      <c r="R624" s="69" t="str">
        <f>IF(Q624=1,SUM($Q$2:Q624),"")</f>
        <v/>
      </c>
    </row>
    <row r="625" spans="1:18" ht="16" x14ac:dyDescent="0.2">
      <c r="A625" s="72"/>
      <c r="B625" s="76"/>
      <c r="C625" s="73"/>
      <c r="D625" s="73" t="s">
        <v>966</v>
      </c>
      <c r="E625" s="77" t="s">
        <v>110</v>
      </c>
      <c r="F625" s="75" t="s">
        <v>1590</v>
      </c>
      <c r="G625" s="74" t="s">
        <v>505</v>
      </c>
      <c r="H625" s="69"/>
      <c r="P625" s="69">
        <f t="shared" si="9"/>
        <v>0</v>
      </c>
      <c r="Q625" s="69" cm="1">
        <f t="array" ref="Q625">IF(P625=1,IF(SUMPRODUCT(($P$2:P625)*(--($G$2:G625=$G625)))=1,1,0),0)</f>
        <v>0</v>
      </c>
      <c r="R625" s="69" t="str">
        <f>IF(Q625=1,SUM($Q$2:Q625),"")</f>
        <v/>
      </c>
    </row>
    <row r="626" spans="1:18" ht="16" x14ac:dyDescent="0.2">
      <c r="A626" s="72"/>
      <c r="B626" s="76"/>
      <c r="C626" s="73"/>
      <c r="D626" s="73" t="s">
        <v>966</v>
      </c>
      <c r="E626" s="77" t="s">
        <v>990</v>
      </c>
      <c r="F626" s="75" t="s">
        <v>1590</v>
      </c>
      <c r="G626" s="74" t="s">
        <v>505</v>
      </c>
      <c r="H626" s="69"/>
      <c r="P626" s="69">
        <f t="shared" si="9"/>
        <v>0</v>
      </c>
      <c r="Q626" s="69" cm="1">
        <f t="array" ref="Q626">IF(P626=1,IF(SUMPRODUCT(($P$2:P626)*(--($G$2:G626=$G626)))=1,1,0),0)</f>
        <v>0</v>
      </c>
      <c r="R626" s="69" t="str">
        <f>IF(Q626=1,SUM($Q$2:Q626),"")</f>
        <v/>
      </c>
    </row>
    <row r="627" spans="1:18" ht="16" x14ac:dyDescent="0.2">
      <c r="A627" s="72"/>
      <c r="B627" s="76"/>
      <c r="C627" s="73"/>
      <c r="D627" s="73" t="s">
        <v>966</v>
      </c>
      <c r="E627" s="77" t="s">
        <v>110</v>
      </c>
      <c r="F627" s="75" t="s">
        <v>1591</v>
      </c>
      <c r="G627" s="74" t="s">
        <v>505</v>
      </c>
      <c r="H627" s="69"/>
      <c r="P627" s="69">
        <f t="shared" si="9"/>
        <v>0</v>
      </c>
      <c r="Q627" s="69" cm="1">
        <f t="array" ref="Q627">IF(P627=1,IF(SUMPRODUCT(($P$2:P627)*(--($G$2:G627=$G627)))=1,1,0),0)</f>
        <v>0</v>
      </c>
      <c r="R627" s="69" t="str">
        <f>IF(Q627=1,SUM($Q$2:Q627),"")</f>
        <v/>
      </c>
    </row>
    <row r="628" spans="1:18" ht="16" x14ac:dyDescent="0.2">
      <c r="A628" s="72"/>
      <c r="B628" s="76"/>
      <c r="C628" s="73"/>
      <c r="D628" s="73" t="s">
        <v>966</v>
      </c>
      <c r="E628" s="77" t="s">
        <v>990</v>
      </c>
      <c r="F628" s="75" t="s">
        <v>1591</v>
      </c>
      <c r="G628" s="74" t="s">
        <v>505</v>
      </c>
      <c r="H628" s="69"/>
      <c r="P628" s="69">
        <f t="shared" si="9"/>
        <v>0</v>
      </c>
      <c r="Q628" s="69" cm="1">
        <f t="array" ref="Q628">IF(P628=1,IF(SUMPRODUCT(($P$2:P628)*(--($G$2:G628=$G628)))=1,1,0),0)</f>
        <v>0</v>
      </c>
      <c r="R628" s="69" t="str">
        <f>IF(Q628=1,SUM($Q$2:Q628),"")</f>
        <v/>
      </c>
    </row>
    <row r="629" spans="1:18" ht="16" x14ac:dyDescent="0.2">
      <c r="A629" s="72"/>
      <c r="B629" s="76"/>
      <c r="C629" s="73"/>
      <c r="D629" s="73" t="s">
        <v>966</v>
      </c>
      <c r="E629" s="77" t="s">
        <v>110</v>
      </c>
      <c r="F629" s="75" t="s">
        <v>1592</v>
      </c>
      <c r="G629" s="74" t="s">
        <v>505</v>
      </c>
      <c r="H629" s="69"/>
      <c r="P629" s="69">
        <f t="shared" si="9"/>
        <v>0</v>
      </c>
      <c r="Q629" s="69" cm="1">
        <f t="array" ref="Q629">IF(P629=1,IF(SUMPRODUCT(($P$2:P629)*(--($G$2:G629=$G629)))=1,1,0),0)</f>
        <v>0</v>
      </c>
      <c r="R629" s="69" t="str">
        <f>IF(Q629=1,SUM($Q$2:Q629),"")</f>
        <v/>
      </c>
    </row>
    <row r="630" spans="1:18" ht="16" x14ac:dyDescent="0.2">
      <c r="A630" s="72"/>
      <c r="B630" s="76"/>
      <c r="C630" s="73"/>
      <c r="D630" s="73" t="s">
        <v>966</v>
      </c>
      <c r="E630" s="77" t="s">
        <v>990</v>
      </c>
      <c r="F630" s="75" t="s">
        <v>1592</v>
      </c>
      <c r="G630" s="74" t="s">
        <v>505</v>
      </c>
      <c r="H630" s="69"/>
      <c r="P630" s="69">
        <f t="shared" si="9"/>
        <v>0</v>
      </c>
      <c r="Q630" s="69" cm="1">
        <f t="array" ref="Q630">IF(P630=1,IF(SUMPRODUCT(($P$2:P630)*(--($G$2:G630=$G630)))=1,1,0),0)</f>
        <v>0</v>
      </c>
      <c r="R630" s="69" t="str">
        <f>IF(Q630=1,SUM($Q$2:Q630),"")</f>
        <v/>
      </c>
    </row>
    <row r="631" spans="1:18" ht="16" x14ac:dyDescent="0.2">
      <c r="A631" s="72"/>
      <c r="B631" s="76"/>
      <c r="C631" s="73"/>
      <c r="D631" s="73" t="s">
        <v>966</v>
      </c>
      <c r="E631" s="77" t="s">
        <v>110</v>
      </c>
      <c r="F631" s="75" t="s">
        <v>1593</v>
      </c>
      <c r="G631" s="74" t="s">
        <v>559</v>
      </c>
      <c r="H631" s="69"/>
      <c r="P631" s="69">
        <f t="shared" si="9"/>
        <v>0</v>
      </c>
      <c r="Q631" s="69" cm="1">
        <f t="array" ref="Q631">IF(P631=1,IF(SUMPRODUCT(($P$2:P631)*(--($G$2:G631=$G631)))=1,1,0),0)</f>
        <v>0</v>
      </c>
      <c r="R631" s="69" t="str">
        <f>IF(Q631=1,SUM($Q$2:Q631),"")</f>
        <v/>
      </c>
    </row>
    <row r="632" spans="1:18" ht="16" x14ac:dyDescent="0.2">
      <c r="A632" s="72"/>
      <c r="B632" s="76"/>
      <c r="C632" s="73"/>
      <c r="D632" s="73" t="s">
        <v>966</v>
      </c>
      <c r="E632" s="77" t="s">
        <v>990</v>
      </c>
      <c r="F632" s="75" t="s">
        <v>1593</v>
      </c>
      <c r="G632" s="74" t="s">
        <v>559</v>
      </c>
      <c r="H632" s="69"/>
      <c r="P632" s="69">
        <f t="shared" si="9"/>
        <v>0</v>
      </c>
      <c r="Q632" s="69" cm="1">
        <f t="array" ref="Q632">IF(P632=1,IF(SUMPRODUCT(($P$2:P632)*(--($G$2:G632=$G632)))=1,1,0),0)</f>
        <v>0</v>
      </c>
      <c r="R632" s="69" t="str">
        <f>IF(Q632=1,SUM($Q$2:Q632),"")</f>
        <v/>
      </c>
    </row>
    <row r="633" spans="1:18" ht="16" x14ac:dyDescent="0.2">
      <c r="A633" s="72"/>
      <c r="B633" s="76"/>
      <c r="C633" s="73"/>
      <c r="D633" s="73" t="s">
        <v>966</v>
      </c>
      <c r="E633" s="77" t="s">
        <v>110</v>
      </c>
      <c r="F633" s="75" t="s">
        <v>1594</v>
      </c>
      <c r="G633" s="74" t="s">
        <v>561</v>
      </c>
      <c r="H633" s="69"/>
      <c r="P633" s="69">
        <f t="shared" si="9"/>
        <v>0</v>
      </c>
      <c r="Q633" s="69" cm="1">
        <f t="array" ref="Q633">IF(P633=1,IF(SUMPRODUCT(($P$2:P633)*(--($G$2:G633=$G633)))=1,1,0),0)</f>
        <v>0</v>
      </c>
      <c r="R633" s="69" t="str">
        <f>IF(Q633=1,SUM($Q$2:Q633),"")</f>
        <v/>
      </c>
    </row>
    <row r="634" spans="1:18" ht="16" x14ac:dyDescent="0.2">
      <c r="A634" s="72"/>
      <c r="B634" s="76"/>
      <c r="C634" s="73"/>
      <c r="D634" s="73" t="s">
        <v>966</v>
      </c>
      <c r="E634" s="77" t="s">
        <v>990</v>
      </c>
      <c r="F634" s="75" t="s">
        <v>1594</v>
      </c>
      <c r="G634" s="74" t="s">
        <v>561</v>
      </c>
      <c r="H634" s="69"/>
      <c r="P634" s="69">
        <f t="shared" si="9"/>
        <v>0</v>
      </c>
      <c r="Q634" s="69" cm="1">
        <f t="array" ref="Q634">IF(P634=1,IF(SUMPRODUCT(($P$2:P634)*(--($G$2:G634=$G634)))=1,1,0),0)</f>
        <v>0</v>
      </c>
      <c r="R634" s="69" t="str">
        <f>IF(Q634=1,SUM($Q$2:Q634),"")</f>
        <v/>
      </c>
    </row>
    <row r="635" spans="1:18" ht="16" x14ac:dyDescent="0.2">
      <c r="A635" s="72"/>
      <c r="B635" s="76"/>
      <c r="C635" s="73"/>
      <c r="D635" s="73" t="s">
        <v>966</v>
      </c>
      <c r="E635" s="77" t="s">
        <v>110</v>
      </c>
      <c r="F635" s="75" t="s">
        <v>1595</v>
      </c>
      <c r="G635" s="74" t="s">
        <v>561</v>
      </c>
      <c r="H635" s="69"/>
      <c r="P635" s="69">
        <f t="shared" si="9"/>
        <v>0</v>
      </c>
      <c r="Q635" s="69" cm="1">
        <f t="array" ref="Q635">IF(P635=1,IF(SUMPRODUCT(($P$2:P635)*(--($G$2:G635=$G635)))=1,1,0),0)</f>
        <v>0</v>
      </c>
      <c r="R635" s="69" t="str">
        <f>IF(Q635=1,SUM($Q$2:Q635),"")</f>
        <v/>
      </c>
    </row>
    <row r="636" spans="1:18" ht="16" x14ac:dyDescent="0.2">
      <c r="A636" s="72"/>
      <c r="B636" s="76"/>
      <c r="C636" s="73"/>
      <c r="D636" s="73" t="s">
        <v>966</v>
      </c>
      <c r="E636" s="77" t="s">
        <v>990</v>
      </c>
      <c r="F636" s="75" t="s">
        <v>1595</v>
      </c>
      <c r="G636" s="74" t="s">
        <v>561</v>
      </c>
      <c r="H636" s="69"/>
      <c r="P636" s="69">
        <f t="shared" si="9"/>
        <v>0</v>
      </c>
      <c r="Q636" s="69" cm="1">
        <f t="array" ref="Q636">IF(P636=1,IF(SUMPRODUCT(($P$2:P636)*(--($G$2:G636=$G636)))=1,1,0),0)</f>
        <v>0</v>
      </c>
      <c r="R636" s="69" t="str">
        <f>IF(Q636=1,SUM($Q$2:Q636),"")</f>
        <v/>
      </c>
    </row>
    <row r="637" spans="1:18" ht="16" x14ac:dyDescent="0.2">
      <c r="A637" s="72"/>
      <c r="B637" s="76"/>
      <c r="C637" s="73"/>
      <c r="D637" s="73" t="s">
        <v>966</v>
      </c>
      <c r="E637" s="77" t="s">
        <v>110</v>
      </c>
      <c r="F637" s="75" t="s">
        <v>1596</v>
      </c>
      <c r="G637" s="74" t="s">
        <v>357</v>
      </c>
      <c r="H637" s="69"/>
      <c r="P637" s="69">
        <f t="shared" si="9"/>
        <v>0</v>
      </c>
      <c r="Q637" s="69" cm="1">
        <f t="array" ref="Q637">IF(P637=1,IF(SUMPRODUCT(($P$2:P637)*(--($G$2:G637=$G637)))=1,1,0),0)</f>
        <v>0</v>
      </c>
      <c r="R637" s="69" t="str">
        <f>IF(Q637=1,SUM($Q$2:Q637),"")</f>
        <v/>
      </c>
    </row>
    <row r="638" spans="1:18" ht="16" x14ac:dyDescent="0.2">
      <c r="A638" s="72"/>
      <c r="B638" s="76"/>
      <c r="C638" s="73"/>
      <c r="D638" s="73" t="s">
        <v>966</v>
      </c>
      <c r="E638" s="77" t="s">
        <v>990</v>
      </c>
      <c r="F638" s="75" t="s">
        <v>1596</v>
      </c>
      <c r="G638" s="74" t="s">
        <v>357</v>
      </c>
      <c r="H638" s="69"/>
      <c r="P638" s="69">
        <f t="shared" si="9"/>
        <v>0</v>
      </c>
      <c r="Q638" s="69" cm="1">
        <f t="array" ref="Q638">IF(P638=1,IF(SUMPRODUCT(($P$2:P638)*(--($G$2:G638=$G638)))=1,1,0),0)</f>
        <v>0</v>
      </c>
      <c r="R638" s="69" t="str">
        <f>IF(Q638=1,SUM($Q$2:Q638),"")</f>
        <v/>
      </c>
    </row>
    <row r="639" spans="1:18" ht="16" x14ac:dyDescent="0.2">
      <c r="A639" s="72"/>
      <c r="B639" s="76"/>
      <c r="C639" s="73"/>
      <c r="D639" s="73" t="s">
        <v>966</v>
      </c>
      <c r="E639" s="77" t="s">
        <v>110</v>
      </c>
      <c r="F639" s="75" t="s">
        <v>363</v>
      </c>
      <c r="G639" s="74" t="s">
        <v>357</v>
      </c>
      <c r="H639" s="69"/>
      <c r="P639" s="69">
        <f t="shared" si="9"/>
        <v>0</v>
      </c>
      <c r="Q639" s="69" cm="1">
        <f t="array" ref="Q639">IF(P639=1,IF(SUMPRODUCT(($P$2:P639)*(--($G$2:G639=$G639)))=1,1,0),0)</f>
        <v>0</v>
      </c>
      <c r="R639" s="69" t="str">
        <f>IF(Q639=1,SUM($Q$2:Q639),"")</f>
        <v/>
      </c>
    </row>
    <row r="640" spans="1:18" ht="16" x14ac:dyDescent="0.2">
      <c r="A640" s="72"/>
      <c r="B640" s="76"/>
      <c r="C640" s="73"/>
      <c r="D640" s="73" t="s">
        <v>966</v>
      </c>
      <c r="E640" s="77" t="s">
        <v>990</v>
      </c>
      <c r="F640" s="75" t="s">
        <v>363</v>
      </c>
      <c r="G640" s="74" t="s">
        <v>357</v>
      </c>
      <c r="H640" s="69"/>
      <c r="P640" s="69">
        <f t="shared" si="9"/>
        <v>0</v>
      </c>
      <c r="Q640" s="69" cm="1">
        <f t="array" ref="Q640">IF(P640=1,IF(SUMPRODUCT(($P$2:P640)*(--($G$2:G640=$G640)))=1,1,0),0)</f>
        <v>0</v>
      </c>
      <c r="R640" s="69" t="str">
        <f>IF(Q640=1,SUM($Q$2:Q640),"")</f>
        <v/>
      </c>
    </row>
    <row r="641" spans="1:18" ht="16" x14ac:dyDescent="0.2">
      <c r="A641" s="72"/>
      <c r="B641" s="76"/>
      <c r="C641" s="73"/>
      <c r="D641" s="73" t="s">
        <v>966</v>
      </c>
      <c r="E641" s="77" t="s">
        <v>110</v>
      </c>
      <c r="F641" s="75" t="s">
        <v>1597</v>
      </c>
      <c r="G641" s="74" t="s">
        <v>361</v>
      </c>
      <c r="H641" s="69"/>
      <c r="P641" s="69">
        <f t="shared" si="9"/>
        <v>0</v>
      </c>
      <c r="Q641" s="69" cm="1">
        <f t="array" ref="Q641">IF(P641=1,IF(SUMPRODUCT(($P$2:P641)*(--($G$2:G641=$G641)))=1,1,0),0)</f>
        <v>0</v>
      </c>
      <c r="R641" s="69" t="str">
        <f>IF(Q641=1,SUM($Q$2:Q641),"")</f>
        <v/>
      </c>
    </row>
    <row r="642" spans="1:18" ht="16" x14ac:dyDescent="0.2">
      <c r="A642" s="72"/>
      <c r="B642" s="76"/>
      <c r="C642" s="73"/>
      <c r="D642" s="73" t="s">
        <v>966</v>
      </c>
      <c r="E642" s="77" t="s">
        <v>990</v>
      </c>
      <c r="F642" s="75" t="s">
        <v>1597</v>
      </c>
      <c r="G642" s="74" t="s">
        <v>361</v>
      </c>
      <c r="H642" s="69"/>
      <c r="P642" s="69">
        <f t="shared" si="9"/>
        <v>0</v>
      </c>
      <c r="Q642" s="69" cm="1">
        <f t="array" ref="Q642">IF(P642=1,IF(SUMPRODUCT(($P$2:P642)*(--($G$2:G642=$G642)))=1,1,0),0)</f>
        <v>0</v>
      </c>
      <c r="R642" s="69" t="str">
        <f>IF(Q642=1,SUM($Q$2:Q642),"")</f>
        <v/>
      </c>
    </row>
    <row r="643" spans="1:18" ht="16" x14ac:dyDescent="0.2">
      <c r="A643" s="72"/>
      <c r="B643" s="76"/>
      <c r="C643" s="73"/>
      <c r="D643" s="73" t="s">
        <v>966</v>
      </c>
      <c r="E643" s="77" t="s">
        <v>110</v>
      </c>
      <c r="F643" s="75" t="s">
        <v>1589</v>
      </c>
      <c r="G643" s="74" t="s">
        <v>361</v>
      </c>
      <c r="H643" s="69"/>
      <c r="P643" s="69">
        <f t="shared" ref="P643:P706" si="10">IF(AND(IF(TRIM($J$2&amp;"")="",TRUE,LEFT($D643,LEN($J$2))=$J$2),IF(TRIM($K$2&amp;"")="",TRUE,$E643=$K$2),IF($L$2="",TRUE,$F643=$L$2)),1,0)</f>
        <v>0</v>
      </c>
      <c r="Q643" s="69" cm="1">
        <f t="array" ref="Q643">IF(P643=1,IF(SUMPRODUCT(($P$2:P643)*(--($G$2:G643=$G643)))=1,1,0),0)</f>
        <v>0</v>
      </c>
      <c r="R643" s="69" t="str">
        <f>IF(Q643=1,SUM($Q$2:Q643),"")</f>
        <v/>
      </c>
    </row>
    <row r="644" spans="1:18" ht="16" x14ac:dyDescent="0.2">
      <c r="A644" s="72"/>
      <c r="B644" s="76"/>
      <c r="C644" s="73"/>
      <c r="D644" s="73" t="s">
        <v>966</v>
      </c>
      <c r="E644" s="77" t="s">
        <v>990</v>
      </c>
      <c r="F644" s="75" t="s">
        <v>1589</v>
      </c>
      <c r="G644" s="74" t="s">
        <v>361</v>
      </c>
      <c r="H644" s="69"/>
      <c r="P644" s="69">
        <f t="shared" si="10"/>
        <v>0</v>
      </c>
      <c r="Q644" s="69" cm="1">
        <f t="array" ref="Q644">IF(P644=1,IF(SUMPRODUCT(($P$2:P644)*(--($G$2:G644=$G644)))=1,1,0),0)</f>
        <v>0</v>
      </c>
      <c r="R644" s="69" t="str">
        <f>IF(Q644=1,SUM($Q$2:Q644),"")</f>
        <v/>
      </c>
    </row>
    <row r="645" spans="1:18" ht="16" x14ac:dyDescent="0.2">
      <c r="A645" s="72"/>
      <c r="B645" s="76"/>
      <c r="C645" s="73"/>
      <c r="D645" s="73" t="s">
        <v>966</v>
      </c>
      <c r="E645" s="77" t="s">
        <v>110</v>
      </c>
      <c r="F645" s="75" t="s">
        <v>1598</v>
      </c>
      <c r="G645" s="74" t="s">
        <v>361</v>
      </c>
      <c r="H645" s="69"/>
      <c r="P645" s="69">
        <f t="shared" si="10"/>
        <v>0</v>
      </c>
      <c r="Q645" s="69" cm="1">
        <f t="array" ref="Q645">IF(P645=1,IF(SUMPRODUCT(($P$2:P645)*(--($G$2:G645=$G645)))=1,1,0),0)</f>
        <v>0</v>
      </c>
      <c r="R645" s="69" t="str">
        <f>IF(Q645=1,SUM($Q$2:Q645),"")</f>
        <v/>
      </c>
    </row>
    <row r="646" spans="1:18" ht="16" x14ac:dyDescent="0.2">
      <c r="A646" s="72"/>
      <c r="B646" s="76"/>
      <c r="C646" s="73"/>
      <c r="D646" s="73" t="s">
        <v>966</v>
      </c>
      <c r="E646" s="77" t="s">
        <v>990</v>
      </c>
      <c r="F646" s="75" t="s">
        <v>1598</v>
      </c>
      <c r="G646" s="74" t="s">
        <v>361</v>
      </c>
      <c r="H646" s="69"/>
      <c r="P646" s="69">
        <f t="shared" si="10"/>
        <v>0</v>
      </c>
      <c r="Q646" s="69" cm="1">
        <f t="array" ref="Q646">IF(P646=1,IF(SUMPRODUCT(($P$2:P646)*(--($G$2:G646=$G646)))=1,1,0),0)</f>
        <v>0</v>
      </c>
      <c r="R646" s="69" t="str">
        <f>IF(Q646=1,SUM($Q$2:Q646),"")</f>
        <v/>
      </c>
    </row>
    <row r="647" spans="1:18" ht="16" x14ac:dyDescent="0.2">
      <c r="A647" s="72"/>
      <c r="B647" s="76"/>
      <c r="C647" s="73"/>
      <c r="D647" s="73" t="s">
        <v>966</v>
      </c>
      <c r="E647" s="77" t="s">
        <v>110</v>
      </c>
      <c r="F647" s="75" t="s">
        <v>1591</v>
      </c>
      <c r="G647" s="74" t="s">
        <v>361</v>
      </c>
      <c r="H647" s="69"/>
      <c r="P647" s="69">
        <f t="shared" si="10"/>
        <v>0</v>
      </c>
      <c r="Q647" s="69" cm="1">
        <f t="array" ref="Q647">IF(P647=1,IF(SUMPRODUCT(($P$2:P647)*(--($G$2:G647=$G647)))=1,1,0),0)</f>
        <v>0</v>
      </c>
      <c r="R647" s="69" t="str">
        <f>IF(Q647=1,SUM($Q$2:Q647),"")</f>
        <v/>
      </c>
    </row>
    <row r="648" spans="1:18" ht="16" x14ac:dyDescent="0.2">
      <c r="A648" s="72"/>
      <c r="B648" s="76"/>
      <c r="C648" s="73"/>
      <c r="D648" s="73" t="s">
        <v>966</v>
      </c>
      <c r="E648" s="77" t="s">
        <v>990</v>
      </c>
      <c r="F648" s="75" t="s">
        <v>1591</v>
      </c>
      <c r="G648" s="74" t="s">
        <v>361</v>
      </c>
      <c r="H648" s="69"/>
      <c r="P648" s="69">
        <f t="shared" si="10"/>
        <v>0</v>
      </c>
      <c r="Q648" s="69" cm="1">
        <f t="array" ref="Q648">IF(P648=1,IF(SUMPRODUCT(($P$2:P648)*(--($G$2:G648=$G648)))=1,1,0),0)</f>
        <v>0</v>
      </c>
      <c r="R648" s="69" t="str">
        <f>IF(Q648=1,SUM($Q$2:Q648),"")</f>
        <v/>
      </c>
    </row>
    <row r="649" spans="1:18" x14ac:dyDescent="0.2">
      <c r="A649" s="72"/>
      <c r="B649" s="76"/>
      <c r="C649" s="73"/>
      <c r="D649" s="73" t="s">
        <v>966</v>
      </c>
      <c r="E649" s="77" t="s">
        <v>110</v>
      </c>
      <c r="F649" s="75" t="s">
        <v>1599</v>
      </c>
      <c r="G649" s="75" t="s">
        <v>233</v>
      </c>
      <c r="H649" s="69"/>
      <c r="P649" s="69">
        <f t="shared" si="10"/>
        <v>0</v>
      </c>
      <c r="Q649" s="69" cm="1">
        <f t="array" ref="Q649">IF(P649=1,IF(SUMPRODUCT(($P$2:P649)*(--($G$2:G649=$G649)))=1,1,0),0)</f>
        <v>0</v>
      </c>
      <c r="R649" s="69" t="str">
        <f>IF(Q649=1,SUM($Q$2:Q649),"")</f>
        <v/>
      </c>
    </row>
    <row r="650" spans="1:18" x14ac:dyDescent="0.2">
      <c r="A650" s="72"/>
      <c r="B650" s="76"/>
      <c r="C650" s="73"/>
      <c r="D650" s="73" t="s">
        <v>966</v>
      </c>
      <c r="E650" s="77" t="s">
        <v>990</v>
      </c>
      <c r="F650" s="75" t="s">
        <v>1599</v>
      </c>
      <c r="G650" s="75" t="s">
        <v>233</v>
      </c>
      <c r="H650" s="69"/>
      <c r="P650" s="69">
        <f t="shared" si="10"/>
        <v>0</v>
      </c>
      <c r="Q650" s="69" cm="1">
        <f t="array" ref="Q650">IF(P650=1,IF(SUMPRODUCT(($P$2:P650)*(--($G$2:G650=$G650)))=1,1,0),0)</f>
        <v>0</v>
      </c>
      <c r="R650" s="69" t="str">
        <f>IF(Q650=1,SUM($Q$2:Q650),"")</f>
        <v/>
      </c>
    </row>
    <row r="651" spans="1:18" x14ac:dyDescent="0.2">
      <c r="A651" s="72"/>
      <c r="B651" s="76"/>
      <c r="C651" s="73"/>
      <c r="D651" s="73" t="s">
        <v>966</v>
      </c>
      <c r="E651" s="77" t="s">
        <v>110</v>
      </c>
      <c r="F651" s="75" t="s">
        <v>1600</v>
      </c>
      <c r="G651" s="75" t="s">
        <v>1080</v>
      </c>
      <c r="H651" s="69"/>
      <c r="P651" s="69">
        <f t="shared" si="10"/>
        <v>0</v>
      </c>
      <c r="Q651" s="69" cm="1">
        <f t="array" ref="Q651">IF(P651=1,IF(SUMPRODUCT(($P$2:P651)*(--($G$2:G651=$G651)))=1,1,0),0)</f>
        <v>0</v>
      </c>
      <c r="R651" s="69" t="str">
        <f>IF(Q651=1,SUM($Q$2:Q651),"")</f>
        <v/>
      </c>
    </row>
    <row r="652" spans="1:18" x14ac:dyDescent="0.2">
      <c r="A652" s="72"/>
      <c r="B652" s="76"/>
      <c r="C652" s="73"/>
      <c r="D652" s="73" t="s">
        <v>966</v>
      </c>
      <c r="E652" s="77" t="s">
        <v>990</v>
      </c>
      <c r="F652" s="75" t="s">
        <v>1600</v>
      </c>
      <c r="G652" s="75" t="s">
        <v>1080</v>
      </c>
      <c r="H652" s="69"/>
      <c r="P652" s="69">
        <f t="shared" si="10"/>
        <v>0</v>
      </c>
      <c r="Q652" s="69" cm="1">
        <f t="array" ref="Q652">IF(P652=1,IF(SUMPRODUCT(($P$2:P652)*(--($G$2:G652=$G652)))=1,1,0),0)</f>
        <v>0</v>
      </c>
      <c r="R652" s="69" t="str">
        <f>IF(Q652=1,SUM($Q$2:Q652),"")</f>
        <v/>
      </c>
    </row>
    <row r="653" spans="1:18" x14ac:dyDescent="0.2">
      <c r="A653" s="72"/>
      <c r="B653" s="76"/>
      <c r="C653" s="73"/>
      <c r="D653" s="73" t="s">
        <v>966</v>
      </c>
      <c r="E653" s="77" t="s">
        <v>110</v>
      </c>
      <c r="F653" s="75" t="s">
        <v>1601</v>
      </c>
      <c r="G653" s="75" t="s">
        <v>1080</v>
      </c>
      <c r="H653" s="69"/>
      <c r="P653" s="69">
        <f t="shared" si="10"/>
        <v>0</v>
      </c>
      <c r="Q653" s="69" cm="1">
        <f t="array" ref="Q653">IF(P653=1,IF(SUMPRODUCT(($P$2:P653)*(--($G$2:G653=$G653)))=1,1,0),0)</f>
        <v>0</v>
      </c>
      <c r="R653" s="69" t="str">
        <f>IF(Q653=1,SUM($Q$2:Q653),"")</f>
        <v/>
      </c>
    </row>
    <row r="654" spans="1:18" x14ac:dyDescent="0.2">
      <c r="A654" s="72"/>
      <c r="B654" s="76"/>
      <c r="C654" s="73"/>
      <c r="D654" s="73" t="s">
        <v>966</v>
      </c>
      <c r="E654" s="77" t="s">
        <v>990</v>
      </c>
      <c r="F654" s="75" t="s">
        <v>1601</v>
      </c>
      <c r="G654" s="75" t="s">
        <v>1080</v>
      </c>
      <c r="H654" s="69"/>
      <c r="P654" s="69">
        <f t="shared" si="10"/>
        <v>0</v>
      </c>
      <c r="Q654" s="69" cm="1">
        <f t="array" ref="Q654">IF(P654=1,IF(SUMPRODUCT(($P$2:P654)*(--($G$2:G654=$G654)))=1,1,0),0)</f>
        <v>0</v>
      </c>
      <c r="R654" s="69" t="str">
        <f>IF(Q654=1,SUM($Q$2:Q654),"")</f>
        <v/>
      </c>
    </row>
    <row r="655" spans="1:18" x14ac:dyDescent="0.2">
      <c r="A655" s="72"/>
      <c r="B655" s="84"/>
      <c r="C655" s="73"/>
      <c r="D655" s="73" t="s">
        <v>966</v>
      </c>
      <c r="E655" s="77" t="s">
        <v>110</v>
      </c>
      <c r="F655" s="75" t="s">
        <v>375</v>
      </c>
      <c r="G655" s="85" t="s">
        <v>511</v>
      </c>
      <c r="H655" s="69"/>
      <c r="P655" s="69">
        <f t="shared" si="10"/>
        <v>0</v>
      </c>
      <c r="Q655" s="69" cm="1">
        <f t="array" ref="Q655">IF(P655=1,IF(SUMPRODUCT(($P$2:P655)*(--($G$2:G655=$G655)))=1,1,0),0)</f>
        <v>0</v>
      </c>
      <c r="R655" s="69" t="str">
        <f>IF(Q655=1,SUM($Q$2:Q655),"")</f>
        <v/>
      </c>
    </row>
    <row r="656" spans="1:18" x14ac:dyDescent="0.2">
      <c r="A656" s="72"/>
      <c r="B656" s="84"/>
      <c r="C656" s="73"/>
      <c r="D656" s="73" t="s">
        <v>966</v>
      </c>
      <c r="E656" s="77" t="s">
        <v>110</v>
      </c>
      <c r="F656" s="75" t="s">
        <v>375</v>
      </c>
      <c r="G656" s="85" t="s">
        <v>508</v>
      </c>
      <c r="H656" s="69"/>
      <c r="P656" s="69">
        <f t="shared" si="10"/>
        <v>0</v>
      </c>
      <c r="Q656" s="69" cm="1">
        <f t="array" ref="Q656">IF(P656=1,IF(SUMPRODUCT(($P$2:P656)*(--($G$2:G656=$G656)))=1,1,0),0)</f>
        <v>0</v>
      </c>
      <c r="R656" s="69" t="str">
        <f>IF(Q656=1,SUM($Q$2:Q656),"")</f>
        <v/>
      </c>
    </row>
    <row r="657" spans="1:18" ht="16" x14ac:dyDescent="0.2">
      <c r="A657" s="72"/>
      <c r="B657" s="84"/>
      <c r="C657" s="73"/>
      <c r="D657" s="73" t="s">
        <v>966</v>
      </c>
      <c r="E657" s="77" t="s">
        <v>126</v>
      </c>
      <c r="F657" s="75" t="s">
        <v>1573</v>
      </c>
      <c r="G657" s="74" t="s">
        <v>329</v>
      </c>
      <c r="H657" s="69"/>
      <c r="P657" s="69">
        <f t="shared" si="10"/>
        <v>0</v>
      </c>
      <c r="Q657" s="69" cm="1">
        <f t="array" ref="Q657">IF(P657=1,IF(SUMPRODUCT(($P$2:P657)*(--($G$2:G657=$G657)))=1,1,0),0)</f>
        <v>0</v>
      </c>
      <c r="R657" s="69" t="str">
        <f>IF(Q657=1,SUM($Q$2:Q657),"")</f>
        <v/>
      </c>
    </row>
    <row r="658" spans="1:18" ht="16" x14ac:dyDescent="0.2">
      <c r="A658" s="72"/>
      <c r="B658" s="84"/>
      <c r="C658" s="73"/>
      <c r="D658" s="73" t="s">
        <v>966</v>
      </c>
      <c r="E658" s="77" t="s">
        <v>126</v>
      </c>
      <c r="F658" s="75" t="s">
        <v>375</v>
      </c>
      <c r="G658" s="74" t="s">
        <v>329</v>
      </c>
      <c r="H658" s="69"/>
      <c r="P658" s="69">
        <f t="shared" si="10"/>
        <v>0</v>
      </c>
      <c r="Q658" s="69" cm="1">
        <f t="array" ref="Q658">IF(P658=1,IF(SUMPRODUCT(($P$2:P658)*(--($G$2:G658=$G658)))=1,1,0),0)</f>
        <v>0</v>
      </c>
      <c r="R658" s="69" t="str">
        <f>IF(Q658=1,SUM($Q$2:Q658),"")</f>
        <v/>
      </c>
    </row>
    <row r="659" spans="1:18" x14ac:dyDescent="0.2">
      <c r="A659" s="72"/>
      <c r="B659" s="76"/>
      <c r="C659" s="73"/>
      <c r="D659" s="73" t="s">
        <v>966</v>
      </c>
      <c r="E659" s="77" t="s">
        <v>110</v>
      </c>
      <c r="F659" s="75" t="s">
        <v>375</v>
      </c>
      <c r="G659" s="85" t="s">
        <v>514</v>
      </c>
      <c r="H659" s="69"/>
      <c r="P659" s="69">
        <f t="shared" si="10"/>
        <v>0</v>
      </c>
      <c r="Q659" s="69" cm="1">
        <f t="array" ref="Q659">IF(P659=1,IF(SUMPRODUCT(($P$2:P659)*(--($G$2:G659=$G659)))=1,1,0),0)</f>
        <v>0</v>
      </c>
      <c r="R659" s="69" t="str">
        <f>IF(Q659=1,SUM($Q$2:Q659),"")</f>
        <v/>
      </c>
    </row>
    <row r="660" spans="1:18" x14ac:dyDescent="0.2">
      <c r="A660" s="72"/>
      <c r="B660" s="76"/>
      <c r="C660" s="73"/>
      <c r="D660" s="73" t="s">
        <v>966</v>
      </c>
      <c r="E660" s="77" t="s">
        <v>990</v>
      </c>
      <c r="F660" s="75" t="s">
        <v>375</v>
      </c>
      <c r="G660" s="85" t="s">
        <v>514</v>
      </c>
      <c r="H660" s="69"/>
      <c r="P660" s="69">
        <f t="shared" si="10"/>
        <v>0</v>
      </c>
      <c r="Q660" s="69" cm="1">
        <f t="array" ref="Q660">IF(P660=1,IF(SUMPRODUCT(($P$2:P660)*(--($G$2:G660=$G660)))=1,1,0),0)</f>
        <v>0</v>
      </c>
      <c r="R660" s="69" t="str">
        <f>IF(Q660=1,SUM($Q$2:Q660),"")</f>
        <v/>
      </c>
    </row>
    <row r="661" spans="1:18" x14ac:dyDescent="0.2">
      <c r="A661" s="72"/>
      <c r="B661" s="76"/>
      <c r="C661" s="73"/>
      <c r="D661" s="73" t="s">
        <v>966</v>
      </c>
      <c r="E661" s="77" t="s">
        <v>110</v>
      </c>
      <c r="F661" s="75" t="s">
        <v>1602</v>
      </c>
      <c r="G661" s="85" t="s">
        <v>514</v>
      </c>
      <c r="H661" s="69"/>
      <c r="P661" s="69">
        <f t="shared" si="10"/>
        <v>0</v>
      </c>
      <c r="Q661" s="69" cm="1">
        <f t="array" ref="Q661">IF(P661=1,IF(SUMPRODUCT(($P$2:P661)*(--($G$2:G661=$G661)))=1,1,0),0)</f>
        <v>0</v>
      </c>
      <c r="R661" s="69" t="str">
        <f>IF(Q661=1,SUM($Q$2:Q661),"")</f>
        <v/>
      </c>
    </row>
    <row r="662" spans="1:18" x14ac:dyDescent="0.2">
      <c r="A662" s="72"/>
      <c r="B662" s="76"/>
      <c r="C662" s="73"/>
      <c r="D662" s="73" t="s">
        <v>966</v>
      </c>
      <c r="E662" s="77" t="s">
        <v>990</v>
      </c>
      <c r="F662" s="75" t="s">
        <v>1602</v>
      </c>
      <c r="G662" s="85" t="s">
        <v>514</v>
      </c>
      <c r="H662" s="69"/>
      <c r="P662" s="69">
        <f t="shared" si="10"/>
        <v>0</v>
      </c>
      <c r="Q662" s="69" cm="1">
        <f t="array" ref="Q662">IF(P662=1,IF(SUMPRODUCT(($P$2:P662)*(--($G$2:G662=$G662)))=1,1,0),0)</f>
        <v>0</v>
      </c>
      <c r="R662" s="69" t="str">
        <f>IF(Q662=1,SUM($Q$2:Q662),"")</f>
        <v/>
      </c>
    </row>
    <row r="663" spans="1:18" x14ac:dyDescent="0.2">
      <c r="A663" s="72"/>
      <c r="B663" s="76"/>
      <c r="C663" s="73"/>
      <c r="D663" s="73" t="s">
        <v>966</v>
      </c>
      <c r="E663" s="77" t="s">
        <v>94</v>
      </c>
      <c r="F663" s="75" t="s">
        <v>375</v>
      </c>
      <c r="G663" s="85" t="s">
        <v>1192</v>
      </c>
      <c r="H663" s="69"/>
      <c r="P663" s="69">
        <f t="shared" si="10"/>
        <v>0</v>
      </c>
      <c r="Q663" s="69" cm="1">
        <f t="array" ref="Q663">IF(P663=1,IF(SUMPRODUCT(($P$2:P663)*(--($G$2:G663=$G663)))=1,1,0),0)</f>
        <v>0</v>
      </c>
      <c r="R663" s="69" t="str">
        <f>IF(Q663=1,SUM($Q$2:Q663),"")</f>
        <v/>
      </c>
    </row>
    <row r="664" spans="1:18" x14ac:dyDescent="0.2">
      <c r="A664" s="72"/>
      <c r="B664" s="76"/>
      <c r="C664" s="73"/>
      <c r="D664" s="73" t="s">
        <v>966</v>
      </c>
      <c r="E664" s="77" t="s">
        <v>94</v>
      </c>
      <c r="F664" s="75" t="s">
        <v>1602</v>
      </c>
      <c r="G664" s="85" t="s">
        <v>1192</v>
      </c>
      <c r="H664" s="69"/>
      <c r="P664" s="69">
        <f t="shared" si="10"/>
        <v>0</v>
      </c>
      <c r="Q664" s="69" cm="1">
        <f t="array" ref="Q664">IF(P664=1,IF(SUMPRODUCT(($P$2:P664)*(--($G$2:G664=$G664)))=1,1,0),0)</f>
        <v>0</v>
      </c>
      <c r="R664" s="69" t="str">
        <f>IF(Q664=1,SUM($Q$2:Q664),"")</f>
        <v/>
      </c>
    </row>
    <row r="665" spans="1:18" x14ac:dyDescent="0.2">
      <c r="A665" s="72"/>
      <c r="B665" s="76"/>
      <c r="C665" s="73"/>
      <c r="D665" s="73" t="s">
        <v>966</v>
      </c>
      <c r="E665" s="77" t="s">
        <v>135</v>
      </c>
      <c r="F665" s="75" t="s">
        <v>375</v>
      </c>
      <c r="G665" s="85" t="s">
        <v>1192</v>
      </c>
      <c r="H665" s="69"/>
      <c r="P665" s="69">
        <f t="shared" si="10"/>
        <v>0</v>
      </c>
      <c r="Q665" s="69" cm="1">
        <f t="array" ref="Q665">IF(P665=1,IF(SUMPRODUCT(($P$2:P665)*(--($G$2:G665=$G665)))=1,1,0),0)</f>
        <v>0</v>
      </c>
      <c r="R665" s="69" t="str">
        <f>IF(Q665=1,SUM($Q$2:Q665),"")</f>
        <v/>
      </c>
    </row>
    <row r="666" spans="1:18" x14ac:dyDescent="0.2">
      <c r="A666" s="72"/>
      <c r="B666" s="76"/>
      <c r="C666" s="73"/>
      <c r="D666" s="73" t="s">
        <v>966</v>
      </c>
      <c r="E666" s="77" t="s">
        <v>135</v>
      </c>
      <c r="F666" s="75" t="s">
        <v>1602</v>
      </c>
      <c r="G666" s="85" t="s">
        <v>1192</v>
      </c>
      <c r="H666" s="69"/>
      <c r="P666" s="69">
        <f t="shared" si="10"/>
        <v>0</v>
      </c>
      <c r="Q666" s="69" cm="1">
        <f t="array" ref="Q666">IF(P666=1,IF(SUMPRODUCT(($P$2:P666)*(--($G$2:G666=$G666)))=1,1,0),0)</f>
        <v>0</v>
      </c>
      <c r="R666" s="69" t="str">
        <f>IF(Q666=1,SUM($Q$2:Q666),"")</f>
        <v/>
      </c>
    </row>
    <row r="667" spans="1:18" x14ac:dyDescent="0.2">
      <c r="A667" s="72"/>
      <c r="B667" s="76"/>
      <c r="C667" s="73"/>
      <c r="D667" s="73" t="s">
        <v>966</v>
      </c>
      <c r="E667" s="77" t="s">
        <v>117</v>
      </c>
      <c r="F667" s="75" t="s">
        <v>375</v>
      </c>
      <c r="G667" s="85" t="s">
        <v>1193</v>
      </c>
      <c r="H667" s="69"/>
      <c r="P667" s="69">
        <f t="shared" si="10"/>
        <v>0</v>
      </c>
      <c r="Q667" s="69" cm="1">
        <f t="array" ref="Q667">IF(P667=1,IF(SUMPRODUCT(($P$2:P667)*(--($G$2:G667=$G667)))=1,1,0),0)</f>
        <v>0</v>
      </c>
      <c r="R667" s="69" t="str">
        <f>IF(Q667=1,SUM($Q$2:Q667),"")</f>
        <v/>
      </c>
    </row>
    <row r="668" spans="1:18" x14ac:dyDescent="0.2">
      <c r="A668" s="72"/>
      <c r="B668" s="76"/>
      <c r="C668" s="73"/>
      <c r="D668" s="73" t="s">
        <v>966</v>
      </c>
      <c r="E668" s="77" t="s">
        <v>117</v>
      </c>
      <c r="F668" s="75" t="s">
        <v>1602</v>
      </c>
      <c r="G668" s="85" t="s">
        <v>1193</v>
      </c>
      <c r="H668" s="69"/>
      <c r="P668" s="69">
        <f t="shared" si="10"/>
        <v>0</v>
      </c>
      <c r="Q668" s="69" cm="1">
        <f t="array" ref="Q668">IF(P668=1,IF(SUMPRODUCT(($P$2:P668)*(--($G$2:G668=$G668)))=1,1,0),0)</f>
        <v>0</v>
      </c>
      <c r="R668" s="69" t="str">
        <f>IF(Q668=1,SUM($Q$2:Q668),"")</f>
        <v/>
      </c>
    </row>
    <row r="669" spans="1:18" ht="16" x14ac:dyDescent="0.2">
      <c r="A669" s="72"/>
      <c r="B669" s="76"/>
      <c r="C669" s="73"/>
      <c r="D669" s="73" t="s">
        <v>966</v>
      </c>
      <c r="E669" s="77" t="s">
        <v>110</v>
      </c>
      <c r="F669" s="75" t="s">
        <v>1603</v>
      </c>
      <c r="G669" s="74" t="s">
        <v>517</v>
      </c>
      <c r="H669" s="69"/>
      <c r="P669" s="69">
        <f t="shared" si="10"/>
        <v>0</v>
      </c>
      <c r="Q669" s="69" cm="1">
        <f t="array" ref="Q669">IF(P669=1,IF(SUMPRODUCT(($P$2:P669)*(--($G$2:G669=$G669)))=1,1,0),0)</f>
        <v>0</v>
      </c>
      <c r="R669" s="69" t="str">
        <f>IF(Q669=1,SUM($Q$2:Q669),"")</f>
        <v/>
      </c>
    </row>
    <row r="670" spans="1:18" ht="16" x14ac:dyDescent="0.2">
      <c r="A670" s="72"/>
      <c r="B670" s="76"/>
      <c r="C670" s="73"/>
      <c r="D670" s="73" t="s">
        <v>966</v>
      </c>
      <c r="E670" s="77" t="s">
        <v>990</v>
      </c>
      <c r="F670" s="75" t="s">
        <v>1603</v>
      </c>
      <c r="G670" s="74" t="s">
        <v>517</v>
      </c>
      <c r="H670" s="69"/>
      <c r="P670" s="69">
        <f t="shared" si="10"/>
        <v>0</v>
      </c>
      <c r="Q670" s="69" cm="1">
        <f t="array" ref="Q670">IF(P670=1,IF(SUMPRODUCT(($P$2:P670)*(--($G$2:G670=$G670)))=1,1,0),0)</f>
        <v>0</v>
      </c>
      <c r="R670" s="69" t="str">
        <f>IF(Q670=1,SUM($Q$2:Q670),"")</f>
        <v/>
      </c>
    </row>
    <row r="671" spans="1:18" ht="16" x14ac:dyDescent="0.2">
      <c r="A671" s="72"/>
      <c r="B671" s="76"/>
      <c r="C671" s="73"/>
      <c r="D671" s="73" t="s">
        <v>966</v>
      </c>
      <c r="E671" s="77" t="s">
        <v>110</v>
      </c>
      <c r="F671" s="75" t="s">
        <v>1604</v>
      </c>
      <c r="G671" s="74" t="s">
        <v>517</v>
      </c>
      <c r="H671" s="69"/>
      <c r="P671" s="69">
        <f t="shared" si="10"/>
        <v>0</v>
      </c>
      <c r="Q671" s="69" cm="1">
        <f t="array" ref="Q671">IF(P671=1,IF(SUMPRODUCT(($P$2:P671)*(--($G$2:G671=$G671)))=1,1,0),0)</f>
        <v>0</v>
      </c>
      <c r="R671" s="69" t="str">
        <f>IF(Q671=1,SUM($Q$2:Q671),"")</f>
        <v/>
      </c>
    </row>
    <row r="672" spans="1:18" ht="16" x14ac:dyDescent="0.2">
      <c r="A672" s="72"/>
      <c r="B672" s="76"/>
      <c r="C672" s="73"/>
      <c r="D672" s="73" t="s">
        <v>966</v>
      </c>
      <c r="E672" s="77" t="s">
        <v>990</v>
      </c>
      <c r="F672" s="75" t="s">
        <v>1604</v>
      </c>
      <c r="G672" s="74" t="s">
        <v>517</v>
      </c>
      <c r="H672" s="69"/>
      <c r="P672" s="69">
        <f t="shared" si="10"/>
        <v>0</v>
      </c>
      <c r="Q672" s="69" cm="1">
        <f t="array" ref="Q672">IF(P672=1,IF(SUMPRODUCT(($P$2:P672)*(--($G$2:G672=$G672)))=1,1,0),0)</f>
        <v>0</v>
      </c>
      <c r="R672" s="69" t="str">
        <f>IF(Q672=1,SUM($Q$2:Q672),"")</f>
        <v/>
      </c>
    </row>
    <row r="673" spans="1:18" ht="16" x14ac:dyDescent="0.2">
      <c r="A673" s="72"/>
      <c r="B673" s="76"/>
      <c r="C673" s="73"/>
      <c r="D673" s="73" t="s">
        <v>966</v>
      </c>
      <c r="E673" s="77" t="s">
        <v>110</v>
      </c>
      <c r="F673" s="75" t="s">
        <v>1605</v>
      </c>
      <c r="G673" s="74" t="s">
        <v>517</v>
      </c>
      <c r="H673" s="69"/>
      <c r="P673" s="69">
        <f t="shared" si="10"/>
        <v>0</v>
      </c>
      <c r="Q673" s="69" cm="1">
        <f t="array" ref="Q673">IF(P673=1,IF(SUMPRODUCT(($P$2:P673)*(--($G$2:G673=$G673)))=1,1,0),0)</f>
        <v>0</v>
      </c>
      <c r="R673" s="69" t="str">
        <f>IF(Q673=1,SUM($Q$2:Q673),"")</f>
        <v/>
      </c>
    </row>
    <row r="674" spans="1:18" ht="16" x14ac:dyDescent="0.2">
      <c r="A674" s="72"/>
      <c r="B674" s="76"/>
      <c r="C674" s="73"/>
      <c r="D674" s="73" t="s">
        <v>966</v>
      </c>
      <c r="E674" s="77" t="s">
        <v>990</v>
      </c>
      <c r="F674" s="75" t="s">
        <v>1605</v>
      </c>
      <c r="G674" s="74" t="s">
        <v>517</v>
      </c>
      <c r="H674" s="69"/>
      <c r="P674" s="69">
        <f t="shared" si="10"/>
        <v>0</v>
      </c>
      <c r="Q674" s="69" cm="1">
        <f t="array" ref="Q674">IF(P674=1,IF(SUMPRODUCT(($P$2:P674)*(--($G$2:G674=$G674)))=1,1,0),0)</f>
        <v>0</v>
      </c>
      <c r="R674" s="69" t="str">
        <f>IF(Q674=1,SUM($Q$2:Q674),"")</f>
        <v/>
      </c>
    </row>
    <row r="675" spans="1:18" ht="16" x14ac:dyDescent="0.2">
      <c r="A675" s="72"/>
      <c r="B675" s="76"/>
      <c r="C675" s="73"/>
      <c r="D675" s="73" t="s">
        <v>966</v>
      </c>
      <c r="E675" s="77" t="s">
        <v>110</v>
      </c>
      <c r="F675" s="75" t="s">
        <v>1606</v>
      </c>
      <c r="G675" s="74" t="s">
        <v>517</v>
      </c>
      <c r="H675" s="69"/>
      <c r="P675" s="69">
        <f t="shared" si="10"/>
        <v>0</v>
      </c>
      <c r="Q675" s="69" cm="1">
        <f t="array" ref="Q675">IF(P675=1,IF(SUMPRODUCT(($P$2:P675)*(--($G$2:G675=$G675)))=1,1,0),0)</f>
        <v>0</v>
      </c>
      <c r="R675" s="69" t="str">
        <f>IF(Q675=1,SUM($Q$2:Q675),"")</f>
        <v/>
      </c>
    </row>
    <row r="676" spans="1:18" ht="16" x14ac:dyDescent="0.2">
      <c r="A676" s="72"/>
      <c r="B676" s="76"/>
      <c r="C676" s="73"/>
      <c r="D676" s="73" t="s">
        <v>966</v>
      </c>
      <c r="E676" s="77" t="s">
        <v>990</v>
      </c>
      <c r="F676" s="75" t="s">
        <v>1606</v>
      </c>
      <c r="G676" s="74" t="s">
        <v>517</v>
      </c>
      <c r="H676" s="69"/>
      <c r="P676" s="69">
        <f t="shared" si="10"/>
        <v>0</v>
      </c>
      <c r="Q676" s="69" cm="1">
        <f t="array" ref="Q676">IF(P676=1,IF(SUMPRODUCT(($P$2:P676)*(--($G$2:G676=$G676)))=1,1,0),0)</f>
        <v>0</v>
      </c>
      <c r="R676" s="69" t="str">
        <f>IF(Q676=1,SUM($Q$2:Q676),"")</f>
        <v/>
      </c>
    </row>
    <row r="677" spans="1:18" x14ac:dyDescent="0.2">
      <c r="A677" s="72"/>
      <c r="B677" s="76"/>
      <c r="C677" s="73"/>
      <c r="D677" s="73" t="s">
        <v>966</v>
      </c>
      <c r="E677" s="77" t="s">
        <v>110</v>
      </c>
      <c r="F677" s="75" t="s">
        <v>1607</v>
      </c>
      <c r="G677" s="85" t="s">
        <v>1123</v>
      </c>
      <c r="H677" s="69"/>
      <c r="P677" s="69">
        <f t="shared" si="10"/>
        <v>0</v>
      </c>
      <c r="Q677" s="69" cm="1">
        <f t="array" ref="Q677">IF(P677=1,IF(SUMPRODUCT(($P$2:P677)*(--($G$2:G677=$G677)))=1,1,0),0)</f>
        <v>0</v>
      </c>
      <c r="R677" s="69" t="str">
        <f>IF(Q677=1,SUM($Q$2:Q677),"")</f>
        <v/>
      </c>
    </row>
    <row r="678" spans="1:18" x14ac:dyDescent="0.2">
      <c r="A678" s="72"/>
      <c r="B678" s="76"/>
      <c r="C678" s="73"/>
      <c r="D678" s="73" t="s">
        <v>966</v>
      </c>
      <c r="E678" s="77" t="s">
        <v>990</v>
      </c>
      <c r="F678" s="75" t="s">
        <v>1607</v>
      </c>
      <c r="G678" s="85" t="s">
        <v>1123</v>
      </c>
      <c r="H678" s="69"/>
      <c r="P678" s="69">
        <f t="shared" si="10"/>
        <v>0</v>
      </c>
      <c r="Q678" s="69" cm="1">
        <f t="array" ref="Q678">IF(P678=1,IF(SUMPRODUCT(($P$2:P678)*(--($G$2:G678=$G678)))=1,1,0),0)</f>
        <v>0</v>
      </c>
      <c r="R678" s="69" t="str">
        <f>IF(Q678=1,SUM($Q$2:Q678),"")</f>
        <v/>
      </c>
    </row>
    <row r="679" spans="1:18" ht="16" x14ac:dyDescent="0.2">
      <c r="A679" s="72"/>
      <c r="B679" s="76"/>
      <c r="C679" s="73"/>
      <c r="D679" s="73" t="s">
        <v>966</v>
      </c>
      <c r="E679" s="77" t="s">
        <v>110</v>
      </c>
      <c r="F679" s="75" t="s">
        <v>1608</v>
      </c>
      <c r="G679" s="74" t="s">
        <v>563</v>
      </c>
      <c r="H679" s="69"/>
      <c r="P679" s="69">
        <f t="shared" si="10"/>
        <v>0</v>
      </c>
      <c r="Q679" s="69" cm="1">
        <f t="array" ref="Q679">IF(P679=1,IF(SUMPRODUCT(($P$2:P679)*(--($G$2:G679=$G679)))=1,1,0),0)</f>
        <v>0</v>
      </c>
      <c r="R679" s="69" t="str">
        <f>IF(Q679=1,SUM($Q$2:Q679),"")</f>
        <v/>
      </c>
    </row>
    <row r="680" spans="1:18" ht="16" x14ac:dyDescent="0.2">
      <c r="A680" s="72"/>
      <c r="B680" s="76"/>
      <c r="C680" s="73"/>
      <c r="D680" s="73" t="s">
        <v>966</v>
      </c>
      <c r="E680" s="77" t="s">
        <v>990</v>
      </c>
      <c r="F680" s="75" t="s">
        <v>1608</v>
      </c>
      <c r="G680" s="74" t="s">
        <v>563</v>
      </c>
      <c r="H680" s="69"/>
      <c r="P680" s="69">
        <f t="shared" si="10"/>
        <v>0</v>
      </c>
      <c r="Q680" s="69" cm="1">
        <f t="array" ref="Q680">IF(P680=1,IF(SUMPRODUCT(($P$2:P680)*(--($G$2:G680=$G680)))=1,1,0),0)</f>
        <v>0</v>
      </c>
      <c r="R680" s="69" t="str">
        <f>IF(Q680=1,SUM($Q$2:Q680),"")</f>
        <v/>
      </c>
    </row>
    <row r="681" spans="1:18" ht="16" x14ac:dyDescent="0.2">
      <c r="A681" s="72"/>
      <c r="B681" s="76"/>
      <c r="C681" s="73"/>
      <c r="D681" s="73" t="s">
        <v>966</v>
      </c>
      <c r="E681" s="77" t="s">
        <v>110</v>
      </c>
      <c r="F681" s="75" t="s">
        <v>1609</v>
      </c>
      <c r="G681" s="74" t="s">
        <v>565</v>
      </c>
      <c r="H681" s="69"/>
      <c r="P681" s="69">
        <f t="shared" si="10"/>
        <v>0</v>
      </c>
      <c r="Q681" s="69" cm="1">
        <f t="array" ref="Q681">IF(P681=1,IF(SUMPRODUCT(($P$2:P681)*(--($G$2:G681=$G681)))=1,1,0),0)</f>
        <v>0</v>
      </c>
      <c r="R681" s="69" t="str">
        <f>IF(Q681=1,SUM($Q$2:Q681),"")</f>
        <v/>
      </c>
    </row>
    <row r="682" spans="1:18" ht="16" x14ac:dyDescent="0.2">
      <c r="A682" s="72"/>
      <c r="B682" s="76"/>
      <c r="C682" s="73"/>
      <c r="D682" s="73" t="s">
        <v>966</v>
      </c>
      <c r="E682" s="77" t="s">
        <v>990</v>
      </c>
      <c r="F682" s="75" t="s">
        <v>1609</v>
      </c>
      <c r="G682" s="74" t="s">
        <v>565</v>
      </c>
      <c r="H682" s="69"/>
      <c r="P682" s="69">
        <f t="shared" si="10"/>
        <v>0</v>
      </c>
      <c r="Q682" s="69" cm="1">
        <f t="array" ref="Q682">IF(P682=1,IF(SUMPRODUCT(($P$2:P682)*(--($G$2:G682=$G682)))=1,1,0),0)</f>
        <v>0</v>
      </c>
      <c r="R682" s="69" t="str">
        <f>IF(Q682=1,SUM($Q$2:Q682),"")</f>
        <v/>
      </c>
    </row>
    <row r="683" spans="1:18" ht="16" x14ac:dyDescent="0.2">
      <c r="A683" s="72"/>
      <c r="B683" s="76"/>
      <c r="C683" s="73"/>
      <c r="D683" s="73" t="s">
        <v>966</v>
      </c>
      <c r="E683" s="77" t="s">
        <v>110</v>
      </c>
      <c r="F683" s="75" t="s">
        <v>1610</v>
      </c>
      <c r="G683" s="74" t="s">
        <v>565</v>
      </c>
      <c r="H683" s="69"/>
      <c r="P683" s="69">
        <f t="shared" si="10"/>
        <v>0</v>
      </c>
      <c r="Q683" s="69" cm="1">
        <f t="array" ref="Q683">IF(P683=1,IF(SUMPRODUCT(($P$2:P683)*(--($G$2:G683=$G683)))=1,1,0),0)</f>
        <v>0</v>
      </c>
      <c r="R683" s="69" t="str">
        <f>IF(Q683=1,SUM($Q$2:Q683),"")</f>
        <v/>
      </c>
    </row>
    <row r="684" spans="1:18" ht="16" x14ac:dyDescent="0.2">
      <c r="A684" s="72"/>
      <c r="B684" s="76"/>
      <c r="C684" s="73"/>
      <c r="D684" s="73" t="s">
        <v>966</v>
      </c>
      <c r="E684" s="77" t="s">
        <v>990</v>
      </c>
      <c r="F684" s="75" t="s">
        <v>1610</v>
      </c>
      <c r="G684" s="74" t="s">
        <v>565</v>
      </c>
      <c r="H684" s="69"/>
      <c r="P684" s="69">
        <f t="shared" si="10"/>
        <v>0</v>
      </c>
      <c r="Q684" s="69" cm="1">
        <f t="array" ref="Q684">IF(P684=1,IF(SUMPRODUCT(($P$2:P684)*(--($G$2:G684=$G684)))=1,1,0),0)</f>
        <v>0</v>
      </c>
      <c r="R684" s="69" t="str">
        <f>IF(Q684=1,SUM($Q$2:Q684),"")</f>
        <v/>
      </c>
    </row>
    <row r="685" spans="1:18" ht="16" x14ac:dyDescent="0.2">
      <c r="A685" s="72"/>
      <c r="B685" s="76"/>
      <c r="C685" s="73"/>
      <c r="D685" s="73" t="s">
        <v>966</v>
      </c>
      <c r="E685" s="77" t="s">
        <v>110</v>
      </c>
      <c r="F685" s="75" t="s">
        <v>1611</v>
      </c>
      <c r="G685" s="74" t="s">
        <v>367</v>
      </c>
      <c r="H685" s="69"/>
      <c r="P685" s="69">
        <f t="shared" si="10"/>
        <v>0</v>
      </c>
      <c r="Q685" s="69" cm="1">
        <f t="array" ref="Q685">IF(P685=1,IF(SUMPRODUCT(($P$2:P685)*(--($G$2:G685=$G685)))=1,1,0),0)</f>
        <v>0</v>
      </c>
      <c r="R685" s="69" t="str">
        <f>IF(Q685=1,SUM($Q$2:Q685),"")</f>
        <v/>
      </c>
    </row>
    <row r="686" spans="1:18" ht="16" x14ac:dyDescent="0.2">
      <c r="A686" s="72"/>
      <c r="B686" s="76"/>
      <c r="C686" s="73"/>
      <c r="D686" s="73" t="s">
        <v>966</v>
      </c>
      <c r="E686" s="77" t="s">
        <v>990</v>
      </c>
      <c r="F686" s="75" t="s">
        <v>1611</v>
      </c>
      <c r="G686" s="74" t="s">
        <v>367</v>
      </c>
      <c r="H686" s="69"/>
      <c r="P686" s="69">
        <f t="shared" si="10"/>
        <v>0</v>
      </c>
      <c r="Q686" s="69" cm="1">
        <f t="array" ref="Q686">IF(P686=1,IF(SUMPRODUCT(($P$2:P686)*(--($G$2:G686=$G686)))=1,1,0),0)</f>
        <v>0</v>
      </c>
      <c r="R686" s="69" t="str">
        <f>IF(Q686=1,SUM($Q$2:Q686),"")</f>
        <v/>
      </c>
    </row>
    <row r="687" spans="1:18" ht="16" x14ac:dyDescent="0.2">
      <c r="A687" s="72"/>
      <c r="B687" s="76"/>
      <c r="C687" s="73"/>
      <c r="D687" s="73" t="s">
        <v>966</v>
      </c>
      <c r="E687" s="77" t="s">
        <v>110</v>
      </c>
      <c r="F687" s="75" t="s">
        <v>1612</v>
      </c>
      <c r="G687" s="74" t="s">
        <v>370</v>
      </c>
      <c r="H687" s="69"/>
      <c r="P687" s="69">
        <f t="shared" si="10"/>
        <v>0</v>
      </c>
      <c r="Q687" s="69" cm="1">
        <f t="array" ref="Q687">IF(P687=1,IF(SUMPRODUCT(($P$2:P687)*(--($G$2:G687=$G687)))=1,1,0),0)</f>
        <v>0</v>
      </c>
      <c r="R687" s="69" t="str">
        <f>IF(Q687=1,SUM($Q$2:Q687),"")</f>
        <v/>
      </c>
    </row>
    <row r="688" spans="1:18" ht="16" x14ac:dyDescent="0.2">
      <c r="A688" s="72"/>
      <c r="B688" s="76"/>
      <c r="C688" s="73"/>
      <c r="D688" s="73" t="s">
        <v>966</v>
      </c>
      <c r="E688" s="77" t="s">
        <v>990</v>
      </c>
      <c r="F688" s="75" t="s">
        <v>1612</v>
      </c>
      <c r="G688" s="74" t="s">
        <v>370</v>
      </c>
      <c r="H688" s="69"/>
      <c r="P688" s="69">
        <f t="shared" si="10"/>
        <v>0</v>
      </c>
      <c r="Q688" s="69" cm="1">
        <f t="array" ref="Q688">IF(P688=1,IF(SUMPRODUCT(($P$2:P688)*(--($G$2:G688=$G688)))=1,1,0),0)</f>
        <v>0</v>
      </c>
      <c r="R688" s="69" t="str">
        <f>IF(Q688=1,SUM($Q$2:Q688),"")</f>
        <v/>
      </c>
    </row>
    <row r="689" spans="1:18" ht="16" x14ac:dyDescent="0.2">
      <c r="A689" s="72"/>
      <c r="B689" s="76"/>
      <c r="C689" s="73"/>
      <c r="D689" s="73" t="s">
        <v>966</v>
      </c>
      <c r="E689" s="77" t="s">
        <v>110</v>
      </c>
      <c r="F689" s="75" t="s">
        <v>1613</v>
      </c>
      <c r="G689" s="74" t="s">
        <v>370</v>
      </c>
      <c r="H689" s="69"/>
      <c r="P689" s="69">
        <f t="shared" si="10"/>
        <v>0</v>
      </c>
      <c r="Q689" s="69" cm="1">
        <f t="array" ref="Q689">IF(P689=1,IF(SUMPRODUCT(($P$2:P689)*(--($G$2:G689=$G689)))=1,1,0),0)</f>
        <v>0</v>
      </c>
      <c r="R689" s="69" t="str">
        <f>IF(Q689=1,SUM($Q$2:Q689),"")</f>
        <v/>
      </c>
    </row>
    <row r="690" spans="1:18" ht="16" x14ac:dyDescent="0.2">
      <c r="A690" s="72"/>
      <c r="B690" s="76"/>
      <c r="C690" s="73"/>
      <c r="D690" s="73" t="s">
        <v>966</v>
      </c>
      <c r="E690" s="77" t="s">
        <v>990</v>
      </c>
      <c r="F690" s="75" t="s">
        <v>1613</v>
      </c>
      <c r="G690" s="74" t="s">
        <v>370</v>
      </c>
      <c r="H690" s="69"/>
      <c r="P690" s="69">
        <f t="shared" si="10"/>
        <v>0</v>
      </c>
      <c r="Q690" s="69" cm="1">
        <f t="array" ref="Q690">IF(P690=1,IF(SUMPRODUCT(($P$2:P690)*(--($G$2:G690=$G690)))=1,1,0),0)</f>
        <v>0</v>
      </c>
      <c r="R690" s="69" t="str">
        <f>IF(Q690=1,SUM($Q$2:Q690),"")</f>
        <v/>
      </c>
    </row>
    <row r="691" spans="1:18" ht="16" x14ac:dyDescent="0.2">
      <c r="A691" s="72"/>
      <c r="B691" s="76"/>
      <c r="C691" s="73"/>
      <c r="D691" s="73" t="s">
        <v>966</v>
      </c>
      <c r="E691" s="77" t="s">
        <v>110</v>
      </c>
      <c r="F691" s="75" t="s">
        <v>1614</v>
      </c>
      <c r="G691" s="74" t="s">
        <v>238</v>
      </c>
      <c r="H691" s="69"/>
      <c r="P691" s="69">
        <f t="shared" si="10"/>
        <v>0</v>
      </c>
      <c r="Q691" s="69" cm="1">
        <f t="array" ref="Q691">IF(P691=1,IF(SUMPRODUCT(($P$2:P691)*(--($G$2:G691=$G691)))=1,1,0),0)</f>
        <v>0</v>
      </c>
      <c r="R691" s="69" t="str">
        <f>IF(Q691=1,SUM($Q$2:Q691),"")</f>
        <v/>
      </c>
    </row>
    <row r="692" spans="1:18" ht="16" x14ac:dyDescent="0.2">
      <c r="A692" s="72"/>
      <c r="B692" s="76"/>
      <c r="C692" s="73"/>
      <c r="D692" s="73" t="s">
        <v>966</v>
      </c>
      <c r="E692" s="77" t="s">
        <v>990</v>
      </c>
      <c r="F692" s="75" t="s">
        <v>1614</v>
      </c>
      <c r="G692" s="74" t="s">
        <v>238</v>
      </c>
      <c r="H692" s="69"/>
      <c r="P692" s="69">
        <f t="shared" si="10"/>
        <v>0</v>
      </c>
      <c r="Q692" s="69" cm="1">
        <f t="array" ref="Q692">IF(P692=1,IF(SUMPRODUCT(($P$2:P692)*(--($G$2:G692=$G692)))=1,1,0),0)</f>
        <v>0</v>
      </c>
      <c r="R692" s="69" t="str">
        <f>IF(Q692=1,SUM($Q$2:Q692),"")</f>
        <v/>
      </c>
    </row>
    <row r="693" spans="1:18" ht="16" x14ac:dyDescent="0.2">
      <c r="A693" s="72"/>
      <c r="B693" s="76"/>
      <c r="C693" s="73"/>
      <c r="D693" s="73" t="s">
        <v>977</v>
      </c>
      <c r="E693" s="77" t="s">
        <v>103</v>
      </c>
      <c r="F693" s="75" t="s">
        <v>1615</v>
      </c>
      <c r="G693" s="87" t="s">
        <v>526</v>
      </c>
      <c r="H693" s="69"/>
      <c r="P693" s="69">
        <f t="shared" si="10"/>
        <v>0</v>
      </c>
      <c r="Q693" s="69" cm="1">
        <f t="array" ref="Q693">IF(P693=1,IF(SUMPRODUCT(($P$2:P693)*(--($G$2:G693=$G693)))=1,1,0),0)</f>
        <v>0</v>
      </c>
      <c r="R693" s="69" t="str">
        <f>IF(Q693=1,SUM($Q$2:Q693),"")</f>
        <v/>
      </c>
    </row>
    <row r="694" spans="1:18" ht="16" x14ac:dyDescent="0.2">
      <c r="A694" s="72"/>
      <c r="B694" s="76"/>
      <c r="C694" s="73"/>
      <c r="D694" s="73" t="s">
        <v>977</v>
      </c>
      <c r="E694" s="77" t="s">
        <v>103</v>
      </c>
      <c r="F694" s="75" t="s">
        <v>1615</v>
      </c>
      <c r="G694" s="87" t="s">
        <v>526</v>
      </c>
      <c r="H694" s="69"/>
      <c r="P694" s="69">
        <f t="shared" si="10"/>
        <v>0</v>
      </c>
      <c r="Q694" s="69" cm="1">
        <f t="array" ref="Q694">IF(P694=1,IF(SUMPRODUCT(($P$2:P694)*(--($G$2:G694=$G694)))=1,1,0),0)</f>
        <v>0</v>
      </c>
      <c r="R694" s="69" t="str">
        <f>IF(Q694=1,SUM($Q$2:Q694),"")</f>
        <v/>
      </c>
    </row>
    <row r="695" spans="1:18" ht="16" x14ac:dyDescent="0.2">
      <c r="A695" s="72"/>
      <c r="B695" s="76"/>
      <c r="C695" s="73"/>
      <c r="D695" s="73" t="s">
        <v>977</v>
      </c>
      <c r="E695" s="77" t="s">
        <v>103</v>
      </c>
      <c r="F695" s="75" t="s">
        <v>1616</v>
      </c>
      <c r="G695" s="87" t="s">
        <v>526</v>
      </c>
      <c r="H695" s="69"/>
      <c r="P695" s="69">
        <f t="shared" si="10"/>
        <v>0</v>
      </c>
      <c r="Q695" s="69" cm="1">
        <f t="array" ref="Q695">IF(P695=1,IF(SUMPRODUCT(($P$2:P695)*(--($G$2:G695=$G695)))=1,1,0),0)</f>
        <v>0</v>
      </c>
      <c r="R695" s="69" t="str">
        <f>IF(Q695=1,SUM($Q$2:Q695),"")</f>
        <v/>
      </c>
    </row>
    <row r="696" spans="1:18" ht="16" x14ac:dyDescent="0.2">
      <c r="A696" s="72"/>
      <c r="B696" s="76"/>
      <c r="C696" s="73"/>
      <c r="D696" s="73" t="s">
        <v>977</v>
      </c>
      <c r="E696" s="77" t="s">
        <v>103</v>
      </c>
      <c r="F696" s="75" t="s">
        <v>1616</v>
      </c>
      <c r="G696" s="87" t="s">
        <v>526</v>
      </c>
      <c r="H696" s="69"/>
      <c r="P696" s="69">
        <f t="shared" si="10"/>
        <v>0</v>
      </c>
      <c r="Q696" s="69" cm="1">
        <f t="array" ref="Q696">IF(P696=1,IF(SUMPRODUCT(($P$2:P696)*(--($G$2:G696=$G696)))=1,1,0),0)</f>
        <v>0</v>
      </c>
      <c r="R696" s="69" t="str">
        <f>IF(Q696=1,SUM($Q$2:Q696),"")</f>
        <v/>
      </c>
    </row>
    <row r="697" spans="1:18" ht="16" x14ac:dyDescent="0.2">
      <c r="A697" s="72"/>
      <c r="B697" s="76"/>
      <c r="C697" s="73"/>
      <c r="D697" s="73" t="s">
        <v>977</v>
      </c>
      <c r="E697" s="77" t="s">
        <v>103</v>
      </c>
      <c r="F697" s="75" t="s">
        <v>1617</v>
      </c>
      <c r="G697" s="87" t="s">
        <v>526</v>
      </c>
      <c r="H697" s="69"/>
      <c r="P697" s="69">
        <f t="shared" si="10"/>
        <v>0</v>
      </c>
      <c r="Q697" s="69" cm="1">
        <f t="array" ref="Q697">IF(P697=1,IF(SUMPRODUCT(($P$2:P697)*(--($G$2:G697=$G697)))=1,1,0),0)</f>
        <v>0</v>
      </c>
      <c r="R697" s="69" t="str">
        <f>IF(Q697=1,SUM($Q$2:Q697),"")</f>
        <v/>
      </c>
    </row>
    <row r="698" spans="1:18" ht="16" x14ac:dyDescent="0.2">
      <c r="A698" s="72"/>
      <c r="B698" s="76"/>
      <c r="C698" s="73"/>
      <c r="D698" s="73" t="s">
        <v>977</v>
      </c>
      <c r="E698" s="77" t="s">
        <v>103</v>
      </c>
      <c r="F698" s="75" t="s">
        <v>1617</v>
      </c>
      <c r="G698" s="87" t="s">
        <v>526</v>
      </c>
      <c r="H698" s="69"/>
      <c r="P698" s="69">
        <f t="shared" si="10"/>
        <v>0</v>
      </c>
      <c r="Q698" s="69" cm="1">
        <f t="array" ref="Q698">IF(P698=1,IF(SUMPRODUCT(($P$2:P698)*(--($G$2:G698=$G698)))=1,1,0),0)</f>
        <v>0</v>
      </c>
      <c r="R698" s="69" t="str">
        <f>IF(Q698=1,SUM($Q$2:Q698),"")</f>
        <v/>
      </c>
    </row>
    <row r="699" spans="1:18" ht="16" x14ac:dyDescent="0.2">
      <c r="A699" s="72"/>
      <c r="B699" s="76"/>
      <c r="C699" s="73"/>
      <c r="D699" s="73" t="s">
        <v>977</v>
      </c>
      <c r="E699" s="77" t="s">
        <v>103</v>
      </c>
      <c r="F699" s="75" t="s">
        <v>1618</v>
      </c>
      <c r="G699" s="87" t="s">
        <v>526</v>
      </c>
      <c r="H699" s="69"/>
      <c r="P699" s="69">
        <f t="shared" si="10"/>
        <v>0</v>
      </c>
      <c r="Q699" s="69" cm="1">
        <f t="array" ref="Q699">IF(P699=1,IF(SUMPRODUCT(($P$2:P699)*(--($G$2:G699=$G699)))=1,1,0),0)</f>
        <v>0</v>
      </c>
      <c r="R699" s="69" t="str">
        <f>IF(Q699=1,SUM($Q$2:Q699),"")</f>
        <v/>
      </c>
    </row>
    <row r="700" spans="1:18" ht="16" x14ac:dyDescent="0.2">
      <c r="A700" s="72"/>
      <c r="B700" s="76"/>
      <c r="C700" s="73"/>
      <c r="D700" s="73" t="s">
        <v>977</v>
      </c>
      <c r="E700" s="77" t="s">
        <v>103</v>
      </c>
      <c r="F700" s="75" t="s">
        <v>1618</v>
      </c>
      <c r="G700" s="87" t="s">
        <v>526</v>
      </c>
      <c r="H700" s="69"/>
      <c r="P700" s="69">
        <f t="shared" si="10"/>
        <v>0</v>
      </c>
      <c r="Q700" s="69" cm="1">
        <f t="array" ref="Q700">IF(P700=1,IF(SUMPRODUCT(($P$2:P700)*(--($G$2:G700=$G700)))=1,1,0),0)</f>
        <v>0</v>
      </c>
      <c r="R700" s="69" t="str">
        <f>IF(Q700=1,SUM($Q$2:Q700),"")</f>
        <v/>
      </c>
    </row>
    <row r="701" spans="1:18" ht="16" x14ac:dyDescent="0.2">
      <c r="A701" s="72"/>
      <c r="B701" s="76"/>
      <c r="C701" s="73"/>
      <c r="D701" s="73" t="s">
        <v>977</v>
      </c>
      <c r="E701" s="77" t="s">
        <v>103</v>
      </c>
      <c r="F701" s="75" t="s">
        <v>1619</v>
      </c>
      <c r="G701" s="87" t="s">
        <v>526</v>
      </c>
      <c r="H701" s="69"/>
      <c r="P701" s="69">
        <f t="shared" si="10"/>
        <v>0</v>
      </c>
      <c r="Q701" s="69" cm="1">
        <f t="array" ref="Q701">IF(P701=1,IF(SUMPRODUCT(($P$2:P701)*(--($G$2:G701=$G701)))=1,1,0),0)</f>
        <v>0</v>
      </c>
      <c r="R701" s="69" t="str">
        <f>IF(Q701=1,SUM($Q$2:Q701),"")</f>
        <v/>
      </c>
    </row>
    <row r="702" spans="1:18" ht="16" x14ac:dyDescent="0.2">
      <c r="A702" s="72"/>
      <c r="B702" s="76"/>
      <c r="C702" s="73"/>
      <c r="D702" s="73" t="s">
        <v>977</v>
      </c>
      <c r="E702" s="77" t="s">
        <v>103</v>
      </c>
      <c r="F702" s="75" t="s">
        <v>1619</v>
      </c>
      <c r="G702" s="87" t="s">
        <v>526</v>
      </c>
      <c r="H702" s="69"/>
      <c r="P702" s="69">
        <f t="shared" si="10"/>
        <v>0</v>
      </c>
      <c r="Q702" s="69" cm="1">
        <f t="array" ref="Q702">IF(P702=1,IF(SUMPRODUCT(($P$2:P702)*(--($G$2:G702=$G702)))=1,1,0),0)</f>
        <v>0</v>
      </c>
      <c r="R702" s="69" t="str">
        <f>IF(Q702=1,SUM($Q$2:Q702),"")</f>
        <v/>
      </c>
    </row>
    <row r="703" spans="1:18" ht="16" x14ac:dyDescent="0.2">
      <c r="A703" s="72"/>
      <c r="B703" s="76"/>
      <c r="C703" s="73"/>
      <c r="D703" s="73" t="s">
        <v>977</v>
      </c>
      <c r="E703" s="77" t="s">
        <v>103</v>
      </c>
      <c r="F703" s="75" t="s">
        <v>1620</v>
      </c>
      <c r="G703" s="87" t="s">
        <v>526</v>
      </c>
      <c r="H703" s="69"/>
      <c r="P703" s="69">
        <f t="shared" si="10"/>
        <v>0</v>
      </c>
      <c r="Q703" s="69" cm="1">
        <f t="array" ref="Q703">IF(P703=1,IF(SUMPRODUCT(($P$2:P703)*(--($G$2:G703=$G703)))=1,1,0),0)</f>
        <v>0</v>
      </c>
      <c r="R703" s="69" t="str">
        <f>IF(Q703=1,SUM($Q$2:Q703),"")</f>
        <v/>
      </c>
    </row>
    <row r="704" spans="1:18" ht="16" x14ac:dyDescent="0.2">
      <c r="A704" s="72"/>
      <c r="B704" s="76"/>
      <c r="C704" s="73"/>
      <c r="D704" s="73" t="s">
        <v>977</v>
      </c>
      <c r="E704" s="77" t="s">
        <v>103</v>
      </c>
      <c r="F704" s="75" t="s">
        <v>1620</v>
      </c>
      <c r="G704" s="87" t="s">
        <v>526</v>
      </c>
      <c r="H704" s="69"/>
      <c r="P704" s="69">
        <f t="shared" si="10"/>
        <v>0</v>
      </c>
      <c r="Q704" s="69" cm="1">
        <f t="array" ref="Q704">IF(P704=1,IF(SUMPRODUCT(($P$2:P704)*(--($G$2:G704=$G704)))=1,1,0),0)</f>
        <v>0</v>
      </c>
      <c r="R704" s="69" t="str">
        <f>IF(Q704=1,SUM($Q$2:Q704),"")</f>
        <v/>
      </c>
    </row>
    <row r="705" spans="1:18" ht="16" x14ac:dyDescent="0.2">
      <c r="A705" s="72"/>
      <c r="B705" s="76"/>
      <c r="C705" s="73"/>
      <c r="D705" s="73" t="s">
        <v>977</v>
      </c>
      <c r="E705" s="77" t="s">
        <v>103</v>
      </c>
      <c r="F705" s="75" t="s">
        <v>1621</v>
      </c>
      <c r="G705" s="87" t="s">
        <v>526</v>
      </c>
      <c r="H705" s="69"/>
      <c r="P705" s="69">
        <f t="shared" si="10"/>
        <v>0</v>
      </c>
      <c r="Q705" s="69" cm="1">
        <f t="array" ref="Q705">IF(P705=1,IF(SUMPRODUCT(($P$2:P705)*(--($G$2:G705=$G705)))=1,1,0),0)</f>
        <v>0</v>
      </c>
      <c r="R705" s="69" t="str">
        <f>IF(Q705=1,SUM($Q$2:Q705),"")</f>
        <v/>
      </c>
    </row>
    <row r="706" spans="1:18" ht="16" x14ac:dyDescent="0.2">
      <c r="A706" s="72"/>
      <c r="B706" s="76"/>
      <c r="C706" s="73"/>
      <c r="D706" s="73" t="s">
        <v>977</v>
      </c>
      <c r="E706" s="77" t="s">
        <v>990</v>
      </c>
      <c r="F706" s="75" t="s">
        <v>403</v>
      </c>
      <c r="G706" s="74" t="s">
        <v>1215</v>
      </c>
      <c r="H706" s="69"/>
      <c r="P706" s="69">
        <f t="shared" si="10"/>
        <v>0</v>
      </c>
      <c r="Q706" s="69" cm="1">
        <f t="array" ref="Q706">IF(P706=1,IF(SUMPRODUCT(($P$2:P706)*(--($G$2:G706=$G706)))=1,1,0),0)</f>
        <v>0</v>
      </c>
      <c r="R706" s="69" t="str">
        <f>IF(Q706=1,SUM($Q$2:Q706),"")</f>
        <v/>
      </c>
    </row>
    <row r="707" spans="1:18" ht="16" x14ac:dyDescent="0.2">
      <c r="A707" s="72"/>
      <c r="B707" s="76"/>
      <c r="C707" s="73"/>
      <c r="D707" s="73" t="s">
        <v>977</v>
      </c>
      <c r="E707" s="77" t="s">
        <v>990</v>
      </c>
      <c r="F707" s="75" t="s">
        <v>1622</v>
      </c>
      <c r="G707" s="74" t="s">
        <v>1215</v>
      </c>
      <c r="H707" s="69"/>
      <c r="P707" s="69">
        <f t="shared" ref="P707:P770" si="11">IF(AND(IF(TRIM($J$2&amp;"")="",TRUE,LEFT($D707,LEN($J$2))=$J$2),IF(TRIM($K$2&amp;"")="",TRUE,$E707=$K$2),IF($L$2="",TRUE,$F707=$L$2)),1,0)</f>
        <v>0</v>
      </c>
      <c r="Q707" s="69" cm="1">
        <f t="array" ref="Q707">IF(P707=1,IF(SUMPRODUCT(($P$2:P707)*(--($G$2:G707=$G707)))=1,1,0),0)</f>
        <v>0</v>
      </c>
      <c r="R707" s="69" t="str">
        <f>IF(Q707=1,SUM($Q$2:Q707),"")</f>
        <v/>
      </c>
    </row>
    <row r="708" spans="1:18" ht="16" x14ac:dyDescent="0.2">
      <c r="A708" s="72"/>
      <c r="B708" s="76"/>
      <c r="C708" s="73"/>
      <c r="D708" s="73" t="s">
        <v>977</v>
      </c>
      <c r="E708" s="77" t="s">
        <v>990</v>
      </c>
      <c r="F708" s="75" t="s">
        <v>1623</v>
      </c>
      <c r="G708" s="74" t="s">
        <v>1215</v>
      </c>
      <c r="H708" s="69"/>
      <c r="P708" s="69">
        <f t="shared" si="11"/>
        <v>0</v>
      </c>
      <c r="Q708" s="69" cm="1">
        <f t="array" ref="Q708">IF(P708=1,IF(SUMPRODUCT(($P$2:P708)*(--($G$2:G708=$G708)))=1,1,0),0)</f>
        <v>0</v>
      </c>
      <c r="R708" s="69" t="str">
        <f>IF(Q708=1,SUM($Q$2:Q708),"")</f>
        <v/>
      </c>
    </row>
    <row r="709" spans="1:18" ht="16" x14ac:dyDescent="0.2">
      <c r="A709" s="72"/>
      <c r="B709" s="76"/>
      <c r="C709" s="73"/>
      <c r="D709" s="73" t="s">
        <v>977</v>
      </c>
      <c r="E709" s="77" t="s">
        <v>990</v>
      </c>
      <c r="F709" s="75" t="s">
        <v>1624</v>
      </c>
      <c r="G709" s="74" t="s">
        <v>1215</v>
      </c>
      <c r="H709" s="69"/>
      <c r="P709" s="69">
        <f t="shared" si="11"/>
        <v>0</v>
      </c>
      <c r="Q709" s="69" cm="1">
        <f t="array" ref="Q709">IF(P709=1,IF(SUMPRODUCT(($P$2:P709)*(--($G$2:G709=$G709)))=1,1,0),0)</f>
        <v>0</v>
      </c>
      <c r="R709" s="69" t="str">
        <f>IF(Q709=1,SUM($Q$2:Q709),"")</f>
        <v/>
      </c>
    </row>
    <row r="710" spans="1:18" ht="16" x14ac:dyDescent="0.2">
      <c r="A710" s="72"/>
      <c r="B710" s="76"/>
      <c r="C710" s="73"/>
      <c r="D710" s="73" t="s">
        <v>977</v>
      </c>
      <c r="E710" s="77" t="s">
        <v>990</v>
      </c>
      <c r="F710" s="75" t="s">
        <v>1625</v>
      </c>
      <c r="G710" s="74" t="s">
        <v>1215</v>
      </c>
      <c r="H710" s="69"/>
      <c r="P710" s="69">
        <f t="shared" si="11"/>
        <v>0</v>
      </c>
      <c r="Q710" s="69" cm="1">
        <f t="array" ref="Q710">IF(P710=1,IF(SUMPRODUCT(($P$2:P710)*(--($G$2:G710=$G710)))=1,1,0),0)</f>
        <v>0</v>
      </c>
      <c r="R710" s="69" t="str">
        <f>IF(Q710=1,SUM($Q$2:Q710),"")</f>
        <v/>
      </c>
    </row>
    <row r="711" spans="1:18" ht="16" x14ac:dyDescent="0.2">
      <c r="A711" s="72"/>
      <c r="B711" s="76"/>
      <c r="C711" s="73"/>
      <c r="D711" s="73" t="s">
        <v>977</v>
      </c>
      <c r="E711" s="77" t="s">
        <v>990</v>
      </c>
      <c r="F711" s="75" t="s">
        <v>1626</v>
      </c>
      <c r="G711" s="74" t="s">
        <v>1215</v>
      </c>
      <c r="H711" s="69"/>
      <c r="P711" s="69">
        <f t="shared" si="11"/>
        <v>0</v>
      </c>
      <c r="Q711" s="69" cm="1">
        <f t="array" ref="Q711">IF(P711=1,IF(SUMPRODUCT(($P$2:P711)*(--($G$2:G711=$G711)))=1,1,0),0)</f>
        <v>0</v>
      </c>
      <c r="R711" s="69" t="str">
        <f>IF(Q711=1,SUM($Q$2:Q711),"")</f>
        <v/>
      </c>
    </row>
    <row r="712" spans="1:18" ht="16" x14ac:dyDescent="0.2">
      <c r="A712" s="72"/>
      <c r="B712" s="76"/>
      <c r="C712" s="73"/>
      <c r="D712" s="73" t="s">
        <v>977</v>
      </c>
      <c r="E712" s="77" t="s">
        <v>94</v>
      </c>
      <c r="F712" s="75" t="s">
        <v>403</v>
      </c>
      <c r="G712" s="74" t="s">
        <v>1216</v>
      </c>
      <c r="H712" s="69"/>
      <c r="P712" s="69">
        <f t="shared" si="11"/>
        <v>0</v>
      </c>
      <c r="Q712" s="69" cm="1">
        <f t="array" ref="Q712">IF(P712=1,IF(SUMPRODUCT(($P$2:P712)*(--($G$2:G712=$G712)))=1,1,0),0)</f>
        <v>0</v>
      </c>
      <c r="R712" s="69" t="str">
        <f>IF(Q712=1,SUM($Q$2:Q712),"")</f>
        <v/>
      </c>
    </row>
    <row r="713" spans="1:18" ht="16" x14ac:dyDescent="0.2">
      <c r="A713" s="72"/>
      <c r="B713" s="76"/>
      <c r="C713" s="73"/>
      <c r="D713" s="73" t="s">
        <v>977</v>
      </c>
      <c r="E713" s="77" t="s">
        <v>94</v>
      </c>
      <c r="F713" s="75" t="s">
        <v>1622</v>
      </c>
      <c r="G713" s="74" t="s">
        <v>1216</v>
      </c>
      <c r="H713" s="69"/>
      <c r="P713" s="69">
        <f t="shared" si="11"/>
        <v>0</v>
      </c>
      <c r="Q713" s="69" cm="1">
        <f t="array" ref="Q713">IF(P713=1,IF(SUMPRODUCT(($P$2:P713)*(--($G$2:G713=$G713)))=1,1,0),0)</f>
        <v>0</v>
      </c>
      <c r="R713" s="69" t="str">
        <f>IF(Q713=1,SUM($Q$2:Q713),"")</f>
        <v/>
      </c>
    </row>
    <row r="714" spans="1:18" ht="16" x14ac:dyDescent="0.2">
      <c r="A714" s="72"/>
      <c r="B714" s="76"/>
      <c r="C714" s="73"/>
      <c r="D714" s="73" t="s">
        <v>977</v>
      </c>
      <c r="E714" s="77" t="s">
        <v>94</v>
      </c>
      <c r="F714" s="75" t="s">
        <v>1623</v>
      </c>
      <c r="G714" s="74" t="s">
        <v>1216</v>
      </c>
      <c r="H714" s="69"/>
      <c r="P714" s="69">
        <f t="shared" si="11"/>
        <v>0</v>
      </c>
      <c r="Q714" s="69" cm="1">
        <f t="array" ref="Q714">IF(P714=1,IF(SUMPRODUCT(($P$2:P714)*(--($G$2:G714=$G714)))=1,1,0),0)</f>
        <v>0</v>
      </c>
      <c r="R714" s="69" t="str">
        <f>IF(Q714=1,SUM($Q$2:Q714),"")</f>
        <v/>
      </c>
    </row>
    <row r="715" spans="1:18" ht="16" x14ac:dyDescent="0.2">
      <c r="A715" s="72"/>
      <c r="B715" s="76"/>
      <c r="C715" s="73"/>
      <c r="D715" s="73" t="s">
        <v>977</v>
      </c>
      <c r="E715" s="77" t="s">
        <v>94</v>
      </c>
      <c r="F715" s="75" t="s">
        <v>1624</v>
      </c>
      <c r="G715" s="74" t="s">
        <v>1216</v>
      </c>
      <c r="H715" s="69"/>
      <c r="P715" s="69">
        <f t="shared" si="11"/>
        <v>0</v>
      </c>
      <c r="Q715" s="69" cm="1">
        <f t="array" ref="Q715">IF(P715=1,IF(SUMPRODUCT(($P$2:P715)*(--($G$2:G715=$G715)))=1,1,0),0)</f>
        <v>0</v>
      </c>
      <c r="R715" s="69" t="str">
        <f>IF(Q715=1,SUM($Q$2:Q715),"")</f>
        <v/>
      </c>
    </row>
    <row r="716" spans="1:18" ht="16" x14ac:dyDescent="0.2">
      <c r="A716" s="72"/>
      <c r="B716" s="76"/>
      <c r="C716" s="73"/>
      <c r="D716" s="73" t="s">
        <v>977</v>
      </c>
      <c r="E716" s="77" t="s">
        <v>94</v>
      </c>
      <c r="F716" s="75" t="s">
        <v>1625</v>
      </c>
      <c r="G716" s="74" t="s">
        <v>1216</v>
      </c>
      <c r="H716" s="69"/>
      <c r="P716" s="69">
        <f t="shared" si="11"/>
        <v>0</v>
      </c>
      <c r="Q716" s="69" cm="1">
        <f t="array" ref="Q716">IF(P716=1,IF(SUMPRODUCT(($P$2:P716)*(--($G$2:G716=$G716)))=1,1,0),0)</f>
        <v>0</v>
      </c>
      <c r="R716" s="69" t="str">
        <f>IF(Q716=1,SUM($Q$2:Q716),"")</f>
        <v/>
      </c>
    </row>
    <row r="717" spans="1:18" ht="16" x14ac:dyDescent="0.2">
      <c r="A717" s="72"/>
      <c r="B717" s="76"/>
      <c r="C717" s="73"/>
      <c r="D717" s="73" t="s">
        <v>977</v>
      </c>
      <c r="E717" s="77" t="s">
        <v>94</v>
      </c>
      <c r="F717" s="75" t="s">
        <v>1626</v>
      </c>
      <c r="G717" s="74" t="s">
        <v>1216</v>
      </c>
      <c r="H717" s="69"/>
      <c r="P717" s="69">
        <f t="shared" si="11"/>
        <v>0</v>
      </c>
      <c r="Q717" s="69" cm="1">
        <f t="array" ref="Q717">IF(P717=1,IF(SUMPRODUCT(($P$2:P717)*(--($G$2:G717=$G717)))=1,1,0),0)</f>
        <v>0</v>
      </c>
      <c r="R717" s="69" t="str">
        <f>IF(Q717=1,SUM($Q$2:Q717),"")</f>
        <v/>
      </c>
    </row>
    <row r="718" spans="1:18" ht="16" x14ac:dyDescent="0.2">
      <c r="A718" s="72"/>
      <c r="B718" s="76"/>
      <c r="C718" s="73"/>
      <c r="D718" s="73" t="s">
        <v>977</v>
      </c>
      <c r="E718" s="77" t="s">
        <v>135</v>
      </c>
      <c r="F718" s="75" t="s">
        <v>403</v>
      </c>
      <c r="G718" s="74" t="s">
        <v>1216</v>
      </c>
      <c r="H718" s="69"/>
      <c r="P718" s="69">
        <f t="shared" si="11"/>
        <v>0</v>
      </c>
      <c r="Q718" s="69" cm="1">
        <f t="array" ref="Q718">IF(P718=1,IF(SUMPRODUCT(($P$2:P718)*(--($G$2:G718=$G718)))=1,1,0),0)</f>
        <v>0</v>
      </c>
      <c r="R718" s="69" t="str">
        <f>IF(Q718=1,SUM($Q$2:Q718),"")</f>
        <v/>
      </c>
    </row>
    <row r="719" spans="1:18" ht="16" x14ac:dyDescent="0.2">
      <c r="A719" s="72"/>
      <c r="B719" s="76"/>
      <c r="C719" s="73"/>
      <c r="D719" s="73" t="s">
        <v>977</v>
      </c>
      <c r="E719" s="77" t="s">
        <v>135</v>
      </c>
      <c r="F719" s="75" t="s">
        <v>1622</v>
      </c>
      <c r="G719" s="74" t="s">
        <v>1216</v>
      </c>
      <c r="H719" s="69"/>
      <c r="P719" s="69">
        <f t="shared" si="11"/>
        <v>0</v>
      </c>
      <c r="Q719" s="69" cm="1">
        <f t="array" ref="Q719">IF(P719=1,IF(SUMPRODUCT(($P$2:P719)*(--($G$2:G719=$G719)))=1,1,0),0)</f>
        <v>0</v>
      </c>
      <c r="R719" s="69" t="str">
        <f>IF(Q719=1,SUM($Q$2:Q719),"")</f>
        <v/>
      </c>
    </row>
    <row r="720" spans="1:18" ht="16" x14ac:dyDescent="0.2">
      <c r="A720" s="72"/>
      <c r="B720" s="76"/>
      <c r="C720" s="73"/>
      <c r="D720" s="73" t="s">
        <v>977</v>
      </c>
      <c r="E720" s="77" t="s">
        <v>135</v>
      </c>
      <c r="F720" s="75" t="s">
        <v>1623</v>
      </c>
      <c r="G720" s="74" t="s">
        <v>1216</v>
      </c>
      <c r="H720" s="69"/>
      <c r="P720" s="69">
        <f t="shared" si="11"/>
        <v>0</v>
      </c>
      <c r="Q720" s="69" cm="1">
        <f t="array" ref="Q720">IF(P720=1,IF(SUMPRODUCT(($P$2:P720)*(--($G$2:G720=$G720)))=1,1,0),0)</f>
        <v>0</v>
      </c>
      <c r="R720" s="69" t="str">
        <f>IF(Q720=1,SUM($Q$2:Q720),"")</f>
        <v/>
      </c>
    </row>
    <row r="721" spans="1:18" ht="16" x14ac:dyDescent="0.2">
      <c r="A721" s="72"/>
      <c r="B721" s="76"/>
      <c r="C721" s="73"/>
      <c r="D721" s="73" t="s">
        <v>977</v>
      </c>
      <c r="E721" s="77" t="s">
        <v>135</v>
      </c>
      <c r="F721" s="75" t="s">
        <v>1624</v>
      </c>
      <c r="G721" s="74" t="s">
        <v>1216</v>
      </c>
      <c r="H721" s="69"/>
      <c r="P721" s="69">
        <f t="shared" si="11"/>
        <v>0</v>
      </c>
      <c r="Q721" s="69" cm="1">
        <f t="array" ref="Q721">IF(P721=1,IF(SUMPRODUCT(($P$2:P721)*(--($G$2:G721=$G721)))=1,1,0),0)</f>
        <v>0</v>
      </c>
      <c r="R721" s="69" t="str">
        <f>IF(Q721=1,SUM($Q$2:Q721),"")</f>
        <v/>
      </c>
    </row>
    <row r="722" spans="1:18" ht="16" x14ac:dyDescent="0.2">
      <c r="A722" s="72"/>
      <c r="B722" s="76"/>
      <c r="C722" s="73"/>
      <c r="D722" s="73" t="s">
        <v>977</v>
      </c>
      <c r="E722" s="77" t="s">
        <v>135</v>
      </c>
      <c r="F722" s="75" t="s">
        <v>1625</v>
      </c>
      <c r="G722" s="74" t="s">
        <v>1216</v>
      </c>
      <c r="H722" s="69"/>
      <c r="P722" s="69">
        <f t="shared" si="11"/>
        <v>0</v>
      </c>
      <c r="Q722" s="69" cm="1">
        <f t="array" ref="Q722">IF(P722=1,IF(SUMPRODUCT(($P$2:P722)*(--($G$2:G722=$G722)))=1,1,0),0)</f>
        <v>0</v>
      </c>
      <c r="R722" s="69" t="str">
        <f>IF(Q722=1,SUM($Q$2:Q722),"")</f>
        <v/>
      </c>
    </row>
    <row r="723" spans="1:18" ht="16" x14ac:dyDescent="0.2">
      <c r="A723" s="72"/>
      <c r="B723" s="76"/>
      <c r="C723" s="73"/>
      <c r="D723" s="73" t="s">
        <v>977</v>
      </c>
      <c r="E723" s="77" t="s">
        <v>135</v>
      </c>
      <c r="F723" s="75" t="s">
        <v>1626</v>
      </c>
      <c r="G723" s="74" t="s">
        <v>1216</v>
      </c>
      <c r="H723" s="69"/>
      <c r="P723" s="69">
        <f t="shared" si="11"/>
        <v>0</v>
      </c>
      <c r="Q723" s="69" cm="1">
        <f t="array" ref="Q723">IF(P723=1,IF(SUMPRODUCT(($P$2:P723)*(--($G$2:G723=$G723)))=1,1,0),0)</f>
        <v>0</v>
      </c>
      <c r="R723" s="69" t="str">
        <f>IF(Q723=1,SUM($Q$2:Q723),"")</f>
        <v/>
      </c>
    </row>
    <row r="724" spans="1:18" x14ac:dyDescent="0.2">
      <c r="A724" s="72"/>
      <c r="B724" s="76"/>
      <c r="C724" s="73"/>
      <c r="D724" s="73" t="s">
        <v>977</v>
      </c>
      <c r="E724" s="77" t="s">
        <v>94</v>
      </c>
      <c r="F724" s="75" t="s">
        <v>1627</v>
      </c>
      <c r="G724" s="75" t="s">
        <v>1217</v>
      </c>
      <c r="H724" s="69"/>
      <c r="P724" s="69">
        <f t="shared" si="11"/>
        <v>0</v>
      </c>
      <c r="Q724" s="69" cm="1">
        <f t="array" ref="Q724">IF(P724=1,IF(SUMPRODUCT(($P$2:P724)*(--($G$2:G724=$G724)))=1,1,0),0)</f>
        <v>0</v>
      </c>
      <c r="R724" s="69" t="str">
        <f>IF(Q724=1,SUM($Q$2:Q724),"")</f>
        <v/>
      </c>
    </row>
    <row r="725" spans="1:18" x14ac:dyDescent="0.2">
      <c r="A725" s="72"/>
      <c r="B725" s="76"/>
      <c r="C725" s="73"/>
      <c r="D725" s="73" t="s">
        <v>977</v>
      </c>
      <c r="E725" s="77" t="s">
        <v>94</v>
      </c>
      <c r="F725" s="75" t="s">
        <v>1628</v>
      </c>
      <c r="G725" s="75" t="s">
        <v>1217</v>
      </c>
      <c r="H725" s="69"/>
      <c r="P725" s="69">
        <f t="shared" si="11"/>
        <v>0</v>
      </c>
      <c r="Q725" s="69" cm="1">
        <f t="array" ref="Q725">IF(P725=1,IF(SUMPRODUCT(($P$2:P725)*(--($G$2:G725=$G725)))=1,1,0),0)</f>
        <v>0</v>
      </c>
      <c r="R725" s="69" t="str">
        <f>IF(Q725=1,SUM($Q$2:Q725),"")</f>
        <v/>
      </c>
    </row>
    <row r="726" spans="1:18" x14ac:dyDescent="0.2">
      <c r="A726" s="72"/>
      <c r="B726" s="76"/>
      <c r="C726" s="73"/>
      <c r="D726" s="73" t="s">
        <v>977</v>
      </c>
      <c r="E726" s="77" t="s">
        <v>94</v>
      </c>
      <c r="F726" s="75" t="s">
        <v>1629</v>
      </c>
      <c r="G726" s="75" t="s">
        <v>1217</v>
      </c>
      <c r="H726" s="69"/>
      <c r="P726" s="69">
        <f t="shared" si="11"/>
        <v>0</v>
      </c>
      <c r="Q726" s="69" cm="1">
        <f t="array" ref="Q726">IF(P726=1,IF(SUMPRODUCT(($P$2:P726)*(--($G$2:G726=$G726)))=1,1,0),0)</f>
        <v>0</v>
      </c>
      <c r="R726" s="69" t="str">
        <f>IF(Q726=1,SUM($Q$2:Q726),"")</f>
        <v/>
      </c>
    </row>
    <row r="727" spans="1:18" x14ac:dyDescent="0.2">
      <c r="A727" s="72"/>
      <c r="B727" s="76"/>
      <c r="C727" s="73"/>
      <c r="D727" s="73" t="s">
        <v>977</v>
      </c>
      <c r="E727" s="77" t="s">
        <v>94</v>
      </c>
      <c r="F727" s="75" t="s">
        <v>1630</v>
      </c>
      <c r="G727" s="75" t="s">
        <v>1217</v>
      </c>
      <c r="H727" s="69"/>
      <c r="P727" s="69">
        <f t="shared" si="11"/>
        <v>0</v>
      </c>
      <c r="Q727" s="69" cm="1">
        <f t="array" ref="Q727">IF(P727=1,IF(SUMPRODUCT(($P$2:P727)*(--($G$2:G727=$G727)))=1,1,0),0)</f>
        <v>0</v>
      </c>
      <c r="R727" s="69" t="str">
        <f>IF(Q727=1,SUM($Q$2:Q727),"")</f>
        <v/>
      </c>
    </row>
    <row r="728" spans="1:18" x14ac:dyDescent="0.2">
      <c r="A728" s="72"/>
      <c r="B728" s="76"/>
      <c r="C728" s="73"/>
      <c r="D728" s="73" t="s">
        <v>977</v>
      </c>
      <c r="E728" s="77" t="s">
        <v>94</v>
      </c>
      <c r="F728" s="75" t="s">
        <v>1631</v>
      </c>
      <c r="G728" s="75" t="s">
        <v>1217</v>
      </c>
      <c r="H728" s="69"/>
      <c r="P728" s="69">
        <f t="shared" si="11"/>
        <v>0</v>
      </c>
      <c r="Q728" s="69" cm="1">
        <f t="array" ref="Q728">IF(P728=1,IF(SUMPRODUCT(($P$2:P728)*(--($G$2:G728=$G728)))=1,1,0),0)</f>
        <v>0</v>
      </c>
      <c r="R728" s="69" t="str">
        <f>IF(Q728=1,SUM($Q$2:Q728),"")</f>
        <v/>
      </c>
    </row>
    <row r="729" spans="1:18" x14ac:dyDescent="0.2">
      <c r="A729" s="72"/>
      <c r="B729" s="76"/>
      <c r="C729" s="73"/>
      <c r="D729" s="73" t="s">
        <v>977</v>
      </c>
      <c r="E729" s="77" t="s">
        <v>94</v>
      </c>
      <c r="F729" s="75" t="s">
        <v>1632</v>
      </c>
      <c r="G729" s="75" t="s">
        <v>1217</v>
      </c>
      <c r="H729" s="69"/>
      <c r="P729" s="69">
        <f t="shared" si="11"/>
        <v>0</v>
      </c>
      <c r="Q729" s="69" cm="1">
        <f t="array" ref="Q729">IF(P729=1,IF(SUMPRODUCT(($P$2:P729)*(--($G$2:G729=$G729)))=1,1,0),0)</f>
        <v>0</v>
      </c>
      <c r="R729" s="69" t="str">
        <f>IF(Q729=1,SUM($Q$2:Q729),"")</f>
        <v/>
      </c>
    </row>
    <row r="730" spans="1:18" x14ac:dyDescent="0.2">
      <c r="A730" s="72"/>
      <c r="B730" s="76"/>
      <c r="C730" s="73"/>
      <c r="D730" s="73" t="s">
        <v>977</v>
      </c>
      <c r="E730" s="77" t="s">
        <v>94</v>
      </c>
      <c r="F730" s="75" t="s">
        <v>1676</v>
      </c>
      <c r="G730" s="75" t="s">
        <v>1217</v>
      </c>
      <c r="H730" s="69"/>
      <c r="P730" s="69">
        <f t="shared" si="11"/>
        <v>0</v>
      </c>
      <c r="Q730" s="69" cm="1">
        <f t="array" ref="Q730">IF(P730=1,IF(SUMPRODUCT(($P$2:P730)*(--($G$2:G730=$G730)))=1,1,0),0)</f>
        <v>0</v>
      </c>
      <c r="R730" s="69" t="str">
        <f>IF(Q730=1,SUM($Q$2:Q730),"")</f>
        <v/>
      </c>
    </row>
    <row r="731" spans="1:18" x14ac:dyDescent="0.2">
      <c r="A731" s="72"/>
      <c r="B731" s="76"/>
      <c r="C731" s="73"/>
      <c r="D731" s="73" t="s">
        <v>977</v>
      </c>
      <c r="E731" s="77" t="s">
        <v>94</v>
      </c>
      <c r="F731" s="75" t="s">
        <v>407</v>
      </c>
      <c r="G731" s="75" t="s">
        <v>1218</v>
      </c>
      <c r="H731" s="69"/>
      <c r="P731" s="69">
        <f t="shared" si="11"/>
        <v>0</v>
      </c>
      <c r="Q731" s="69" cm="1">
        <f t="array" ref="Q731">IF(P731=1,IF(SUMPRODUCT(($P$2:P731)*(--($G$2:G731=$G731)))=1,1,0),0)</f>
        <v>0</v>
      </c>
      <c r="R731" s="69" t="str">
        <f>IF(Q731=1,SUM($Q$2:Q731),"")</f>
        <v/>
      </c>
    </row>
    <row r="732" spans="1:18" x14ac:dyDescent="0.2">
      <c r="A732" s="72"/>
      <c r="B732" s="76"/>
      <c r="C732" s="73"/>
      <c r="D732" s="73" t="s">
        <v>977</v>
      </c>
      <c r="E732" s="77" t="s">
        <v>94</v>
      </c>
      <c r="F732" s="75" t="s">
        <v>1633</v>
      </c>
      <c r="G732" s="75" t="s">
        <v>1218</v>
      </c>
      <c r="H732" s="69"/>
      <c r="P732" s="69">
        <f t="shared" si="11"/>
        <v>0</v>
      </c>
      <c r="Q732" s="69" cm="1">
        <f t="array" ref="Q732">IF(P732=1,IF(SUMPRODUCT(($P$2:P732)*(--($G$2:G732=$G732)))=1,1,0),0)</f>
        <v>0</v>
      </c>
      <c r="R732" s="69" t="str">
        <f>IF(Q732=1,SUM($Q$2:Q732),"")</f>
        <v/>
      </c>
    </row>
    <row r="733" spans="1:18" x14ac:dyDescent="0.2">
      <c r="A733" s="72"/>
      <c r="B733" s="76"/>
      <c r="C733" s="73"/>
      <c r="D733" s="73" t="s">
        <v>977</v>
      </c>
      <c r="E733" s="77" t="s">
        <v>94</v>
      </c>
      <c r="F733" s="75" t="s">
        <v>1634</v>
      </c>
      <c r="G733" s="75" t="s">
        <v>1218</v>
      </c>
      <c r="H733" s="69"/>
      <c r="P733" s="69">
        <f t="shared" si="11"/>
        <v>0</v>
      </c>
      <c r="Q733" s="69" cm="1">
        <f t="array" ref="Q733">IF(P733=1,IF(SUMPRODUCT(($P$2:P733)*(--($G$2:G733=$G733)))=1,1,0),0)</f>
        <v>0</v>
      </c>
      <c r="R733" s="69" t="str">
        <f>IF(Q733=1,SUM($Q$2:Q733),"")</f>
        <v/>
      </c>
    </row>
    <row r="734" spans="1:18" x14ac:dyDescent="0.2">
      <c r="A734" s="72"/>
      <c r="B734" s="76"/>
      <c r="C734" s="73"/>
      <c r="D734" s="73" t="s">
        <v>977</v>
      </c>
      <c r="E734" s="77" t="s">
        <v>94</v>
      </c>
      <c r="F734" s="75" t="s">
        <v>1635</v>
      </c>
      <c r="G734" s="75" t="s">
        <v>1218</v>
      </c>
      <c r="H734" s="69"/>
      <c r="P734" s="69">
        <f t="shared" si="11"/>
        <v>0</v>
      </c>
      <c r="Q734" s="69" cm="1">
        <f t="array" ref="Q734">IF(P734=1,IF(SUMPRODUCT(($P$2:P734)*(--($G$2:G734=$G734)))=1,1,0),0)</f>
        <v>0</v>
      </c>
      <c r="R734" s="69" t="str">
        <f>IF(Q734=1,SUM($Q$2:Q734),"")</f>
        <v/>
      </c>
    </row>
    <row r="735" spans="1:18" x14ac:dyDescent="0.2">
      <c r="A735" s="72"/>
      <c r="B735" s="76"/>
      <c r="C735" s="73"/>
      <c r="D735" s="73" t="s">
        <v>977</v>
      </c>
      <c r="E735" s="77" t="s">
        <v>94</v>
      </c>
      <c r="F735" s="75" t="s">
        <v>1636</v>
      </c>
      <c r="G735" s="75" t="s">
        <v>1218</v>
      </c>
      <c r="H735" s="69"/>
      <c r="P735" s="69">
        <f t="shared" si="11"/>
        <v>0</v>
      </c>
      <c r="Q735" s="69" cm="1">
        <f t="array" ref="Q735">IF(P735=1,IF(SUMPRODUCT(($P$2:P735)*(--($G$2:G735=$G735)))=1,1,0),0)</f>
        <v>0</v>
      </c>
      <c r="R735" s="69" t="str">
        <f>IF(Q735=1,SUM($Q$2:Q735),"")</f>
        <v/>
      </c>
    </row>
    <row r="736" spans="1:18" x14ac:dyDescent="0.2">
      <c r="A736" s="72"/>
      <c r="B736" s="76"/>
      <c r="C736" s="73"/>
      <c r="D736" s="73" t="s">
        <v>977</v>
      </c>
      <c r="E736" s="77" t="s">
        <v>94</v>
      </c>
      <c r="F736" s="75" t="s">
        <v>1637</v>
      </c>
      <c r="G736" s="75" t="s">
        <v>1218</v>
      </c>
      <c r="H736" s="69"/>
      <c r="P736" s="69">
        <f t="shared" si="11"/>
        <v>0</v>
      </c>
      <c r="Q736" s="69" cm="1">
        <f t="array" ref="Q736">IF(P736=1,IF(SUMPRODUCT(($P$2:P736)*(--($G$2:G736=$G736)))=1,1,0),0)</f>
        <v>0</v>
      </c>
      <c r="R736" s="69" t="str">
        <f>IF(Q736=1,SUM($Q$2:Q736),"")</f>
        <v/>
      </c>
    </row>
    <row r="737" spans="1:18" x14ac:dyDescent="0.2">
      <c r="A737" s="72"/>
      <c r="B737" s="76"/>
      <c r="C737" s="73"/>
      <c r="D737" s="73" t="s">
        <v>977</v>
      </c>
      <c r="E737" s="77" t="s">
        <v>94</v>
      </c>
      <c r="F737" s="75" t="s">
        <v>1638</v>
      </c>
      <c r="G737" s="75" t="s">
        <v>1218</v>
      </c>
      <c r="H737" s="69"/>
      <c r="P737" s="69">
        <f t="shared" si="11"/>
        <v>0</v>
      </c>
      <c r="Q737" s="69" cm="1">
        <f t="array" ref="Q737">IF(P737=1,IF(SUMPRODUCT(($P$2:P737)*(--($G$2:G737=$G737)))=1,1,0),0)</f>
        <v>0</v>
      </c>
      <c r="R737" s="69" t="str">
        <f>IF(Q737=1,SUM($Q$2:Q737),"")</f>
        <v/>
      </c>
    </row>
    <row r="738" spans="1:18" x14ac:dyDescent="0.2">
      <c r="A738" s="72"/>
      <c r="B738" s="76"/>
      <c r="C738" s="73"/>
      <c r="D738" s="73" t="s">
        <v>977</v>
      </c>
      <c r="E738" s="77" t="s">
        <v>94</v>
      </c>
      <c r="F738" s="75" t="s">
        <v>1639</v>
      </c>
      <c r="G738" s="75" t="s">
        <v>1218</v>
      </c>
      <c r="H738" s="69"/>
      <c r="P738" s="69">
        <f t="shared" si="11"/>
        <v>0</v>
      </c>
      <c r="Q738" s="69" cm="1">
        <f t="array" ref="Q738">IF(P738=1,IF(SUMPRODUCT(($P$2:P738)*(--($G$2:G738=$G738)))=1,1,0),0)</f>
        <v>0</v>
      </c>
      <c r="R738" s="69" t="str">
        <f>IF(Q738=1,SUM($Q$2:Q738),"")</f>
        <v/>
      </c>
    </row>
    <row r="739" spans="1:18" x14ac:dyDescent="0.2">
      <c r="A739" s="72"/>
      <c r="B739" s="76"/>
      <c r="C739" s="73"/>
      <c r="D739" s="73" t="s">
        <v>977</v>
      </c>
      <c r="E739" s="77" t="s">
        <v>94</v>
      </c>
      <c r="F739" s="75" t="s">
        <v>1640</v>
      </c>
      <c r="G739" s="75" t="s">
        <v>1219</v>
      </c>
      <c r="H739" s="69"/>
      <c r="P739" s="69">
        <f t="shared" si="11"/>
        <v>0</v>
      </c>
      <c r="Q739" s="69" cm="1">
        <f t="array" ref="Q739">IF(P739=1,IF(SUMPRODUCT(($P$2:P739)*(--($G$2:G739=$G739)))=1,1,0),0)</f>
        <v>0</v>
      </c>
      <c r="R739" s="69" t="str">
        <f>IF(Q739=1,SUM($Q$2:Q739),"")</f>
        <v/>
      </c>
    </row>
    <row r="740" spans="1:18" x14ac:dyDescent="0.2">
      <c r="A740" s="72"/>
      <c r="B740" s="76"/>
      <c r="C740" s="73"/>
      <c r="D740" s="73" t="s">
        <v>977</v>
      </c>
      <c r="E740" s="77" t="s">
        <v>94</v>
      </c>
      <c r="F740" s="75" t="s">
        <v>1641</v>
      </c>
      <c r="G740" s="75" t="s">
        <v>1219</v>
      </c>
      <c r="H740" s="69"/>
      <c r="P740" s="69">
        <f t="shared" si="11"/>
        <v>0</v>
      </c>
      <c r="Q740" s="69" cm="1">
        <f t="array" ref="Q740">IF(P740=1,IF(SUMPRODUCT(($P$2:P740)*(--($G$2:G740=$G740)))=1,1,0),0)</f>
        <v>0</v>
      </c>
      <c r="R740" s="69" t="str">
        <f>IF(Q740=1,SUM($Q$2:Q740),"")</f>
        <v/>
      </c>
    </row>
    <row r="741" spans="1:18" x14ac:dyDescent="0.2">
      <c r="A741" s="72"/>
      <c r="B741" s="76"/>
      <c r="C741" s="73"/>
      <c r="D741" s="73" t="s">
        <v>977</v>
      </c>
      <c r="E741" s="77" t="s">
        <v>94</v>
      </c>
      <c r="F741" s="75" t="s">
        <v>1642</v>
      </c>
      <c r="G741" s="75" t="s">
        <v>1219</v>
      </c>
      <c r="H741" s="69"/>
      <c r="P741" s="69">
        <f t="shared" si="11"/>
        <v>0</v>
      </c>
      <c r="Q741" s="69" cm="1">
        <f t="array" ref="Q741">IF(P741=1,IF(SUMPRODUCT(($P$2:P741)*(--($G$2:G741=$G741)))=1,1,0),0)</f>
        <v>0</v>
      </c>
      <c r="R741" s="69" t="str">
        <f>IF(Q741=1,SUM($Q$2:Q741),"")</f>
        <v/>
      </c>
    </row>
    <row r="742" spans="1:18" x14ac:dyDescent="0.2">
      <c r="A742" s="72"/>
      <c r="B742" s="76"/>
      <c r="C742" s="73"/>
      <c r="D742" s="73" t="s">
        <v>977</v>
      </c>
      <c r="E742" s="77" t="s">
        <v>94</v>
      </c>
      <c r="F742" s="75" t="s">
        <v>1643</v>
      </c>
      <c r="G742" s="75" t="s">
        <v>1219</v>
      </c>
      <c r="H742" s="69"/>
      <c r="P742" s="69">
        <f t="shared" si="11"/>
        <v>0</v>
      </c>
      <c r="Q742" s="69" cm="1">
        <f t="array" ref="Q742">IF(P742=1,IF(SUMPRODUCT(($P$2:P742)*(--($G$2:G742=$G742)))=1,1,0),0)</f>
        <v>0</v>
      </c>
      <c r="R742" s="69" t="str">
        <f>IF(Q742=1,SUM($Q$2:Q742),"")</f>
        <v/>
      </c>
    </row>
    <row r="743" spans="1:18" x14ac:dyDescent="0.2">
      <c r="A743" s="72"/>
      <c r="B743" s="76"/>
      <c r="C743" s="73"/>
      <c r="D743" s="73" t="s">
        <v>977</v>
      </c>
      <c r="E743" s="77" t="s">
        <v>94</v>
      </c>
      <c r="F743" s="75" t="s">
        <v>1644</v>
      </c>
      <c r="G743" s="75" t="s">
        <v>1219</v>
      </c>
      <c r="H743" s="69"/>
      <c r="P743" s="69">
        <f t="shared" si="11"/>
        <v>0</v>
      </c>
      <c r="Q743" s="69" cm="1">
        <f t="array" ref="Q743">IF(P743=1,IF(SUMPRODUCT(($P$2:P743)*(--($G$2:G743=$G743)))=1,1,0),0)</f>
        <v>0</v>
      </c>
      <c r="R743" s="69" t="str">
        <f>IF(Q743=1,SUM($Q$2:Q743),"")</f>
        <v/>
      </c>
    </row>
    <row r="744" spans="1:18" x14ac:dyDescent="0.2">
      <c r="A744" s="72"/>
      <c r="B744" s="76"/>
      <c r="C744" s="73"/>
      <c r="D744" s="73" t="s">
        <v>977</v>
      </c>
      <c r="E744" s="77" t="s">
        <v>94</v>
      </c>
      <c r="F744" s="75" t="s">
        <v>1645</v>
      </c>
      <c r="G744" s="75" t="s">
        <v>1219</v>
      </c>
      <c r="H744" s="69"/>
      <c r="P744" s="69">
        <f t="shared" si="11"/>
        <v>0</v>
      </c>
      <c r="Q744" s="69" cm="1">
        <f t="array" ref="Q744">IF(P744=1,IF(SUMPRODUCT(($P$2:P744)*(--($G$2:G744=$G744)))=1,1,0),0)</f>
        <v>0</v>
      </c>
      <c r="R744" s="69" t="str">
        <f>IF(Q744=1,SUM($Q$2:Q744),"")</f>
        <v/>
      </c>
    </row>
    <row r="745" spans="1:18" x14ac:dyDescent="0.2">
      <c r="A745" s="72"/>
      <c r="B745" s="76"/>
      <c r="C745" s="73"/>
      <c r="D745" s="73" t="s">
        <v>977</v>
      </c>
      <c r="E745" s="77" t="s">
        <v>94</v>
      </c>
      <c r="F745" s="75" t="s">
        <v>1646</v>
      </c>
      <c r="G745" s="75" t="s">
        <v>1219</v>
      </c>
      <c r="H745" s="69"/>
      <c r="P745" s="69">
        <f t="shared" si="11"/>
        <v>0</v>
      </c>
      <c r="Q745" s="69" cm="1">
        <f t="array" ref="Q745">IF(P745=1,IF(SUMPRODUCT(($P$2:P745)*(--($G$2:G745=$G745)))=1,1,0),0)</f>
        <v>0</v>
      </c>
      <c r="R745" s="69" t="str">
        <f>IF(Q745=1,SUM($Q$2:Q745),"")</f>
        <v/>
      </c>
    </row>
    <row r="746" spans="1:18" ht="16" x14ac:dyDescent="0.2">
      <c r="A746" s="72"/>
      <c r="B746" s="76"/>
      <c r="C746" s="73"/>
      <c r="D746" s="73" t="s">
        <v>977</v>
      </c>
      <c r="E746" s="77" t="s">
        <v>117</v>
      </c>
      <c r="F746" s="75" t="s">
        <v>1647</v>
      </c>
      <c r="G746" s="74" t="s">
        <v>348</v>
      </c>
      <c r="H746" s="69"/>
      <c r="P746" s="69">
        <f t="shared" si="11"/>
        <v>0</v>
      </c>
      <c r="Q746" s="69" cm="1">
        <f t="array" ref="Q746">IF(P746=1,IF(SUMPRODUCT(($P$2:P746)*(--($G$2:G746=$G746)))=1,1,0),0)</f>
        <v>0</v>
      </c>
      <c r="R746" s="69" t="str">
        <f>IF(Q746=1,SUM($Q$2:Q746),"")</f>
        <v/>
      </c>
    </row>
    <row r="747" spans="1:18" ht="16" x14ac:dyDescent="0.2">
      <c r="A747" s="72"/>
      <c r="B747" s="76"/>
      <c r="C747" s="73"/>
      <c r="D747" s="73" t="s">
        <v>977</v>
      </c>
      <c r="E747" s="77" t="s">
        <v>117</v>
      </c>
      <c r="F747" s="75" t="s">
        <v>403</v>
      </c>
      <c r="G747" s="74" t="s">
        <v>348</v>
      </c>
      <c r="H747" s="69"/>
      <c r="P747" s="69">
        <f t="shared" si="11"/>
        <v>0</v>
      </c>
      <c r="Q747" s="69" cm="1">
        <f t="array" ref="Q747">IF(P747=1,IF(SUMPRODUCT(($P$2:P747)*(--($G$2:G747=$G747)))=1,1,0),0)</f>
        <v>0</v>
      </c>
      <c r="R747" s="69" t="str">
        <f>IF(Q747=1,SUM($Q$2:Q747),"")</f>
        <v/>
      </c>
    </row>
    <row r="748" spans="1:18" ht="16" x14ac:dyDescent="0.2">
      <c r="A748" s="72"/>
      <c r="B748" s="76"/>
      <c r="C748" s="73"/>
      <c r="D748" s="73" t="s">
        <v>977</v>
      </c>
      <c r="E748" s="77" t="s">
        <v>117</v>
      </c>
      <c r="F748" s="75" t="s">
        <v>1622</v>
      </c>
      <c r="G748" s="74" t="s">
        <v>348</v>
      </c>
      <c r="H748" s="69"/>
      <c r="P748" s="69">
        <f t="shared" si="11"/>
        <v>0</v>
      </c>
      <c r="Q748" s="69" cm="1">
        <f t="array" ref="Q748">IF(P748=1,IF(SUMPRODUCT(($P$2:P748)*(--($G$2:G748=$G748)))=1,1,0),0)</f>
        <v>0</v>
      </c>
      <c r="R748" s="69" t="str">
        <f>IF(Q748=1,SUM($Q$2:Q748),"")</f>
        <v/>
      </c>
    </row>
    <row r="749" spans="1:18" ht="16" x14ac:dyDescent="0.2">
      <c r="A749" s="72"/>
      <c r="B749" s="76"/>
      <c r="C749" s="73"/>
      <c r="D749" s="73" t="s">
        <v>977</v>
      </c>
      <c r="E749" s="77" t="s">
        <v>117</v>
      </c>
      <c r="F749" s="75" t="s">
        <v>1648</v>
      </c>
      <c r="G749" s="87" t="s">
        <v>339</v>
      </c>
      <c r="H749" s="69"/>
      <c r="P749" s="69">
        <f t="shared" si="11"/>
        <v>0</v>
      </c>
      <c r="Q749" s="69" cm="1">
        <f t="array" ref="Q749">IF(P749=1,IF(SUMPRODUCT(($P$2:P749)*(--($G$2:G749=$G749)))=1,1,0),0)</f>
        <v>0</v>
      </c>
      <c r="R749" s="69" t="str">
        <f>IF(Q749=1,SUM($Q$2:Q749),"")</f>
        <v/>
      </c>
    </row>
    <row r="750" spans="1:18" ht="16" x14ac:dyDescent="0.2">
      <c r="A750" s="72"/>
      <c r="B750" s="76"/>
      <c r="C750" s="73"/>
      <c r="D750" s="73" t="s">
        <v>977</v>
      </c>
      <c r="E750" s="77" t="s">
        <v>117</v>
      </c>
      <c r="F750" s="75" t="s">
        <v>1649</v>
      </c>
      <c r="G750" s="87" t="s">
        <v>339</v>
      </c>
      <c r="H750" s="69"/>
      <c r="P750" s="69">
        <f t="shared" si="11"/>
        <v>0</v>
      </c>
      <c r="Q750" s="69" cm="1">
        <f t="array" ref="Q750">IF(P750=1,IF(SUMPRODUCT(($P$2:P750)*(--($G$2:G750=$G750)))=1,1,0),0)</f>
        <v>0</v>
      </c>
      <c r="R750" s="69" t="str">
        <f>IF(Q750=1,SUM($Q$2:Q750),"")</f>
        <v/>
      </c>
    </row>
    <row r="751" spans="1:18" x14ac:dyDescent="0.2">
      <c r="A751" s="72"/>
      <c r="B751" s="76"/>
      <c r="C751" s="73"/>
      <c r="D751" s="73" t="s">
        <v>977</v>
      </c>
      <c r="E751" s="77" t="s">
        <v>94</v>
      </c>
      <c r="F751" s="75" t="s">
        <v>1650</v>
      </c>
      <c r="G751" s="75" t="s">
        <v>1208</v>
      </c>
      <c r="H751" s="69"/>
      <c r="P751" s="69">
        <f t="shared" si="11"/>
        <v>0</v>
      </c>
      <c r="Q751" s="69" cm="1">
        <f t="array" ref="Q751">IF(P751=1,IF(SUMPRODUCT(($P$2:P751)*(--($G$2:G751=$G751)))=1,1,0),0)</f>
        <v>0</v>
      </c>
      <c r="R751" s="69" t="str">
        <f>IF(Q751=1,SUM($Q$2:Q751),"")</f>
        <v/>
      </c>
    </row>
    <row r="752" spans="1:18" ht="16" x14ac:dyDescent="0.2">
      <c r="A752" s="72"/>
      <c r="B752" s="76"/>
      <c r="C752" s="73"/>
      <c r="D752" s="73" t="s">
        <v>977</v>
      </c>
      <c r="E752" s="77" t="s">
        <v>110</v>
      </c>
      <c r="F752" s="75" t="s">
        <v>1649</v>
      </c>
      <c r="G752" s="87" t="s">
        <v>534</v>
      </c>
      <c r="H752" s="69"/>
      <c r="P752" s="69">
        <f t="shared" si="11"/>
        <v>0</v>
      </c>
      <c r="Q752" s="69" cm="1">
        <f t="array" ref="Q752">IF(P752=1,IF(SUMPRODUCT(($P$2:P752)*(--($G$2:G752=$G752)))=1,1,0),0)</f>
        <v>0</v>
      </c>
      <c r="R752" s="69" t="str">
        <f>IF(Q752=1,SUM($Q$2:Q752),"")</f>
        <v/>
      </c>
    </row>
    <row r="753" spans="1:18" ht="16" x14ac:dyDescent="0.2">
      <c r="A753" s="72"/>
      <c r="B753" s="76"/>
      <c r="C753" s="73"/>
      <c r="D753" s="73" t="s">
        <v>978</v>
      </c>
      <c r="E753" s="77" t="s">
        <v>94</v>
      </c>
      <c r="F753" s="75" t="s">
        <v>1295</v>
      </c>
      <c r="G753" s="74" t="s">
        <v>1225</v>
      </c>
      <c r="H753" s="69"/>
      <c r="P753" s="69">
        <f t="shared" si="11"/>
        <v>0</v>
      </c>
      <c r="Q753" s="69" cm="1">
        <f t="array" ref="Q753">IF(P753=1,IF(SUMPRODUCT(($P$2:P753)*(--($G$2:G753=$G753)))=1,1,0),0)</f>
        <v>0</v>
      </c>
      <c r="R753" s="69" t="str">
        <f>IF(Q753=1,SUM($Q$2:Q753),"")</f>
        <v/>
      </c>
    </row>
    <row r="754" spans="1:18" x14ac:dyDescent="0.2">
      <c r="A754" s="72"/>
      <c r="B754" s="76"/>
      <c r="C754" s="73"/>
      <c r="D754" s="73" t="s">
        <v>978</v>
      </c>
      <c r="E754" s="77" t="s">
        <v>94</v>
      </c>
      <c r="F754" s="75" t="s">
        <v>2232</v>
      </c>
      <c r="G754" s="69" t="s">
        <v>1226</v>
      </c>
      <c r="H754" s="69"/>
      <c r="P754" s="69">
        <f t="shared" si="11"/>
        <v>0</v>
      </c>
      <c r="Q754" s="69" cm="1">
        <f t="array" ref="Q754">IF(P754=1,IF(SUMPRODUCT(($P$2:P754)*(--($G$2:G754=$G754)))=1,1,0),0)</f>
        <v>0</v>
      </c>
      <c r="R754" s="69" t="str">
        <f>IF(Q754=1,SUM($Q$2:Q754),"")</f>
        <v/>
      </c>
    </row>
    <row r="755" spans="1:18" x14ac:dyDescent="0.2">
      <c r="A755" s="72"/>
      <c r="B755" s="76"/>
      <c r="C755" s="73"/>
      <c r="D755" s="73" t="s">
        <v>978</v>
      </c>
      <c r="E755" s="77" t="s">
        <v>94</v>
      </c>
      <c r="F755" s="75" t="s">
        <v>2233</v>
      </c>
      <c r="G755" s="69" t="s">
        <v>1226</v>
      </c>
      <c r="H755" s="69"/>
      <c r="P755" s="69">
        <f t="shared" si="11"/>
        <v>0</v>
      </c>
      <c r="Q755" s="69" cm="1">
        <f t="array" ref="Q755">IF(P755=1,IF(SUMPRODUCT(($P$2:P755)*(--($G$2:G755=$G755)))=1,1,0),0)</f>
        <v>0</v>
      </c>
      <c r="R755" s="69" t="str">
        <f>IF(Q755=1,SUM($Q$2:Q755),"")</f>
        <v/>
      </c>
    </row>
    <row r="756" spans="1:18" x14ac:dyDescent="0.2">
      <c r="A756" s="72"/>
      <c r="B756" s="76"/>
      <c r="C756" s="73"/>
      <c r="D756" s="73" t="s">
        <v>978</v>
      </c>
      <c r="E756" s="77" t="s">
        <v>135</v>
      </c>
      <c r="F756" s="75" t="s">
        <v>2232</v>
      </c>
      <c r="G756" s="69" t="s">
        <v>1226</v>
      </c>
      <c r="H756" s="69"/>
      <c r="P756" s="69">
        <f t="shared" si="11"/>
        <v>0</v>
      </c>
      <c r="Q756" s="69" cm="1">
        <f t="array" ref="Q756">IF(P756=1,IF(SUMPRODUCT(($P$2:P756)*(--($G$2:G756=$G756)))=1,1,0),0)</f>
        <v>0</v>
      </c>
      <c r="R756" s="69" t="str">
        <f>IF(Q756=1,SUM($Q$2:Q756),"")</f>
        <v/>
      </c>
    </row>
    <row r="757" spans="1:18" x14ac:dyDescent="0.2">
      <c r="A757" s="72"/>
      <c r="B757" s="76"/>
      <c r="C757" s="73"/>
      <c r="D757" s="73" t="s">
        <v>978</v>
      </c>
      <c r="E757" s="77" t="s">
        <v>135</v>
      </c>
      <c r="F757" s="75" t="s">
        <v>2233</v>
      </c>
      <c r="G757" s="69" t="s">
        <v>1226</v>
      </c>
      <c r="H757" s="69"/>
      <c r="P757" s="69">
        <f t="shared" si="11"/>
        <v>0</v>
      </c>
      <c r="Q757" s="69" cm="1">
        <f t="array" ref="Q757">IF(P757=1,IF(SUMPRODUCT(($P$2:P757)*(--($G$2:G757=$G757)))=1,1,0),0)</f>
        <v>0</v>
      </c>
      <c r="R757" s="69" t="str">
        <f>IF(Q757=1,SUM($Q$2:Q757),"")</f>
        <v/>
      </c>
    </row>
    <row r="758" spans="1:18" x14ac:dyDescent="0.2">
      <c r="A758" s="72"/>
      <c r="B758" s="76"/>
      <c r="C758" s="73"/>
      <c r="D758" s="73" t="s">
        <v>978</v>
      </c>
      <c r="E758" s="77" t="s">
        <v>94</v>
      </c>
      <c r="F758" s="75" t="s">
        <v>1651</v>
      </c>
      <c r="G758" s="69" t="s">
        <v>1226</v>
      </c>
      <c r="H758" s="69"/>
      <c r="P758" s="69">
        <f t="shared" si="11"/>
        <v>0</v>
      </c>
      <c r="Q758" s="69" cm="1">
        <f t="array" ref="Q758">IF(P758=1,IF(SUMPRODUCT(($P$2:P758)*(--($G$2:G758=$G758)))=1,1,0),0)</f>
        <v>0</v>
      </c>
      <c r="R758" s="69" t="str">
        <f>IF(Q758=1,SUM($Q$2:Q758),"")</f>
        <v/>
      </c>
    </row>
    <row r="759" spans="1:18" x14ac:dyDescent="0.2">
      <c r="A759" s="72"/>
      <c r="B759" s="76"/>
      <c r="C759" s="73"/>
      <c r="D759" s="73" t="s">
        <v>978</v>
      </c>
      <c r="E759" s="77" t="s">
        <v>94</v>
      </c>
      <c r="F759" s="75" t="s">
        <v>1652</v>
      </c>
      <c r="G759" s="69" t="s">
        <v>1226</v>
      </c>
      <c r="H759" s="69"/>
      <c r="P759" s="69">
        <f t="shared" si="11"/>
        <v>0</v>
      </c>
      <c r="Q759" s="69" cm="1">
        <f t="array" ref="Q759">IF(P759=1,IF(SUMPRODUCT(($P$2:P759)*(--($G$2:G759=$G759)))=1,1,0),0)</f>
        <v>0</v>
      </c>
      <c r="R759" s="69" t="str">
        <f>IF(Q759=1,SUM($Q$2:Q759),"")</f>
        <v/>
      </c>
    </row>
    <row r="760" spans="1:18" x14ac:dyDescent="0.2">
      <c r="A760" s="72"/>
      <c r="B760" s="76"/>
      <c r="C760" s="73"/>
      <c r="D760" s="73" t="s">
        <v>978</v>
      </c>
      <c r="E760" s="77" t="s">
        <v>135</v>
      </c>
      <c r="F760" s="75" t="s">
        <v>1651</v>
      </c>
      <c r="G760" s="69" t="s">
        <v>1226</v>
      </c>
      <c r="H760" s="69"/>
      <c r="P760" s="69">
        <f t="shared" si="11"/>
        <v>0</v>
      </c>
      <c r="Q760" s="69" cm="1">
        <f t="array" ref="Q760">IF(P760=1,IF(SUMPRODUCT(($P$2:P760)*(--($G$2:G760=$G760)))=1,1,0),0)</f>
        <v>0</v>
      </c>
      <c r="R760" s="69" t="str">
        <f>IF(Q760=1,SUM($Q$2:Q760),"")</f>
        <v/>
      </c>
    </row>
    <row r="761" spans="1:18" x14ac:dyDescent="0.2">
      <c r="A761" s="72"/>
      <c r="B761" s="76"/>
      <c r="C761" s="73"/>
      <c r="D761" s="73" t="s">
        <v>978</v>
      </c>
      <c r="E761" s="77" t="s">
        <v>135</v>
      </c>
      <c r="F761" s="75" t="s">
        <v>1652</v>
      </c>
      <c r="G761" s="69" t="s">
        <v>1226</v>
      </c>
      <c r="H761" s="69"/>
      <c r="P761" s="69">
        <f t="shared" si="11"/>
        <v>0</v>
      </c>
      <c r="Q761" s="69" cm="1">
        <f t="array" ref="Q761">IF(P761=1,IF(SUMPRODUCT(($P$2:P761)*(--($G$2:G761=$G761)))=1,1,0),0)</f>
        <v>0</v>
      </c>
      <c r="R761" s="69" t="str">
        <f>IF(Q761=1,SUM($Q$2:Q761),"")</f>
        <v/>
      </c>
    </row>
    <row r="762" spans="1:18" x14ac:dyDescent="0.2">
      <c r="A762" s="72"/>
      <c r="B762" s="76"/>
      <c r="C762" s="73"/>
      <c r="D762" s="73" t="s">
        <v>978</v>
      </c>
      <c r="E762" s="77" t="s">
        <v>94</v>
      </c>
      <c r="F762" s="75" t="s">
        <v>2234</v>
      </c>
      <c r="G762" s="69" t="s">
        <v>1222</v>
      </c>
      <c r="H762" s="69"/>
      <c r="P762" s="69">
        <f t="shared" si="11"/>
        <v>0</v>
      </c>
      <c r="Q762" s="69" cm="1">
        <f t="array" ref="Q762">IF(P762=1,IF(SUMPRODUCT(($P$2:P762)*(--($G$2:G762=$G762)))=1,1,0),0)</f>
        <v>0</v>
      </c>
      <c r="R762" s="69" t="str">
        <f>IF(Q762=1,SUM($Q$2:Q762),"")</f>
        <v/>
      </c>
    </row>
    <row r="763" spans="1:18" x14ac:dyDescent="0.2">
      <c r="A763" s="72"/>
      <c r="B763" s="76"/>
      <c r="C763" s="73"/>
      <c r="D763" s="73" t="s">
        <v>978</v>
      </c>
      <c r="E763" s="77" t="s">
        <v>94</v>
      </c>
      <c r="F763" s="75" t="s">
        <v>2235</v>
      </c>
      <c r="G763" s="69" t="s">
        <v>1222</v>
      </c>
      <c r="H763" s="69"/>
      <c r="P763" s="69">
        <f t="shared" si="11"/>
        <v>0</v>
      </c>
      <c r="Q763" s="69" cm="1">
        <f t="array" ref="Q763">IF(P763=1,IF(SUMPRODUCT(($P$2:P763)*(--($G$2:G763=$G763)))=1,1,0),0)</f>
        <v>0</v>
      </c>
      <c r="R763" s="69" t="str">
        <f>IF(Q763=1,SUM($Q$2:Q763),"")</f>
        <v/>
      </c>
    </row>
    <row r="764" spans="1:18" x14ac:dyDescent="0.2">
      <c r="A764" s="72"/>
      <c r="B764" s="76"/>
      <c r="C764" s="73"/>
      <c r="D764" s="73" t="s">
        <v>978</v>
      </c>
      <c r="E764" s="77" t="s">
        <v>135</v>
      </c>
      <c r="F764" s="75" t="s">
        <v>2234</v>
      </c>
      <c r="G764" s="69" t="s">
        <v>1222</v>
      </c>
      <c r="H764" s="69"/>
      <c r="P764" s="69">
        <f t="shared" si="11"/>
        <v>0</v>
      </c>
      <c r="Q764" s="69" cm="1">
        <f t="array" ref="Q764">IF(P764=1,IF(SUMPRODUCT(($P$2:P764)*(--($G$2:G764=$G764)))=1,1,0),0)</f>
        <v>0</v>
      </c>
      <c r="R764" s="69" t="str">
        <f>IF(Q764=1,SUM($Q$2:Q764),"")</f>
        <v/>
      </c>
    </row>
    <row r="765" spans="1:18" x14ac:dyDescent="0.2">
      <c r="A765" s="72"/>
      <c r="B765" s="76"/>
      <c r="C765" s="73"/>
      <c r="D765" s="73" t="s">
        <v>978</v>
      </c>
      <c r="E765" s="77" t="s">
        <v>135</v>
      </c>
      <c r="F765" s="75" t="s">
        <v>2235</v>
      </c>
      <c r="G765" s="69" t="s">
        <v>1222</v>
      </c>
      <c r="H765" s="69"/>
      <c r="P765" s="69">
        <f t="shared" si="11"/>
        <v>0</v>
      </c>
      <c r="Q765" s="69" cm="1">
        <f t="array" ref="Q765">IF(P765=1,IF(SUMPRODUCT(($P$2:P765)*(--($G$2:G765=$G765)))=1,1,0),0)</f>
        <v>0</v>
      </c>
      <c r="R765" s="69" t="str">
        <f>IF(Q765=1,SUM($Q$2:Q765),"")</f>
        <v/>
      </c>
    </row>
    <row r="766" spans="1:18" x14ac:dyDescent="0.2">
      <c r="A766" s="72"/>
      <c r="B766" s="76"/>
      <c r="C766" s="73"/>
      <c r="D766" s="73" t="s">
        <v>978</v>
      </c>
      <c r="E766" s="77" t="s">
        <v>94</v>
      </c>
      <c r="F766" s="75" t="s">
        <v>1653</v>
      </c>
      <c r="G766" s="69" t="s">
        <v>1222</v>
      </c>
      <c r="H766" s="69"/>
      <c r="P766" s="69">
        <f t="shared" si="11"/>
        <v>0</v>
      </c>
      <c r="Q766" s="69" cm="1">
        <f t="array" ref="Q766">IF(P766=1,IF(SUMPRODUCT(($P$2:P766)*(--($G$2:G766=$G766)))=1,1,0),0)</f>
        <v>0</v>
      </c>
      <c r="R766" s="69" t="str">
        <f>IF(Q766=1,SUM($Q$2:Q766),"")</f>
        <v/>
      </c>
    </row>
    <row r="767" spans="1:18" x14ac:dyDescent="0.2">
      <c r="A767" s="72"/>
      <c r="B767" s="76"/>
      <c r="C767" s="73"/>
      <c r="D767" s="73" t="s">
        <v>978</v>
      </c>
      <c r="E767" s="77" t="s">
        <v>94</v>
      </c>
      <c r="F767" s="75" t="s">
        <v>1654</v>
      </c>
      <c r="G767" s="69" t="s">
        <v>1222</v>
      </c>
      <c r="H767" s="69"/>
      <c r="P767" s="69">
        <f t="shared" si="11"/>
        <v>0</v>
      </c>
      <c r="Q767" s="69" cm="1">
        <f t="array" ref="Q767">IF(P767=1,IF(SUMPRODUCT(($P$2:P767)*(--($G$2:G767=$G767)))=1,1,0),0)</f>
        <v>0</v>
      </c>
      <c r="R767" s="69" t="str">
        <f>IF(Q767=1,SUM($Q$2:Q767),"")</f>
        <v/>
      </c>
    </row>
    <row r="768" spans="1:18" x14ac:dyDescent="0.2">
      <c r="A768" s="72"/>
      <c r="B768" s="76"/>
      <c r="C768" s="73"/>
      <c r="D768" s="73" t="s">
        <v>978</v>
      </c>
      <c r="E768" s="77" t="s">
        <v>135</v>
      </c>
      <c r="F768" s="75" t="s">
        <v>1653</v>
      </c>
      <c r="G768" s="69" t="s">
        <v>1222</v>
      </c>
      <c r="H768" s="69"/>
      <c r="P768" s="69">
        <f t="shared" si="11"/>
        <v>0</v>
      </c>
      <c r="Q768" s="69" cm="1">
        <f t="array" ref="Q768">IF(P768=1,IF(SUMPRODUCT(($P$2:P768)*(--($G$2:G768=$G768)))=1,1,0),0)</f>
        <v>0</v>
      </c>
      <c r="R768" s="69" t="str">
        <f>IF(Q768=1,SUM($Q$2:Q768),"")</f>
        <v/>
      </c>
    </row>
    <row r="769" spans="1:18" x14ac:dyDescent="0.2">
      <c r="A769" s="72"/>
      <c r="B769" s="76"/>
      <c r="C769" s="73"/>
      <c r="D769" s="73" t="s">
        <v>978</v>
      </c>
      <c r="E769" s="77" t="s">
        <v>135</v>
      </c>
      <c r="F769" s="75" t="s">
        <v>1654</v>
      </c>
      <c r="G769" s="69" t="s">
        <v>1222</v>
      </c>
      <c r="H769" s="69"/>
      <c r="P769" s="69">
        <f t="shared" si="11"/>
        <v>0</v>
      </c>
      <c r="Q769" s="69" cm="1">
        <f t="array" ref="Q769">IF(P769=1,IF(SUMPRODUCT(($P$2:P769)*(--($G$2:G769=$G769)))=1,1,0),0)</f>
        <v>0</v>
      </c>
      <c r="R769" s="69" t="str">
        <f>IF(Q769=1,SUM($Q$2:Q769),"")</f>
        <v/>
      </c>
    </row>
    <row r="770" spans="1:18" x14ac:dyDescent="0.2">
      <c r="A770" s="72"/>
      <c r="B770" s="76"/>
      <c r="C770" s="73"/>
      <c r="D770" s="73" t="s">
        <v>978</v>
      </c>
      <c r="E770" s="77" t="s">
        <v>117</v>
      </c>
      <c r="F770" s="75" t="s">
        <v>2233</v>
      </c>
      <c r="G770" s="69" t="s">
        <v>1227</v>
      </c>
      <c r="H770" s="69"/>
      <c r="P770" s="69">
        <f t="shared" si="11"/>
        <v>0</v>
      </c>
      <c r="Q770" s="69" cm="1">
        <f t="array" ref="Q770">IF(P770=1,IF(SUMPRODUCT(($P$2:P770)*(--($G$2:G770=$G770)))=1,1,0),0)</f>
        <v>0</v>
      </c>
      <c r="R770" s="69" t="str">
        <f>IF(Q770=1,SUM($Q$2:Q770),"")</f>
        <v/>
      </c>
    </row>
    <row r="771" spans="1:18" x14ac:dyDescent="0.2">
      <c r="A771" s="72"/>
      <c r="B771" s="76"/>
      <c r="C771" s="73"/>
      <c r="D771" s="73" t="s">
        <v>978</v>
      </c>
      <c r="E771" s="77" t="s">
        <v>117</v>
      </c>
      <c r="F771" s="75" t="s">
        <v>2232</v>
      </c>
      <c r="G771" s="69" t="s">
        <v>1227</v>
      </c>
      <c r="H771" s="69"/>
      <c r="P771" s="69">
        <f t="shared" ref="P771:P834" si="12">IF(AND(IF(TRIM($J$2&amp;"")="",TRUE,LEFT($D771,LEN($J$2))=$J$2),IF(TRIM($K$2&amp;"")="",TRUE,$E771=$K$2),IF($L$2="",TRUE,$F771=$L$2)),1,0)</f>
        <v>0</v>
      </c>
      <c r="Q771" s="69" cm="1">
        <f t="array" ref="Q771">IF(P771=1,IF(SUMPRODUCT(($P$2:P771)*(--($G$2:G771=$G771)))=1,1,0),0)</f>
        <v>0</v>
      </c>
      <c r="R771" s="69" t="str">
        <f>IF(Q771=1,SUM($Q$2:Q771),"")</f>
        <v/>
      </c>
    </row>
    <row r="772" spans="1:18" x14ac:dyDescent="0.2">
      <c r="A772" s="72"/>
      <c r="B772" s="76"/>
      <c r="C772" s="73"/>
      <c r="D772" s="73" t="s">
        <v>978</v>
      </c>
      <c r="E772" s="77" t="s">
        <v>117</v>
      </c>
      <c r="F772" s="75" t="s">
        <v>1652</v>
      </c>
      <c r="G772" s="69" t="s">
        <v>1227</v>
      </c>
      <c r="H772" s="69"/>
      <c r="P772" s="69">
        <f t="shared" si="12"/>
        <v>0</v>
      </c>
      <c r="Q772" s="69" cm="1">
        <f t="array" ref="Q772">IF(P772=1,IF(SUMPRODUCT(($P$2:P772)*(--($G$2:G772=$G772)))=1,1,0),0)</f>
        <v>0</v>
      </c>
      <c r="R772" s="69" t="str">
        <f>IF(Q772=1,SUM($Q$2:Q772),"")</f>
        <v/>
      </c>
    </row>
    <row r="773" spans="1:18" x14ac:dyDescent="0.2">
      <c r="A773" s="72"/>
      <c r="B773" s="76"/>
      <c r="C773" s="73"/>
      <c r="D773" s="73" t="s">
        <v>978</v>
      </c>
      <c r="E773" s="77" t="s">
        <v>117</v>
      </c>
      <c r="F773" s="75" t="s">
        <v>1651</v>
      </c>
      <c r="G773" s="69" t="s">
        <v>1227</v>
      </c>
      <c r="H773" s="69"/>
      <c r="P773" s="69">
        <f t="shared" si="12"/>
        <v>0</v>
      </c>
      <c r="Q773" s="69" cm="1">
        <f t="array" ref="Q773">IF(P773=1,IF(SUMPRODUCT(($P$2:P773)*(--($G$2:G773=$G773)))=1,1,0),0)</f>
        <v>0</v>
      </c>
      <c r="R773" s="69" t="str">
        <f>IF(Q773=1,SUM($Q$2:Q773),"")</f>
        <v/>
      </c>
    </row>
    <row r="774" spans="1:18" ht="16" x14ac:dyDescent="0.2">
      <c r="A774" s="72"/>
      <c r="B774" s="84"/>
      <c r="C774" s="73"/>
      <c r="D774" s="73" t="s">
        <v>978</v>
      </c>
      <c r="E774" s="77" t="s">
        <v>94</v>
      </c>
      <c r="F774" s="75" t="s">
        <v>228</v>
      </c>
      <c r="G774" s="87" t="s">
        <v>583</v>
      </c>
      <c r="H774" s="69"/>
      <c r="P774" s="69">
        <f t="shared" si="12"/>
        <v>0</v>
      </c>
      <c r="Q774" s="69" cm="1">
        <f t="array" ref="Q774">IF(P774=1,IF(SUMPRODUCT(($P$2:P774)*(--($G$2:G774=$G774)))=1,1,0),0)</f>
        <v>0</v>
      </c>
      <c r="R774" s="69" t="str">
        <f>IF(Q774=1,SUM($Q$2:Q774),"")</f>
        <v/>
      </c>
    </row>
    <row r="775" spans="1:18" x14ac:dyDescent="0.2">
      <c r="A775" s="72"/>
      <c r="B775" s="76"/>
      <c r="C775" s="73"/>
      <c r="D775" s="73" t="s">
        <v>978</v>
      </c>
      <c r="E775" s="77" t="s">
        <v>94</v>
      </c>
      <c r="F775" s="75" t="s">
        <v>2220</v>
      </c>
      <c r="G775" s="75" t="s">
        <v>1220</v>
      </c>
      <c r="H775" s="69"/>
      <c r="P775" s="69">
        <f t="shared" si="12"/>
        <v>0</v>
      </c>
      <c r="Q775" s="69" cm="1">
        <f t="array" ref="Q775">IF(P775=1,IF(SUMPRODUCT(($P$2:P775)*(--($G$2:G775=$G775)))=1,1,0),0)</f>
        <v>0</v>
      </c>
      <c r="R775" s="69" t="str">
        <f>IF(Q775=1,SUM($Q$2:Q775),"")</f>
        <v/>
      </c>
    </row>
    <row r="776" spans="1:18" x14ac:dyDescent="0.2">
      <c r="A776" s="72"/>
      <c r="B776" s="76"/>
      <c r="C776" s="73"/>
      <c r="D776" s="73" t="s">
        <v>978</v>
      </c>
      <c r="E776" s="77" t="s">
        <v>135</v>
      </c>
      <c r="F776" s="75" t="s">
        <v>2220</v>
      </c>
      <c r="G776" s="75" t="s">
        <v>1220</v>
      </c>
      <c r="H776" s="69"/>
      <c r="P776" s="69">
        <f t="shared" si="12"/>
        <v>0</v>
      </c>
      <c r="Q776" s="69" cm="1">
        <f t="array" ref="Q776">IF(P776=1,IF(SUMPRODUCT(($P$2:P776)*(--($G$2:G776=$G776)))=1,1,0),0)</f>
        <v>0</v>
      </c>
      <c r="R776" s="69" t="str">
        <f>IF(Q776=1,SUM($Q$2:Q776),"")</f>
        <v/>
      </c>
    </row>
    <row r="777" spans="1:18" x14ac:dyDescent="0.2">
      <c r="A777" s="72"/>
      <c r="B777" s="76"/>
      <c r="C777" s="73"/>
      <c r="D777" s="73" t="s">
        <v>978</v>
      </c>
      <c r="E777" s="77" t="s">
        <v>94</v>
      </c>
      <c r="F777" s="75" t="s">
        <v>2221</v>
      </c>
      <c r="G777" s="75" t="s">
        <v>1220</v>
      </c>
      <c r="H777" s="69"/>
      <c r="P777" s="69">
        <f t="shared" si="12"/>
        <v>0</v>
      </c>
      <c r="Q777" s="69" cm="1">
        <f t="array" ref="Q777">IF(P777=1,IF(SUMPRODUCT(($P$2:P777)*(--($G$2:G777=$G777)))=1,1,0),0)</f>
        <v>0</v>
      </c>
      <c r="R777" s="69" t="str">
        <f>IF(Q777=1,SUM($Q$2:Q777),"")</f>
        <v/>
      </c>
    </row>
    <row r="778" spans="1:18" x14ac:dyDescent="0.2">
      <c r="A778" s="72"/>
      <c r="B778" s="76"/>
      <c r="C778" s="73"/>
      <c r="D778" s="73" t="s">
        <v>978</v>
      </c>
      <c r="E778" s="77" t="s">
        <v>135</v>
      </c>
      <c r="F778" s="75" t="s">
        <v>2221</v>
      </c>
      <c r="G778" s="75" t="s">
        <v>1220</v>
      </c>
      <c r="H778" s="69"/>
      <c r="P778" s="69">
        <f t="shared" si="12"/>
        <v>0</v>
      </c>
      <c r="Q778" s="69" cm="1">
        <f t="array" ref="Q778">IF(P778=1,IF(SUMPRODUCT(($P$2:P778)*(--($G$2:G778=$G778)))=1,1,0),0)</f>
        <v>0</v>
      </c>
      <c r="R778" s="69" t="str">
        <f>IF(Q778=1,SUM($Q$2:Q778),"")</f>
        <v/>
      </c>
    </row>
    <row r="779" spans="1:18" x14ac:dyDescent="0.2">
      <c r="A779" s="72"/>
      <c r="B779" s="76"/>
      <c r="C779" s="73"/>
      <c r="D779" s="73" t="s">
        <v>978</v>
      </c>
      <c r="E779" s="77" t="s">
        <v>117</v>
      </c>
      <c r="F779" s="75" t="s">
        <v>2220</v>
      </c>
      <c r="G779" s="75" t="s">
        <v>1221</v>
      </c>
      <c r="H779" s="69"/>
      <c r="P779" s="69">
        <f t="shared" si="12"/>
        <v>0</v>
      </c>
      <c r="Q779" s="69" cm="1">
        <f t="array" ref="Q779">IF(P779=1,IF(SUMPRODUCT(($P$2:P779)*(--($G$2:G779=$G779)))=1,1,0),0)</f>
        <v>0</v>
      </c>
      <c r="R779" s="69" t="str">
        <f>IF(Q779=1,SUM($Q$2:Q779),"")</f>
        <v/>
      </c>
    </row>
    <row r="780" spans="1:18" x14ac:dyDescent="0.2">
      <c r="A780" s="72"/>
      <c r="B780" s="76"/>
      <c r="C780" s="73"/>
      <c r="D780" s="73" t="s">
        <v>978</v>
      </c>
      <c r="E780" s="77" t="s">
        <v>117</v>
      </c>
      <c r="F780" s="75" t="s">
        <v>2221</v>
      </c>
      <c r="G780" s="75" t="s">
        <v>1221</v>
      </c>
      <c r="H780" s="69"/>
      <c r="P780" s="69">
        <f t="shared" si="12"/>
        <v>0</v>
      </c>
      <c r="Q780" s="69" cm="1">
        <f t="array" ref="Q780">IF(P780=1,IF(SUMPRODUCT(($P$2:P780)*(--($G$2:G780=$G780)))=1,1,0),0)</f>
        <v>0</v>
      </c>
      <c r="R780" s="69" t="str">
        <f>IF(Q780=1,SUM($Q$2:Q780),"")</f>
        <v/>
      </c>
    </row>
    <row r="781" spans="1:18" ht="16" x14ac:dyDescent="0.2">
      <c r="A781" s="72"/>
      <c r="B781" s="76"/>
      <c r="C781" s="73"/>
      <c r="D781" s="73" t="s">
        <v>978</v>
      </c>
      <c r="E781" s="77" t="s">
        <v>94</v>
      </c>
      <c r="F781" s="75" t="s">
        <v>2236</v>
      </c>
      <c r="G781" s="87" t="s">
        <v>1224</v>
      </c>
      <c r="H781" s="69"/>
      <c r="P781" s="69">
        <f t="shared" si="12"/>
        <v>0</v>
      </c>
      <c r="Q781" s="69" cm="1">
        <f t="array" ref="Q781">IF(P781=1,IF(SUMPRODUCT(($P$2:P781)*(--($G$2:G781=$G781)))=1,1,0),0)</f>
        <v>0</v>
      </c>
      <c r="R781" s="69" t="str">
        <f>IF(Q781=1,SUM($Q$2:Q781),"")</f>
        <v/>
      </c>
    </row>
    <row r="782" spans="1:18" ht="16" x14ac:dyDescent="0.2">
      <c r="A782" s="72"/>
      <c r="B782" s="76"/>
      <c r="C782" s="73"/>
      <c r="D782" s="73" t="s">
        <v>978</v>
      </c>
      <c r="E782" s="77" t="s">
        <v>94</v>
      </c>
      <c r="F782" s="75" t="s">
        <v>2237</v>
      </c>
      <c r="G782" s="87" t="s">
        <v>1224</v>
      </c>
      <c r="H782" s="69"/>
      <c r="P782" s="69">
        <f t="shared" si="12"/>
        <v>0</v>
      </c>
      <c r="Q782" s="69" cm="1">
        <f t="array" ref="Q782">IF(P782=1,IF(SUMPRODUCT(($P$2:P782)*(--($G$2:G782=$G782)))=1,1,0),0)</f>
        <v>0</v>
      </c>
      <c r="R782" s="69" t="str">
        <f>IF(Q782=1,SUM($Q$2:Q782),"")</f>
        <v/>
      </c>
    </row>
    <row r="783" spans="1:18" ht="16" x14ac:dyDescent="0.2">
      <c r="A783" s="72"/>
      <c r="B783" s="76"/>
      <c r="C783" s="73"/>
      <c r="D783" s="73" t="s">
        <v>978</v>
      </c>
      <c r="E783" s="77" t="s">
        <v>94</v>
      </c>
      <c r="F783" s="75" t="s">
        <v>2238</v>
      </c>
      <c r="G783" s="87" t="s">
        <v>1281</v>
      </c>
      <c r="H783" s="69"/>
      <c r="P783" s="69">
        <f t="shared" si="12"/>
        <v>0</v>
      </c>
      <c r="Q783" s="69" cm="1">
        <f t="array" ref="Q783">IF(P783=1,IF(SUMPRODUCT(($P$2:P783)*(--($G$2:G783=$G783)))=1,1,0),0)</f>
        <v>0</v>
      </c>
      <c r="R783" s="69" t="str">
        <f>IF(Q783=1,SUM($Q$2:Q783),"")</f>
        <v/>
      </c>
    </row>
    <row r="784" spans="1:18" ht="16" x14ac:dyDescent="0.2">
      <c r="A784" s="72"/>
      <c r="B784" s="76"/>
      <c r="C784" s="73"/>
      <c r="D784" s="73" t="s">
        <v>978</v>
      </c>
      <c r="E784" s="77" t="s">
        <v>94</v>
      </c>
      <c r="F784" s="75" t="s">
        <v>2239</v>
      </c>
      <c r="G784" s="87" t="s">
        <v>1281</v>
      </c>
      <c r="H784" s="69"/>
      <c r="P784" s="69">
        <f t="shared" si="12"/>
        <v>0</v>
      </c>
      <c r="Q784" s="69" cm="1">
        <f t="array" ref="Q784">IF(P784=1,IF(SUMPRODUCT(($P$2:P784)*(--($G$2:G784=$G784)))=1,1,0),0)</f>
        <v>0</v>
      </c>
      <c r="R784" s="69" t="str">
        <f>IF(Q784=1,SUM($Q$2:Q784),"")</f>
        <v/>
      </c>
    </row>
    <row r="785" spans="1:18" ht="16" x14ac:dyDescent="0.2">
      <c r="A785" s="72"/>
      <c r="B785" s="76"/>
      <c r="C785" s="73"/>
      <c r="D785" s="73" t="s">
        <v>978</v>
      </c>
      <c r="E785" s="77" t="s">
        <v>94</v>
      </c>
      <c r="F785" s="75" t="s">
        <v>2080</v>
      </c>
      <c r="G785" s="87" t="s">
        <v>1223</v>
      </c>
      <c r="H785" s="69"/>
      <c r="P785" s="69">
        <f t="shared" si="12"/>
        <v>0</v>
      </c>
      <c r="Q785" s="69" cm="1">
        <f t="array" ref="Q785">IF(P785=1,IF(SUMPRODUCT(($P$2:P785)*(--($G$2:G785=$G785)))=1,1,0),0)</f>
        <v>0</v>
      </c>
      <c r="R785" s="69" t="str">
        <f>IF(Q785=1,SUM($Q$2:Q785),"")</f>
        <v/>
      </c>
    </row>
    <row r="786" spans="1:18" ht="16" x14ac:dyDescent="0.2">
      <c r="A786" s="72"/>
      <c r="B786" s="76"/>
      <c r="C786" s="73"/>
      <c r="D786" s="73" t="s">
        <v>978</v>
      </c>
      <c r="E786" s="77" t="s">
        <v>135</v>
      </c>
      <c r="F786" s="75" t="s">
        <v>2080</v>
      </c>
      <c r="G786" s="87" t="s">
        <v>1223</v>
      </c>
      <c r="H786" s="69"/>
      <c r="P786" s="69">
        <f t="shared" si="12"/>
        <v>0</v>
      </c>
      <c r="Q786" s="69" cm="1">
        <f t="array" ref="Q786">IF(P786=1,IF(SUMPRODUCT(($P$2:P786)*(--($G$2:G786=$G786)))=1,1,0),0)</f>
        <v>0</v>
      </c>
      <c r="R786" s="69" t="str">
        <f>IF(Q786=1,SUM($Q$2:Q786),"")</f>
        <v/>
      </c>
    </row>
    <row r="787" spans="1:18" ht="16" x14ac:dyDescent="0.2">
      <c r="A787" s="72"/>
      <c r="B787" s="76"/>
      <c r="C787" s="73"/>
      <c r="D787" s="73" t="s">
        <v>978</v>
      </c>
      <c r="E787" s="77" t="s">
        <v>94</v>
      </c>
      <c r="F787" s="75" t="s">
        <v>286</v>
      </c>
      <c r="G787" s="87" t="s">
        <v>1223</v>
      </c>
      <c r="H787" s="69"/>
      <c r="P787" s="69">
        <f t="shared" si="12"/>
        <v>0</v>
      </c>
      <c r="Q787" s="69" cm="1">
        <f t="array" ref="Q787">IF(P787=1,IF(SUMPRODUCT(($P$2:P787)*(--($G$2:G787=$G787)))=1,1,0),0)</f>
        <v>0</v>
      </c>
      <c r="R787" s="69" t="str">
        <f>IF(Q787=1,SUM($Q$2:Q787),"")</f>
        <v/>
      </c>
    </row>
    <row r="788" spans="1:18" ht="16" x14ac:dyDescent="0.2">
      <c r="A788" s="72"/>
      <c r="B788" s="76"/>
      <c r="C788" s="73"/>
      <c r="D788" s="73" t="s">
        <v>978</v>
      </c>
      <c r="E788" s="77" t="s">
        <v>135</v>
      </c>
      <c r="F788" s="75" t="s">
        <v>286</v>
      </c>
      <c r="G788" s="87" t="s">
        <v>1223</v>
      </c>
      <c r="H788" s="69"/>
      <c r="P788" s="69">
        <f t="shared" si="12"/>
        <v>0</v>
      </c>
      <c r="Q788" s="69" cm="1">
        <f t="array" ref="Q788">IF(P788=1,IF(SUMPRODUCT(($P$2:P788)*(--($G$2:G788=$G788)))=1,1,0),0)</f>
        <v>0</v>
      </c>
      <c r="R788" s="69" t="str">
        <f>IF(Q788=1,SUM($Q$2:Q788),"")</f>
        <v/>
      </c>
    </row>
    <row r="789" spans="1:18" ht="16" x14ac:dyDescent="0.2">
      <c r="A789" s="72"/>
      <c r="B789" s="76"/>
      <c r="C789" s="73"/>
      <c r="D789" s="73" t="s">
        <v>978</v>
      </c>
      <c r="E789" s="77" t="s">
        <v>94</v>
      </c>
      <c r="F789" s="75" t="s">
        <v>2217</v>
      </c>
      <c r="G789" s="87" t="s">
        <v>1223</v>
      </c>
      <c r="H789" s="69"/>
      <c r="P789" s="69">
        <f t="shared" si="12"/>
        <v>0</v>
      </c>
      <c r="Q789" s="69" cm="1">
        <f t="array" ref="Q789">IF(P789=1,IF(SUMPRODUCT(($P$2:P789)*(--($G$2:G789=$G789)))=1,1,0),0)</f>
        <v>0</v>
      </c>
      <c r="R789" s="69" t="str">
        <f>IF(Q789=1,SUM($Q$2:Q789),"")</f>
        <v/>
      </c>
    </row>
    <row r="790" spans="1:18" ht="16" x14ac:dyDescent="0.2">
      <c r="A790" s="72"/>
      <c r="B790" s="76"/>
      <c r="C790" s="73"/>
      <c r="D790" s="73" t="s">
        <v>978</v>
      </c>
      <c r="E790" s="77" t="s">
        <v>135</v>
      </c>
      <c r="F790" s="75" t="s">
        <v>2217</v>
      </c>
      <c r="G790" s="87" t="s">
        <v>1223</v>
      </c>
      <c r="H790" s="69"/>
      <c r="P790" s="69">
        <f t="shared" si="12"/>
        <v>0</v>
      </c>
      <c r="Q790" s="69" cm="1">
        <f t="array" ref="Q790">IF(P790=1,IF(SUMPRODUCT(($P$2:P790)*(--($G$2:G790=$G790)))=1,1,0),0)</f>
        <v>0</v>
      </c>
      <c r="R790" s="69" t="str">
        <f>IF(Q790=1,SUM($Q$2:Q790),"")</f>
        <v/>
      </c>
    </row>
    <row r="791" spans="1:18" ht="16" x14ac:dyDescent="0.2">
      <c r="A791" s="72"/>
      <c r="B791" s="76"/>
      <c r="C791" s="73"/>
      <c r="D791" s="73" t="s">
        <v>978</v>
      </c>
      <c r="E791" s="77" t="s">
        <v>94</v>
      </c>
      <c r="F791" s="75" t="s">
        <v>2218</v>
      </c>
      <c r="G791" s="87" t="s">
        <v>1223</v>
      </c>
      <c r="H791" s="69"/>
      <c r="P791" s="69">
        <f t="shared" si="12"/>
        <v>0</v>
      </c>
      <c r="Q791" s="69" cm="1">
        <f t="array" ref="Q791">IF(P791=1,IF(SUMPRODUCT(($P$2:P791)*(--($G$2:G791=$G791)))=1,1,0),0)</f>
        <v>0</v>
      </c>
      <c r="R791" s="69" t="str">
        <f>IF(Q791=1,SUM($Q$2:Q791),"")</f>
        <v/>
      </c>
    </row>
    <row r="792" spans="1:18" ht="16" x14ac:dyDescent="0.2">
      <c r="A792" s="72"/>
      <c r="B792" s="76"/>
      <c r="C792" s="73"/>
      <c r="D792" s="73" t="s">
        <v>978</v>
      </c>
      <c r="E792" s="77" t="s">
        <v>135</v>
      </c>
      <c r="F792" s="75" t="s">
        <v>2218</v>
      </c>
      <c r="G792" s="87" t="s">
        <v>1223</v>
      </c>
      <c r="H792" s="69"/>
      <c r="P792" s="69">
        <f t="shared" si="12"/>
        <v>0</v>
      </c>
      <c r="Q792" s="69" cm="1">
        <f t="array" ref="Q792">IF(P792=1,IF(SUMPRODUCT(($P$2:P792)*(--($G$2:G792=$G792)))=1,1,0),0)</f>
        <v>0</v>
      </c>
      <c r="R792" s="69" t="str">
        <f>IF(Q792=1,SUM($Q$2:Q792),"")</f>
        <v/>
      </c>
    </row>
    <row r="793" spans="1:18" ht="16" x14ac:dyDescent="0.2">
      <c r="A793" s="72"/>
      <c r="B793" s="76"/>
      <c r="C793" s="73"/>
      <c r="D793" s="73" t="s">
        <v>978</v>
      </c>
      <c r="E793" s="77" t="s">
        <v>94</v>
      </c>
      <c r="F793" s="75" t="s">
        <v>2240</v>
      </c>
      <c r="G793" s="87" t="s">
        <v>1223</v>
      </c>
      <c r="H793" s="69"/>
      <c r="P793" s="69">
        <f t="shared" si="12"/>
        <v>0</v>
      </c>
      <c r="Q793" s="69" cm="1">
        <f t="array" ref="Q793">IF(P793=1,IF(SUMPRODUCT(($P$2:P793)*(--($G$2:G793=$G793)))=1,1,0),0)</f>
        <v>0</v>
      </c>
      <c r="R793" s="69" t="str">
        <f>IF(Q793=1,SUM($Q$2:Q793),"")</f>
        <v/>
      </c>
    </row>
    <row r="794" spans="1:18" ht="16" x14ac:dyDescent="0.2">
      <c r="A794" s="72"/>
      <c r="B794" s="76"/>
      <c r="C794" s="73"/>
      <c r="D794" s="73" t="s">
        <v>978</v>
      </c>
      <c r="E794" s="77" t="s">
        <v>135</v>
      </c>
      <c r="F794" s="75" t="s">
        <v>2240</v>
      </c>
      <c r="G794" s="87" t="s">
        <v>1223</v>
      </c>
      <c r="H794" s="69"/>
      <c r="P794" s="69">
        <f t="shared" si="12"/>
        <v>0</v>
      </c>
      <c r="Q794" s="69" cm="1">
        <f t="array" ref="Q794">IF(P794=1,IF(SUMPRODUCT(($P$2:P794)*(--($G$2:G794=$G794)))=1,1,0),0)</f>
        <v>0</v>
      </c>
      <c r="R794" s="69" t="str">
        <f>IF(Q794=1,SUM($Q$2:Q794),"")</f>
        <v/>
      </c>
    </row>
    <row r="795" spans="1:18" ht="16" x14ac:dyDescent="0.2">
      <c r="A795" s="72"/>
      <c r="B795" s="76"/>
      <c r="C795" s="73"/>
      <c r="D795" s="73" t="s">
        <v>978</v>
      </c>
      <c r="E795" s="77" t="s">
        <v>94</v>
      </c>
      <c r="F795" s="75" t="s">
        <v>2219</v>
      </c>
      <c r="G795" s="87" t="s">
        <v>1223</v>
      </c>
      <c r="H795" s="69"/>
      <c r="P795" s="69">
        <f t="shared" si="12"/>
        <v>0</v>
      </c>
      <c r="Q795" s="69" cm="1">
        <f t="array" ref="Q795">IF(P795=1,IF(SUMPRODUCT(($P$2:P795)*(--($G$2:G795=$G795)))=1,1,0),0)</f>
        <v>0</v>
      </c>
      <c r="R795" s="69" t="str">
        <f>IF(Q795=1,SUM($Q$2:Q795),"")</f>
        <v/>
      </c>
    </row>
    <row r="796" spans="1:18" ht="16" x14ac:dyDescent="0.2">
      <c r="A796" s="72"/>
      <c r="B796" s="76"/>
      <c r="C796" s="73"/>
      <c r="D796" s="73" t="s">
        <v>978</v>
      </c>
      <c r="E796" s="77" t="s">
        <v>135</v>
      </c>
      <c r="F796" s="75" t="s">
        <v>2219</v>
      </c>
      <c r="G796" s="87" t="s">
        <v>1223</v>
      </c>
      <c r="H796" s="69"/>
      <c r="P796" s="69">
        <f t="shared" si="12"/>
        <v>0</v>
      </c>
      <c r="Q796" s="69" cm="1">
        <f t="array" ref="Q796">IF(P796=1,IF(SUMPRODUCT(($P$2:P796)*(--($G$2:G796=$G796)))=1,1,0),0)</f>
        <v>0</v>
      </c>
      <c r="R796" s="69" t="str">
        <f>IF(Q796=1,SUM($Q$2:Q796),"")</f>
        <v/>
      </c>
    </row>
    <row r="797" spans="1:18" ht="16" x14ac:dyDescent="0.2">
      <c r="A797" s="72"/>
      <c r="B797" s="84"/>
      <c r="C797" s="73"/>
      <c r="D797" s="73" t="s">
        <v>978</v>
      </c>
      <c r="E797" s="77" t="s">
        <v>94</v>
      </c>
      <c r="F797" s="75" t="s">
        <v>2080</v>
      </c>
      <c r="G797" s="87" t="s">
        <v>1255</v>
      </c>
      <c r="H797" s="69"/>
      <c r="P797" s="69">
        <f t="shared" si="12"/>
        <v>0</v>
      </c>
      <c r="Q797" s="69" cm="1">
        <f t="array" ref="Q797">IF(P797=1,IF(SUMPRODUCT(($P$2:P797)*(--($G$2:G797=$G797)))=1,1,0),0)</f>
        <v>0</v>
      </c>
      <c r="R797" s="69" t="str">
        <f>IF(Q797=1,SUM($Q$2:Q797),"")</f>
        <v/>
      </c>
    </row>
    <row r="798" spans="1:18" ht="16" x14ac:dyDescent="0.2">
      <c r="A798" s="72"/>
      <c r="B798" s="84"/>
      <c r="C798" s="73"/>
      <c r="D798" s="73" t="s">
        <v>978</v>
      </c>
      <c r="E798" s="77" t="s">
        <v>135</v>
      </c>
      <c r="F798" s="75" t="s">
        <v>2080</v>
      </c>
      <c r="G798" s="87" t="s">
        <v>1255</v>
      </c>
      <c r="H798" s="69"/>
      <c r="P798" s="69">
        <f t="shared" si="12"/>
        <v>0</v>
      </c>
      <c r="Q798" s="69" cm="1">
        <f t="array" ref="Q798">IF(P798=1,IF(SUMPRODUCT(($P$2:P798)*(--($G$2:G798=$G798)))=1,1,0),0)</f>
        <v>0</v>
      </c>
      <c r="R798" s="69" t="str">
        <f>IF(Q798=1,SUM($Q$2:Q798),"")</f>
        <v/>
      </c>
    </row>
    <row r="799" spans="1:18" ht="16" x14ac:dyDescent="0.2">
      <c r="A799" s="72"/>
      <c r="B799" s="84"/>
      <c r="C799" s="73"/>
      <c r="D799" s="73" t="s">
        <v>978</v>
      </c>
      <c r="E799" s="77" t="s">
        <v>94</v>
      </c>
      <c r="F799" s="75" t="s">
        <v>286</v>
      </c>
      <c r="G799" s="87" t="s">
        <v>1255</v>
      </c>
      <c r="H799" s="69"/>
      <c r="P799" s="69">
        <f t="shared" si="12"/>
        <v>0</v>
      </c>
      <c r="Q799" s="69" cm="1">
        <f t="array" ref="Q799">IF(P799=1,IF(SUMPRODUCT(($P$2:P799)*(--($G$2:G799=$G799)))=1,1,0),0)</f>
        <v>0</v>
      </c>
      <c r="R799" s="69" t="str">
        <f>IF(Q799=1,SUM($Q$2:Q799),"")</f>
        <v/>
      </c>
    </row>
    <row r="800" spans="1:18" ht="16" x14ac:dyDescent="0.2">
      <c r="A800" s="72"/>
      <c r="B800" s="84"/>
      <c r="C800" s="73"/>
      <c r="D800" s="73" t="s">
        <v>978</v>
      </c>
      <c r="E800" s="77" t="s">
        <v>135</v>
      </c>
      <c r="F800" s="75" t="s">
        <v>286</v>
      </c>
      <c r="G800" s="87" t="s">
        <v>1255</v>
      </c>
      <c r="H800" s="69"/>
      <c r="P800" s="69">
        <f t="shared" si="12"/>
        <v>0</v>
      </c>
      <c r="Q800" s="69" cm="1">
        <f t="array" ref="Q800">IF(P800=1,IF(SUMPRODUCT(($P$2:P800)*(--($G$2:G800=$G800)))=1,1,0),0)</f>
        <v>0</v>
      </c>
      <c r="R800" s="69" t="str">
        <f>IF(Q800=1,SUM($Q$2:Q800),"")</f>
        <v/>
      </c>
    </row>
    <row r="801" spans="1:18" ht="16" x14ac:dyDescent="0.2">
      <c r="A801" s="72"/>
      <c r="B801" s="84"/>
      <c r="C801" s="73"/>
      <c r="D801" s="73" t="s">
        <v>978</v>
      </c>
      <c r="E801" s="77" t="s">
        <v>94</v>
      </c>
      <c r="F801" s="75" t="s">
        <v>2217</v>
      </c>
      <c r="G801" s="87" t="s">
        <v>1255</v>
      </c>
      <c r="H801" s="69"/>
      <c r="P801" s="69">
        <f t="shared" si="12"/>
        <v>0</v>
      </c>
      <c r="Q801" s="69" cm="1">
        <f t="array" ref="Q801">IF(P801=1,IF(SUMPRODUCT(($P$2:P801)*(--($G$2:G801=$G801)))=1,1,0),0)</f>
        <v>0</v>
      </c>
      <c r="R801" s="69" t="str">
        <f>IF(Q801=1,SUM($Q$2:Q801),"")</f>
        <v/>
      </c>
    </row>
    <row r="802" spans="1:18" ht="16" x14ac:dyDescent="0.2">
      <c r="A802" s="72"/>
      <c r="B802" s="84"/>
      <c r="C802" s="73"/>
      <c r="D802" s="73" t="s">
        <v>978</v>
      </c>
      <c r="E802" s="77" t="s">
        <v>135</v>
      </c>
      <c r="F802" s="75" t="s">
        <v>2217</v>
      </c>
      <c r="G802" s="87" t="s">
        <v>1255</v>
      </c>
      <c r="H802" s="69"/>
      <c r="P802" s="69">
        <f t="shared" si="12"/>
        <v>0</v>
      </c>
      <c r="Q802" s="69" cm="1">
        <f t="array" ref="Q802">IF(P802=1,IF(SUMPRODUCT(($P$2:P802)*(--($G$2:G802=$G802)))=1,1,0),0)</f>
        <v>0</v>
      </c>
      <c r="R802" s="69" t="str">
        <f>IF(Q802=1,SUM($Q$2:Q802),"")</f>
        <v/>
      </c>
    </row>
    <row r="803" spans="1:18" ht="16" x14ac:dyDescent="0.2">
      <c r="A803" s="72"/>
      <c r="B803" s="84"/>
      <c r="C803" s="73"/>
      <c r="D803" s="73" t="s">
        <v>978</v>
      </c>
      <c r="E803" s="77" t="s">
        <v>94</v>
      </c>
      <c r="F803" s="75" t="s">
        <v>2218</v>
      </c>
      <c r="G803" s="87" t="s">
        <v>1255</v>
      </c>
      <c r="H803" s="69"/>
      <c r="P803" s="69">
        <f t="shared" si="12"/>
        <v>0</v>
      </c>
      <c r="Q803" s="69" cm="1">
        <f t="array" ref="Q803">IF(P803=1,IF(SUMPRODUCT(($P$2:P803)*(--($G$2:G803=$G803)))=1,1,0),0)</f>
        <v>0</v>
      </c>
      <c r="R803" s="69" t="str">
        <f>IF(Q803=1,SUM($Q$2:Q803),"")</f>
        <v/>
      </c>
    </row>
    <row r="804" spans="1:18" ht="16" x14ac:dyDescent="0.2">
      <c r="A804" s="72"/>
      <c r="B804" s="84"/>
      <c r="C804" s="73"/>
      <c r="D804" s="73" t="s">
        <v>978</v>
      </c>
      <c r="E804" s="77" t="s">
        <v>135</v>
      </c>
      <c r="F804" s="75" t="s">
        <v>2218</v>
      </c>
      <c r="G804" s="87" t="s">
        <v>1255</v>
      </c>
      <c r="H804" s="69"/>
      <c r="P804" s="69">
        <f t="shared" si="12"/>
        <v>0</v>
      </c>
      <c r="Q804" s="69" cm="1">
        <f t="array" ref="Q804">IF(P804=1,IF(SUMPRODUCT(($P$2:P804)*(--($G$2:G804=$G804)))=1,1,0),0)</f>
        <v>0</v>
      </c>
      <c r="R804" s="69" t="str">
        <f>IF(Q804=1,SUM($Q$2:Q804),"")</f>
        <v/>
      </c>
    </row>
    <row r="805" spans="1:18" ht="16" x14ac:dyDescent="0.2">
      <c r="A805" s="72"/>
      <c r="B805" s="84"/>
      <c r="C805" s="73"/>
      <c r="D805" s="73" t="s">
        <v>978</v>
      </c>
      <c r="E805" s="77" t="s">
        <v>94</v>
      </c>
      <c r="F805" s="75" t="s">
        <v>2240</v>
      </c>
      <c r="G805" s="87" t="s">
        <v>1255</v>
      </c>
      <c r="H805" s="69"/>
      <c r="P805" s="69">
        <f t="shared" si="12"/>
        <v>0</v>
      </c>
      <c r="Q805" s="69" cm="1">
        <f t="array" ref="Q805">IF(P805=1,IF(SUMPRODUCT(($P$2:P805)*(--($G$2:G805=$G805)))=1,1,0),0)</f>
        <v>0</v>
      </c>
      <c r="R805" s="69" t="str">
        <f>IF(Q805=1,SUM($Q$2:Q805),"")</f>
        <v/>
      </c>
    </row>
    <row r="806" spans="1:18" ht="16" x14ac:dyDescent="0.2">
      <c r="A806" s="72"/>
      <c r="B806" s="84"/>
      <c r="C806" s="73"/>
      <c r="D806" s="73" t="s">
        <v>978</v>
      </c>
      <c r="E806" s="77" t="s">
        <v>135</v>
      </c>
      <c r="F806" s="75" t="s">
        <v>2240</v>
      </c>
      <c r="G806" s="87" t="s">
        <v>1255</v>
      </c>
      <c r="H806" s="69"/>
      <c r="P806" s="69">
        <f t="shared" si="12"/>
        <v>0</v>
      </c>
      <c r="Q806" s="69" cm="1">
        <f t="array" ref="Q806">IF(P806=1,IF(SUMPRODUCT(($P$2:P806)*(--($G$2:G806=$G806)))=1,1,0),0)</f>
        <v>0</v>
      </c>
      <c r="R806" s="69" t="str">
        <f>IF(Q806=1,SUM($Q$2:Q806),"")</f>
        <v/>
      </c>
    </row>
    <row r="807" spans="1:18" ht="16" x14ac:dyDescent="0.2">
      <c r="A807" s="72"/>
      <c r="B807" s="84"/>
      <c r="C807" s="73"/>
      <c r="D807" s="73" t="s">
        <v>978</v>
      </c>
      <c r="E807" s="77" t="s">
        <v>94</v>
      </c>
      <c r="F807" s="75" t="s">
        <v>2219</v>
      </c>
      <c r="G807" s="87" t="s">
        <v>1255</v>
      </c>
      <c r="H807" s="69"/>
      <c r="P807" s="69">
        <f t="shared" si="12"/>
        <v>0</v>
      </c>
      <c r="Q807" s="69" cm="1">
        <f t="array" ref="Q807">IF(P807=1,IF(SUMPRODUCT(($P$2:P807)*(--($G$2:G807=$G807)))=1,1,0),0)</f>
        <v>0</v>
      </c>
      <c r="R807" s="69" t="str">
        <f>IF(Q807=1,SUM($Q$2:Q807),"")</f>
        <v/>
      </c>
    </row>
    <row r="808" spans="1:18" ht="16" x14ac:dyDescent="0.2">
      <c r="A808" s="72"/>
      <c r="B808" s="84"/>
      <c r="C808" s="73"/>
      <c r="D808" s="73" t="s">
        <v>978</v>
      </c>
      <c r="E808" s="77" t="s">
        <v>135</v>
      </c>
      <c r="F808" s="75" t="s">
        <v>2219</v>
      </c>
      <c r="G808" s="87" t="s">
        <v>1255</v>
      </c>
      <c r="H808" s="69"/>
      <c r="P808" s="69">
        <f t="shared" si="12"/>
        <v>0</v>
      </c>
      <c r="Q808" s="69" cm="1">
        <f t="array" ref="Q808">IF(P808=1,IF(SUMPRODUCT(($P$2:P808)*(--($G$2:G808=$G808)))=1,1,0),0)</f>
        <v>0</v>
      </c>
      <c r="R808" s="69" t="str">
        <f>IF(Q808=1,SUM($Q$2:Q808),"")</f>
        <v/>
      </c>
    </row>
    <row r="809" spans="1:18" ht="16" x14ac:dyDescent="0.2">
      <c r="A809" s="72"/>
      <c r="B809" s="76"/>
      <c r="C809" s="73"/>
      <c r="D809" s="73" t="s">
        <v>978</v>
      </c>
      <c r="E809" s="77" t="s">
        <v>94</v>
      </c>
      <c r="F809" s="75" t="s">
        <v>1655</v>
      </c>
      <c r="G809" s="87" t="s">
        <v>1274</v>
      </c>
      <c r="H809" s="69"/>
      <c r="P809" s="69">
        <f t="shared" si="12"/>
        <v>0</v>
      </c>
      <c r="Q809" s="69" cm="1">
        <f t="array" ref="Q809">IF(P809=1,IF(SUMPRODUCT(($P$2:P809)*(--($G$2:G809=$G809)))=1,1,0),0)</f>
        <v>0</v>
      </c>
      <c r="R809" s="69" t="str">
        <f>IF(Q809=1,SUM($Q$2:Q809),"")</f>
        <v/>
      </c>
    </row>
    <row r="810" spans="1:18" ht="16" x14ac:dyDescent="0.2">
      <c r="A810" s="72"/>
      <c r="B810" s="76"/>
      <c r="C810" s="73"/>
      <c r="D810" s="73" t="s">
        <v>978</v>
      </c>
      <c r="E810" s="77" t="s">
        <v>94</v>
      </c>
      <c r="F810" s="75" t="s">
        <v>1656</v>
      </c>
      <c r="G810" s="87" t="s">
        <v>1274</v>
      </c>
      <c r="H810" s="69"/>
      <c r="P810" s="69">
        <f t="shared" si="12"/>
        <v>0</v>
      </c>
      <c r="Q810" s="69" cm="1">
        <f t="array" ref="Q810">IF(P810=1,IF(SUMPRODUCT(($P$2:P810)*(--($G$2:G810=$G810)))=1,1,0),0)</f>
        <v>0</v>
      </c>
      <c r="R810" s="69" t="str">
        <f>IF(Q810=1,SUM($Q$2:Q810),"")</f>
        <v/>
      </c>
    </row>
    <row r="811" spans="1:18" ht="16" x14ac:dyDescent="0.2">
      <c r="A811" s="72"/>
      <c r="B811" s="76"/>
      <c r="C811" s="73"/>
      <c r="D811" s="73" t="s">
        <v>978</v>
      </c>
      <c r="E811" s="77" t="s">
        <v>94</v>
      </c>
      <c r="F811" s="75" t="s">
        <v>1657</v>
      </c>
      <c r="G811" s="87" t="s">
        <v>1274</v>
      </c>
      <c r="H811" s="69"/>
      <c r="P811" s="69">
        <f t="shared" si="12"/>
        <v>0</v>
      </c>
      <c r="Q811" s="69" cm="1">
        <f t="array" ref="Q811">IF(P811=1,IF(SUMPRODUCT(($P$2:P811)*(--($G$2:G811=$G811)))=1,1,0),0)</f>
        <v>0</v>
      </c>
      <c r="R811" s="69" t="str">
        <f>IF(Q811=1,SUM($Q$2:Q811),"")</f>
        <v/>
      </c>
    </row>
    <row r="812" spans="1:18" ht="16" x14ac:dyDescent="0.2">
      <c r="A812" s="72"/>
      <c r="B812" s="76"/>
      <c r="C812" s="73"/>
      <c r="D812" s="73" t="s">
        <v>978</v>
      </c>
      <c r="E812" s="77" t="s">
        <v>94</v>
      </c>
      <c r="F812" s="75" t="s">
        <v>1658</v>
      </c>
      <c r="G812" s="87" t="s">
        <v>1274</v>
      </c>
      <c r="H812" s="69"/>
      <c r="P812" s="69">
        <f t="shared" si="12"/>
        <v>0</v>
      </c>
      <c r="Q812" s="69" cm="1">
        <f t="array" ref="Q812">IF(P812=1,IF(SUMPRODUCT(($P$2:P812)*(--($G$2:G812=$G812)))=1,1,0),0)</f>
        <v>0</v>
      </c>
      <c r="R812" s="69" t="str">
        <f>IF(Q812=1,SUM($Q$2:Q812),"")</f>
        <v/>
      </c>
    </row>
    <row r="813" spans="1:18" x14ac:dyDescent="0.2">
      <c r="A813" s="72"/>
      <c r="B813" s="76"/>
      <c r="C813" s="73"/>
      <c r="D813" s="73" t="s">
        <v>978</v>
      </c>
      <c r="E813" s="77" t="s">
        <v>94</v>
      </c>
      <c r="F813" s="75" t="s">
        <v>1659</v>
      </c>
      <c r="G813" s="75" t="s">
        <v>1275</v>
      </c>
      <c r="H813" s="69"/>
      <c r="P813" s="69">
        <f t="shared" si="12"/>
        <v>0</v>
      </c>
      <c r="Q813" s="69" cm="1">
        <f t="array" ref="Q813">IF(P813=1,IF(SUMPRODUCT(($P$2:P813)*(--($G$2:G813=$G813)))=1,1,0),0)</f>
        <v>0</v>
      </c>
      <c r="R813" s="69" t="str">
        <f>IF(Q813=1,SUM($Q$2:Q813),"")</f>
        <v/>
      </c>
    </row>
    <row r="814" spans="1:18" x14ac:dyDescent="0.2">
      <c r="A814" s="72"/>
      <c r="B814" s="76"/>
      <c r="C814" s="73"/>
      <c r="D814" s="73" t="s">
        <v>978</v>
      </c>
      <c r="E814" s="77" t="s">
        <v>94</v>
      </c>
      <c r="F814" s="75" t="s">
        <v>1660</v>
      </c>
      <c r="G814" s="75" t="s">
        <v>1275</v>
      </c>
      <c r="H814" s="69"/>
      <c r="P814" s="69">
        <f t="shared" si="12"/>
        <v>0</v>
      </c>
      <c r="Q814" s="69" cm="1">
        <f t="array" ref="Q814">IF(P814=1,IF(SUMPRODUCT(($P$2:P814)*(--($G$2:G814=$G814)))=1,1,0),0)</f>
        <v>0</v>
      </c>
      <c r="R814" s="69" t="str">
        <f>IF(Q814=1,SUM($Q$2:Q814),"")</f>
        <v/>
      </c>
    </row>
    <row r="815" spans="1:18" x14ac:dyDescent="0.2">
      <c r="A815" s="72"/>
      <c r="B815" s="76"/>
      <c r="C815" s="73"/>
      <c r="D815" s="73" t="s">
        <v>978</v>
      </c>
      <c r="E815" s="77" t="s">
        <v>94</v>
      </c>
      <c r="F815" s="75" t="s">
        <v>1661</v>
      </c>
      <c r="G815" s="75" t="s">
        <v>1275</v>
      </c>
      <c r="H815" s="69"/>
      <c r="P815" s="69">
        <f t="shared" si="12"/>
        <v>0</v>
      </c>
      <c r="Q815" s="69" cm="1">
        <f t="array" ref="Q815">IF(P815=1,IF(SUMPRODUCT(($P$2:P815)*(--($G$2:G815=$G815)))=1,1,0),0)</f>
        <v>0</v>
      </c>
      <c r="R815" s="69" t="str">
        <f>IF(Q815=1,SUM($Q$2:Q815),"")</f>
        <v/>
      </c>
    </row>
    <row r="816" spans="1:18" x14ac:dyDescent="0.2">
      <c r="A816" s="72"/>
      <c r="B816" s="76"/>
      <c r="C816" s="73"/>
      <c r="D816" s="73" t="s">
        <v>978</v>
      </c>
      <c r="E816" s="77" t="s">
        <v>94</v>
      </c>
      <c r="F816" s="75" t="s">
        <v>1662</v>
      </c>
      <c r="G816" s="75" t="s">
        <v>1275</v>
      </c>
      <c r="H816" s="69"/>
      <c r="P816" s="69">
        <f t="shared" si="12"/>
        <v>0</v>
      </c>
      <c r="Q816" s="69" cm="1">
        <f t="array" ref="Q816">IF(P816=1,IF(SUMPRODUCT(($P$2:P816)*(--($G$2:G816=$G816)))=1,1,0),0)</f>
        <v>0</v>
      </c>
      <c r="R816" s="69" t="str">
        <f>IF(Q816=1,SUM($Q$2:Q816),"")</f>
        <v/>
      </c>
    </row>
    <row r="817" spans="1:18" ht="16" x14ac:dyDescent="0.2">
      <c r="A817" s="72"/>
      <c r="B817" s="76"/>
      <c r="C817" s="73"/>
      <c r="D817" s="73" t="s">
        <v>978</v>
      </c>
      <c r="E817" s="77" t="s">
        <v>94</v>
      </c>
      <c r="F817" s="75" t="s">
        <v>1663</v>
      </c>
      <c r="G817" s="87" t="s">
        <v>1282</v>
      </c>
      <c r="H817" s="69"/>
      <c r="P817" s="69">
        <f t="shared" si="12"/>
        <v>0</v>
      </c>
      <c r="Q817" s="69" cm="1">
        <f t="array" ref="Q817">IF(P817=1,IF(SUMPRODUCT(($P$2:P817)*(--($G$2:G817=$G817)))=1,1,0),0)</f>
        <v>0</v>
      </c>
      <c r="R817" s="69" t="str">
        <f>IF(Q817=1,SUM($Q$2:Q817),"")</f>
        <v/>
      </c>
    </row>
    <row r="818" spans="1:18" ht="16" x14ac:dyDescent="0.2">
      <c r="A818" s="72"/>
      <c r="B818" s="76"/>
      <c r="C818" s="73"/>
      <c r="D818" s="73" t="s">
        <v>978</v>
      </c>
      <c r="E818" s="77" t="s">
        <v>94</v>
      </c>
      <c r="F818" s="75" t="s">
        <v>1664</v>
      </c>
      <c r="G818" s="87" t="s">
        <v>1282</v>
      </c>
      <c r="H818" s="69"/>
      <c r="P818" s="69">
        <f t="shared" si="12"/>
        <v>0</v>
      </c>
      <c r="Q818" s="69" cm="1">
        <f t="array" ref="Q818">IF(P818=1,IF(SUMPRODUCT(($P$2:P818)*(--($G$2:G818=$G818)))=1,1,0),0)</f>
        <v>0</v>
      </c>
      <c r="R818" s="69" t="str">
        <f>IF(Q818=1,SUM($Q$2:Q818),"")</f>
        <v/>
      </c>
    </row>
    <row r="819" spans="1:18" ht="16" x14ac:dyDescent="0.2">
      <c r="A819" s="72"/>
      <c r="B819" s="76"/>
      <c r="C819" s="73"/>
      <c r="D819" s="73" t="s">
        <v>978</v>
      </c>
      <c r="E819" s="77" t="s">
        <v>94</v>
      </c>
      <c r="F819" s="75" t="s">
        <v>1665</v>
      </c>
      <c r="G819" s="87" t="s">
        <v>1282</v>
      </c>
      <c r="H819" s="69"/>
      <c r="P819" s="69">
        <f t="shared" si="12"/>
        <v>0</v>
      </c>
      <c r="Q819" s="69" cm="1">
        <f t="array" ref="Q819">IF(P819=1,IF(SUMPRODUCT(($P$2:P819)*(--($G$2:G819=$G819)))=1,1,0),0)</f>
        <v>0</v>
      </c>
      <c r="R819" s="69" t="str">
        <f>IF(Q819=1,SUM($Q$2:Q819),"")</f>
        <v/>
      </c>
    </row>
    <row r="820" spans="1:18" ht="16" x14ac:dyDescent="0.2">
      <c r="A820" s="72"/>
      <c r="B820" s="76"/>
      <c r="C820" s="73"/>
      <c r="D820" s="73" t="s">
        <v>978</v>
      </c>
      <c r="E820" s="77" t="s">
        <v>94</v>
      </c>
      <c r="F820" s="75" t="s">
        <v>1666</v>
      </c>
      <c r="G820" s="87" t="s">
        <v>1282</v>
      </c>
      <c r="H820" s="69"/>
      <c r="P820" s="69">
        <f t="shared" si="12"/>
        <v>0</v>
      </c>
      <c r="Q820" s="69" cm="1">
        <f t="array" ref="Q820">IF(P820=1,IF(SUMPRODUCT(($P$2:P820)*(--($G$2:G820=$G820)))=1,1,0),0)</f>
        <v>0</v>
      </c>
      <c r="R820" s="69" t="str">
        <f>IF(Q820=1,SUM($Q$2:Q820),"")</f>
        <v/>
      </c>
    </row>
    <row r="821" spans="1:18" x14ac:dyDescent="0.2">
      <c r="A821" s="72"/>
      <c r="B821" s="76"/>
      <c r="C821" s="73"/>
      <c r="D821" s="73" t="s">
        <v>978</v>
      </c>
      <c r="E821" s="77" t="s">
        <v>94</v>
      </c>
      <c r="F821" s="75" t="s">
        <v>1667</v>
      </c>
      <c r="G821" s="75" t="s">
        <v>1283</v>
      </c>
      <c r="H821" s="69"/>
      <c r="P821" s="69">
        <f t="shared" si="12"/>
        <v>0</v>
      </c>
      <c r="Q821" s="69" cm="1">
        <f t="array" ref="Q821">IF(P821=1,IF(SUMPRODUCT(($P$2:P821)*(--($G$2:G821=$G821)))=1,1,0),0)</f>
        <v>0</v>
      </c>
      <c r="R821" s="69" t="str">
        <f>IF(Q821=1,SUM($Q$2:Q821),"")</f>
        <v/>
      </c>
    </row>
    <row r="822" spans="1:18" x14ac:dyDescent="0.2">
      <c r="A822" s="72"/>
      <c r="B822" s="76"/>
      <c r="C822" s="73"/>
      <c r="D822" s="73" t="s">
        <v>978</v>
      </c>
      <c r="E822" s="77" t="s">
        <v>94</v>
      </c>
      <c r="F822" s="75" t="s">
        <v>1668</v>
      </c>
      <c r="G822" s="75" t="s">
        <v>1283</v>
      </c>
      <c r="H822" s="69"/>
      <c r="P822" s="69">
        <f t="shared" si="12"/>
        <v>0</v>
      </c>
      <c r="Q822" s="69" cm="1">
        <f t="array" ref="Q822">IF(P822=1,IF(SUMPRODUCT(($P$2:P822)*(--($G$2:G822=$G822)))=1,1,0),0)</f>
        <v>0</v>
      </c>
      <c r="R822" s="69" t="str">
        <f>IF(Q822=1,SUM($Q$2:Q822),"")</f>
        <v/>
      </c>
    </row>
    <row r="823" spans="1:18" x14ac:dyDescent="0.2">
      <c r="A823" s="72"/>
      <c r="B823" s="76"/>
      <c r="C823" s="73"/>
      <c r="D823" s="73" t="s">
        <v>978</v>
      </c>
      <c r="E823" s="77" t="s">
        <v>94</v>
      </c>
      <c r="F823" s="75" t="s">
        <v>1669</v>
      </c>
      <c r="G823" s="75" t="s">
        <v>1283</v>
      </c>
      <c r="H823" s="69"/>
      <c r="P823" s="69">
        <f t="shared" si="12"/>
        <v>0</v>
      </c>
      <c r="Q823" s="69" cm="1">
        <f t="array" ref="Q823">IF(P823=1,IF(SUMPRODUCT(($P$2:P823)*(--($G$2:G823=$G823)))=1,1,0),0)</f>
        <v>0</v>
      </c>
      <c r="R823" s="69" t="str">
        <f>IF(Q823=1,SUM($Q$2:Q823),"")</f>
        <v/>
      </c>
    </row>
    <row r="824" spans="1:18" x14ac:dyDescent="0.2">
      <c r="A824" s="72"/>
      <c r="B824" s="76"/>
      <c r="C824" s="73"/>
      <c r="D824" s="73" t="s">
        <v>978</v>
      </c>
      <c r="E824" s="77" t="s">
        <v>94</v>
      </c>
      <c r="F824" s="75" t="s">
        <v>1670</v>
      </c>
      <c r="G824" s="75" t="s">
        <v>1283</v>
      </c>
      <c r="H824" s="69"/>
      <c r="P824" s="69">
        <f t="shared" si="12"/>
        <v>0</v>
      </c>
      <c r="Q824" s="69" cm="1">
        <f t="array" ref="Q824">IF(P824=1,IF(SUMPRODUCT(($P$2:P824)*(--($G$2:G824=$G824)))=1,1,0),0)</f>
        <v>0</v>
      </c>
      <c r="R824" s="69" t="str">
        <f>IF(Q824=1,SUM($Q$2:Q824),"")</f>
        <v/>
      </c>
    </row>
    <row r="825" spans="1:18" ht="16" x14ac:dyDescent="0.2">
      <c r="A825" s="72"/>
      <c r="B825" s="84"/>
      <c r="C825" s="73"/>
      <c r="D825" s="73" t="s">
        <v>978</v>
      </c>
      <c r="E825" s="77" t="s">
        <v>94</v>
      </c>
      <c r="F825" s="75" t="s">
        <v>403</v>
      </c>
      <c r="G825" s="87" t="s">
        <v>1256</v>
      </c>
      <c r="H825" s="69"/>
      <c r="P825" s="69">
        <f t="shared" si="12"/>
        <v>0</v>
      </c>
      <c r="Q825" s="69" cm="1">
        <f t="array" ref="Q825">IF(P825=1,IF(SUMPRODUCT(($P$2:P825)*(--($G$2:G825=$G825)))=1,1,0),0)</f>
        <v>0</v>
      </c>
      <c r="R825" s="69" t="str">
        <f>IF(Q825=1,SUM($Q$2:Q825),"")</f>
        <v/>
      </c>
    </row>
    <row r="826" spans="1:18" ht="16" x14ac:dyDescent="0.2">
      <c r="A826" s="72"/>
      <c r="B826" s="84"/>
      <c r="C826" s="73"/>
      <c r="D826" s="73" t="s">
        <v>978</v>
      </c>
      <c r="E826" s="77" t="s">
        <v>135</v>
      </c>
      <c r="F826" s="75" t="s">
        <v>403</v>
      </c>
      <c r="G826" s="87" t="s">
        <v>1256</v>
      </c>
      <c r="H826" s="69"/>
      <c r="P826" s="69">
        <f t="shared" si="12"/>
        <v>0</v>
      </c>
      <c r="Q826" s="69" cm="1">
        <f t="array" ref="Q826">IF(P826=1,IF(SUMPRODUCT(($P$2:P826)*(--($G$2:G826=$G826)))=1,1,0),0)</f>
        <v>0</v>
      </c>
      <c r="R826" s="69" t="str">
        <f>IF(Q826=1,SUM($Q$2:Q826),"")</f>
        <v/>
      </c>
    </row>
    <row r="827" spans="1:18" ht="16" x14ac:dyDescent="0.2">
      <c r="A827" s="72"/>
      <c r="B827" s="84"/>
      <c r="C827" s="73"/>
      <c r="D827" s="73" t="s">
        <v>978</v>
      </c>
      <c r="E827" s="77" t="s">
        <v>94</v>
      </c>
      <c r="F827" s="75" t="s">
        <v>1622</v>
      </c>
      <c r="G827" s="87" t="s">
        <v>1256</v>
      </c>
      <c r="H827" s="69"/>
      <c r="P827" s="69">
        <f t="shared" si="12"/>
        <v>0</v>
      </c>
      <c r="Q827" s="69" cm="1">
        <f t="array" ref="Q827">IF(P827=1,IF(SUMPRODUCT(($P$2:P827)*(--($G$2:G827=$G827)))=1,1,0),0)</f>
        <v>0</v>
      </c>
      <c r="R827" s="69" t="str">
        <f>IF(Q827=1,SUM($Q$2:Q827),"")</f>
        <v/>
      </c>
    </row>
    <row r="828" spans="1:18" ht="16" x14ac:dyDescent="0.2">
      <c r="A828" s="72"/>
      <c r="B828" s="84"/>
      <c r="C828" s="73"/>
      <c r="D828" s="73" t="s">
        <v>978</v>
      </c>
      <c r="E828" s="77" t="s">
        <v>135</v>
      </c>
      <c r="F828" s="75" t="s">
        <v>1622</v>
      </c>
      <c r="G828" s="87" t="s">
        <v>1256</v>
      </c>
      <c r="H828" s="69"/>
      <c r="P828" s="69">
        <f t="shared" si="12"/>
        <v>0</v>
      </c>
      <c r="Q828" s="69" cm="1">
        <f t="array" ref="Q828">IF(P828=1,IF(SUMPRODUCT(($P$2:P828)*(--($G$2:G828=$G828)))=1,1,0),0)</f>
        <v>0</v>
      </c>
      <c r="R828" s="69" t="str">
        <f>IF(Q828=1,SUM($Q$2:Q828),"")</f>
        <v/>
      </c>
    </row>
    <row r="829" spans="1:18" ht="16" x14ac:dyDescent="0.2">
      <c r="A829" s="72"/>
      <c r="B829" s="84"/>
      <c r="C829" s="73"/>
      <c r="D829" s="73" t="s">
        <v>978</v>
      </c>
      <c r="E829" s="77" t="s">
        <v>94</v>
      </c>
      <c r="F829" s="75" t="s">
        <v>1623</v>
      </c>
      <c r="G829" s="87" t="s">
        <v>1256</v>
      </c>
      <c r="H829" s="69"/>
      <c r="P829" s="69">
        <f t="shared" si="12"/>
        <v>0</v>
      </c>
      <c r="Q829" s="69" cm="1">
        <f t="array" ref="Q829">IF(P829=1,IF(SUMPRODUCT(($P$2:P829)*(--($G$2:G829=$G829)))=1,1,0),0)</f>
        <v>0</v>
      </c>
      <c r="R829" s="69" t="str">
        <f>IF(Q829=1,SUM($Q$2:Q829),"")</f>
        <v/>
      </c>
    </row>
    <row r="830" spans="1:18" ht="16" x14ac:dyDescent="0.2">
      <c r="A830" s="72"/>
      <c r="B830" s="84"/>
      <c r="C830" s="73"/>
      <c r="D830" s="73" t="s">
        <v>978</v>
      </c>
      <c r="E830" s="77" t="s">
        <v>135</v>
      </c>
      <c r="F830" s="75" t="s">
        <v>1623</v>
      </c>
      <c r="G830" s="87" t="s">
        <v>1256</v>
      </c>
      <c r="H830" s="69"/>
      <c r="P830" s="69">
        <f t="shared" si="12"/>
        <v>0</v>
      </c>
      <c r="Q830" s="69" cm="1">
        <f t="array" ref="Q830">IF(P830=1,IF(SUMPRODUCT(($P$2:P830)*(--($G$2:G830=$G830)))=1,1,0),0)</f>
        <v>0</v>
      </c>
      <c r="R830" s="69" t="str">
        <f>IF(Q830=1,SUM($Q$2:Q830),"")</f>
        <v/>
      </c>
    </row>
    <row r="831" spans="1:18" ht="16" x14ac:dyDescent="0.2">
      <c r="A831" s="72"/>
      <c r="B831" s="84"/>
      <c r="C831" s="73"/>
      <c r="D831" s="73" t="s">
        <v>978</v>
      </c>
      <c r="E831" s="77" t="s">
        <v>94</v>
      </c>
      <c r="F831" s="75" t="s">
        <v>1671</v>
      </c>
      <c r="G831" s="87" t="s">
        <v>1256</v>
      </c>
      <c r="H831" s="69"/>
      <c r="P831" s="69">
        <f t="shared" si="12"/>
        <v>0</v>
      </c>
      <c r="Q831" s="69" cm="1">
        <f t="array" ref="Q831">IF(P831=1,IF(SUMPRODUCT(($P$2:P831)*(--($G$2:G831=$G831)))=1,1,0),0)</f>
        <v>0</v>
      </c>
      <c r="R831" s="69" t="str">
        <f>IF(Q831=1,SUM($Q$2:Q831),"")</f>
        <v/>
      </c>
    </row>
    <row r="832" spans="1:18" ht="16" x14ac:dyDescent="0.2">
      <c r="A832" s="72"/>
      <c r="B832" s="84"/>
      <c r="C832" s="73"/>
      <c r="D832" s="73" t="s">
        <v>978</v>
      </c>
      <c r="E832" s="77" t="s">
        <v>135</v>
      </c>
      <c r="F832" s="75" t="s">
        <v>1671</v>
      </c>
      <c r="G832" s="87" t="s">
        <v>1256</v>
      </c>
      <c r="H832" s="69"/>
      <c r="P832" s="69">
        <f t="shared" si="12"/>
        <v>0</v>
      </c>
      <c r="Q832" s="69" cm="1">
        <f t="array" ref="Q832">IF(P832=1,IF(SUMPRODUCT(($P$2:P832)*(--($G$2:G832=$G832)))=1,1,0),0)</f>
        <v>0</v>
      </c>
      <c r="R832" s="69" t="str">
        <f>IF(Q832=1,SUM($Q$2:Q832),"")</f>
        <v/>
      </c>
    </row>
    <row r="833" spans="1:18" ht="16" x14ac:dyDescent="0.2">
      <c r="A833" s="72"/>
      <c r="B833" s="84"/>
      <c r="C833" s="73"/>
      <c r="D833" s="73" t="s">
        <v>978</v>
      </c>
      <c r="E833" s="77" t="s">
        <v>94</v>
      </c>
      <c r="F833" s="75" t="s">
        <v>1672</v>
      </c>
      <c r="G833" s="87" t="s">
        <v>1256</v>
      </c>
      <c r="H833" s="69"/>
      <c r="P833" s="69">
        <f t="shared" si="12"/>
        <v>0</v>
      </c>
      <c r="Q833" s="69" cm="1">
        <f t="array" ref="Q833">IF(P833=1,IF(SUMPRODUCT(($P$2:P833)*(--($G$2:G833=$G833)))=1,1,0),0)</f>
        <v>0</v>
      </c>
      <c r="R833" s="69" t="str">
        <f>IF(Q833=1,SUM($Q$2:Q833),"")</f>
        <v/>
      </c>
    </row>
    <row r="834" spans="1:18" ht="16" x14ac:dyDescent="0.2">
      <c r="A834" s="72"/>
      <c r="B834" s="84"/>
      <c r="C834" s="73"/>
      <c r="D834" s="73" t="s">
        <v>978</v>
      </c>
      <c r="E834" s="77" t="s">
        <v>135</v>
      </c>
      <c r="F834" s="75" t="s">
        <v>1672</v>
      </c>
      <c r="G834" s="87" t="s">
        <v>1256</v>
      </c>
      <c r="H834" s="69"/>
      <c r="P834" s="69">
        <f t="shared" si="12"/>
        <v>0</v>
      </c>
      <c r="Q834" s="69" cm="1">
        <f t="array" ref="Q834">IF(P834=1,IF(SUMPRODUCT(($P$2:P834)*(--($G$2:G834=$G834)))=1,1,0),0)</f>
        <v>0</v>
      </c>
      <c r="R834" s="69" t="str">
        <f>IF(Q834=1,SUM($Q$2:Q834),"")</f>
        <v/>
      </c>
    </row>
    <row r="835" spans="1:18" ht="16" x14ac:dyDescent="0.2">
      <c r="A835" s="72"/>
      <c r="B835" s="84"/>
      <c r="C835" s="73"/>
      <c r="D835" s="73" t="s">
        <v>978</v>
      </c>
      <c r="E835" s="77" t="s">
        <v>94</v>
      </c>
      <c r="F835" s="75" t="s">
        <v>1624</v>
      </c>
      <c r="G835" s="87" t="s">
        <v>1256</v>
      </c>
      <c r="H835" s="69"/>
      <c r="P835" s="69">
        <f t="shared" ref="P835:P898" si="13">IF(AND(IF(TRIM($J$2&amp;"")="",TRUE,LEFT($D835,LEN($J$2))=$J$2),IF(TRIM($K$2&amp;"")="",TRUE,$E835=$K$2),IF($L$2="",TRUE,$F835=$L$2)),1,0)</f>
        <v>0</v>
      </c>
      <c r="Q835" s="69" cm="1">
        <f t="array" ref="Q835">IF(P835=1,IF(SUMPRODUCT(($P$2:P835)*(--($G$2:G835=$G835)))=1,1,0),0)</f>
        <v>0</v>
      </c>
      <c r="R835" s="69" t="str">
        <f>IF(Q835=1,SUM($Q$2:Q835),"")</f>
        <v/>
      </c>
    </row>
    <row r="836" spans="1:18" ht="16" x14ac:dyDescent="0.2">
      <c r="A836" s="72"/>
      <c r="B836" s="84"/>
      <c r="C836" s="73"/>
      <c r="D836" s="73" t="s">
        <v>978</v>
      </c>
      <c r="E836" s="77" t="s">
        <v>135</v>
      </c>
      <c r="F836" s="75" t="s">
        <v>1624</v>
      </c>
      <c r="G836" s="87" t="s">
        <v>1256</v>
      </c>
      <c r="H836" s="69"/>
      <c r="P836" s="69">
        <f t="shared" si="13"/>
        <v>0</v>
      </c>
      <c r="Q836" s="69" cm="1">
        <f t="array" ref="Q836">IF(P836=1,IF(SUMPRODUCT(($P$2:P836)*(--($G$2:G836=$G836)))=1,1,0),0)</f>
        <v>0</v>
      </c>
      <c r="R836" s="69" t="str">
        <f>IF(Q836=1,SUM($Q$2:Q836),"")</f>
        <v/>
      </c>
    </row>
    <row r="837" spans="1:18" ht="16" x14ac:dyDescent="0.2">
      <c r="A837" s="72"/>
      <c r="B837" s="84"/>
      <c r="C837" s="73"/>
      <c r="D837" s="73" t="s">
        <v>978</v>
      </c>
      <c r="E837" s="77" t="s">
        <v>94</v>
      </c>
      <c r="F837" s="75" t="s">
        <v>1625</v>
      </c>
      <c r="G837" s="87" t="s">
        <v>1256</v>
      </c>
      <c r="H837" s="69"/>
      <c r="P837" s="69">
        <f t="shared" si="13"/>
        <v>0</v>
      </c>
      <c r="Q837" s="69" cm="1">
        <f t="array" ref="Q837">IF(P837=1,IF(SUMPRODUCT(($P$2:P837)*(--($G$2:G837=$G837)))=1,1,0),0)</f>
        <v>0</v>
      </c>
      <c r="R837" s="69" t="str">
        <f>IF(Q837=1,SUM($Q$2:Q837),"")</f>
        <v/>
      </c>
    </row>
    <row r="838" spans="1:18" ht="16" x14ac:dyDescent="0.2">
      <c r="A838" s="72"/>
      <c r="B838" s="84"/>
      <c r="C838" s="73"/>
      <c r="D838" s="73" t="s">
        <v>978</v>
      </c>
      <c r="E838" s="77" t="s">
        <v>135</v>
      </c>
      <c r="F838" s="75" t="s">
        <v>1625</v>
      </c>
      <c r="G838" s="87" t="s">
        <v>1256</v>
      </c>
      <c r="H838" s="69"/>
      <c r="P838" s="69">
        <f t="shared" si="13"/>
        <v>0</v>
      </c>
      <c r="Q838" s="69" cm="1">
        <f t="array" ref="Q838">IF(P838=1,IF(SUMPRODUCT(($P$2:P838)*(--($G$2:G838=$G838)))=1,1,0),0)</f>
        <v>0</v>
      </c>
      <c r="R838" s="69" t="str">
        <f>IF(Q838=1,SUM($Q$2:Q838),"")</f>
        <v/>
      </c>
    </row>
    <row r="839" spans="1:18" ht="16" x14ac:dyDescent="0.2">
      <c r="A839" s="72"/>
      <c r="B839" s="84"/>
      <c r="C839" s="73"/>
      <c r="D839" s="73" t="s">
        <v>978</v>
      </c>
      <c r="E839" s="77" t="s">
        <v>94</v>
      </c>
      <c r="F839" s="75" t="s">
        <v>1673</v>
      </c>
      <c r="G839" s="87" t="s">
        <v>1256</v>
      </c>
      <c r="H839" s="69"/>
      <c r="P839" s="69">
        <f t="shared" si="13"/>
        <v>0</v>
      </c>
      <c r="Q839" s="69" cm="1">
        <f t="array" ref="Q839">IF(P839=1,IF(SUMPRODUCT(($P$2:P839)*(--($G$2:G839=$G839)))=1,1,0),0)</f>
        <v>0</v>
      </c>
      <c r="R839" s="69" t="str">
        <f>IF(Q839=1,SUM($Q$2:Q839),"")</f>
        <v/>
      </c>
    </row>
    <row r="840" spans="1:18" ht="16" x14ac:dyDescent="0.2">
      <c r="A840" s="72"/>
      <c r="B840" s="84"/>
      <c r="C840" s="73"/>
      <c r="D840" s="73" t="s">
        <v>978</v>
      </c>
      <c r="E840" s="77" t="s">
        <v>135</v>
      </c>
      <c r="F840" s="75" t="s">
        <v>1673</v>
      </c>
      <c r="G840" s="87" t="s">
        <v>1256</v>
      </c>
      <c r="H840" s="69"/>
      <c r="P840" s="69">
        <f t="shared" si="13"/>
        <v>0</v>
      </c>
      <c r="Q840" s="69" cm="1">
        <f t="array" ref="Q840">IF(P840=1,IF(SUMPRODUCT(($P$2:P840)*(--($G$2:G840=$G840)))=1,1,0),0)</f>
        <v>0</v>
      </c>
      <c r="R840" s="69" t="str">
        <f>IF(Q840=1,SUM($Q$2:Q840),"")</f>
        <v/>
      </c>
    </row>
    <row r="841" spans="1:18" ht="16" x14ac:dyDescent="0.2">
      <c r="A841" s="72"/>
      <c r="B841" s="84"/>
      <c r="C841" s="73"/>
      <c r="D841" s="73" t="s">
        <v>978</v>
      </c>
      <c r="E841" s="77" t="s">
        <v>94</v>
      </c>
      <c r="F841" s="75" t="s">
        <v>1626</v>
      </c>
      <c r="G841" s="87" t="s">
        <v>1256</v>
      </c>
      <c r="H841" s="69"/>
      <c r="P841" s="69">
        <f t="shared" si="13"/>
        <v>0</v>
      </c>
      <c r="Q841" s="69" cm="1">
        <f t="array" ref="Q841">IF(P841=1,IF(SUMPRODUCT(($P$2:P841)*(--($G$2:G841=$G841)))=1,1,0),0)</f>
        <v>0</v>
      </c>
      <c r="R841" s="69" t="str">
        <f>IF(Q841=1,SUM($Q$2:Q841),"")</f>
        <v/>
      </c>
    </row>
    <row r="842" spans="1:18" ht="16" x14ac:dyDescent="0.2">
      <c r="A842" s="72"/>
      <c r="B842" s="84"/>
      <c r="C842" s="73"/>
      <c r="D842" s="73" t="s">
        <v>978</v>
      </c>
      <c r="E842" s="77" t="s">
        <v>135</v>
      </c>
      <c r="F842" s="75" t="s">
        <v>1626</v>
      </c>
      <c r="G842" s="87" t="s">
        <v>1256</v>
      </c>
      <c r="H842" s="69"/>
      <c r="P842" s="69">
        <f t="shared" si="13"/>
        <v>0</v>
      </c>
      <c r="Q842" s="69" cm="1">
        <f t="array" ref="Q842">IF(P842=1,IF(SUMPRODUCT(($P$2:P842)*(--($G$2:G842=$G842)))=1,1,0),0)</f>
        <v>0</v>
      </c>
      <c r="R842" s="69" t="str">
        <f>IF(Q842=1,SUM($Q$2:Q842),"")</f>
        <v/>
      </c>
    </row>
    <row r="843" spans="1:18" ht="16" x14ac:dyDescent="0.2">
      <c r="A843" s="72"/>
      <c r="B843" s="84"/>
      <c r="C843" s="73"/>
      <c r="D843" s="73" t="s">
        <v>978</v>
      </c>
      <c r="E843" s="77" t="s">
        <v>94</v>
      </c>
      <c r="F843" s="75" t="s">
        <v>412</v>
      </c>
      <c r="G843" s="87" t="s">
        <v>1256</v>
      </c>
      <c r="H843" s="69"/>
      <c r="P843" s="69">
        <f t="shared" si="13"/>
        <v>0</v>
      </c>
      <c r="Q843" s="69" cm="1">
        <f t="array" ref="Q843">IF(P843=1,IF(SUMPRODUCT(($P$2:P843)*(--($G$2:G843=$G843)))=1,1,0),0)</f>
        <v>0</v>
      </c>
      <c r="R843" s="69" t="str">
        <f>IF(Q843=1,SUM($Q$2:Q843),"")</f>
        <v/>
      </c>
    </row>
    <row r="844" spans="1:18" ht="16" x14ac:dyDescent="0.2">
      <c r="A844" s="72"/>
      <c r="B844" s="84"/>
      <c r="C844" s="73"/>
      <c r="D844" s="73" t="s">
        <v>978</v>
      </c>
      <c r="E844" s="77" t="s">
        <v>135</v>
      </c>
      <c r="F844" s="75" t="s">
        <v>412</v>
      </c>
      <c r="G844" s="87" t="s">
        <v>1256</v>
      </c>
      <c r="H844" s="69"/>
      <c r="P844" s="69">
        <f t="shared" si="13"/>
        <v>0</v>
      </c>
      <c r="Q844" s="69" cm="1">
        <f t="array" ref="Q844">IF(P844=1,IF(SUMPRODUCT(($P$2:P844)*(--($G$2:G844=$G844)))=1,1,0),0)</f>
        <v>0</v>
      </c>
      <c r="R844" s="69" t="str">
        <f>IF(Q844=1,SUM($Q$2:Q844),"")</f>
        <v/>
      </c>
    </row>
    <row r="845" spans="1:18" ht="16" x14ac:dyDescent="0.2">
      <c r="A845" s="72"/>
      <c r="B845" s="84"/>
      <c r="C845" s="73"/>
      <c r="D845" s="73" t="s">
        <v>978</v>
      </c>
      <c r="E845" s="77" t="s">
        <v>94</v>
      </c>
      <c r="F845" s="75" t="s">
        <v>1674</v>
      </c>
      <c r="G845" s="87" t="s">
        <v>1256</v>
      </c>
      <c r="H845" s="69"/>
      <c r="P845" s="69">
        <f t="shared" si="13"/>
        <v>0</v>
      </c>
      <c r="Q845" s="69" cm="1">
        <f t="array" ref="Q845">IF(P845=1,IF(SUMPRODUCT(($P$2:P845)*(--($G$2:G845=$G845)))=1,1,0),0)</f>
        <v>0</v>
      </c>
      <c r="R845" s="69" t="str">
        <f>IF(Q845=1,SUM($Q$2:Q845),"")</f>
        <v/>
      </c>
    </row>
    <row r="846" spans="1:18" ht="16" x14ac:dyDescent="0.2">
      <c r="A846" s="72"/>
      <c r="B846" s="84"/>
      <c r="C846" s="73"/>
      <c r="D846" s="73" t="s">
        <v>978</v>
      </c>
      <c r="E846" s="77" t="s">
        <v>135</v>
      </c>
      <c r="F846" s="75" t="s">
        <v>1674</v>
      </c>
      <c r="G846" s="87" t="s">
        <v>1256</v>
      </c>
      <c r="H846" s="69"/>
      <c r="P846" s="69">
        <f t="shared" si="13"/>
        <v>0</v>
      </c>
      <c r="Q846" s="69" cm="1">
        <f t="array" ref="Q846">IF(P846=1,IF(SUMPRODUCT(($P$2:P846)*(--($G$2:G846=$G846)))=1,1,0),0)</f>
        <v>0</v>
      </c>
      <c r="R846" s="69" t="str">
        <f>IF(Q846=1,SUM($Q$2:Q846),"")</f>
        <v/>
      </c>
    </row>
    <row r="847" spans="1:18" ht="16" x14ac:dyDescent="0.2">
      <c r="A847" s="72"/>
      <c r="B847" s="84"/>
      <c r="C847" s="73"/>
      <c r="D847" s="73" t="s">
        <v>978</v>
      </c>
      <c r="E847" s="77" t="s">
        <v>94</v>
      </c>
      <c r="F847" s="75" t="s">
        <v>417</v>
      </c>
      <c r="G847" s="87" t="s">
        <v>1256</v>
      </c>
      <c r="H847" s="69"/>
      <c r="P847" s="69">
        <f t="shared" si="13"/>
        <v>0</v>
      </c>
      <c r="Q847" s="69" cm="1">
        <f t="array" ref="Q847">IF(P847=1,IF(SUMPRODUCT(($P$2:P847)*(--($G$2:G847=$G847)))=1,1,0),0)</f>
        <v>0</v>
      </c>
      <c r="R847" s="69" t="str">
        <f>IF(Q847=1,SUM($Q$2:Q847),"")</f>
        <v/>
      </c>
    </row>
    <row r="848" spans="1:18" ht="16" x14ac:dyDescent="0.2">
      <c r="A848" s="72"/>
      <c r="B848" s="84"/>
      <c r="C848" s="73"/>
      <c r="D848" s="73" t="s">
        <v>978</v>
      </c>
      <c r="E848" s="77" t="s">
        <v>135</v>
      </c>
      <c r="F848" s="75" t="s">
        <v>417</v>
      </c>
      <c r="G848" s="87" t="s">
        <v>1256</v>
      </c>
      <c r="H848" s="69"/>
      <c r="P848" s="69">
        <f t="shared" si="13"/>
        <v>0</v>
      </c>
      <c r="Q848" s="69" cm="1">
        <f t="array" ref="Q848">IF(P848=1,IF(SUMPRODUCT(($P$2:P848)*(--($G$2:G848=$G848)))=1,1,0),0)</f>
        <v>0</v>
      </c>
      <c r="R848" s="69" t="str">
        <f>IF(Q848=1,SUM($Q$2:Q848),"")</f>
        <v/>
      </c>
    </row>
    <row r="849" spans="1:18" ht="16" x14ac:dyDescent="0.2">
      <c r="A849" s="72"/>
      <c r="B849" s="84"/>
      <c r="C849" s="73"/>
      <c r="D849" s="73" t="s">
        <v>978</v>
      </c>
      <c r="E849" s="77" t="s">
        <v>94</v>
      </c>
      <c r="F849" s="75" t="s">
        <v>1675</v>
      </c>
      <c r="G849" s="87" t="s">
        <v>1256</v>
      </c>
      <c r="H849" s="69"/>
      <c r="P849" s="69">
        <f t="shared" si="13"/>
        <v>0</v>
      </c>
      <c r="Q849" s="69" cm="1">
        <f t="array" ref="Q849">IF(P849=1,IF(SUMPRODUCT(($P$2:P849)*(--($G$2:G849=$G849)))=1,1,0),0)</f>
        <v>0</v>
      </c>
      <c r="R849" s="69" t="str">
        <f>IF(Q849=1,SUM($Q$2:Q849),"")</f>
        <v/>
      </c>
    </row>
    <row r="850" spans="1:18" ht="16" x14ac:dyDescent="0.2">
      <c r="A850" s="72"/>
      <c r="B850" s="84"/>
      <c r="C850" s="73"/>
      <c r="D850" s="73" t="s">
        <v>978</v>
      </c>
      <c r="E850" s="77" t="s">
        <v>135</v>
      </c>
      <c r="F850" s="75" t="s">
        <v>1675</v>
      </c>
      <c r="G850" s="87" t="s">
        <v>1256</v>
      </c>
      <c r="H850" s="69"/>
      <c r="P850" s="69">
        <f t="shared" si="13"/>
        <v>0</v>
      </c>
      <c r="Q850" s="69" cm="1">
        <f t="array" ref="Q850">IF(P850=1,IF(SUMPRODUCT(($P$2:P850)*(--($G$2:G850=$G850)))=1,1,0),0)</f>
        <v>0</v>
      </c>
      <c r="R850" s="69" t="str">
        <f>IF(Q850=1,SUM($Q$2:Q850),"")</f>
        <v/>
      </c>
    </row>
    <row r="851" spans="1:18" x14ac:dyDescent="0.2">
      <c r="A851" s="72"/>
      <c r="B851" s="76"/>
      <c r="C851" s="73"/>
      <c r="D851" s="73" t="s">
        <v>978</v>
      </c>
      <c r="E851" s="77" t="s">
        <v>94</v>
      </c>
      <c r="F851" s="75" t="s">
        <v>403</v>
      </c>
      <c r="G851" s="75" t="s">
        <v>1230</v>
      </c>
      <c r="H851" s="69"/>
      <c r="P851" s="69">
        <f t="shared" si="13"/>
        <v>0</v>
      </c>
      <c r="Q851" s="69" cm="1">
        <f t="array" ref="Q851">IF(P851=1,IF(SUMPRODUCT(($P$2:P851)*(--($G$2:G851=$G851)))=1,1,0),0)</f>
        <v>0</v>
      </c>
      <c r="R851" s="69" t="str">
        <f>IF(Q851=1,SUM($Q$2:Q851),"")</f>
        <v/>
      </c>
    </row>
    <row r="852" spans="1:18" x14ac:dyDescent="0.2">
      <c r="A852" s="72"/>
      <c r="B852" s="76"/>
      <c r="C852" s="73"/>
      <c r="D852" s="73" t="s">
        <v>978</v>
      </c>
      <c r="E852" s="77" t="s">
        <v>135</v>
      </c>
      <c r="F852" s="75" t="s">
        <v>403</v>
      </c>
      <c r="G852" s="75" t="s">
        <v>1230</v>
      </c>
      <c r="H852" s="69"/>
      <c r="P852" s="69">
        <f t="shared" si="13"/>
        <v>0</v>
      </c>
      <c r="Q852" s="69" cm="1">
        <f t="array" ref="Q852">IF(P852=1,IF(SUMPRODUCT(($P$2:P852)*(--($G$2:G852=$G852)))=1,1,0),0)</f>
        <v>0</v>
      </c>
      <c r="R852" s="69" t="str">
        <f>IF(Q852=1,SUM($Q$2:Q852),"")</f>
        <v/>
      </c>
    </row>
    <row r="853" spans="1:18" x14ac:dyDescent="0.2">
      <c r="A853" s="72"/>
      <c r="B853" s="76"/>
      <c r="C853" s="73"/>
      <c r="D853" s="73" t="s">
        <v>978</v>
      </c>
      <c r="E853" s="77" t="s">
        <v>94</v>
      </c>
      <c r="F853" s="75" t="s">
        <v>1622</v>
      </c>
      <c r="G853" s="75" t="s">
        <v>1230</v>
      </c>
      <c r="H853" s="69"/>
      <c r="P853" s="69">
        <f t="shared" si="13"/>
        <v>0</v>
      </c>
      <c r="Q853" s="69" cm="1">
        <f t="array" ref="Q853">IF(P853=1,IF(SUMPRODUCT(($P$2:P853)*(--($G$2:G853=$G853)))=1,1,0),0)</f>
        <v>0</v>
      </c>
      <c r="R853" s="69" t="str">
        <f>IF(Q853=1,SUM($Q$2:Q853),"")</f>
        <v/>
      </c>
    </row>
    <row r="854" spans="1:18" x14ac:dyDescent="0.2">
      <c r="A854" s="72"/>
      <c r="B854" s="76"/>
      <c r="C854" s="73"/>
      <c r="D854" s="73" t="s">
        <v>978</v>
      </c>
      <c r="E854" s="77" t="s">
        <v>135</v>
      </c>
      <c r="F854" s="75" t="s">
        <v>1622</v>
      </c>
      <c r="G854" s="75" t="s">
        <v>1230</v>
      </c>
      <c r="H854" s="69"/>
      <c r="P854" s="69">
        <f t="shared" si="13"/>
        <v>0</v>
      </c>
      <c r="Q854" s="69" cm="1">
        <f t="array" ref="Q854">IF(P854=1,IF(SUMPRODUCT(($P$2:P854)*(--($G$2:G854=$G854)))=1,1,0),0)</f>
        <v>0</v>
      </c>
      <c r="R854" s="69" t="str">
        <f>IF(Q854=1,SUM($Q$2:Q854),"")</f>
        <v/>
      </c>
    </row>
    <row r="855" spans="1:18" x14ac:dyDescent="0.2">
      <c r="A855" s="72"/>
      <c r="B855" s="76"/>
      <c r="C855" s="73"/>
      <c r="D855" s="73" t="s">
        <v>978</v>
      </c>
      <c r="E855" s="77" t="s">
        <v>94</v>
      </c>
      <c r="F855" s="75" t="s">
        <v>1623</v>
      </c>
      <c r="G855" s="75" t="s">
        <v>1230</v>
      </c>
      <c r="H855" s="69"/>
      <c r="P855" s="69">
        <f t="shared" si="13"/>
        <v>0</v>
      </c>
      <c r="Q855" s="69" cm="1">
        <f t="array" ref="Q855">IF(P855=1,IF(SUMPRODUCT(($P$2:P855)*(--($G$2:G855=$G855)))=1,1,0),0)</f>
        <v>0</v>
      </c>
      <c r="R855" s="69" t="str">
        <f>IF(Q855=1,SUM($Q$2:Q855),"")</f>
        <v/>
      </c>
    </row>
    <row r="856" spans="1:18" x14ac:dyDescent="0.2">
      <c r="A856" s="72"/>
      <c r="B856" s="76"/>
      <c r="C856" s="73"/>
      <c r="D856" s="73" t="s">
        <v>978</v>
      </c>
      <c r="E856" s="77" t="s">
        <v>135</v>
      </c>
      <c r="F856" s="75" t="s">
        <v>1623</v>
      </c>
      <c r="G856" s="75" t="s">
        <v>1230</v>
      </c>
      <c r="H856" s="69"/>
      <c r="P856" s="69">
        <f t="shared" si="13"/>
        <v>0</v>
      </c>
      <c r="Q856" s="69" cm="1">
        <f t="array" ref="Q856">IF(P856=1,IF(SUMPRODUCT(($P$2:P856)*(--($G$2:G856=$G856)))=1,1,0),0)</f>
        <v>0</v>
      </c>
      <c r="R856" s="69" t="str">
        <f>IF(Q856=1,SUM($Q$2:Q856),"")</f>
        <v/>
      </c>
    </row>
    <row r="857" spans="1:18" x14ac:dyDescent="0.2">
      <c r="A857" s="72"/>
      <c r="B857" s="76"/>
      <c r="C857" s="73"/>
      <c r="D857" s="73" t="s">
        <v>978</v>
      </c>
      <c r="E857" s="77" t="s">
        <v>94</v>
      </c>
      <c r="F857" s="75" t="s">
        <v>1671</v>
      </c>
      <c r="G857" s="75" t="s">
        <v>1230</v>
      </c>
      <c r="H857" s="69"/>
      <c r="P857" s="69">
        <f t="shared" si="13"/>
        <v>0</v>
      </c>
      <c r="Q857" s="69" cm="1">
        <f t="array" ref="Q857">IF(P857=1,IF(SUMPRODUCT(($P$2:P857)*(--($G$2:G857=$G857)))=1,1,0),0)</f>
        <v>0</v>
      </c>
      <c r="R857" s="69" t="str">
        <f>IF(Q857=1,SUM($Q$2:Q857),"")</f>
        <v/>
      </c>
    </row>
    <row r="858" spans="1:18" x14ac:dyDescent="0.2">
      <c r="A858" s="72"/>
      <c r="B858" s="76"/>
      <c r="C858" s="73"/>
      <c r="D858" s="73" t="s">
        <v>978</v>
      </c>
      <c r="E858" s="77" t="s">
        <v>135</v>
      </c>
      <c r="F858" s="75" t="s">
        <v>1671</v>
      </c>
      <c r="G858" s="75" t="s">
        <v>1230</v>
      </c>
      <c r="H858" s="69"/>
      <c r="P858" s="69">
        <f t="shared" si="13"/>
        <v>0</v>
      </c>
      <c r="Q858" s="69" cm="1">
        <f t="array" ref="Q858">IF(P858=1,IF(SUMPRODUCT(($P$2:P858)*(--($G$2:G858=$G858)))=1,1,0),0)</f>
        <v>0</v>
      </c>
      <c r="R858" s="69" t="str">
        <f>IF(Q858=1,SUM($Q$2:Q858),"")</f>
        <v/>
      </c>
    </row>
    <row r="859" spans="1:18" x14ac:dyDescent="0.2">
      <c r="A859" s="72"/>
      <c r="B859" s="76"/>
      <c r="C859" s="73"/>
      <c r="D859" s="73" t="s">
        <v>978</v>
      </c>
      <c r="E859" s="77" t="s">
        <v>94</v>
      </c>
      <c r="F859" s="75" t="s">
        <v>1672</v>
      </c>
      <c r="G859" s="75" t="s">
        <v>1230</v>
      </c>
      <c r="H859" s="69"/>
      <c r="P859" s="69">
        <f t="shared" si="13"/>
        <v>0</v>
      </c>
      <c r="Q859" s="69" cm="1">
        <f t="array" ref="Q859">IF(P859=1,IF(SUMPRODUCT(($P$2:P859)*(--($G$2:G859=$G859)))=1,1,0),0)</f>
        <v>0</v>
      </c>
      <c r="R859" s="69" t="str">
        <f>IF(Q859=1,SUM($Q$2:Q859),"")</f>
        <v/>
      </c>
    </row>
    <row r="860" spans="1:18" x14ac:dyDescent="0.2">
      <c r="A860" s="72"/>
      <c r="B860" s="76"/>
      <c r="C860" s="73"/>
      <c r="D860" s="73" t="s">
        <v>978</v>
      </c>
      <c r="E860" s="77" t="s">
        <v>135</v>
      </c>
      <c r="F860" s="75" t="s">
        <v>1672</v>
      </c>
      <c r="G860" s="75" t="s">
        <v>1230</v>
      </c>
      <c r="H860" s="69"/>
      <c r="P860" s="69">
        <f t="shared" si="13"/>
        <v>0</v>
      </c>
      <c r="Q860" s="69" cm="1">
        <f t="array" ref="Q860">IF(P860=1,IF(SUMPRODUCT(($P$2:P860)*(--($G$2:G860=$G860)))=1,1,0),0)</f>
        <v>0</v>
      </c>
      <c r="R860" s="69" t="str">
        <f>IF(Q860=1,SUM($Q$2:Q860),"")</f>
        <v/>
      </c>
    </row>
    <row r="861" spans="1:18" x14ac:dyDescent="0.2">
      <c r="A861" s="72"/>
      <c r="B861" s="76"/>
      <c r="C861" s="73"/>
      <c r="D861" s="73" t="s">
        <v>978</v>
      </c>
      <c r="E861" s="77" t="s">
        <v>94</v>
      </c>
      <c r="F861" s="75" t="s">
        <v>1625</v>
      </c>
      <c r="G861" s="75" t="s">
        <v>1230</v>
      </c>
      <c r="H861" s="69"/>
      <c r="P861" s="69">
        <f t="shared" si="13"/>
        <v>0</v>
      </c>
      <c r="Q861" s="69" cm="1">
        <f t="array" ref="Q861">IF(P861=1,IF(SUMPRODUCT(($P$2:P861)*(--($G$2:G861=$G861)))=1,1,0),0)</f>
        <v>0</v>
      </c>
      <c r="R861" s="69" t="str">
        <f>IF(Q861=1,SUM($Q$2:Q861),"")</f>
        <v/>
      </c>
    </row>
    <row r="862" spans="1:18" x14ac:dyDescent="0.2">
      <c r="A862" s="72"/>
      <c r="B862" s="76"/>
      <c r="C862" s="73"/>
      <c r="D862" s="73" t="s">
        <v>978</v>
      </c>
      <c r="E862" s="77" t="s">
        <v>135</v>
      </c>
      <c r="F862" s="75" t="s">
        <v>1625</v>
      </c>
      <c r="G862" s="75" t="s">
        <v>1230</v>
      </c>
      <c r="H862" s="69"/>
      <c r="P862" s="69">
        <f t="shared" si="13"/>
        <v>0</v>
      </c>
      <c r="Q862" s="69" cm="1">
        <f t="array" ref="Q862">IF(P862=1,IF(SUMPRODUCT(($P$2:P862)*(--($G$2:G862=$G862)))=1,1,0),0)</f>
        <v>0</v>
      </c>
      <c r="R862" s="69" t="str">
        <f>IF(Q862=1,SUM($Q$2:Q862),"")</f>
        <v/>
      </c>
    </row>
    <row r="863" spans="1:18" x14ac:dyDescent="0.2">
      <c r="A863" s="72"/>
      <c r="B863" s="76"/>
      <c r="C863" s="73"/>
      <c r="D863" s="73" t="s">
        <v>978</v>
      </c>
      <c r="E863" s="77" t="s">
        <v>94</v>
      </c>
      <c r="F863" s="75" t="s">
        <v>1673</v>
      </c>
      <c r="G863" s="75" t="s">
        <v>1230</v>
      </c>
      <c r="H863" s="69"/>
      <c r="P863" s="69">
        <f t="shared" si="13"/>
        <v>0</v>
      </c>
      <c r="Q863" s="69" cm="1">
        <f t="array" ref="Q863">IF(P863=1,IF(SUMPRODUCT(($P$2:P863)*(--($G$2:G863=$G863)))=1,1,0),0)</f>
        <v>0</v>
      </c>
      <c r="R863" s="69" t="str">
        <f>IF(Q863=1,SUM($Q$2:Q863),"")</f>
        <v/>
      </c>
    </row>
    <row r="864" spans="1:18" x14ac:dyDescent="0.2">
      <c r="A864" s="72"/>
      <c r="B864" s="76"/>
      <c r="C864" s="73"/>
      <c r="D864" s="73" t="s">
        <v>978</v>
      </c>
      <c r="E864" s="77" t="s">
        <v>135</v>
      </c>
      <c r="F864" s="75" t="s">
        <v>1673</v>
      </c>
      <c r="G864" s="75" t="s">
        <v>1230</v>
      </c>
      <c r="H864" s="69"/>
      <c r="P864" s="69">
        <f t="shared" si="13"/>
        <v>0</v>
      </c>
      <c r="Q864" s="69" cm="1">
        <f t="array" ref="Q864">IF(P864=1,IF(SUMPRODUCT(($P$2:P864)*(--($G$2:G864=$G864)))=1,1,0),0)</f>
        <v>0</v>
      </c>
      <c r="R864" s="69" t="str">
        <f>IF(Q864=1,SUM($Q$2:Q864),"")</f>
        <v/>
      </c>
    </row>
    <row r="865" spans="1:18" x14ac:dyDescent="0.2">
      <c r="A865" s="72"/>
      <c r="B865" s="76"/>
      <c r="C865" s="73"/>
      <c r="D865" s="73" t="s">
        <v>978</v>
      </c>
      <c r="E865" s="77" t="s">
        <v>94</v>
      </c>
      <c r="F865" s="75" t="s">
        <v>1626</v>
      </c>
      <c r="G865" s="75" t="s">
        <v>1230</v>
      </c>
      <c r="H865" s="69"/>
      <c r="P865" s="69">
        <f t="shared" si="13"/>
        <v>0</v>
      </c>
      <c r="Q865" s="69" cm="1">
        <f t="array" ref="Q865">IF(P865=1,IF(SUMPRODUCT(($P$2:P865)*(--($G$2:G865=$G865)))=1,1,0),0)</f>
        <v>0</v>
      </c>
      <c r="R865" s="69" t="str">
        <f>IF(Q865=1,SUM($Q$2:Q865),"")</f>
        <v/>
      </c>
    </row>
    <row r="866" spans="1:18" x14ac:dyDescent="0.2">
      <c r="A866" s="72"/>
      <c r="B866" s="76"/>
      <c r="C866" s="73"/>
      <c r="D866" s="73" t="s">
        <v>978</v>
      </c>
      <c r="E866" s="77" t="s">
        <v>135</v>
      </c>
      <c r="F866" s="75" t="s">
        <v>1626</v>
      </c>
      <c r="G866" s="75" t="s">
        <v>1230</v>
      </c>
      <c r="H866" s="69"/>
      <c r="P866" s="69">
        <f t="shared" si="13"/>
        <v>0</v>
      </c>
      <c r="Q866" s="69" cm="1">
        <f t="array" ref="Q866">IF(P866=1,IF(SUMPRODUCT(($P$2:P866)*(--($G$2:G866=$G866)))=1,1,0),0)</f>
        <v>0</v>
      </c>
      <c r="R866" s="69" t="str">
        <f>IF(Q866=1,SUM($Q$2:Q866),"")</f>
        <v/>
      </c>
    </row>
    <row r="867" spans="1:18" x14ac:dyDescent="0.2">
      <c r="A867" s="72"/>
      <c r="B867" s="76"/>
      <c r="C867" s="73"/>
      <c r="D867" s="73" t="s">
        <v>978</v>
      </c>
      <c r="E867" s="77" t="s">
        <v>94</v>
      </c>
      <c r="F867" s="75" t="s">
        <v>412</v>
      </c>
      <c r="G867" s="75" t="s">
        <v>1230</v>
      </c>
      <c r="H867" s="69"/>
      <c r="P867" s="69">
        <f t="shared" si="13"/>
        <v>0</v>
      </c>
      <c r="Q867" s="69" cm="1">
        <f t="array" ref="Q867">IF(P867=1,IF(SUMPRODUCT(($P$2:P867)*(--($G$2:G867=$G867)))=1,1,0),0)</f>
        <v>0</v>
      </c>
      <c r="R867" s="69" t="str">
        <f>IF(Q867=1,SUM($Q$2:Q867),"")</f>
        <v/>
      </c>
    </row>
    <row r="868" spans="1:18" x14ac:dyDescent="0.2">
      <c r="A868" s="72"/>
      <c r="B868" s="76"/>
      <c r="C868" s="73"/>
      <c r="D868" s="73" t="s">
        <v>978</v>
      </c>
      <c r="E868" s="77" t="s">
        <v>135</v>
      </c>
      <c r="F868" s="75" t="s">
        <v>412</v>
      </c>
      <c r="G868" s="75" t="s">
        <v>1230</v>
      </c>
      <c r="H868" s="69"/>
      <c r="P868" s="69">
        <f t="shared" si="13"/>
        <v>0</v>
      </c>
      <c r="Q868" s="69" cm="1">
        <f t="array" ref="Q868">IF(P868=1,IF(SUMPRODUCT(($P$2:P868)*(--($G$2:G868=$G868)))=1,1,0),0)</f>
        <v>0</v>
      </c>
      <c r="R868" s="69" t="str">
        <f>IF(Q868=1,SUM($Q$2:Q868),"")</f>
        <v/>
      </c>
    </row>
    <row r="869" spans="1:18" x14ac:dyDescent="0.2">
      <c r="A869" s="72"/>
      <c r="B869" s="76"/>
      <c r="C869" s="73"/>
      <c r="D869" s="73" t="s">
        <v>978</v>
      </c>
      <c r="E869" s="77" t="s">
        <v>94</v>
      </c>
      <c r="F869" s="75" t="s">
        <v>1674</v>
      </c>
      <c r="G869" s="75" t="s">
        <v>1230</v>
      </c>
      <c r="H869" s="69"/>
      <c r="P869" s="69">
        <f t="shared" si="13"/>
        <v>0</v>
      </c>
      <c r="Q869" s="69" cm="1">
        <f t="array" ref="Q869">IF(P869=1,IF(SUMPRODUCT(($P$2:P869)*(--($G$2:G869=$G869)))=1,1,0),0)</f>
        <v>0</v>
      </c>
      <c r="R869" s="69" t="str">
        <f>IF(Q869=1,SUM($Q$2:Q869),"")</f>
        <v/>
      </c>
    </row>
    <row r="870" spans="1:18" x14ac:dyDescent="0.2">
      <c r="A870" s="72"/>
      <c r="B870" s="76"/>
      <c r="C870" s="73"/>
      <c r="D870" s="73" t="s">
        <v>978</v>
      </c>
      <c r="E870" s="77" t="s">
        <v>135</v>
      </c>
      <c r="F870" s="75" t="s">
        <v>1674</v>
      </c>
      <c r="G870" s="75" t="s">
        <v>1230</v>
      </c>
      <c r="H870" s="69"/>
      <c r="P870" s="69">
        <f t="shared" si="13"/>
        <v>0</v>
      </c>
      <c r="Q870" s="69" cm="1">
        <f t="array" ref="Q870">IF(P870=1,IF(SUMPRODUCT(($P$2:P870)*(--($G$2:G870=$G870)))=1,1,0),0)</f>
        <v>0</v>
      </c>
      <c r="R870" s="69" t="str">
        <f>IF(Q870=1,SUM($Q$2:Q870),"")</f>
        <v/>
      </c>
    </row>
    <row r="871" spans="1:18" x14ac:dyDescent="0.2">
      <c r="A871" s="72"/>
      <c r="B871" s="76"/>
      <c r="C871" s="73"/>
      <c r="D871" s="73" t="s">
        <v>978</v>
      </c>
      <c r="E871" s="77" t="s">
        <v>94</v>
      </c>
      <c r="F871" s="75" t="s">
        <v>417</v>
      </c>
      <c r="G871" s="75" t="s">
        <v>1230</v>
      </c>
      <c r="H871" s="69"/>
      <c r="P871" s="69">
        <f t="shared" si="13"/>
        <v>0</v>
      </c>
      <c r="Q871" s="69" cm="1">
        <f t="array" ref="Q871">IF(P871=1,IF(SUMPRODUCT(($P$2:P871)*(--($G$2:G871=$G871)))=1,1,0),0)</f>
        <v>0</v>
      </c>
      <c r="R871" s="69" t="str">
        <f>IF(Q871=1,SUM($Q$2:Q871),"")</f>
        <v/>
      </c>
    </row>
    <row r="872" spans="1:18" x14ac:dyDescent="0.2">
      <c r="A872" s="72"/>
      <c r="B872" s="76"/>
      <c r="C872" s="73"/>
      <c r="D872" s="73" t="s">
        <v>978</v>
      </c>
      <c r="E872" s="77" t="s">
        <v>135</v>
      </c>
      <c r="F872" s="75" t="s">
        <v>417</v>
      </c>
      <c r="G872" s="75" t="s">
        <v>1230</v>
      </c>
      <c r="H872" s="69"/>
      <c r="P872" s="69">
        <f t="shared" si="13"/>
        <v>0</v>
      </c>
      <c r="Q872" s="69" cm="1">
        <f t="array" ref="Q872">IF(P872=1,IF(SUMPRODUCT(($P$2:P872)*(--($G$2:G872=$G872)))=1,1,0),0)</f>
        <v>0</v>
      </c>
      <c r="R872" s="69" t="str">
        <f>IF(Q872=1,SUM($Q$2:Q872),"")</f>
        <v/>
      </c>
    </row>
    <row r="873" spans="1:18" x14ac:dyDescent="0.2">
      <c r="A873" s="72"/>
      <c r="B873" s="76"/>
      <c r="C873" s="73"/>
      <c r="D873" s="73" t="s">
        <v>978</v>
      </c>
      <c r="E873" s="77" t="s">
        <v>94</v>
      </c>
      <c r="F873" s="75" t="s">
        <v>1675</v>
      </c>
      <c r="G873" s="75" t="s">
        <v>1230</v>
      </c>
      <c r="H873" s="69"/>
      <c r="P873" s="69">
        <f t="shared" si="13"/>
        <v>0</v>
      </c>
      <c r="Q873" s="69" cm="1">
        <f t="array" ref="Q873">IF(P873=1,IF(SUMPRODUCT(($P$2:P873)*(--($G$2:G873=$G873)))=1,1,0),0)</f>
        <v>0</v>
      </c>
      <c r="R873" s="69" t="str">
        <f>IF(Q873=1,SUM($Q$2:Q873),"")</f>
        <v/>
      </c>
    </row>
    <row r="874" spans="1:18" x14ac:dyDescent="0.2">
      <c r="A874" s="72"/>
      <c r="B874" s="76"/>
      <c r="C874" s="73"/>
      <c r="D874" s="73" t="s">
        <v>978</v>
      </c>
      <c r="E874" s="77" t="s">
        <v>135</v>
      </c>
      <c r="F874" s="75" t="s">
        <v>1675</v>
      </c>
      <c r="G874" s="75" t="s">
        <v>1230</v>
      </c>
      <c r="H874" s="69"/>
      <c r="P874" s="69">
        <f t="shared" si="13"/>
        <v>0</v>
      </c>
      <c r="Q874" s="69" cm="1">
        <f t="array" ref="Q874">IF(P874=1,IF(SUMPRODUCT(($P$2:P874)*(--($G$2:G874=$G874)))=1,1,0),0)</f>
        <v>0</v>
      </c>
      <c r="R874" s="69" t="str">
        <f>IF(Q874=1,SUM($Q$2:Q874),"")</f>
        <v/>
      </c>
    </row>
    <row r="875" spans="1:18" x14ac:dyDescent="0.2">
      <c r="A875" s="72"/>
      <c r="B875" s="76"/>
      <c r="C875" s="73"/>
      <c r="D875" s="73" t="s">
        <v>978</v>
      </c>
      <c r="E875" s="77" t="s">
        <v>117</v>
      </c>
      <c r="F875" s="75" t="s">
        <v>403</v>
      </c>
      <c r="G875" s="75" t="s">
        <v>1231</v>
      </c>
      <c r="H875" s="69"/>
      <c r="P875" s="69">
        <f t="shared" si="13"/>
        <v>0</v>
      </c>
      <c r="Q875" s="69" cm="1">
        <f t="array" ref="Q875">IF(P875=1,IF(SUMPRODUCT(($P$2:P875)*(--($G$2:G875=$G875)))=1,1,0),0)</f>
        <v>0</v>
      </c>
      <c r="R875" s="69" t="str">
        <f>IF(Q875=1,SUM($Q$2:Q875),"")</f>
        <v/>
      </c>
    </row>
    <row r="876" spans="1:18" x14ac:dyDescent="0.2">
      <c r="A876" s="72"/>
      <c r="B876" s="76"/>
      <c r="C876" s="73"/>
      <c r="D876" s="73" t="s">
        <v>978</v>
      </c>
      <c r="E876" s="77" t="s">
        <v>117</v>
      </c>
      <c r="F876" s="75" t="s">
        <v>1622</v>
      </c>
      <c r="G876" s="75" t="s">
        <v>1231</v>
      </c>
      <c r="H876" s="69"/>
      <c r="P876" s="69">
        <f t="shared" si="13"/>
        <v>0</v>
      </c>
      <c r="Q876" s="69" cm="1">
        <f t="array" ref="Q876">IF(P876=1,IF(SUMPRODUCT(($P$2:P876)*(--($G$2:G876=$G876)))=1,1,0),0)</f>
        <v>0</v>
      </c>
      <c r="R876" s="69" t="str">
        <f>IF(Q876=1,SUM($Q$2:Q876),"")</f>
        <v/>
      </c>
    </row>
    <row r="877" spans="1:18" x14ac:dyDescent="0.2">
      <c r="A877" s="72"/>
      <c r="B877" s="76"/>
      <c r="C877" s="73"/>
      <c r="D877" s="73" t="s">
        <v>978</v>
      </c>
      <c r="E877" s="77" t="s">
        <v>117</v>
      </c>
      <c r="F877" s="75" t="s">
        <v>1623</v>
      </c>
      <c r="G877" s="75" t="s">
        <v>1231</v>
      </c>
      <c r="H877" s="69"/>
      <c r="P877" s="69">
        <f t="shared" si="13"/>
        <v>0</v>
      </c>
      <c r="Q877" s="69" cm="1">
        <f t="array" ref="Q877">IF(P877=1,IF(SUMPRODUCT(($P$2:P877)*(--($G$2:G877=$G877)))=1,1,0),0)</f>
        <v>0</v>
      </c>
      <c r="R877" s="69" t="str">
        <f>IF(Q877=1,SUM($Q$2:Q877),"")</f>
        <v/>
      </c>
    </row>
    <row r="878" spans="1:18" x14ac:dyDescent="0.2">
      <c r="A878" s="72"/>
      <c r="B878" s="76"/>
      <c r="C878" s="73"/>
      <c r="D878" s="73" t="s">
        <v>978</v>
      </c>
      <c r="E878" s="77" t="s">
        <v>117</v>
      </c>
      <c r="F878" s="75" t="s">
        <v>1671</v>
      </c>
      <c r="G878" s="75" t="s">
        <v>1231</v>
      </c>
      <c r="H878" s="69"/>
      <c r="P878" s="69">
        <f t="shared" si="13"/>
        <v>0</v>
      </c>
      <c r="Q878" s="69" cm="1">
        <f t="array" ref="Q878">IF(P878=1,IF(SUMPRODUCT(($P$2:P878)*(--($G$2:G878=$G878)))=1,1,0),0)</f>
        <v>0</v>
      </c>
      <c r="R878" s="69" t="str">
        <f>IF(Q878=1,SUM($Q$2:Q878),"")</f>
        <v/>
      </c>
    </row>
    <row r="879" spans="1:18" x14ac:dyDescent="0.2">
      <c r="A879" s="72"/>
      <c r="B879" s="76"/>
      <c r="C879" s="73"/>
      <c r="D879" s="73" t="s">
        <v>978</v>
      </c>
      <c r="E879" s="77" t="s">
        <v>117</v>
      </c>
      <c r="F879" s="75" t="s">
        <v>1672</v>
      </c>
      <c r="G879" s="75" t="s">
        <v>1231</v>
      </c>
      <c r="H879" s="69"/>
      <c r="P879" s="69">
        <f t="shared" si="13"/>
        <v>0</v>
      </c>
      <c r="Q879" s="69" cm="1">
        <f t="array" ref="Q879">IF(P879=1,IF(SUMPRODUCT(($P$2:P879)*(--($G$2:G879=$G879)))=1,1,0),0)</f>
        <v>0</v>
      </c>
      <c r="R879" s="69" t="str">
        <f>IF(Q879=1,SUM($Q$2:Q879),"")</f>
        <v/>
      </c>
    </row>
    <row r="880" spans="1:18" x14ac:dyDescent="0.2">
      <c r="A880" s="72"/>
      <c r="B880" s="76"/>
      <c r="C880" s="73"/>
      <c r="D880" s="73" t="s">
        <v>978</v>
      </c>
      <c r="E880" s="77" t="s">
        <v>117</v>
      </c>
      <c r="F880" s="75" t="s">
        <v>1625</v>
      </c>
      <c r="G880" s="75" t="s">
        <v>1231</v>
      </c>
      <c r="H880" s="69"/>
      <c r="P880" s="69">
        <f t="shared" si="13"/>
        <v>0</v>
      </c>
      <c r="Q880" s="69" cm="1">
        <f t="array" ref="Q880">IF(P880=1,IF(SUMPRODUCT(($P$2:P880)*(--($G$2:G880=$G880)))=1,1,0),0)</f>
        <v>0</v>
      </c>
      <c r="R880" s="69" t="str">
        <f>IF(Q880=1,SUM($Q$2:Q880),"")</f>
        <v/>
      </c>
    </row>
    <row r="881" spans="1:18" x14ac:dyDescent="0.2">
      <c r="A881" s="72"/>
      <c r="B881" s="76"/>
      <c r="C881" s="73"/>
      <c r="D881" s="73" t="s">
        <v>978</v>
      </c>
      <c r="E881" s="77" t="s">
        <v>117</v>
      </c>
      <c r="F881" s="75" t="s">
        <v>1673</v>
      </c>
      <c r="G881" s="75" t="s">
        <v>1231</v>
      </c>
      <c r="H881" s="69"/>
      <c r="P881" s="69">
        <f t="shared" si="13"/>
        <v>0</v>
      </c>
      <c r="Q881" s="69" cm="1">
        <f t="array" ref="Q881">IF(P881=1,IF(SUMPRODUCT(($P$2:P881)*(--($G$2:G881=$G881)))=1,1,0),0)</f>
        <v>0</v>
      </c>
      <c r="R881" s="69" t="str">
        <f>IF(Q881=1,SUM($Q$2:Q881),"")</f>
        <v/>
      </c>
    </row>
    <row r="882" spans="1:18" x14ac:dyDescent="0.2">
      <c r="A882" s="72"/>
      <c r="B882" s="76"/>
      <c r="C882" s="73"/>
      <c r="D882" s="73" t="s">
        <v>978</v>
      </c>
      <c r="E882" s="77" t="s">
        <v>117</v>
      </c>
      <c r="F882" s="75" t="s">
        <v>1626</v>
      </c>
      <c r="G882" s="75" t="s">
        <v>1231</v>
      </c>
      <c r="H882" s="69"/>
      <c r="P882" s="69">
        <f t="shared" si="13"/>
        <v>0</v>
      </c>
      <c r="Q882" s="69" cm="1">
        <f t="array" ref="Q882">IF(P882=1,IF(SUMPRODUCT(($P$2:P882)*(--($G$2:G882=$G882)))=1,1,0),0)</f>
        <v>0</v>
      </c>
      <c r="R882" s="69" t="str">
        <f>IF(Q882=1,SUM($Q$2:Q882),"")</f>
        <v/>
      </c>
    </row>
    <row r="883" spans="1:18" x14ac:dyDescent="0.2">
      <c r="A883" s="72"/>
      <c r="B883" s="76"/>
      <c r="C883" s="73"/>
      <c r="D883" s="73" t="s">
        <v>978</v>
      </c>
      <c r="E883" s="77" t="s">
        <v>117</v>
      </c>
      <c r="F883" s="75" t="s">
        <v>412</v>
      </c>
      <c r="G883" s="75" t="s">
        <v>1231</v>
      </c>
      <c r="H883" s="69"/>
      <c r="P883" s="69">
        <f t="shared" si="13"/>
        <v>0</v>
      </c>
      <c r="Q883" s="69" cm="1">
        <f t="array" ref="Q883">IF(P883=1,IF(SUMPRODUCT(($P$2:P883)*(--($G$2:G883=$G883)))=1,1,0),0)</f>
        <v>0</v>
      </c>
      <c r="R883" s="69" t="str">
        <f>IF(Q883=1,SUM($Q$2:Q883),"")</f>
        <v/>
      </c>
    </row>
    <row r="884" spans="1:18" x14ac:dyDescent="0.2">
      <c r="A884" s="72"/>
      <c r="B884" s="76"/>
      <c r="C884" s="73"/>
      <c r="D884" s="73" t="s">
        <v>978</v>
      </c>
      <c r="E884" s="77" t="s">
        <v>117</v>
      </c>
      <c r="F884" s="75" t="s">
        <v>1674</v>
      </c>
      <c r="G884" s="75" t="s">
        <v>1231</v>
      </c>
      <c r="H884" s="69"/>
      <c r="P884" s="69">
        <f t="shared" si="13"/>
        <v>0</v>
      </c>
      <c r="Q884" s="69" cm="1">
        <f t="array" ref="Q884">IF(P884=1,IF(SUMPRODUCT(($P$2:P884)*(--($G$2:G884=$G884)))=1,1,0),0)</f>
        <v>0</v>
      </c>
      <c r="R884" s="69" t="str">
        <f>IF(Q884=1,SUM($Q$2:Q884),"")</f>
        <v/>
      </c>
    </row>
    <row r="885" spans="1:18" x14ac:dyDescent="0.2">
      <c r="A885" s="72"/>
      <c r="B885" s="76"/>
      <c r="C885" s="73"/>
      <c r="D885" s="73" t="s">
        <v>978</v>
      </c>
      <c r="E885" s="77" t="s">
        <v>117</v>
      </c>
      <c r="F885" s="75" t="s">
        <v>417</v>
      </c>
      <c r="G885" s="75" t="s">
        <v>1231</v>
      </c>
      <c r="H885" s="69"/>
      <c r="P885" s="69">
        <f t="shared" si="13"/>
        <v>0</v>
      </c>
      <c r="Q885" s="69" cm="1">
        <f t="array" ref="Q885">IF(P885=1,IF(SUMPRODUCT(($P$2:P885)*(--($G$2:G885=$G885)))=1,1,0),0)</f>
        <v>0</v>
      </c>
      <c r="R885" s="69" t="str">
        <f>IF(Q885=1,SUM($Q$2:Q885),"")</f>
        <v/>
      </c>
    </row>
    <row r="886" spans="1:18" x14ac:dyDescent="0.2">
      <c r="A886" s="72"/>
      <c r="B886" s="76"/>
      <c r="C886" s="73"/>
      <c r="D886" s="73" t="s">
        <v>978</v>
      </c>
      <c r="E886" s="77" t="s">
        <v>117</v>
      </c>
      <c r="F886" s="75" t="s">
        <v>1675</v>
      </c>
      <c r="G886" s="75" t="s">
        <v>1231</v>
      </c>
      <c r="H886" s="69"/>
      <c r="P886" s="69">
        <f t="shared" si="13"/>
        <v>0</v>
      </c>
      <c r="Q886" s="69" cm="1">
        <f t="array" ref="Q886">IF(P886=1,IF(SUMPRODUCT(($P$2:P886)*(--($G$2:G886=$G886)))=1,1,0),0)</f>
        <v>0</v>
      </c>
      <c r="R886" s="69" t="str">
        <f>IF(Q886=1,SUM($Q$2:Q886),"")</f>
        <v/>
      </c>
    </row>
    <row r="887" spans="1:18" ht="16" x14ac:dyDescent="0.2">
      <c r="A887" s="72"/>
      <c r="B887" s="84"/>
      <c r="C887" s="73"/>
      <c r="D887" s="73" t="s">
        <v>978</v>
      </c>
      <c r="E887" s="77" t="s">
        <v>94</v>
      </c>
      <c r="F887" s="75" t="s">
        <v>1627</v>
      </c>
      <c r="G887" s="87" t="s">
        <v>614</v>
      </c>
      <c r="H887" s="69"/>
      <c r="P887" s="69">
        <f t="shared" si="13"/>
        <v>0</v>
      </c>
      <c r="Q887" s="69" cm="1">
        <f t="array" ref="Q887">IF(P887=1,IF(SUMPRODUCT(($P$2:P887)*(--($G$2:G887=$G887)))=1,1,0),0)</f>
        <v>0</v>
      </c>
      <c r="R887" s="69" t="str">
        <f>IF(Q887=1,SUM($Q$2:Q887),"")</f>
        <v/>
      </c>
    </row>
    <row r="888" spans="1:18" ht="16" x14ac:dyDescent="0.2">
      <c r="A888" s="72"/>
      <c r="B888" s="84"/>
      <c r="C888" s="73"/>
      <c r="D888" s="73" t="s">
        <v>978</v>
      </c>
      <c r="E888" s="77" t="s">
        <v>94</v>
      </c>
      <c r="F888" s="75" t="s">
        <v>1628</v>
      </c>
      <c r="G888" s="87" t="s">
        <v>614</v>
      </c>
      <c r="H888" s="69"/>
      <c r="P888" s="69">
        <f t="shared" si="13"/>
        <v>0</v>
      </c>
      <c r="Q888" s="69" cm="1">
        <f t="array" ref="Q888">IF(P888=1,IF(SUMPRODUCT(($P$2:P888)*(--($G$2:G888=$G888)))=1,1,0),0)</f>
        <v>0</v>
      </c>
      <c r="R888" s="69" t="str">
        <f>IF(Q888=1,SUM($Q$2:Q888),"")</f>
        <v/>
      </c>
    </row>
    <row r="889" spans="1:18" ht="16" x14ac:dyDescent="0.2">
      <c r="A889" s="72"/>
      <c r="B889" s="84"/>
      <c r="C889" s="73"/>
      <c r="D889" s="73" t="s">
        <v>978</v>
      </c>
      <c r="E889" s="77" t="s">
        <v>94</v>
      </c>
      <c r="F889" s="75" t="s">
        <v>1629</v>
      </c>
      <c r="G889" s="87" t="s">
        <v>614</v>
      </c>
      <c r="H889" s="69"/>
      <c r="P889" s="69">
        <f t="shared" si="13"/>
        <v>0</v>
      </c>
      <c r="Q889" s="69" cm="1">
        <f t="array" ref="Q889">IF(P889=1,IF(SUMPRODUCT(($P$2:P889)*(--($G$2:G889=$G889)))=1,1,0),0)</f>
        <v>0</v>
      </c>
      <c r="R889" s="69" t="str">
        <f>IF(Q889=1,SUM($Q$2:Q889),"")</f>
        <v/>
      </c>
    </row>
    <row r="890" spans="1:18" ht="16" x14ac:dyDescent="0.2">
      <c r="A890" s="72"/>
      <c r="B890" s="84"/>
      <c r="C890" s="73"/>
      <c r="D890" s="73" t="s">
        <v>978</v>
      </c>
      <c r="E890" s="77" t="s">
        <v>94</v>
      </c>
      <c r="F890" s="75" t="s">
        <v>1630</v>
      </c>
      <c r="G890" s="87" t="s">
        <v>614</v>
      </c>
      <c r="H890" s="69"/>
      <c r="P890" s="69">
        <f t="shared" si="13"/>
        <v>0</v>
      </c>
      <c r="Q890" s="69" cm="1">
        <f t="array" ref="Q890">IF(P890=1,IF(SUMPRODUCT(($P$2:P890)*(--($G$2:G890=$G890)))=1,1,0),0)</f>
        <v>0</v>
      </c>
      <c r="R890" s="69" t="str">
        <f>IF(Q890=1,SUM($Q$2:Q890),"")</f>
        <v/>
      </c>
    </row>
    <row r="891" spans="1:18" ht="16" x14ac:dyDescent="0.2">
      <c r="A891" s="72"/>
      <c r="B891" s="84"/>
      <c r="C891" s="73"/>
      <c r="D891" s="73" t="s">
        <v>978</v>
      </c>
      <c r="E891" s="77" t="s">
        <v>94</v>
      </c>
      <c r="F891" s="75" t="s">
        <v>1631</v>
      </c>
      <c r="G891" s="87" t="s">
        <v>614</v>
      </c>
      <c r="H891" s="69"/>
      <c r="P891" s="69">
        <f t="shared" si="13"/>
        <v>0</v>
      </c>
      <c r="Q891" s="69" cm="1">
        <f t="array" ref="Q891">IF(P891=1,IF(SUMPRODUCT(($P$2:P891)*(--($G$2:G891=$G891)))=1,1,0),0)</f>
        <v>0</v>
      </c>
      <c r="R891" s="69" t="str">
        <f>IF(Q891=1,SUM($Q$2:Q891),"")</f>
        <v/>
      </c>
    </row>
    <row r="892" spans="1:18" ht="16" x14ac:dyDescent="0.2">
      <c r="A892" s="72"/>
      <c r="B892" s="84"/>
      <c r="C892" s="73"/>
      <c r="D892" s="73" t="s">
        <v>978</v>
      </c>
      <c r="E892" s="77" t="s">
        <v>94</v>
      </c>
      <c r="F892" s="75" t="s">
        <v>1632</v>
      </c>
      <c r="G892" s="87" t="s">
        <v>614</v>
      </c>
      <c r="H892" s="69"/>
      <c r="P892" s="69">
        <f t="shared" si="13"/>
        <v>0</v>
      </c>
      <c r="Q892" s="69" cm="1">
        <f t="array" ref="Q892">IF(P892=1,IF(SUMPRODUCT(($P$2:P892)*(--($G$2:G892=$G892)))=1,1,0),0)</f>
        <v>0</v>
      </c>
      <c r="R892" s="69" t="str">
        <f>IF(Q892=1,SUM($Q$2:Q892),"")</f>
        <v/>
      </c>
    </row>
    <row r="893" spans="1:18" ht="16" x14ac:dyDescent="0.2">
      <c r="A893" s="72"/>
      <c r="B893" s="84"/>
      <c r="C893" s="73"/>
      <c r="D893" s="73" t="s">
        <v>978</v>
      </c>
      <c r="E893" s="77" t="s">
        <v>94</v>
      </c>
      <c r="F893" s="75" t="s">
        <v>1676</v>
      </c>
      <c r="G893" s="87" t="s">
        <v>614</v>
      </c>
      <c r="H893" s="69"/>
      <c r="P893" s="69">
        <f t="shared" si="13"/>
        <v>0</v>
      </c>
      <c r="Q893" s="69" cm="1">
        <f t="array" ref="Q893">IF(P893=1,IF(SUMPRODUCT(($P$2:P893)*(--($G$2:G893=$G893)))=1,1,0),0)</f>
        <v>0</v>
      </c>
      <c r="R893" s="69" t="str">
        <f>IF(Q893=1,SUM($Q$2:Q893),"")</f>
        <v/>
      </c>
    </row>
    <row r="894" spans="1:18" ht="16" x14ac:dyDescent="0.2">
      <c r="A894" s="72"/>
      <c r="B894" s="84"/>
      <c r="C894" s="73"/>
      <c r="D894" s="73" t="s">
        <v>978</v>
      </c>
      <c r="E894" s="77" t="s">
        <v>94</v>
      </c>
      <c r="F894" s="75" t="s">
        <v>1677</v>
      </c>
      <c r="G894" s="87" t="s">
        <v>614</v>
      </c>
      <c r="H894" s="69"/>
      <c r="P894" s="69">
        <f t="shared" si="13"/>
        <v>0</v>
      </c>
      <c r="Q894" s="69" cm="1">
        <f t="array" ref="Q894">IF(P894=1,IF(SUMPRODUCT(($P$2:P894)*(--($G$2:G894=$G894)))=1,1,0),0)</f>
        <v>0</v>
      </c>
      <c r="R894" s="69" t="str">
        <f>IF(Q894=1,SUM($Q$2:Q894),"")</f>
        <v/>
      </c>
    </row>
    <row r="895" spans="1:18" ht="16" x14ac:dyDescent="0.2">
      <c r="A895" s="72"/>
      <c r="B895" s="84"/>
      <c r="C895" s="73"/>
      <c r="D895" s="73" t="s">
        <v>978</v>
      </c>
      <c r="E895" s="77" t="s">
        <v>94</v>
      </c>
      <c r="F895" s="75" t="s">
        <v>1678</v>
      </c>
      <c r="G895" s="87" t="s">
        <v>614</v>
      </c>
      <c r="H895" s="69"/>
      <c r="P895" s="69">
        <f t="shared" si="13"/>
        <v>0</v>
      </c>
      <c r="Q895" s="69" cm="1">
        <f t="array" ref="Q895">IF(P895=1,IF(SUMPRODUCT(($P$2:P895)*(--($G$2:G895=$G895)))=1,1,0),0)</f>
        <v>0</v>
      </c>
      <c r="R895" s="69" t="str">
        <f>IF(Q895=1,SUM($Q$2:Q895),"")</f>
        <v/>
      </c>
    </row>
    <row r="896" spans="1:18" ht="16" x14ac:dyDescent="0.2">
      <c r="A896" s="72"/>
      <c r="B896" s="84"/>
      <c r="C896" s="73"/>
      <c r="D896" s="73" t="s">
        <v>978</v>
      </c>
      <c r="E896" s="77" t="s">
        <v>94</v>
      </c>
      <c r="F896" s="75" t="s">
        <v>1679</v>
      </c>
      <c r="G896" s="87" t="s">
        <v>614</v>
      </c>
      <c r="H896" s="69"/>
      <c r="P896" s="69">
        <f t="shared" si="13"/>
        <v>0</v>
      </c>
      <c r="Q896" s="69" cm="1">
        <f t="array" ref="Q896">IF(P896=1,IF(SUMPRODUCT(($P$2:P896)*(--($G$2:G896=$G896)))=1,1,0),0)</f>
        <v>0</v>
      </c>
      <c r="R896" s="69" t="str">
        <f>IF(Q896=1,SUM($Q$2:Q896),"")</f>
        <v/>
      </c>
    </row>
    <row r="897" spans="1:18" ht="16" x14ac:dyDescent="0.2">
      <c r="A897" s="72"/>
      <c r="B897" s="84"/>
      <c r="C897" s="73"/>
      <c r="D897" s="73" t="s">
        <v>978</v>
      </c>
      <c r="E897" s="77" t="s">
        <v>94</v>
      </c>
      <c r="F897" s="75" t="s">
        <v>1680</v>
      </c>
      <c r="G897" s="87" t="s">
        <v>614</v>
      </c>
      <c r="H897" s="69"/>
      <c r="P897" s="69">
        <f t="shared" si="13"/>
        <v>0</v>
      </c>
      <c r="Q897" s="69" cm="1">
        <f t="array" ref="Q897">IF(P897=1,IF(SUMPRODUCT(($P$2:P897)*(--($G$2:G897=$G897)))=1,1,0),0)</f>
        <v>0</v>
      </c>
      <c r="R897" s="69" t="str">
        <f>IF(Q897=1,SUM($Q$2:Q897),"")</f>
        <v/>
      </c>
    </row>
    <row r="898" spans="1:18" ht="16" x14ac:dyDescent="0.2">
      <c r="A898" s="72"/>
      <c r="B898" s="84"/>
      <c r="C898" s="73"/>
      <c r="D898" s="73" t="s">
        <v>978</v>
      </c>
      <c r="E898" s="77" t="s">
        <v>94</v>
      </c>
      <c r="F898" s="75" t="s">
        <v>1681</v>
      </c>
      <c r="G898" s="87" t="s">
        <v>614</v>
      </c>
      <c r="H898" s="69"/>
      <c r="P898" s="69">
        <f t="shared" si="13"/>
        <v>0</v>
      </c>
      <c r="Q898" s="69" cm="1">
        <f t="array" ref="Q898">IF(P898=1,IF(SUMPRODUCT(($P$2:P898)*(--($G$2:G898=$G898)))=1,1,0),0)</f>
        <v>0</v>
      </c>
      <c r="R898" s="69" t="str">
        <f>IF(Q898=1,SUM($Q$2:Q898),"")</f>
        <v/>
      </c>
    </row>
    <row r="899" spans="1:18" x14ac:dyDescent="0.2">
      <c r="A899" s="72"/>
      <c r="B899" s="76"/>
      <c r="C899" s="73"/>
      <c r="D899" s="73" t="s">
        <v>978</v>
      </c>
      <c r="E899" s="77" t="s">
        <v>94</v>
      </c>
      <c r="F899" s="75" t="s">
        <v>1627</v>
      </c>
      <c r="G899" s="75" t="s">
        <v>1233</v>
      </c>
      <c r="H899" s="69"/>
      <c r="P899" s="69">
        <f t="shared" ref="P899:P962" si="14">IF(AND(IF(TRIM($J$2&amp;"")="",TRUE,LEFT($D899,LEN($J$2))=$J$2),IF(TRIM($K$2&amp;"")="",TRUE,$E899=$K$2),IF($L$2="",TRUE,$F899=$L$2)),1,0)</f>
        <v>0</v>
      </c>
      <c r="Q899" s="69" cm="1">
        <f t="array" ref="Q899">IF(P899=1,IF(SUMPRODUCT(($P$2:P899)*(--($G$2:G899=$G899)))=1,1,0),0)</f>
        <v>0</v>
      </c>
      <c r="R899" s="69" t="str">
        <f>IF(Q899=1,SUM($Q$2:Q899),"")</f>
        <v/>
      </c>
    </row>
    <row r="900" spans="1:18" x14ac:dyDescent="0.2">
      <c r="A900" s="72"/>
      <c r="B900" s="76"/>
      <c r="C900" s="73"/>
      <c r="D900" s="73" t="s">
        <v>978</v>
      </c>
      <c r="E900" s="77" t="s">
        <v>94</v>
      </c>
      <c r="F900" s="75" t="s">
        <v>1628</v>
      </c>
      <c r="G900" s="75" t="s">
        <v>1233</v>
      </c>
      <c r="H900" s="69"/>
      <c r="P900" s="69">
        <f t="shared" si="14"/>
        <v>0</v>
      </c>
      <c r="Q900" s="69" cm="1">
        <f t="array" ref="Q900">IF(P900=1,IF(SUMPRODUCT(($P$2:P900)*(--($G$2:G900=$G900)))=1,1,0),0)</f>
        <v>0</v>
      </c>
      <c r="R900" s="69" t="str">
        <f>IF(Q900=1,SUM($Q$2:Q900),"")</f>
        <v/>
      </c>
    </row>
    <row r="901" spans="1:18" x14ac:dyDescent="0.2">
      <c r="A901" s="72"/>
      <c r="B901" s="76"/>
      <c r="C901" s="73"/>
      <c r="D901" s="73" t="s">
        <v>978</v>
      </c>
      <c r="E901" s="77" t="s">
        <v>94</v>
      </c>
      <c r="F901" s="75" t="s">
        <v>1629</v>
      </c>
      <c r="G901" s="75" t="s">
        <v>1233</v>
      </c>
      <c r="H901" s="69"/>
      <c r="P901" s="69">
        <f t="shared" si="14"/>
        <v>0</v>
      </c>
      <c r="Q901" s="69" cm="1">
        <f t="array" ref="Q901">IF(P901=1,IF(SUMPRODUCT(($P$2:P901)*(--($G$2:G901=$G901)))=1,1,0),0)</f>
        <v>0</v>
      </c>
      <c r="R901" s="69" t="str">
        <f>IF(Q901=1,SUM($Q$2:Q901),"")</f>
        <v/>
      </c>
    </row>
    <row r="902" spans="1:18" x14ac:dyDescent="0.2">
      <c r="A902" s="72"/>
      <c r="B902" s="76"/>
      <c r="C902" s="73"/>
      <c r="D902" s="73" t="s">
        <v>978</v>
      </c>
      <c r="E902" s="77" t="s">
        <v>94</v>
      </c>
      <c r="F902" s="75" t="s">
        <v>1630</v>
      </c>
      <c r="G902" s="75" t="s">
        <v>1233</v>
      </c>
      <c r="H902" s="69"/>
      <c r="P902" s="69">
        <f t="shared" si="14"/>
        <v>0</v>
      </c>
      <c r="Q902" s="69" cm="1">
        <f t="array" ref="Q902">IF(P902=1,IF(SUMPRODUCT(($P$2:P902)*(--($G$2:G902=$G902)))=1,1,0),0)</f>
        <v>0</v>
      </c>
      <c r="R902" s="69" t="str">
        <f>IF(Q902=1,SUM($Q$2:Q902),"")</f>
        <v/>
      </c>
    </row>
    <row r="903" spans="1:18" x14ac:dyDescent="0.2">
      <c r="A903" s="72"/>
      <c r="B903" s="76"/>
      <c r="C903" s="73"/>
      <c r="D903" s="73" t="s">
        <v>978</v>
      </c>
      <c r="E903" s="77" t="s">
        <v>94</v>
      </c>
      <c r="F903" s="75" t="s">
        <v>1631</v>
      </c>
      <c r="G903" s="75" t="s">
        <v>1233</v>
      </c>
      <c r="H903" s="69"/>
      <c r="P903" s="69">
        <f t="shared" si="14"/>
        <v>0</v>
      </c>
      <c r="Q903" s="69" cm="1">
        <f t="array" ref="Q903">IF(P903=1,IF(SUMPRODUCT(($P$2:P903)*(--($G$2:G903=$G903)))=1,1,0),0)</f>
        <v>0</v>
      </c>
      <c r="R903" s="69" t="str">
        <f>IF(Q903=1,SUM($Q$2:Q903),"")</f>
        <v/>
      </c>
    </row>
    <row r="904" spans="1:18" x14ac:dyDescent="0.2">
      <c r="A904" s="72"/>
      <c r="B904" s="76"/>
      <c r="C904" s="73"/>
      <c r="D904" s="73" t="s">
        <v>978</v>
      </c>
      <c r="E904" s="77" t="s">
        <v>94</v>
      </c>
      <c r="F904" s="75" t="s">
        <v>1632</v>
      </c>
      <c r="G904" s="75" t="s">
        <v>1233</v>
      </c>
      <c r="H904" s="69"/>
      <c r="P904" s="69">
        <f t="shared" si="14"/>
        <v>0</v>
      </c>
      <c r="Q904" s="69" cm="1">
        <f t="array" ref="Q904">IF(P904=1,IF(SUMPRODUCT(($P$2:P904)*(--($G$2:G904=$G904)))=1,1,0),0)</f>
        <v>0</v>
      </c>
      <c r="R904" s="69" t="str">
        <f>IF(Q904=1,SUM($Q$2:Q904),"")</f>
        <v/>
      </c>
    </row>
    <row r="905" spans="1:18" x14ac:dyDescent="0.2">
      <c r="A905" s="72"/>
      <c r="B905" s="76"/>
      <c r="C905" s="73"/>
      <c r="D905" s="73" t="s">
        <v>978</v>
      </c>
      <c r="E905" s="77" t="s">
        <v>94</v>
      </c>
      <c r="F905" s="75" t="s">
        <v>1677</v>
      </c>
      <c r="G905" s="75" t="s">
        <v>1233</v>
      </c>
      <c r="H905" s="69"/>
      <c r="P905" s="69">
        <f t="shared" si="14"/>
        <v>0</v>
      </c>
      <c r="Q905" s="69" cm="1">
        <f t="array" ref="Q905">IF(P905=1,IF(SUMPRODUCT(($P$2:P905)*(--($G$2:G905=$G905)))=1,1,0),0)</f>
        <v>0</v>
      </c>
      <c r="R905" s="69" t="str">
        <f>IF(Q905=1,SUM($Q$2:Q905),"")</f>
        <v/>
      </c>
    </row>
    <row r="906" spans="1:18" x14ac:dyDescent="0.2">
      <c r="A906" s="72"/>
      <c r="B906" s="76"/>
      <c r="C906" s="73"/>
      <c r="D906" s="73" t="s">
        <v>978</v>
      </c>
      <c r="E906" s="77" t="s">
        <v>94</v>
      </c>
      <c r="F906" s="75" t="s">
        <v>1678</v>
      </c>
      <c r="G906" s="75" t="s">
        <v>1233</v>
      </c>
      <c r="H906" s="69"/>
      <c r="P906" s="69">
        <f t="shared" si="14"/>
        <v>0</v>
      </c>
      <c r="Q906" s="69" cm="1">
        <f t="array" ref="Q906">IF(P906=1,IF(SUMPRODUCT(($P$2:P906)*(--($G$2:G906=$G906)))=1,1,0),0)</f>
        <v>0</v>
      </c>
      <c r="R906" s="69" t="str">
        <f>IF(Q906=1,SUM($Q$2:Q906),"")</f>
        <v/>
      </c>
    </row>
    <row r="907" spans="1:18" x14ac:dyDescent="0.2">
      <c r="A907" s="72"/>
      <c r="B907" s="76"/>
      <c r="C907" s="73"/>
      <c r="D907" s="73" t="s">
        <v>978</v>
      </c>
      <c r="E907" s="77" t="s">
        <v>94</v>
      </c>
      <c r="F907" s="75" t="s">
        <v>1679</v>
      </c>
      <c r="G907" s="75" t="s">
        <v>1233</v>
      </c>
      <c r="H907" s="69"/>
      <c r="P907" s="69">
        <f t="shared" si="14"/>
        <v>0</v>
      </c>
      <c r="Q907" s="69" cm="1">
        <f t="array" ref="Q907">IF(P907=1,IF(SUMPRODUCT(($P$2:P907)*(--($G$2:G907=$G907)))=1,1,0),0)</f>
        <v>0</v>
      </c>
      <c r="R907" s="69" t="str">
        <f>IF(Q907=1,SUM($Q$2:Q907),"")</f>
        <v/>
      </c>
    </row>
    <row r="908" spans="1:18" x14ac:dyDescent="0.2">
      <c r="A908" s="72"/>
      <c r="B908" s="76"/>
      <c r="C908" s="73"/>
      <c r="D908" s="73" t="s">
        <v>978</v>
      </c>
      <c r="E908" s="77" t="s">
        <v>94</v>
      </c>
      <c r="F908" s="75" t="s">
        <v>1680</v>
      </c>
      <c r="G908" s="75" t="s">
        <v>1233</v>
      </c>
      <c r="H908" s="69"/>
      <c r="P908" s="69">
        <f t="shared" si="14"/>
        <v>0</v>
      </c>
      <c r="Q908" s="69" cm="1">
        <f t="array" ref="Q908">IF(P908=1,IF(SUMPRODUCT(($P$2:P908)*(--($G$2:G908=$G908)))=1,1,0),0)</f>
        <v>0</v>
      </c>
      <c r="R908" s="69" t="str">
        <f>IF(Q908=1,SUM($Q$2:Q908),"")</f>
        <v/>
      </c>
    </row>
    <row r="909" spans="1:18" x14ac:dyDescent="0.2">
      <c r="A909" s="72"/>
      <c r="B909" s="76"/>
      <c r="C909" s="73"/>
      <c r="D909" s="73" t="s">
        <v>978</v>
      </c>
      <c r="E909" s="77" t="s">
        <v>94</v>
      </c>
      <c r="F909" s="75" t="s">
        <v>1681</v>
      </c>
      <c r="G909" s="75" t="s">
        <v>1233</v>
      </c>
      <c r="H909" s="69"/>
      <c r="P909" s="69">
        <f t="shared" si="14"/>
        <v>0</v>
      </c>
      <c r="Q909" s="69" cm="1">
        <f t="array" ref="Q909">IF(P909=1,IF(SUMPRODUCT(($P$2:P909)*(--($G$2:G909=$G909)))=1,1,0),0)</f>
        <v>0</v>
      </c>
      <c r="R909" s="69" t="str">
        <f>IF(Q909=1,SUM($Q$2:Q909),"")</f>
        <v/>
      </c>
    </row>
    <row r="910" spans="1:18" x14ac:dyDescent="0.2">
      <c r="A910" s="72"/>
      <c r="B910" s="76"/>
      <c r="C910" s="73"/>
      <c r="D910" s="73" t="s">
        <v>978</v>
      </c>
      <c r="E910" s="77" t="s">
        <v>110</v>
      </c>
      <c r="F910" s="75" t="s">
        <v>1627</v>
      </c>
      <c r="G910" s="75" t="s">
        <v>1232</v>
      </c>
      <c r="H910" s="69"/>
      <c r="P910" s="69">
        <f t="shared" si="14"/>
        <v>0</v>
      </c>
      <c r="Q910" s="69" cm="1">
        <f t="array" ref="Q910">IF(P910=1,IF(SUMPRODUCT(($P$2:P910)*(--($G$2:G910=$G910)))=1,1,0),0)</f>
        <v>0</v>
      </c>
      <c r="R910" s="69" t="str">
        <f>IF(Q910=1,SUM($Q$2:Q910),"")</f>
        <v/>
      </c>
    </row>
    <row r="911" spans="1:18" x14ac:dyDescent="0.2">
      <c r="A911" s="72"/>
      <c r="B911" s="76"/>
      <c r="C911" s="73"/>
      <c r="D911" s="73" t="s">
        <v>978</v>
      </c>
      <c r="E911" s="77" t="s">
        <v>110</v>
      </c>
      <c r="F911" s="75" t="s">
        <v>1628</v>
      </c>
      <c r="G911" s="75" t="s">
        <v>1232</v>
      </c>
      <c r="H911" s="69"/>
      <c r="P911" s="69">
        <f t="shared" si="14"/>
        <v>0</v>
      </c>
      <c r="Q911" s="69" cm="1">
        <f t="array" ref="Q911">IF(P911=1,IF(SUMPRODUCT(($P$2:P911)*(--($G$2:G911=$G911)))=1,1,0),0)</f>
        <v>0</v>
      </c>
      <c r="R911" s="69" t="str">
        <f>IF(Q911=1,SUM($Q$2:Q911),"")</f>
        <v/>
      </c>
    </row>
    <row r="912" spans="1:18" x14ac:dyDescent="0.2">
      <c r="A912" s="72"/>
      <c r="B912" s="76"/>
      <c r="C912" s="73"/>
      <c r="D912" s="73" t="s">
        <v>978</v>
      </c>
      <c r="E912" s="77" t="s">
        <v>110</v>
      </c>
      <c r="F912" s="75" t="s">
        <v>1629</v>
      </c>
      <c r="G912" s="75" t="s">
        <v>1232</v>
      </c>
      <c r="H912" s="69"/>
      <c r="P912" s="69">
        <f t="shared" si="14"/>
        <v>0</v>
      </c>
      <c r="Q912" s="69" cm="1">
        <f t="array" ref="Q912">IF(P912=1,IF(SUMPRODUCT(($P$2:P912)*(--($G$2:G912=$G912)))=1,1,0),0)</f>
        <v>0</v>
      </c>
      <c r="R912" s="69" t="str">
        <f>IF(Q912=1,SUM($Q$2:Q912),"")</f>
        <v/>
      </c>
    </row>
    <row r="913" spans="1:18" x14ac:dyDescent="0.2">
      <c r="A913" s="72"/>
      <c r="B913" s="76"/>
      <c r="C913" s="73"/>
      <c r="D913" s="73" t="s">
        <v>978</v>
      </c>
      <c r="E913" s="77" t="s">
        <v>110</v>
      </c>
      <c r="F913" s="75" t="s">
        <v>1630</v>
      </c>
      <c r="G913" s="75" t="s">
        <v>1232</v>
      </c>
      <c r="H913" s="69"/>
      <c r="P913" s="69">
        <f t="shared" si="14"/>
        <v>0</v>
      </c>
      <c r="Q913" s="69" cm="1">
        <f t="array" ref="Q913">IF(P913=1,IF(SUMPRODUCT(($P$2:P913)*(--($G$2:G913=$G913)))=1,1,0),0)</f>
        <v>0</v>
      </c>
      <c r="R913" s="69" t="str">
        <f>IF(Q913=1,SUM($Q$2:Q913),"")</f>
        <v/>
      </c>
    </row>
    <row r="914" spans="1:18" x14ac:dyDescent="0.2">
      <c r="A914" s="72"/>
      <c r="B914" s="76"/>
      <c r="C914" s="73"/>
      <c r="D914" s="73" t="s">
        <v>978</v>
      </c>
      <c r="E914" s="77" t="s">
        <v>110</v>
      </c>
      <c r="F914" s="75" t="s">
        <v>1631</v>
      </c>
      <c r="G914" s="75" t="s">
        <v>1232</v>
      </c>
      <c r="H914" s="69"/>
      <c r="P914" s="69">
        <f t="shared" si="14"/>
        <v>0</v>
      </c>
      <c r="Q914" s="69" cm="1">
        <f t="array" ref="Q914">IF(P914=1,IF(SUMPRODUCT(($P$2:P914)*(--($G$2:G914=$G914)))=1,1,0),0)</f>
        <v>0</v>
      </c>
      <c r="R914" s="69" t="str">
        <f>IF(Q914=1,SUM($Q$2:Q914),"")</f>
        <v/>
      </c>
    </row>
    <row r="915" spans="1:18" x14ac:dyDescent="0.2">
      <c r="A915" s="72"/>
      <c r="B915" s="76"/>
      <c r="C915" s="73"/>
      <c r="D915" s="73" t="s">
        <v>978</v>
      </c>
      <c r="E915" s="77" t="s">
        <v>110</v>
      </c>
      <c r="F915" s="75" t="s">
        <v>1632</v>
      </c>
      <c r="G915" s="75" t="s">
        <v>1232</v>
      </c>
      <c r="H915" s="69"/>
      <c r="P915" s="69">
        <f t="shared" si="14"/>
        <v>0</v>
      </c>
      <c r="Q915" s="69" cm="1">
        <f t="array" ref="Q915">IF(P915=1,IF(SUMPRODUCT(($P$2:P915)*(--($G$2:G915=$G915)))=1,1,0),0)</f>
        <v>0</v>
      </c>
      <c r="R915" s="69" t="str">
        <f>IF(Q915=1,SUM($Q$2:Q915),"")</f>
        <v/>
      </c>
    </row>
    <row r="916" spans="1:18" x14ac:dyDescent="0.2">
      <c r="A916" s="72"/>
      <c r="B916" s="76"/>
      <c r="C916" s="73"/>
      <c r="D916" s="73" t="s">
        <v>978</v>
      </c>
      <c r="E916" s="77" t="s">
        <v>110</v>
      </c>
      <c r="F916" s="75" t="s">
        <v>1677</v>
      </c>
      <c r="G916" s="75" t="s">
        <v>1232</v>
      </c>
      <c r="H916" s="69"/>
      <c r="P916" s="69">
        <f t="shared" si="14"/>
        <v>0</v>
      </c>
      <c r="Q916" s="69" cm="1">
        <f t="array" ref="Q916">IF(P916=1,IF(SUMPRODUCT(($P$2:P916)*(--($G$2:G916=$G916)))=1,1,0),0)</f>
        <v>0</v>
      </c>
      <c r="R916" s="69" t="str">
        <f>IF(Q916=1,SUM($Q$2:Q916),"")</f>
        <v/>
      </c>
    </row>
    <row r="917" spans="1:18" x14ac:dyDescent="0.2">
      <c r="A917" s="72"/>
      <c r="B917" s="76"/>
      <c r="C917" s="73"/>
      <c r="D917" s="73" t="s">
        <v>978</v>
      </c>
      <c r="E917" s="77" t="s">
        <v>110</v>
      </c>
      <c r="F917" s="75" t="s">
        <v>1678</v>
      </c>
      <c r="G917" s="75" t="s">
        <v>1232</v>
      </c>
      <c r="H917" s="69"/>
      <c r="P917" s="69">
        <f t="shared" si="14"/>
        <v>0</v>
      </c>
      <c r="Q917" s="69" cm="1">
        <f t="array" ref="Q917">IF(P917=1,IF(SUMPRODUCT(($P$2:P917)*(--($G$2:G917=$G917)))=1,1,0),0)</f>
        <v>0</v>
      </c>
      <c r="R917" s="69" t="str">
        <f>IF(Q917=1,SUM($Q$2:Q917),"")</f>
        <v/>
      </c>
    </row>
    <row r="918" spans="1:18" x14ac:dyDescent="0.2">
      <c r="A918" s="72"/>
      <c r="B918" s="76"/>
      <c r="C918" s="73"/>
      <c r="D918" s="73" t="s">
        <v>978</v>
      </c>
      <c r="E918" s="77" t="s">
        <v>110</v>
      </c>
      <c r="F918" s="75" t="s">
        <v>1679</v>
      </c>
      <c r="G918" s="75" t="s">
        <v>1232</v>
      </c>
      <c r="H918" s="69"/>
      <c r="P918" s="69">
        <f t="shared" si="14"/>
        <v>0</v>
      </c>
      <c r="Q918" s="69" cm="1">
        <f t="array" ref="Q918">IF(P918=1,IF(SUMPRODUCT(($P$2:P918)*(--($G$2:G918=$G918)))=1,1,0),0)</f>
        <v>0</v>
      </c>
      <c r="R918" s="69" t="str">
        <f>IF(Q918=1,SUM($Q$2:Q918),"")</f>
        <v/>
      </c>
    </row>
    <row r="919" spans="1:18" x14ac:dyDescent="0.2">
      <c r="A919" s="72"/>
      <c r="B919" s="76"/>
      <c r="C919" s="73"/>
      <c r="D919" s="73" t="s">
        <v>978</v>
      </c>
      <c r="E919" s="77" t="s">
        <v>110</v>
      </c>
      <c r="F919" s="75" t="s">
        <v>1680</v>
      </c>
      <c r="G919" s="75" t="s">
        <v>1232</v>
      </c>
      <c r="H919" s="69"/>
      <c r="P919" s="69">
        <f t="shared" si="14"/>
        <v>0</v>
      </c>
      <c r="Q919" s="69" cm="1">
        <f t="array" ref="Q919">IF(P919=1,IF(SUMPRODUCT(($P$2:P919)*(--($G$2:G919=$G919)))=1,1,0),0)</f>
        <v>0</v>
      </c>
      <c r="R919" s="69" t="str">
        <f>IF(Q919=1,SUM($Q$2:Q919),"")</f>
        <v/>
      </c>
    </row>
    <row r="920" spans="1:18" x14ac:dyDescent="0.2">
      <c r="A920" s="72"/>
      <c r="B920" s="76"/>
      <c r="C920" s="73"/>
      <c r="D920" s="73" t="s">
        <v>978</v>
      </c>
      <c r="E920" s="77" t="s">
        <v>110</v>
      </c>
      <c r="F920" s="75" t="s">
        <v>1681</v>
      </c>
      <c r="G920" s="75" t="s">
        <v>1232</v>
      </c>
      <c r="H920" s="69"/>
      <c r="P920" s="69">
        <f t="shared" si="14"/>
        <v>0</v>
      </c>
      <c r="Q920" s="69" cm="1">
        <f t="array" ref="Q920">IF(P920=1,IF(SUMPRODUCT(($P$2:P920)*(--($G$2:G920=$G920)))=1,1,0),0)</f>
        <v>0</v>
      </c>
      <c r="R920" s="69" t="str">
        <f>IF(Q920=1,SUM($Q$2:Q920),"")</f>
        <v/>
      </c>
    </row>
    <row r="921" spans="1:18" x14ac:dyDescent="0.2">
      <c r="A921" s="72"/>
      <c r="B921" s="76"/>
      <c r="C921" s="73"/>
      <c r="D921" s="73" t="s">
        <v>978</v>
      </c>
      <c r="E921" s="77" t="s">
        <v>94</v>
      </c>
      <c r="F921" s="75" t="s">
        <v>407</v>
      </c>
      <c r="G921" s="75" t="s">
        <v>1234</v>
      </c>
      <c r="H921" s="69"/>
      <c r="P921" s="69">
        <f t="shared" si="14"/>
        <v>0</v>
      </c>
      <c r="Q921" s="69" cm="1">
        <f t="array" ref="Q921">IF(P921=1,IF(SUMPRODUCT(($P$2:P921)*(--($G$2:G921=$G921)))=1,1,0),0)</f>
        <v>0</v>
      </c>
      <c r="R921" s="69" t="str">
        <f>IF(Q921=1,SUM($Q$2:Q921),"")</f>
        <v/>
      </c>
    </row>
    <row r="922" spans="1:18" x14ac:dyDescent="0.2">
      <c r="A922" s="72"/>
      <c r="B922" s="76"/>
      <c r="C922" s="73"/>
      <c r="D922" s="73" t="s">
        <v>978</v>
      </c>
      <c r="E922" s="77" t="s">
        <v>94</v>
      </c>
      <c r="F922" s="75" t="s">
        <v>1633</v>
      </c>
      <c r="G922" s="75" t="s">
        <v>1234</v>
      </c>
      <c r="H922" s="69"/>
      <c r="P922" s="69">
        <f t="shared" si="14"/>
        <v>0</v>
      </c>
      <c r="Q922" s="69" cm="1">
        <f t="array" ref="Q922">IF(P922=1,IF(SUMPRODUCT(($P$2:P922)*(--($G$2:G922=$G922)))=1,1,0),0)</f>
        <v>0</v>
      </c>
      <c r="R922" s="69" t="str">
        <f>IF(Q922=1,SUM($Q$2:Q922),"")</f>
        <v/>
      </c>
    </row>
    <row r="923" spans="1:18" x14ac:dyDescent="0.2">
      <c r="A923" s="72"/>
      <c r="B923" s="76"/>
      <c r="C923" s="73"/>
      <c r="D923" s="73" t="s">
        <v>978</v>
      </c>
      <c r="E923" s="77" t="s">
        <v>94</v>
      </c>
      <c r="F923" s="75" t="s">
        <v>1634</v>
      </c>
      <c r="G923" s="75" t="s">
        <v>1234</v>
      </c>
      <c r="H923" s="69"/>
      <c r="P923" s="69">
        <f t="shared" si="14"/>
        <v>0</v>
      </c>
      <c r="Q923" s="69" cm="1">
        <f t="array" ref="Q923">IF(P923=1,IF(SUMPRODUCT(($P$2:P923)*(--($G$2:G923=$G923)))=1,1,0),0)</f>
        <v>0</v>
      </c>
      <c r="R923" s="69" t="str">
        <f>IF(Q923=1,SUM($Q$2:Q923),"")</f>
        <v/>
      </c>
    </row>
    <row r="924" spans="1:18" x14ac:dyDescent="0.2">
      <c r="A924" s="72"/>
      <c r="B924" s="76"/>
      <c r="C924" s="73"/>
      <c r="D924" s="73" t="s">
        <v>978</v>
      </c>
      <c r="E924" s="77" t="s">
        <v>94</v>
      </c>
      <c r="F924" s="75" t="s">
        <v>1635</v>
      </c>
      <c r="G924" s="75" t="s">
        <v>1234</v>
      </c>
      <c r="H924" s="69"/>
      <c r="P924" s="69">
        <f t="shared" si="14"/>
        <v>0</v>
      </c>
      <c r="Q924" s="69" cm="1">
        <f t="array" ref="Q924">IF(P924=1,IF(SUMPRODUCT(($P$2:P924)*(--($G$2:G924=$G924)))=1,1,0),0)</f>
        <v>0</v>
      </c>
      <c r="R924" s="69" t="str">
        <f>IF(Q924=1,SUM($Q$2:Q924),"")</f>
        <v/>
      </c>
    </row>
    <row r="925" spans="1:18" x14ac:dyDescent="0.2">
      <c r="A925" s="72"/>
      <c r="B925" s="76"/>
      <c r="C925" s="73"/>
      <c r="D925" s="73" t="s">
        <v>978</v>
      </c>
      <c r="E925" s="77" t="s">
        <v>94</v>
      </c>
      <c r="F925" s="75" t="s">
        <v>1636</v>
      </c>
      <c r="G925" s="75" t="s">
        <v>1234</v>
      </c>
      <c r="H925" s="69"/>
      <c r="P925" s="69">
        <f t="shared" si="14"/>
        <v>0</v>
      </c>
      <c r="Q925" s="69" cm="1">
        <f t="array" ref="Q925">IF(P925=1,IF(SUMPRODUCT(($P$2:P925)*(--($G$2:G925=$G925)))=1,1,0),0)</f>
        <v>0</v>
      </c>
      <c r="R925" s="69" t="str">
        <f>IF(Q925=1,SUM($Q$2:Q925),"")</f>
        <v/>
      </c>
    </row>
    <row r="926" spans="1:18" x14ac:dyDescent="0.2">
      <c r="A926" s="72"/>
      <c r="B926" s="76"/>
      <c r="C926" s="73"/>
      <c r="D926" s="73" t="s">
        <v>978</v>
      </c>
      <c r="E926" s="77" t="s">
        <v>94</v>
      </c>
      <c r="F926" s="75" t="s">
        <v>1638</v>
      </c>
      <c r="G926" s="75" t="s">
        <v>1234</v>
      </c>
      <c r="H926" s="69"/>
      <c r="P926" s="69">
        <f t="shared" si="14"/>
        <v>0</v>
      </c>
      <c r="Q926" s="69" cm="1">
        <f t="array" ref="Q926">IF(P926=1,IF(SUMPRODUCT(($P$2:P926)*(--($G$2:G926=$G926)))=1,1,0),0)</f>
        <v>0</v>
      </c>
      <c r="R926" s="69" t="str">
        <f>IF(Q926=1,SUM($Q$2:Q926),"")</f>
        <v/>
      </c>
    </row>
    <row r="927" spans="1:18" x14ac:dyDescent="0.2">
      <c r="A927" s="72"/>
      <c r="B927" s="76"/>
      <c r="C927" s="73"/>
      <c r="D927" s="73" t="s">
        <v>978</v>
      </c>
      <c r="E927" s="77" t="s">
        <v>94</v>
      </c>
      <c r="F927" s="75" t="s">
        <v>1639</v>
      </c>
      <c r="G927" s="75" t="s">
        <v>1234</v>
      </c>
      <c r="H927" s="69"/>
      <c r="P927" s="69">
        <f t="shared" si="14"/>
        <v>0</v>
      </c>
      <c r="Q927" s="69" cm="1">
        <f t="array" ref="Q927">IF(P927=1,IF(SUMPRODUCT(($P$2:P927)*(--($G$2:G927=$G927)))=1,1,0),0)</f>
        <v>0</v>
      </c>
      <c r="R927" s="69" t="str">
        <f>IF(Q927=1,SUM($Q$2:Q927),"")</f>
        <v/>
      </c>
    </row>
    <row r="928" spans="1:18" x14ac:dyDescent="0.2">
      <c r="A928" s="72"/>
      <c r="B928" s="76"/>
      <c r="C928" s="73"/>
      <c r="D928" s="73" t="s">
        <v>978</v>
      </c>
      <c r="E928" s="77" t="s">
        <v>94</v>
      </c>
      <c r="F928" s="75" t="s">
        <v>1682</v>
      </c>
      <c r="G928" s="75" t="s">
        <v>1234</v>
      </c>
      <c r="H928" s="69"/>
      <c r="P928" s="69">
        <f t="shared" si="14"/>
        <v>0</v>
      </c>
      <c r="Q928" s="69" cm="1">
        <f t="array" ref="Q928">IF(P928=1,IF(SUMPRODUCT(($P$2:P928)*(--($G$2:G928=$G928)))=1,1,0),0)</f>
        <v>0</v>
      </c>
      <c r="R928" s="69" t="str">
        <f>IF(Q928=1,SUM($Q$2:Q928),"")</f>
        <v/>
      </c>
    </row>
    <row r="929" spans="1:18" x14ac:dyDescent="0.2">
      <c r="A929" s="72"/>
      <c r="B929" s="76"/>
      <c r="C929" s="73"/>
      <c r="D929" s="73" t="s">
        <v>978</v>
      </c>
      <c r="E929" s="77" t="s">
        <v>94</v>
      </c>
      <c r="F929" s="75" t="s">
        <v>1683</v>
      </c>
      <c r="G929" s="75" t="s">
        <v>1234</v>
      </c>
      <c r="H929" s="69"/>
      <c r="P929" s="69">
        <f t="shared" si="14"/>
        <v>0</v>
      </c>
      <c r="Q929" s="69" cm="1">
        <f t="array" ref="Q929">IF(P929=1,IF(SUMPRODUCT(($P$2:P929)*(--($G$2:G929=$G929)))=1,1,0),0)</f>
        <v>0</v>
      </c>
      <c r="R929" s="69" t="str">
        <f>IF(Q929=1,SUM($Q$2:Q929),"")</f>
        <v/>
      </c>
    </row>
    <row r="930" spans="1:18" x14ac:dyDescent="0.2">
      <c r="A930" s="72"/>
      <c r="B930" s="76"/>
      <c r="C930" s="73"/>
      <c r="D930" s="73" t="s">
        <v>978</v>
      </c>
      <c r="E930" s="77" t="s">
        <v>94</v>
      </c>
      <c r="F930" s="75" t="s">
        <v>1684</v>
      </c>
      <c r="G930" s="75" t="s">
        <v>1234</v>
      </c>
      <c r="H930" s="69"/>
      <c r="P930" s="69">
        <f t="shared" si="14"/>
        <v>0</v>
      </c>
      <c r="Q930" s="69" cm="1">
        <f t="array" ref="Q930">IF(P930=1,IF(SUMPRODUCT(($P$2:P930)*(--($G$2:G930=$G930)))=1,1,0),0)</f>
        <v>0</v>
      </c>
      <c r="R930" s="69" t="str">
        <f>IF(Q930=1,SUM($Q$2:Q930),"")</f>
        <v/>
      </c>
    </row>
    <row r="931" spans="1:18" x14ac:dyDescent="0.2">
      <c r="A931" s="72"/>
      <c r="B931" s="76"/>
      <c r="C931" s="73"/>
      <c r="D931" s="73" t="s">
        <v>978</v>
      </c>
      <c r="E931" s="77" t="s">
        <v>94</v>
      </c>
      <c r="F931" s="75" t="s">
        <v>1685</v>
      </c>
      <c r="G931" s="75" t="s">
        <v>1234</v>
      </c>
      <c r="H931" s="69"/>
      <c r="P931" s="69">
        <f t="shared" si="14"/>
        <v>0</v>
      </c>
      <c r="Q931" s="69" cm="1">
        <f t="array" ref="Q931">IF(P931=1,IF(SUMPRODUCT(($P$2:P931)*(--($G$2:G931=$G931)))=1,1,0),0)</f>
        <v>0</v>
      </c>
      <c r="R931" s="69" t="str">
        <f>IF(Q931=1,SUM($Q$2:Q931),"")</f>
        <v/>
      </c>
    </row>
    <row r="932" spans="1:18" x14ac:dyDescent="0.2">
      <c r="A932" s="72"/>
      <c r="B932" s="76"/>
      <c r="C932" s="73"/>
      <c r="D932" s="73" t="s">
        <v>978</v>
      </c>
      <c r="E932" s="77" t="s">
        <v>94</v>
      </c>
      <c r="F932" s="75" t="s">
        <v>1686</v>
      </c>
      <c r="G932" s="75" t="s">
        <v>1234</v>
      </c>
      <c r="H932" s="69"/>
      <c r="P932" s="69">
        <f t="shared" si="14"/>
        <v>0</v>
      </c>
      <c r="Q932" s="69" cm="1">
        <f t="array" ref="Q932">IF(P932=1,IF(SUMPRODUCT(($P$2:P932)*(--($G$2:G932=$G932)))=1,1,0),0)</f>
        <v>0</v>
      </c>
      <c r="R932" s="69" t="str">
        <f>IF(Q932=1,SUM($Q$2:Q932),"")</f>
        <v/>
      </c>
    </row>
    <row r="933" spans="1:18" x14ac:dyDescent="0.2">
      <c r="A933" s="72"/>
      <c r="B933" s="84"/>
      <c r="C933" s="73"/>
      <c r="D933" s="73" t="s">
        <v>978</v>
      </c>
      <c r="E933" s="77" t="s">
        <v>94</v>
      </c>
      <c r="F933" s="75" t="s">
        <v>407</v>
      </c>
      <c r="G933" s="75" t="s">
        <v>1257</v>
      </c>
      <c r="H933" s="69"/>
      <c r="P933" s="69">
        <f t="shared" si="14"/>
        <v>0</v>
      </c>
      <c r="Q933" s="69" cm="1">
        <f t="array" ref="Q933">IF(P933=1,IF(SUMPRODUCT(($P$2:P933)*(--($G$2:G933=$G933)))=1,1,0),0)</f>
        <v>0</v>
      </c>
      <c r="R933" s="69" t="str">
        <f>IF(Q933=1,SUM($Q$2:Q933),"")</f>
        <v/>
      </c>
    </row>
    <row r="934" spans="1:18" x14ac:dyDescent="0.2">
      <c r="A934" s="72"/>
      <c r="B934" s="84"/>
      <c r="C934" s="73"/>
      <c r="D934" s="73" t="s">
        <v>978</v>
      </c>
      <c r="E934" s="77" t="s">
        <v>94</v>
      </c>
      <c r="F934" s="75" t="s">
        <v>1633</v>
      </c>
      <c r="G934" s="75" t="s">
        <v>1257</v>
      </c>
      <c r="H934" s="69"/>
      <c r="P934" s="69">
        <f t="shared" si="14"/>
        <v>0</v>
      </c>
      <c r="Q934" s="69" cm="1">
        <f t="array" ref="Q934">IF(P934=1,IF(SUMPRODUCT(($P$2:P934)*(--($G$2:G934=$G934)))=1,1,0),0)</f>
        <v>0</v>
      </c>
      <c r="R934" s="69" t="str">
        <f>IF(Q934=1,SUM($Q$2:Q934),"")</f>
        <v/>
      </c>
    </row>
    <row r="935" spans="1:18" x14ac:dyDescent="0.2">
      <c r="A935" s="72"/>
      <c r="B935" s="84"/>
      <c r="C935" s="73"/>
      <c r="D935" s="73" t="s">
        <v>978</v>
      </c>
      <c r="E935" s="77" t="s">
        <v>94</v>
      </c>
      <c r="F935" s="75" t="s">
        <v>1634</v>
      </c>
      <c r="G935" s="75" t="s">
        <v>1257</v>
      </c>
      <c r="H935" s="69"/>
      <c r="P935" s="69">
        <f t="shared" si="14"/>
        <v>0</v>
      </c>
      <c r="Q935" s="69" cm="1">
        <f t="array" ref="Q935">IF(P935=1,IF(SUMPRODUCT(($P$2:P935)*(--($G$2:G935=$G935)))=1,1,0),0)</f>
        <v>0</v>
      </c>
      <c r="R935" s="69" t="str">
        <f>IF(Q935=1,SUM($Q$2:Q935),"")</f>
        <v/>
      </c>
    </row>
    <row r="936" spans="1:18" x14ac:dyDescent="0.2">
      <c r="A936" s="72"/>
      <c r="B936" s="84"/>
      <c r="C936" s="73"/>
      <c r="D936" s="73" t="s">
        <v>978</v>
      </c>
      <c r="E936" s="77" t="s">
        <v>94</v>
      </c>
      <c r="F936" s="75" t="s">
        <v>1635</v>
      </c>
      <c r="G936" s="75" t="s">
        <v>1257</v>
      </c>
      <c r="H936" s="69"/>
      <c r="P936" s="69">
        <f t="shared" si="14"/>
        <v>0</v>
      </c>
      <c r="Q936" s="69" cm="1">
        <f t="array" ref="Q936">IF(P936=1,IF(SUMPRODUCT(($P$2:P936)*(--($G$2:G936=$G936)))=1,1,0),0)</f>
        <v>0</v>
      </c>
      <c r="R936" s="69" t="str">
        <f>IF(Q936=1,SUM($Q$2:Q936),"")</f>
        <v/>
      </c>
    </row>
    <row r="937" spans="1:18" x14ac:dyDescent="0.2">
      <c r="A937" s="72"/>
      <c r="B937" s="84"/>
      <c r="C937" s="73"/>
      <c r="D937" s="73" t="s">
        <v>978</v>
      </c>
      <c r="E937" s="77" t="s">
        <v>94</v>
      </c>
      <c r="F937" s="75" t="s">
        <v>1636</v>
      </c>
      <c r="G937" s="75" t="s">
        <v>1257</v>
      </c>
      <c r="H937" s="69"/>
      <c r="P937" s="69">
        <f t="shared" si="14"/>
        <v>0</v>
      </c>
      <c r="Q937" s="69" cm="1">
        <f t="array" ref="Q937">IF(P937=1,IF(SUMPRODUCT(($P$2:P937)*(--($G$2:G937=$G937)))=1,1,0),0)</f>
        <v>0</v>
      </c>
      <c r="R937" s="69" t="str">
        <f>IF(Q937=1,SUM($Q$2:Q937),"")</f>
        <v/>
      </c>
    </row>
    <row r="938" spans="1:18" x14ac:dyDescent="0.2">
      <c r="A938" s="72"/>
      <c r="B938" s="84"/>
      <c r="C938" s="73"/>
      <c r="D938" s="73" t="s">
        <v>978</v>
      </c>
      <c r="E938" s="77" t="s">
        <v>94</v>
      </c>
      <c r="F938" s="75" t="s">
        <v>1637</v>
      </c>
      <c r="G938" s="75" t="s">
        <v>1257</v>
      </c>
      <c r="H938" s="69"/>
      <c r="P938" s="69">
        <f t="shared" si="14"/>
        <v>0</v>
      </c>
      <c r="Q938" s="69" cm="1">
        <f t="array" ref="Q938">IF(P938=1,IF(SUMPRODUCT(($P$2:P938)*(--($G$2:G938=$G938)))=1,1,0),0)</f>
        <v>0</v>
      </c>
      <c r="R938" s="69" t="str">
        <f>IF(Q938=1,SUM($Q$2:Q938),"")</f>
        <v/>
      </c>
    </row>
    <row r="939" spans="1:18" x14ac:dyDescent="0.2">
      <c r="A939" s="72"/>
      <c r="B939" s="84"/>
      <c r="C939" s="73"/>
      <c r="D939" s="73" t="s">
        <v>978</v>
      </c>
      <c r="E939" s="77" t="s">
        <v>94</v>
      </c>
      <c r="F939" s="75" t="s">
        <v>1638</v>
      </c>
      <c r="G939" s="75" t="s">
        <v>1257</v>
      </c>
      <c r="H939" s="69"/>
      <c r="P939" s="69">
        <f t="shared" si="14"/>
        <v>0</v>
      </c>
      <c r="Q939" s="69" cm="1">
        <f t="array" ref="Q939">IF(P939=1,IF(SUMPRODUCT(($P$2:P939)*(--($G$2:G939=$G939)))=1,1,0),0)</f>
        <v>0</v>
      </c>
      <c r="R939" s="69" t="str">
        <f>IF(Q939=1,SUM($Q$2:Q939),"")</f>
        <v/>
      </c>
    </row>
    <row r="940" spans="1:18" x14ac:dyDescent="0.2">
      <c r="A940" s="72"/>
      <c r="B940" s="84"/>
      <c r="C940" s="73"/>
      <c r="D940" s="73" t="s">
        <v>978</v>
      </c>
      <c r="E940" s="77" t="s">
        <v>94</v>
      </c>
      <c r="F940" s="75" t="s">
        <v>1639</v>
      </c>
      <c r="G940" s="75" t="s">
        <v>1257</v>
      </c>
      <c r="H940" s="69"/>
      <c r="P940" s="69">
        <f t="shared" si="14"/>
        <v>0</v>
      </c>
      <c r="Q940" s="69" cm="1">
        <f t="array" ref="Q940">IF(P940=1,IF(SUMPRODUCT(($P$2:P940)*(--($G$2:G940=$G940)))=1,1,0),0)</f>
        <v>0</v>
      </c>
      <c r="R940" s="69" t="str">
        <f>IF(Q940=1,SUM($Q$2:Q940),"")</f>
        <v/>
      </c>
    </row>
    <row r="941" spans="1:18" x14ac:dyDescent="0.2">
      <c r="A941" s="72"/>
      <c r="B941" s="84"/>
      <c r="C941" s="73"/>
      <c r="D941" s="73" t="s">
        <v>978</v>
      </c>
      <c r="E941" s="77" t="s">
        <v>94</v>
      </c>
      <c r="F941" s="75" t="s">
        <v>1682</v>
      </c>
      <c r="G941" s="75" t="s">
        <v>1257</v>
      </c>
      <c r="H941" s="69"/>
      <c r="P941" s="69">
        <f t="shared" si="14"/>
        <v>0</v>
      </c>
      <c r="Q941" s="69" cm="1">
        <f t="array" ref="Q941">IF(P941=1,IF(SUMPRODUCT(($P$2:P941)*(--($G$2:G941=$G941)))=1,1,0),0)</f>
        <v>0</v>
      </c>
      <c r="R941" s="69" t="str">
        <f>IF(Q941=1,SUM($Q$2:Q941),"")</f>
        <v/>
      </c>
    </row>
    <row r="942" spans="1:18" x14ac:dyDescent="0.2">
      <c r="A942" s="72"/>
      <c r="B942" s="84"/>
      <c r="C942" s="73"/>
      <c r="D942" s="73" t="s">
        <v>978</v>
      </c>
      <c r="E942" s="77" t="s">
        <v>94</v>
      </c>
      <c r="F942" s="75" t="s">
        <v>1683</v>
      </c>
      <c r="G942" s="75" t="s">
        <v>1257</v>
      </c>
      <c r="H942" s="69"/>
      <c r="P942" s="69">
        <f t="shared" si="14"/>
        <v>0</v>
      </c>
      <c r="Q942" s="69" cm="1">
        <f t="array" ref="Q942">IF(P942=1,IF(SUMPRODUCT(($P$2:P942)*(--($G$2:G942=$G942)))=1,1,0),0)</f>
        <v>0</v>
      </c>
      <c r="R942" s="69" t="str">
        <f>IF(Q942=1,SUM($Q$2:Q942),"")</f>
        <v/>
      </c>
    </row>
    <row r="943" spans="1:18" x14ac:dyDescent="0.2">
      <c r="A943" s="72"/>
      <c r="B943" s="84"/>
      <c r="C943" s="73"/>
      <c r="D943" s="73" t="s">
        <v>978</v>
      </c>
      <c r="E943" s="77" t="s">
        <v>94</v>
      </c>
      <c r="F943" s="75" t="s">
        <v>1684</v>
      </c>
      <c r="G943" s="75" t="s">
        <v>1257</v>
      </c>
      <c r="H943" s="69"/>
      <c r="P943" s="69">
        <f t="shared" si="14"/>
        <v>0</v>
      </c>
      <c r="Q943" s="69" cm="1">
        <f t="array" ref="Q943">IF(P943=1,IF(SUMPRODUCT(($P$2:P943)*(--($G$2:G943=$G943)))=1,1,0),0)</f>
        <v>0</v>
      </c>
      <c r="R943" s="69" t="str">
        <f>IF(Q943=1,SUM($Q$2:Q943),"")</f>
        <v/>
      </c>
    </row>
    <row r="944" spans="1:18" x14ac:dyDescent="0.2">
      <c r="A944" s="72"/>
      <c r="B944" s="84"/>
      <c r="C944" s="73"/>
      <c r="D944" s="73" t="s">
        <v>978</v>
      </c>
      <c r="E944" s="77" t="s">
        <v>94</v>
      </c>
      <c r="F944" s="75" t="s">
        <v>1685</v>
      </c>
      <c r="G944" s="75" t="s">
        <v>1257</v>
      </c>
      <c r="H944" s="69"/>
      <c r="P944" s="69">
        <f t="shared" si="14"/>
        <v>0</v>
      </c>
      <c r="Q944" s="69" cm="1">
        <f t="array" ref="Q944">IF(P944=1,IF(SUMPRODUCT(($P$2:P944)*(--($G$2:G944=$G944)))=1,1,0),0)</f>
        <v>0</v>
      </c>
      <c r="R944" s="69" t="str">
        <f>IF(Q944=1,SUM($Q$2:Q944),"")</f>
        <v/>
      </c>
    </row>
    <row r="945" spans="1:18" x14ac:dyDescent="0.2">
      <c r="A945" s="72"/>
      <c r="B945" s="84"/>
      <c r="C945" s="73"/>
      <c r="D945" s="73" t="s">
        <v>978</v>
      </c>
      <c r="E945" s="77" t="s">
        <v>94</v>
      </c>
      <c r="F945" s="75" t="s">
        <v>1686</v>
      </c>
      <c r="G945" s="75" t="s">
        <v>1257</v>
      </c>
      <c r="H945" s="69"/>
      <c r="P945" s="69">
        <f t="shared" si="14"/>
        <v>0</v>
      </c>
      <c r="Q945" s="69" cm="1">
        <f t="array" ref="Q945">IF(P945=1,IF(SUMPRODUCT(($P$2:P945)*(--($G$2:G945=$G945)))=1,1,0),0)</f>
        <v>0</v>
      </c>
      <c r="R945" s="69" t="str">
        <f>IF(Q945=1,SUM($Q$2:Q945),"")</f>
        <v/>
      </c>
    </row>
    <row r="946" spans="1:18" x14ac:dyDescent="0.2">
      <c r="A946" s="72"/>
      <c r="B946" s="76"/>
      <c r="C946" s="73"/>
      <c r="D946" s="73" t="s">
        <v>978</v>
      </c>
      <c r="E946" s="77" t="s">
        <v>94</v>
      </c>
      <c r="F946" s="75" t="s">
        <v>1640</v>
      </c>
      <c r="G946" s="75" t="s">
        <v>1235</v>
      </c>
      <c r="H946" s="69"/>
      <c r="P946" s="69">
        <f t="shared" si="14"/>
        <v>0</v>
      </c>
      <c r="Q946" s="69" cm="1">
        <f t="array" ref="Q946">IF(P946=1,IF(SUMPRODUCT(($P$2:P946)*(--($G$2:G946=$G946)))=1,1,0),0)</f>
        <v>0</v>
      </c>
      <c r="R946" s="69" t="str">
        <f>IF(Q946=1,SUM($Q$2:Q946),"")</f>
        <v/>
      </c>
    </row>
    <row r="947" spans="1:18" x14ac:dyDescent="0.2">
      <c r="A947" s="72"/>
      <c r="B947" s="76"/>
      <c r="C947" s="73"/>
      <c r="D947" s="73" t="s">
        <v>978</v>
      </c>
      <c r="E947" s="77" t="s">
        <v>94</v>
      </c>
      <c r="F947" s="75" t="s">
        <v>1641</v>
      </c>
      <c r="G947" s="75" t="s">
        <v>1235</v>
      </c>
      <c r="H947" s="69"/>
      <c r="P947" s="69">
        <f t="shared" si="14"/>
        <v>0</v>
      </c>
      <c r="Q947" s="69" cm="1">
        <f t="array" ref="Q947">IF(P947=1,IF(SUMPRODUCT(($P$2:P947)*(--($G$2:G947=$G947)))=1,1,0),0)</f>
        <v>0</v>
      </c>
      <c r="R947" s="69" t="str">
        <f>IF(Q947=1,SUM($Q$2:Q947),"")</f>
        <v/>
      </c>
    </row>
    <row r="948" spans="1:18" x14ac:dyDescent="0.2">
      <c r="A948" s="72"/>
      <c r="B948" s="76"/>
      <c r="C948" s="73"/>
      <c r="D948" s="73" t="s">
        <v>978</v>
      </c>
      <c r="E948" s="77" t="s">
        <v>94</v>
      </c>
      <c r="F948" s="75" t="s">
        <v>1642</v>
      </c>
      <c r="G948" s="75" t="s">
        <v>1235</v>
      </c>
      <c r="H948" s="69"/>
      <c r="P948" s="69">
        <f t="shared" si="14"/>
        <v>0</v>
      </c>
      <c r="Q948" s="69" cm="1">
        <f t="array" ref="Q948">IF(P948=1,IF(SUMPRODUCT(($P$2:P948)*(--($G$2:G948=$G948)))=1,1,0),0)</f>
        <v>0</v>
      </c>
      <c r="R948" s="69" t="str">
        <f>IF(Q948=1,SUM($Q$2:Q948),"")</f>
        <v/>
      </c>
    </row>
    <row r="949" spans="1:18" x14ac:dyDescent="0.2">
      <c r="A949" s="72"/>
      <c r="B949" s="76"/>
      <c r="C949" s="73"/>
      <c r="D949" s="73" t="s">
        <v>978</v>
      </c>
      <c r="E949" s="77" t="s">
        <v>94</v>
      </c>
      <c r="F949" s="75" t="s">
        <v>1643</v>
      </c>
      <c r="G949" s="75" t="s">
        <v>1235</v>
      </c>
      <c r="H949" s="69"/>
      <c r="P949" s="69">
        <f t="shared" si="14"/>
        <v>0</v>
      </c>
      <c r="Q949" s="69" cm="1">
        <f t="array" ref="Q949">IF(P949=1,IF(SUMPRODUCT(($P$2:P949)*(--($G$2:G949=$G949)))=1,1,0),0)</f>
        <v>0</v>
      </c>
      <c r="R949" s="69" t="str">
        <f>IF(Q949=1,SUM($Q$2:Q949),"")</f>
        <v/>
      </c>
    </row>
    <row r="950" spans="1:18" x14ac:dyDescent="0.2">
      <c r="A950" s="72"/>
      <c r="B950" s="76"/>
      <c r="C950" s="73"/>
      <c r="D950" s="73" t="s">
        <v>978</v>
      </c>
      <c r="E950" s="77" t="s">
        <v>94</v>
      </c>
      <c r="F950" s="75" t="s">
        <v>1644</v>
      </c>
      <c r="G950" s="75" t="s">
        <v>1235</v>
      </c>
      <c r="H950" s="69"/>
      <c r="P950" s="69">
        <f t="shared" si="14"/>
        <v>0</v>
      </c>
      <c r="Q950" s="69" cm="1">
        <f t="array" ref="Q950">IF(P950=1,IF(SUMPRODUCT(($P$2:P950)*(--($G$2:G950=$G950)))=1,1,0),0)</f>
        <v>0</v>
      </c>
      <c r="R950" s="69" t="str">
        <f>IF(Q950=1,SUM($Q$2:Q950),"")</f>
        <v/>
      </c>
    </row>
    <row r="951" spans="1:18" x14ac:dyDescent="0.2">
      <c r="A951" s="72"/>
      <c r="B951" s="76"/>
      <c r="C951" s="73"/>
      <c r="D951" s="73" t="s">
        <v>978</v>
      </c>
      <c r="E951" s="77" t="s">
        <v>94</v>
      </c>
      <c r="F951" s="75" t="s">
        <v>1645</v>
      </c>
      <c r="G951" s="75" t="s">
        <v>1235</v>
      </c>
      <c r="H951" s="69"/>
      <c r="P951" s="69">
        <f t="shared" si="14"/>
        <v>0</v>
      </c>
      <c r="Q951" s="69" cm="1">
        <f t="array" ref="Q951">IF(P951=1,IF(SUMPRODUCT(($P$2:P951)*(--($G$2:G951=$G951)))=1,1,0),0)</f>
        <v>0</v>
      </c>
      <c r="R951" s="69" t="str">
        <f>IF(Q951=1,SUM($Q$2:Q951),"")</f>
        <v/>
      </c>
    </row>
    <row r="952" spans="1:18" x14ac:dyDescent="0.2">
      <c r="A952" s="72"/>
      <c r="B952" s="76"/>
      <c r="C952" s="73"/>
      <c r="D952" s="73" t="s">
        <v>978</v>
      </c>
      <c r="E952" s="77" t="s">
        <v>94</v>
      </c>
      <c r="F952" s="75" t="s">
        <v>1687</v>
      </c>
      <c r="G952" s="75" t="s">
        <v>1235</v>
      </c>
      <c r="H952" s="69"/>
      <c r="P952" s="69">
        <f t="shared" si="14"/>
        <v>0</v>
      </c>
      <c r="Q952" s="69" cm="1">
        <f t="array" ref="Q952">IF(P952=1,IF(SUMPRODUCT(($P$2:P952)*(--($G$2:G952=$G952)))=1,1,0),0)</f>
        <v>0</v>
      </c>
      <c r="R952" s="69" t="str">
        <f>IF(Q952=1,SUM($Q$2:Q952),"")</f>
        <v/>
      </c>
    </row>
    <row r="953" spans="1:18" x14ac:dyDescent="0.2">
      <c r="A953" s="72"/>
      <c r="B953" s="76"/>
      <c r="C953" s="73"/>
      <c r="D953" s="73" t="s">
        <v>978</v>
      </c>
      <c r="E953" s="77" t="s">
        <v>94</v>
      </c>
      <c r="F953" s="75" t="s">
        <v>1688</v>
      </c>
      <c r="G953" s="75" t="s">
        <v>1235</v>
      </c>
      <c r="H953" s="69"/>
      <c r="P953" s="69">
        <f t="shared" si="14"/>
        <v>0</v>
      </c>
      <c r="Q953" s="69" cm="1">
        <f t="array" ref="Q953">IF(P953=1,IF(SUMPRODUCT(($P$2:P953)*(--($G$2:G953=$G953)))=1,1,0),0)</f>
        <v>0</v>
      </c>
      <c r="R953" s="69" t="str">
        <f>IF(Q953=1,SUM($Q$2:Q953),"")</f>
        <v/>
      </c>
    </row>
    <row r="954" spans="1:18" x14ac:dyDescent="0.2">
      <c r="A954" s="72"/>
      <c r="B954" s="76"/>
      <c r="C954" s="73"/>
      <c r="D954" s="73" t="s">
        <v>978</v>
      </c>
      <c r="E954" s="77" t="s">
        <v>94</v>
      </c>
      <c r="F954" s="75" t="s">
        <v>1689</v>
      </c>
      <c r="G954" s="75" t="s">
        <v>1235</v>
      </c>
      <c r="H954" s="69"/>
      <c r="P954" s="69">
        <f t="shared" si="14"/>
        <v>0</v>
      </c>
      <c r="Q954" s="69" cm="1">
        <f t="array" ref="Q954">IF(P954=1,IF(SUMPRODUCT(($P$2:P954)*(--($G$2:G954=$G954)))=1,1,0),0)</f>
        <v>0</v>
      </c>
      <c r="R954" s="69" t="str">
        <f>IF(Q954=1,SUM($Q$2:Q954),"")</f>
        <v/>
      </c>
    </row>
    <row r="955" spans="1:18" x14ac:dyDescent="0.2">
      <c r="A955" s="72"/>
      <c r="B955" s="76"/>
      <c r="C955" s="73"/>
      <c r="D955" s="73" t="s">
        <v>978</v>
      </c>
      <c r="E955" s="77" t="s">
        <v>94</v>
      </c>
      <c r="F955" s="75" t="s">
        <v>1690</v>
      </c>
      <c r="G955" s="75" t="s">
        <v>1235</v>
      </c>
      <c r="H955" s="69"/>
      <c r="P955" s="69">
        <f t="shared" si="14"/>
        <v>0</v>
      </c>
      <c r="Q955" s="69" cm="1">
        <f t="array" ref="Q955">IF(P955=1,IF(SUMPRODUCT(($P$2:P955)*(--($G$2:G955=$G955)))=1,1,0),0)</f>
        <v>0</v>
      </c>
      <c r="R955" s="69" t="str">
        <f>IF(Q955=1,SUM($Q$2:Q955),"")</f>
        <v/>
      </c>
    </row>
    <row r="956" spans="1:18" x14ac:dyDescent="0.2">
      <c r="A956" s="72"/>
      <c r="B956" s="76"/>
      <c r="C956" s="73"/>
      <c r="D956" s="73" t="s">
        <v>978</v>
      </c>
      <c r="E956" s="77" t="s">
        <v>94</v>
      </c>
      <c r="F956" s="75" t="s">
        <v>1691</v>
      </c>
      <c r="G956" s="75" t="s">
        <v>1235</v>
      </c>
      <c r="H956" s="69"/>
      <c r="P956" s="69">
        <f t="shared" si="14"/>
        <v>0</v>
      </c>
      <c r="Q956" s="69" cm="1">
        <f t="array" ref="Q956">IF(P956=1,IF(SUMPRODUCT(($P$2:P956)*(--($G$2:G956=$G956)))=1,1,0),0)</f>
        <v>0</v>
      </c>
      <c r="R956" s="69" t="str">
        <f>IF(Q956=1,SUM($Q$2:Q956),"")</f>
        <v/>
      </c>
    </row>
    <row r="957" spans="1:18" x14ac:dyDescent="0.2">
      <c r="A957" s="72"/>
      <c r="B957" s="84"/>
      <c r="C957" s="73"/>
      <c r="D957" s="73" t="s">
        <v>978</v>
      </c>
      <c r="E957" s="77" t="s">
        <v>94</v>
      </c>
      <c r="F957" s="75" t="s">
        <v>1640</v>
      </c>
      <c r="G957" s="75" t="s">
        <v>1258</v>
      </c>
      <c r="H957" s="69"/>
      <c r="P957" s="69">
        <f t="shared" si="14"/>
        <v>0</v>
      </c>
      <c r="Q957" s="69" cm="1">
        <f t="array" ref="Q957">IF(P957=1,IF(SUMPRODUCT(($P$2:P957)*(--($G$2:G957=$G957)))=1,1,0),0)</f>
        <v>0</v>
      </c>
      <c r="R957" s="69" t="str">
        <f>IF(Q957=1,SUM($Q$2:Q957),"")</f>
        <v/>
      </c>
    </row>
    <row r="958" spans="1:18" x14ac:dyDescent="0.2">
      <c r="A958" s="72"/>
      <c r="B958" s="84"/>
      <c r="C958" s="73"/>
      <c r="D958" s="73" t="s">
        <v>978</v>
      </c>
      <c r="E958" s="77" t="s">
        <v>94</v>
      </c>
      <c r="F958" s="75" t="s">
        <v>1641</v>
      </c>
      <c r="G958" s="75" t="s">
        <v>1258</v>
      </c>
      <c r="H958" s="69"/>
      <c r="P958" s="69">
        <f t="shared" si="14"/>
        <v>0</v>
      </c>
      <c r="Q958" s="69" cm="1">
        <f t="array" ref="Q958">IF(P958=1,IF(SUMPRODUCT(($P$2:P958)*(--($G$2:G958=$G958)))=1,1,0),0)</f>
        <v>0</v>
      </c>
      <c r="R958" s="69" t="str">
        <f>IF(Q958=1,SUM($Q$2:Q958),"")</f>
        <v/>
      </c>
    </row>
    <row r="959" spans="1:18" x14ac:dyDescent="0.2">
      <c r="A959" s="72"/>
      <c r="B959" s="84"/>
      <c r="C959" s="73"/>
      <c r="D959" s="73" t="s">
        <v>978</v>
      </c>
      <c r="E959" s="77" t="s">
        <v>94</v>
      </c>
      <c r="F959" s="75" t="s">
        <v>1642</v>
      </c>
      <c r="G959" s="75" t="s">
        <v>1258</v>
      </c>
      <c r="H959" s="69"/>
      <c r="P959" s="69">
        <f t="shared" si="14"/>
        <v>0</v>
      </c>
      <c r="Q959" s="69" cm="1">
        <f t="array" ref="Q959">IF(P959=1,IF(SUMPRODUCT(($P$2:P959)*(--($G$2:G959=$G959)))=1,1,0),0)</f>
        <v>0</v>
      </c>
      <c r="R959" s="69" t="str">
        <f>IF(Q959=1,SUM($Q$2:Q959),"")</f>
        <v/>
      </c>
    </row>
    <row r="960" spans="1:18" x14ac:dyDescent="0.2">
      <c r="A960" s="72"/>
      <c r="B960" s="84"/>
      <c r="C960" s="73"/>
      <c r="D960" s="73" t="s">
        <v>978</v>
      </c>
      <c r="E960" s="77" t="s">
        <v>94</v>
      </c>
      <c r="F960" s="75" t="s">
        <v>1643</v>
      </c>
      <c r="G960" s="75" t="s">
        <v>1258</v>
      </c>
      <c r="H960" s="69"/>
      <c r="P960" s="69">
        <f t="shared" si="14"/>
        <v>0</v>
      </c>
      <c r="Q960" s="69" cm="1">
        <f t="array" ref="Q960">IF(P960=1,IF(SUMPRODUCT(($P$2:P960)*(--($G$2:G960=$G960)))=1,1,0),0)</f>
        <v>0</v>
      </c>
      <c r="R960" s="69" t="str">
        <f>IF(Q960=1,SUM($Q$2:Q960),"")</f>
        <v/>
      </c>
    </row>
    <row r="961" spans="1:18" x14ac:dyDescent="0.2">
      <c r="A961" s="72"/>
      <c r="B961" s="84"/>
      <c r="C961" s="73"/>
      <c r="D961" s="73" t="s">
        <v>978</v>
      </c>
      <c r="E961" s="77" t="s">
        <v>94</v>
      </c>
      <c r="F961" s="75" t="s">
        <v>1644</v>
      </c>
      <c r="G961" s="75" t="s">
        <v>1258</v>
      </c>
      <c r="H961" s="69"/>
      <c r="P961" s="69">
        <f t="shared" si="14"/>
        <v>0</v>
      </c>
      <c r="Q961" s="69" cm="1">
        <f t="array" ref="Q961">IF(P961=1,IF(SUMPRODUCT(($P$2:P961)*(--($G$2:G961=$G961)))=1,1,0),0)</f>
        <v>0</v>
      </c>
      <c r="R961" s="69" t="str">
        <f>IF(Q961=1,SUM($Q$2:Q961),"")</f>
        <v/>
      </c>
    </row>
    <row r="962" spans="1:18" x14ac:dyDescent="0.2">
      <c r="A962" s="72"/>
      <c r="B962" s="84"/>
      <c r="C962" s="73"/>
      <c r="D962" s="73" t="s">
        <v>978</v>
      </c>
      <c r="E962" s="77" t="s">
        <v>94</v>
      </c>
      <c r="F962" s="75" t="s">
        <v>1645</v>
      </c>
      <c r="G962" s="75" t="s">
        <v>1258</v>
      </c>
      <c r="H962" s="69"/>
      <c r="P962" s="69">
        <f t="shared" si="14"/>
        <v>0</v>
      </c>
      <c r="Q962" s="69" cm="1">
        <f t="array" ref="Q962">IF(P962=1,IF(SUMPRODUCT(($P$2:P962)*(--($G$2:G962=$G962)))=1,1,0),0)</f>
        <v>0</v>
      </c>
      <c r="R962" s="69" t="str">
        <f>IF(Q962=1,SUM($Q$2:Q962),"")</f>
        <v/>
      </c>
    </row>
    <row r="963" spans="1:18" x14ac:dyDescent="0.2">
      <c r="A963" s="72"/>
      <c r="B963" s="84"/>
      <c r="C963" s="73"/>
      <c r="D963" s="73" t="s">
        <v>978</v>
      </c>
      <c r="E963" s="77" t="s">
        <v>94</v>
      </c>
      <c r="F963" s="75" t="s">
        <v>1646</v>
      </c>
      <c r="G963" s="75" t="s">
        <v>1258</v>
      </c>
      <c r="H963" s="69"/>
      <c r="P963" s="69">
        <f t="shared" ref="P963:P1026" si="15">IF(AND(IF(TRIM($J$2&amp;"")="",TRUE,LEFT($D963,LEN($J$2))=$J$2),IF(TRIM($K$2&amp;"")="",TRUE,$E963=$K$2),IF($L$2="",TRUE,$F963=$L$2)),1,0)</f>
        <v>0</v>
      </c>
      <c r="Q963" s="69" cm="1">
        <f t="array" ref="Q963">IF(P963=1,IF(SUMPRODUCT(($P$2:P963)*(--($G$2:G963=$G963)))=1,1,0),0)</f>
        <v>0</v>
      </c>
      <c r="R963" s="69" t="str">
        <f>IF(Q963=1,SUM($Q$2:Q963),"")</f>
        <v/>
      </c>
    </row>
    <row r="964" spans="1:18" x14ac:dyDescent="0.2">
      <c r="A964" s="72"/>
      <c r="B964" s="84"/>
      <c r="C964" s="73"/>
      <c r="D964" s="73" t="s">
        <v>978</v>
      </c>
      <c r="E964" s="77" t="s">
        <v>94</v>
      </c>
      <c r="F964" s="75" t="s">
        <v>1687</v>
      </c>
      <c r="G964" s="75" t="s">
        <v>1258</v>
      </c>
      <c r="H964" s="69"/>
      <c r="P964" s="69">
        <f t="shared" si="15"/>
        <v>0</v>
      </c>
      <c r="Q964" s="69" cm="1">
        <f t="array" ref="Q964">IF(P964=1,IF(SUMPRODUCT(($P$2:P964)*(--($G$2:G964=$G964)))=1,1,0),0)</f>
        <v>0</v>
      </c>
      <c r="R964" s="69" t="str">
        <f>IF(Q964=1,SUM($Q$2:Q964),"")</f>
        <v/>
      </c>
    </row>
    <row r="965" spans="1:18" x14ac:dyDescent="0.2">
      <c r="A965" s="72"/>
      <c r="B965" s="84"/>
      <c r="C965" s="73"/>
      <c r="D965" s="73" t="s">
        <v>978</v>
      </c>
      <c r="E965" s="77" t="s">
        <v>94</v>
      </c>
      <c r="F965" s="75" t="s">
        <v>1688</v>
      </c>
      <c r="G965" s="75" t="s">
        <v>1258</v>
      </c>
      <c r="H965" s="69"/>
      <c r="P965" s="69">
        <f t="shared" si="15"/>
        <v>0</v>
      </c>
      <c r="Q965" s="69" cm="1">
        <f t="array" ref="Q965">IF(P965=1,IF(SUMPRODUCT(($P$2:P965)*(--($G$2:G965=$G965)))=1,1,0),0)</f>
        <v>0</v>
      </c>
      <c r="R965" s="69" t="str">
        <f>IF(Q965=1,SUM($Q$2:Q965),"")</f>
        <v/>
      </c>
    </row>
    <row r="966" spans="1:18" x14ac:dyDescent="0.2">
      <c r="A966" s="72"/>
      <c r="B966" s="84"/>
      <c r="C966" s="73"/>
      <c r="D966" s="73" t="s">
        <v>978</v>
      </c>
      <c r="E966" s="77" t="s">
        <v>94</v>
      </c>
      <c r="F966" s="75" t="s">
        <v>1689</v>
      </c>
      <c r="G966" s="75" t="s">
        <v>1258</v>
      </c>
      <c r="H966" s="69"/>
      <c r="P966" s="69">
        <f t="shared" si="15"/>
        <v>0</v>
      </c>
      <c r="Q966" s="69" cm="1">
        <f t="array" ref="Q966">IF(P966=1,IF(SUMPRODUCT(($P$2:P966)*(--($G$2:G966=$G966)))=1,1,0),0)</f>
        <v>0</v>
      </c>
      <c r="R966" s="69" t="str">
        <f>IF(Q966=1,SUM($Q$2:Q966),"")</f>
        <v/>
      </c>
    </row>
    <row r="967" spans="1:18" x14ac:dyDescent="0.2">
      <c r="A967" s="72"/>
      <c r="B967" s="84"/>
      <c r="C967" s="73"/>
      <c r="D967" s="73" t="s">
        <v>978</v>
      </c>
      <c r="E967" s="77" t="s">
        <v>94</v>
      </c>
      <c r="F967" s="75" t="s">
        <v>1690</v>
      </c>
      <c r="G967" s="75" t="s">
        <v>1258</v>
      </c>
      <c r="H967" s="69"/>
      <c r="P967" s="69">
        <f t="shared" si="15"/>
        <v>0</v>
      </c>
      <c r="Q967" s="69" cm="1">
        <f t="array" ref="Q967">IF(P967=1,IF(SUMPRODUCT(($P$2:P967)*(--($G$2:G967=$G967)))=1,1,0),0)</f>
        <v>0</v>
      </c>
      <c r="R967" s="69" t="str">
        <f>IF(Q967=1,SUM($Q$2:Q967),"")</f>
        <v/>
      </c>
    </row>
    <row r="968" spans="1:18" x14ac:dyDescent="0.2">
      <c r="A968" s="72"/>
      <c r="B968" s="84"/>
      <c r="C968" s="73"/>
      <c r="D968" s="73" t="s">
        <v>978</v>
      </c>
      <c r="E968" s="77" t="s">
        <v>94</v>
      </c>
      <c r="F968" s="75" t="s">
        <v>1691</v>
      </c>
      <c r="G968" s="75" t="s">
        <v>1258</v>
      </c>
      <c r="H968" s="69"/>
      <c r="P968" s="69">
        <f t="shared" si="15"/>
        <v>0</v>
      </c>
      <c r="Q968" s="69" cm="1">
        <f t="array" ref="Q968">IF(P968=1,IF(SUMPRODUCT(($P$2:P968)*(--($G$2:G968=$G968)))=1,1,0),0)</f>
        <v>0</v>
      </c>
      <c r="R968" s="69" t="str">
        <f>IF(Q968=1,SUM($Q$2:Q968),"")</f>
        <v/>
      </c>
    </row>
    <row r="969" spans="1:18" ht="16" x14ac:dyDescent="0.2">
      <c r="A969" s="72"/>
      <c r="B969" s="76"/>
      <c r="C969" s="73"/>
      <c r="D969" s="73" t="s">
        <v>978</v>
      </c>
      <c r="E969" s="77" t="s">
        <v>117</v>
      </c>
      <c r="F969" s="75" t="s">
        <v>1648</v>
      </c>
      <c r="G969" s="87" t="s">
        <v>1115</v>
      </c>
      <c r="H969" s="69"/>
      <c r="P969" s="69">
        <f t="shared" si="15"/>
        <v>0</v>
      </c>
      <c r="Q969" s="69" cm="1">
        <f t="array" ref="Q969">IF(P969=1,IF(SUMPRODUCT(($P$2:P969)*(--($G$2:G969=$G969)))=1,1,0),0)</f>
        <v>0</v>
      </c>
      <c r="R969" s="69" t="str">
        <f>IF(Q969=1,SUM($Q$2:Q969),"")</f>
        <v/>
      </c>
    </row>
    <row r="970" spans="1:18" ht="16" x14ac:dyDescent="0.2">
      <c r="A970" s="72"/>
      <c r="B970" s="76"/>
      <c r="C970" s="73"/>
      <c r="D970" s="73" t="s">
        <v>978</v>
      </c>
      <c r="E970" s="77" t="s">
        <v>117</v>
      </c>
      <c r="F970" s="75" t="s">
        <v>1649</v>
      </c>
      <c r="G970" s="87" t="s">
        <v>1115</v>
      </c>
      <c r="H970" s="69"/>
      <c r="P970" s="69">
        <f t="shared" si="15"/>
        <v>0</v>
      </c>
      <c r="Q970" s="69" cm="1">
        <f t="array" ref="Q970">IF(P970=1,IF(SUMPRODUCT(($P$2:P970)*(--($G$2:G970=$G970)))=1,1,0),0)</f>
        <v>0</v>
      </c>
      <c r="R970" s="69" t="str">
        <f>IF(Q970=1,SUM($Q$2:Q970),"")</f>
        <v/>
      </c>
    </row>
    <row r="971" spans="1:18" ht="16" x14ac:dyDescent="0.2">
      <c r="A971" s="72"/>
      <c r="B971" s="76"/>
      <c r="C971" s="73"/>
      <c r="D971" s="73" t="s">
        <v>978</v>
      </c>
      <c r="E971" s="77" t="s">
        <v>117</v>
      </c>
      <c r="F971" s="75" t="s">
        <v>1692</v>
      </c>
      <c r="G971" s="87" t="s">
        <v>1115</v>
      </c>
      <c r="H971" s="69"/>
      <c r="P971" s="69">
        <f t="shared" si="15"/>
        <v>0</v>
      </c>
      <c r="Q971" s="69" cm="1">
        <f t="array" ref="Q971">IF(P971=1,IF(SUMPRODUCT(($P$2:P971)*(--($G$2:G971=$G971)))=1,1,0),0)</f>
        <v>0</v>
      </c>
      <c r="R971" s="69" t="str">
        <f>IF(Q971=1,SUM($Q$2:Q971),"")</f>
        <v/>
      </c>
    </row>
    <row r="972" spans="1:18" ht="16" x14ac:dyDescent="0.2">
      <c r="A972" s="72"/>
      <c r="B972" s="84"/>
      <c r="C972" s="73"/>
      <c r="D972" s="73" t="s">
        <v>978</v>
      </c>
      <c r="E972" s="77" t="s">
        <v>94</v>
      </c>
      <c r="F972" s="75" t="s">
        <v>1692</v>
      </c>
      <c r="G972" s="87" t="s">
        <v>611</v>
      </c>
      <c r="H972" s="69"/>
      <c r="P972" s="69">
        <f t="shared" si="15"/>
        <v>0</v>
      </c>
      <c r="Q972" s="69" cm="1">
        <f t="array" ref="Q972">IF(P972=1,IF(SUMPRODUCT(($P$2:P972)*(--($G$2:G972=$G972)))=1,1,0),0)</f>
        <v>0</v>
      </c>
      <c r="R972" s="69" t="str">
        <f>IF(Q972=1,SUM($Q$2:Q972),"")</f>
        <v/>
      </c>
    </row>
    <row r="973" spans="1:18" ht="16" x14ac:dyDescent="0.2">
      <c r="A973" s="72"/>
      <c r="B973" s="84"/>
      <c r="C973" s="73"/>
      <c r="D973" s="73" t="s">
        <v>978</v>
      </c>
      <c r="E973" s="77" t="s">
        <v>94</v>
      </c>
      <c r="F973" s="75" t="s">
        <v>1649</v>
      </c>
      <c r="G973" s="87" t="s">
        <v>611</v>
      </c>
      <c r="H973" s="69"/>
      <c r="P973" s="69">
        <f t="shared" si="15"/>
        <v>0</v>
      </c>
      <c r="Q973" s="69" cm="1">
        <f t="array" ref="Q973">IF(P973=1,IF(SUMPRODUCT(($P$2:P973)*(--($G$2:G973=$G973)))=1,1,0),0)</f>
        <v>0</v>
      </c>
      <c r="R973" s="69" t="str">
        <f>IF(Q973=1,SUM($Q$2:Q973),"")</f>
        <v/>
      </c>
    </row>
    <row r="974" spans="1:18" ht="16" x14ac:dyDescent="0.2">
      <c r="A974" s="72"/>
      <c r="B974" s="84"/>
      <c r="C974" s="73"/>
      <c r="D974" s="73" t="s">
        <v>978</v>
      </c>
      <c r="E974" s="77" t="s">
        <v>94</v>
      </c>
      <c r="F974" s="75" t="s">
        <v>1693</v>
      </c>
      <c r="G974" s="87" t="s">
        <v>611</v>
      </c>
      <c r="H974" s="69"/>
      <c r="P974" s="69">
        <f t="shared" si="15"/>
        <v>0</v>
      </c>
      <c r="Q974" s="69" cm="1">
        <f t="array" ref="Q974">IF(P974=1,IF(SUMPRODUCT(($P$2:P974)*(--($G$2:G974=$G974)))=1,1,0),0)</f>
        <v>0</v>
      </c>
      <c r="R974" s="69" t="str">
        <f>IF(Q974=1,SUM($Q$2:Q974),"")</f>
        <v/>
      </c>
    </row>
    <row r="975" spans="1:18" ht="16" x14ac:dyDescent="0.2">
      <c r="A975" s="72"/>
      <c r="B975" s="76"/>
      <c r="C975" s="73"/>
      <c r="D975" s="73" t="s">
        <v>978</v>
      </c>
      <c r="E975" s="77" t="s">
        <v>110</v>
      </c>
      <c r="F975" s="75" t="s">
        <v>1649</v>
      </c>
      <c r="G975" s="87" t="s">
        <v>1229</v>
      </c>
      <c r="H975" s="69"/>
      <c r="P975" s="69">
        <f t="shared" si="15"/>
        <v>0</v>
      </c>
      <c r="Q975" s="69" cm="1">
        <f t="array" ref="Q975">IF(P975=1,IF(SUMPRODUCT(($P$2:P975)*(--($G$2:G975=$G975)))=1,1,0),0)</f>
        <v>0</v>
      </c>
      <c r="R975" s="69" t="str">
        <f>IF(Q975=1,SUM($Q$2:Q975),"")</f>
        <v/>
      </c>
    </row>
    <row r="976" spans="1:18" ht="16" x14ac:dyDescent="0.2">
      <c r="A976" s="72"/>
      <c r="B976" s="76"/>
      <c r="C976" s="73"/>
      <c r="D976" s="73" t="s">
        <v>978</v>
      </c>
      <c r="E976" s="77" t="s">
        <v>110</v>
      </c>
      <c r="F976" s="75" t="s">
        <v>1692</v>
      </c>
      <c r="G976" s="87" t="s">
        <v>1229</v>
      </c>
      <c r="H976" s="69"/>
      <c r="P976" s="69">
        <f t="shared" si="15"/>
        <v>0</v>
      </c>
      <c r="Q976" s="69" cm="1">
        <f t="array" ref="Q976">IF(P976=1,IF(SUMPRODUCT(($P$2:P976)*(--($G$2:G976=$G976)))=1,1,0),0)</f>
        <v>0</v>
      </c>
      <c r="R976" s="69" t="str">
        <f>IF(Q976=1,SUM($Q$2:Q976),"")</f>
        <v/>
      </c>
    </row>
    <row r="977" spans="1:18" ht="16" x14ac:dyDescent="0.2">
      <c r="A977" s="72"/>
      <c r="B977" s="76"/>
      <c r="C977" s="73"/>
      <c r="D977" s="73" t="s">
        <v>978</v>
      </c>
      <c r="E977" s="77" t="s">
        <v>94</v>
      </c>
      <c r="F977" s="75" t="s">
        <v>1649</v>
      </c>
      <c r="G977" s="87" t="s">
        <v>1228</v>
      </c>
      <c r="H977" s="69"/>
      <c r="P977" s="69">
        <f t="shared" si="15"/>
        <v>0</v>
      </c>
      <c r="Q977" s="69" cm="1">
        <f t="array" ref="Q977">IF(P977=1,IF(SUMPRODUCT(($P$2:P977)*(--($G$2:G977=$G977)))=1,1,0),0)</f>
        <v>0</v>
      </c>
      <c r="R977" s="69" t="str">
        <f>IF(Q977=1,SUM($Q$2:Q977),"")</f>
        <v/>
      </c>
    </row>
    <row r="978" spans="1:18" ht="16" x14ac:dyDescent="0.2">
      <c r="A978" s="72"/>
      <c r="B978" s="76"/>
      <c r="C978" s="73"/>
      <c r="D978" s="73" t="s">
        <v>978</v>
      </c>
      <c r="E978" s="77" t="s">
        <v>94</v>
      </c>
      <c r="F978" s="75" t="s">
        <v>1692</v>
      </c>
      <c r="G978" s="87" t="s">
        <v>1228</v>
      </c>
      <c r="H978" s="69"/>
      <c r="P978" s="69">
        <f t="shared" si="15"/>
        <v>0</v>
      </c>
      <c r="Q978" s="69" cm="1">
        <f t="array" ref="Q978">IF(P978=1,IF(SUMPRODUCT(($P$2:P978)*(--($G$2:G978=$G978)))=1,1,0),0)</f>
        <v>0</v>
      </c>
      <c r="R978" s="69" t="str">
        <f>IF(Q978=1,SUM($Q$2:Q978),"")</f>
        <v/>
      </c>
    </row>
    <row r="979" spans="1:18" ht="16" x14ac:dyDescent="0.2">
      <c r="A979" s="72"/>
      <c r="B979" s="76"/>
      <c r="C979" s="73"/>
      <c r="D979" s="73" t="s">
        <v>978</v>
      </c>
      <c r="E979" s="77" t="s">
        <v>135</v>
      </c>
      <c r="F979" s="75" t="s">
        <v>1649</v>
      </c>
      <c r="G979" s="87" t="s">
        <v>1228</v>
      </c>
      <c r="H979" s="69"/>
      <c r="P979" s="69">
        <f t="shared" si="15"/>
        <v>0</v>
      </c>
      <c r="Q979" s="69" cm="1">
        <f t="array" ref="Q979">IF(P979=1,IF(SUMPRODUCT(($P$2:P979)*(--($G$2:G979=$G979)))=1,1,0),0)</f>
        <v>0</v>
      </c>
      <c r="R979" s="69" t="str">
        <f>IF(Q979=1,SUM($Q$2:Q979),"")</f>
        <v/>
      </c>
    </row>
    <row r="980" spans="1:18" ht="16" x14ac:dyDescent="0.2">
      <c r="A980" s="72"/>
      <c r="B980" s="76"/>
      <c r="C980" s="73"/>
      <c r="D980" s="73" t="s">
        <v>978</v>
      </c>
      <c r="E980" s="77" t="s">
        <v>135</v>
      </c>
      <c r="F980" s="75" t="s">
        <v>1692</v>
      </c>
      <c r="G980" s="87" t="s">
        <v>1228</v>
      </c>
      <c r="H980" s="69"/>
      <c r="P980" s="69">
        <f t="shared" si="15"/>
        <v>0</v>
      </c>
      <c r="Q980" s="69" cm="1">
        <f t="array" ref="Q980">IF(P980=1,IF(SUMPRODUCT(($P$2:P980)*(--($G$2:G980=$G980)))=1,1,0),0)</f>
        <v>0</v>
      </c>
      <c r="R980" s="69" t="str">
        <f>IF(Q980=1,SUM($Q$2:Q980),"")</f>
        <v/>
      </c>
    </row>
    <row r="981" spans="1:18" ht="16" x14ac:dyDescent="0.2">
      <c r="A981" s="72"/>
      <c r="B981" s="84"/>
      <c r="C981" s="73"/>
      <c r="D981" s="73" t="s">
        <v>976</v>
      </c>
      <c r="E981" s="77" t="s">
        <v>94</v>
      </c>
      <c r="F981" s="75" t="s">
        <v>228</v>
      </c>
      <c r="G981" s="74" t="s">
        <v>579</v>
      </c>
      <c r="H981" s="69"/>
      <c r="P981" s="69">
        <f t="shared" si="15"/>
        <v>0</v>
      </c>
      <c r="Q981" s="69" cm="1">
        <f t="array" ref="Q981">IF(P981=1,IF(SUMPRODUCT(($P$2:P981)*(--($G$2:G981=$G981)))=1,1,0),0)</f>
        <v>0</v>
      </c>
      <c r="R981" s="69" t="str">
        <f>IF(Q981=1,SUM($Q$2:Q981),"")</f>
        <v/>
      </c>
    </row>
    <row r="982" spans="1:18" ht="16" x14ac:dyDescent="0.2">
      <c r="A982" s="72"/>
      <c r="B982" s="76"/>
      <c r="C982" s="73"/>
      <c r="D982" s="73" t="s">
        <v>976</v>
      </c>
      <c r="E982" s="77" t="s">
        <v>94</v>
      </c>
      <c r="F982" s="75" t="s">
        <v>403</v>
      </c>
      <c r="G982" s="74" t="s">
        <v>1211</v>
      </c>
      <c r="H982" s="69"/>
      <c r="P982" s="69">
        <f t="shared" si="15"/>
        <v>0</v>
      </c>
      <c r="Q982" s="69" cm="1">
        <f t="array" ref="Q982">IF(P982=1,IF(SUMPRODUCT(($P$2:P982)*(--($G$2:G982=$G982)))=1,1,0),0)</f>
        <v>0</v>
      </c>
      <c r="R982" s="69" t="str">
        <f>IF(Q982=1,SUM($Q$2:Q982),"")</f>
        <v/>
      </c>
    </row>
    <row r="983" spans="1:18" ht="16" x14ac:dyDescent="0.2">
      <c r="A983" s="72"/>
      <c r="B983" s="76"/>
      <c r="C983" s="73"/>
      <c r="D983" s="73" t="s">
        <v>976</v>
      </c>
      <c r="E983" s="77" t="s">
        <v>94</v>
      </c>
      <c r="F983" s="75" t="s">
        <v>1622</v>
      </c>
      <c r="G983" s="74" t="s">
        <v>1211</v>
      </c>
      <c r="H983" s="69"/>
      <c r="P983" s="69">
        <f t="shared" si="15"/>
        <v>0</v>
      </c>
      <c r="Q983" s="69" cm="1">
        <f t="array" ref="Q983">IF(P983=1,IF(SUMPRODUCT(($P$2:P983)*(--($G$2:G983=$G983)))=1,1,0),0)</f>
        <v>0</v>
      </c>
      <c r="R983" s="69" t="str">
        <f>IF(Q983=1,SUM($Q$2:Q983),"")</f>
        <v/>
      </c>
    </row>
    <row r="984" spans="1:18" ht="16" x14ac:dyDescent="0.2">
      <c r="A984" s="72"/>
      <c r="B984" s="76"/>
      <c r="C984" s="73"/>
      <c r="D984" s="73" t="s">
        <v>976</v>
      </c>
      <c r="E984" s="77" t="s">
        <v>94</v>
      </c>
      <c r="F984" s="75" t="s">
        <v>1623</v>
      </c>
      <c r="G984" s="74" t="s">
        <v>1211</v>
      </c>
      <c r="H984" s="69"/>
      <c r="P984" s="69">
        <f t="shared" si="15"/>
        <v>0</v>
      </c>
      <c r="Q984" s="69" cm="1">
        <f t="array" ref="Q984">IF(P984=1,IF(SUMPRODUCT(($P$2:P984)*(--($G$2:G984=$G984)))=1,1,0),0)</f>
        <v>0</v>
      </c>
      <c r="R984" s="69" t="str">
        <f>IF(Q984=1,SUM($Q$2:Q984),"")</f>
        <v/>
      </c>
    </row>
    <row r="985" spans="1:18" ht="16" x14ac:dyDescent="0.2">
      <c r="A985" s="72"/>
      <c r="B985" s="76"/>
      <c r="C985" s="73"/>
      <c r="D985" s="73" t="s">
        <v>976</v>
      </c>
      <c r="E985" s="77" t="s">
        <v>94</v>
      </c>
      <c r="F985" s="75" t="s">
        <v>1671</v>
      </c>
      <c r="G985" s="74" t="s">
        <v>1211</v>
      </c>
      <c r="H985" s="69"/>
      <c r="P985" s="69">
        <f t="shared" si="15"/>
        <v>0</v>
      </c>
      <c r="Q985" s="69" cm="1">
        <f t="array" ref="Q985">IF(P985=1,IF(SUMPRODUCT(($P$2:P985)*(--($G$2:G985=$G985)))=1,1,0),0)</f>
        <v>0</v>
      </c>
      <c r="R985" s="69" t="str">
        <f>IF(Q985=1,SUM($Q$2:Q985),"")</f>
        <v/>
      </c>
    </row>
    <row r="986" spans="1:18" ht="16" x14ac:dyDescent="0.2">
      <c r="A986" s="72"/>
      <c r="B986" s="76"/>
      <c r="C986" s="73"/>
      <c r="D986" s="73" t="s">
        <v>976</v>
      </c>
      <c r="E986" s="77" t="s">
        <v>94</v>
      </c>
      <c r="F986" s="75" t="s">
        <v>1672</v>
      </c>
      <c r="G986" s="74" t="s">
        <v>1211</v>
      </c>
      <c r="H986" s="69"/>
      <c r="P986" s="69">
        <f t="shared" si="15"/>
        <v>0</v>
      </c>
      <c r="Q986" s="69" cm="1">
        <f t="array" ref="Q986">IF(P986=1,IF(SUMPRODUCT(($P$2:P986)*(--($G$2:G986=$G986)))=1,1,0),0)</f>
        <v>0</v>
      </c>
      <c r="R986" s="69" t="str">
        <f>IF(Q986=1,SUM($Q$2:Q986),"")</f>
        <v/>
      </c>
    </row>
    <row r="987" spans="1:18" ht="16" x14ac:dyDescent="0.2">
      <c r="A987" s="72"/>
      <c r="B987" s="76"/>
      <c r="C987" s="73"/>
      <c r="D987" s="73" t="s">
        <v>976</v>
      </c>
      <c r="E987" s="77" t="s">
        <v>94</v>
      </c>
      <c r="F987" s="75" t="s">
        <v>1625</v>
      </c>
      <c r="G987" s="74" t="s">
        <v>1211</v>
      </c>
      <c r="H987" s="69"/>
      <c r="P987" s="69">
        <f t="shared" si="15"/>
        <v>0</v>
      </c>
      <c r="Q987" s="69" cm="1">
        <f t="array" ref="Q987">IF(P987=1,IF(SUMPRODUCT(($P$2:P987)*(--($G$2:G987=$G987)))=1,1,0),0)</f>
        <v>0</v>
      </c>
      <c r="R987" s="69" t="str">
        <f>IF(Q987=1,SUM($Q$2:Q987),"")</f>
        <v/>
      </c>
    </row>
    <row r="988" spans="1:18" ht="16" x14ac:dyDescent="0.2">
      <c r="A988" s="72"/>
      <c r="B988" s="76"/>
      <c r="C988" s="73"/>
      <c r="D988" s="73" t="s">
        <v>976</v>
      </c>
      <c r="E988" s="77" t="s">
        <v>94</v>
      </c>
      <c r="F988" s="75" t="s">
        <v>1673</v>
      </c>
      <c r="G988" s="74" t="s">
        <v>1211</v>
      </c>
      <c r="H988" s="69"/>
      <c r="P988" s="69">
        <f t="shared" si="15"/>
        <v>0</v>
      </c>
      <c r="Q988" s="69" cm="1">
        <f t="array" ref="Q988">IF(P988=1,IF(SUMPRODUCT(($P$2:P988)*(--($G$2:G988=$G988)))=1,1,0),0)</f>
        <v>0</v>
      </c>
      <c r="R988" s="69" t="str">
        <f>IF(Q988=1,SUM($Q$2:Q988),"")</f>
        <v/>
      </c>
    </row>
    <row r="989" spans="1:18" x14ac:dyDescent="0.2">
      <c r="A989" s="72"/>
      <c r="B989" s="76"/>
      <c r="C989" s="73"/>
      <c r="D989" s="73" t="s">
        <v>976</v>
      </c>
      <c r="E989" s="77" t="s">
        <v>94</v>
      </c>
      <c r="F989" s="75" t="s">
        <v>1627</v>
      </c>
      <c r="G989" s="75" t="s">
        <v>1212</v>
      </c>
      <c r="H989" s="69"/>
      <c r="P989" s="69">
        <f t="shared" si="15"/>
        <v>0</v>
      </c>
      <c r="Q989" s="69" cm="1">
        <f t="array" ref="Q989">IF(P989=1,IF(SUMPRODUCT(($P$2:P989)*(--($G$2:G989=$G989)))=1,1,0),0)</f>
        <v>0</v>
      </c>
      <c r="R989" s="69" t="str">
        <f>IF(Q989=1,SUM($Q$2:Q989),"")</f>
        <v/>
      </c>
    </row>
    <row r="990" spans="1:18" x14ac:dyDescent="0.2">
      <c r="A990" s="72"/>
      <c r="B990" s="76"/>
      <c r="C990" s="73"/>
      <c r="D990" s="73" t="s">
        <v>976</v>
      </c>
      <c r="E990" s="77" t="s">
        <v>94</v>
      </c>
      <c r="F990" s="75" t="s">
        <v>1677</v>
      </c>
      <c r="G990" s="75" t="s">
        <v>1212</v>
      </c>
      <c r="H990" s="69"/>
      <c r="P990" s="69">
        <f t="shared" si="15"/>
        <v>0</v>
      </c>
      <c r="Q990" s="69" cm="1">
        <f t="array" ref="Q990">IF(P990=1,IF(SUMPRODUCT(($P$2:P990)*(--($G$2:G990=$G990)))=1,1,0),0)</f>
        <v>0</v>
      </c>
      <c r="R990" s="69" t="str">
        <f>IF(Q990=1,SUM($Q$2:Q990),"")</f>
        <v/>
      </c>
    </row>
    <row r="991" spans="1:18" x14ac:dyDescent="0.2">
      <c r="A991" s="72"/>
      <c r="B991" s="76"/>
      <c r="C991" s="73"/>
      <c r="D991" s="73" t="s">
        <v>976</v>
      </c>
      <c r="E991" s="77" t="s">
        <v>94</v>
      </c>
      <c r="F991" s="75" t="s">
        <v>1628</v>
      </c>
      <c r="G991" s="75" t="s">
        <v>1212</v>
      </c>
      <c r="H991" s="69"/>
      <c r="P991" s="69">
        <f t="shared" si="15"/>
        <v>0</v>
      </c>
      <c r="Q991" s="69" cm="1">
        <f t="array" ref="Q991">IF(P991=1,IF(SUMPRODUCT(($P$2:P991)*(--($G$2:G991=$G991)))=1,1,0),0)</f>
        <v>0</v>
      </c>
      <c r="R991" s="69" t="str">
        <f>IF(Q991=1,SUM($Q$2:Q991),"")</f>
        <v/>
      </c>
    </row>
    <row r="992" spans="1:18" x14ac:dyDescent="0.2">
      <c r="A992" s="72"/>
      <c r="B992" s="76"/>
      <c r="C992" s="73"/>
      <c r="D992" s="73" t="s">
        <v>976</v>
      </c>
      <c r="E992" s="77" t="s">
        <v>94</v>
      </c>
      <c r="F992" s="75" t="s">
        <v>1629</v>
      </c>
      <c r="G992" s="75" t="s">
        <v>1212</v>
      </c>
      <c r="H992" s="69"/>
      <c r="P992" s="69">
        <f t="shared" si="15"/>
        <v>0</v>
      </c>
      <c r="Q992" s="69" cm="1">
        <f t="array" ref="Q992">IF(P992=1,IF(SUMPRODUCT(($P$2:P992)*(--($G$2:G992=$G992)))=1,1,0),0)</f>
        <v>0</v>
      </c>
      <c r="R992" s="69" t="str">
        <f>IF(Q992=1,SUM($Q$2:Q992),"")</f>
        <v/>
      </c>
    </row>
    <row r="993" spans="1:18" x14ac:dyDescent="0.2">
      <c r="A993" s="72"/>
      <c r="B993" s="76"/>
      <c r="C993" s="73"/>
      <c r="D993" s="73" t="s">
        <v>976</v>
      </c>
      <c r="E993" s="77" t="s">
        <v>94</v>
      </c>
      <c r="F993" s="75" t="s">
        <v>1630</v>
      </c>
      <c r="G993" s="75" t="s">
        <v>1212</v>
      </c>
      <c r="H993" s="69"/>
      <c r="P993" s="69">
        <f t="shared" si="15"/>
        <v>0</v>
      </c>
      <c r="Q993" s="69" cm="1">
        <f t="array" ref="Q993">IF(P993=1,IF(SUMPRODUCT(($P$2:P993)*(--($G$2:G993=$G993)))=1,1,0),0)</f>
        <v>0</v>
      </c>
      <c r="R993" s="69" t="str">
        <f>IF(Q993=1,SUM($Q$2:Q993),"")</f>
        <v/>
      </c>
    </row>
    <row r="994" spans="1:18" x14ac:dyDescent="0.2">
      <c r="A994" s="72"/>
      <c r="B994" s="76"/>
      <c r="C994" s="73"/>
      <c r="D994" s="73" t="s">
        <v>976</v>
      </c>
      <c r="E994" s="77" t="s">
        <v>94</v>
      </c>
      <c r="F994" s="75" t="s">
        <v>1631</v>
      </c>
      <c r="G994" s="75" t="s">
        <v>1212</v>
      </c>
      <c r="H994" s="69"/>
      <c r="P994" s="69">
        <f t="shared" si="15"/>
        <v>0</v>
      </c>
      <c r="Q994" s="69" cm="1">
        <f t="array" ref="Q994">IF(P994=1,IF(SUMPRODUCT(($P$2:P994)*(--($G$2:G994=$G994)))=1,1,0),0)</f>
        <v>0</v>
      </c>
      <c r="R994" s="69" t="str">
        <f>IF(Q994=1,SUM($Q$2:Q994),"")</f>
        <v/>
      </c>
    </row>
    <row r="995" spans="1:18" x14ac:dyDescent="0.2">
      <c r="A995" s="72"/>
      <c r="B995" s="76"/>
      <c r="C995" s="73"/>
      <c r="D995" s="73" t="s">
        <v>976</v>
      </c>
      <c r="E995" s="77" t="s">
        <v>94</v>
      </c>
      <c r="F995" s="75" t="s">
        <v>1632</v>
      </c>
      <c r="G995" s="75" t="s">
        <v>1212</v>
      </c>
      <c r="H995" s="69"/>
      <c r="P995" s="69">
        <f t="shared" si="15"/>
        <v>0</v>
      </c>
      <c r="Q995" s="69" cm="1">
        <f t="array" ref="Q995">IF(P995=1,IF(SUMPRODUCT(($P$2:P995)*(--($G$2:G995=$G995)))=1,1,0),0)</f>
        <v>0</v>
      </c>
      <c r="R995" s="69" t="str">
        <f>IF(Q995=1,SUM($Q$2:Q995),"")</f>
        <v/>
      </c>
    </row>
    <row r="996" spans="1:18" x14ac:dyDescent="0.2">
      <c r="A996" s="72"/>
      <c r="B996" s="76"/>
      <c r="C996" s="73"/>
      <c r="D996" s="73" t="s">
        <v>976</v>
      </c>
      <c r="E996" s="77" t="s">
        <v>94</v>
      </c>
      <c r="F996" s="75" t="s">
        <v>407</v>
      </c>
      <c r="G996" s="75" t="s">
        <v>1213</v>
      </c>
      <c r="H996" s="69"/>
      <c r="P996" s="69">
        <f t="shared" si="15"/>
        <v>0</v>
      </c>
      <c r="Q996" s="69" cm="1">
        <f t="array" ref="Q996">IF(P996=1,IF(SUMPRODUCT(($P$2:P996)*(--($G$2:G996=$G996)))=1,1,0),0)</f>
        <v>0</v>
      </c>
      <c r="R996" s="69" t="str">
        <f>IF(Q996=1,SUM($Q$2:Q996),"")</f>
        <v/>
      </c>
    </row>
    <row r="997" spans="1:18" x14ac:dyDescent="0.2">
      <c r="A997" s="72"/>
      <c r="B997" s="76"/>
      <c r="C997" s="73"/>
      <c r="D997" s="73" t="s">
        <v>976</v>
      </c>
      <c r="E997" s="77" t="s">
        <v>94</v>
      </c>
      <c r="F997" s="75" t="s">
        <v>1633</v>
      </c>
      <c r="G997" s="75" t="s">
        <v>1213</v>
      </c>
      <c r="H997" s="69"/>
      <c r="P997" s="69">
        <f t="shared" si="15"/>
        <v>0</v>
      </c>
      <c r="Q997" s="69" cm="1">
        <f t="array" ref="Q997">IF(P997=1,IF(SUMPRODUCT(($P$2:P997)*(--($G$2:G997=$G997)))=1,1,0),0)</f>
        <v>0</v>
      </c>
      <c r="R997" s="69" t="str">
        <f>IF(Q997=1,SUM($Q$2:Q997),"")</f>
        <v/>
      </c>
    </row>
    <row r="998" spans="1:18" x14ac:dyDescent="0.2">
      <c r="A998" s="72"/>
      <c r="B998" s="76"/>
      <c r="C998" s="73"/>
      <c r="D998" s="73" t="s">
        <v>976</v>
      </c>
      <c r="E998" s="77" t="s">
        <v>94</v>
      </c>
      <c r="F998" s="75" t="s">
        <v>1634</v>
      </c>
      <c r="G998" s="75" t="s">
        <v>1213</v>
      </c>
      <c r="H998" s="69"/>
      <c r="P998" s="69">
        <f t="shared" si="15"/>
        <v>0</v>
      </c>
      <c r="Q998" s="69" cm="1">
        <f t="array" ref="Q998">IF(P998=1,IF(SUMPRODUCT(($P$2:P998)*(--($G$2:G998=$G998)))=1,1,0),0)</f>
        <v>0</v>
      </c>
      <c r="R998" s="69" t="str">
        <f>IF(Q998=1,SUM($Q$2:Q998),"")</f>
        <v/>
      </c>
    </row>
    <row r="999" spans="1:18" x14ac:dyDescent="0.2">
      <c r="A999" s="72"/>
      <c r="B999" s="76"/>
      <c r="C999" s="73"/>
      <c r="D999" s="73" t="s">
        <v>976</v>
      </c>
      <c r="E999" s="77" t="s">
        <v>94</v>
      </c>
      <c r="F999" s="75" t="s">
        <v>1635</v>
      </c>
      <c r="G999" s="75" t="s">
        <v>1213</v>
      </c>
      <c r="H999" s="69"/>
      <c r="P999" s="69">
        <f t="shared" si="15"/>
        <v>0</v>
      </c>
      <c r="Q999" s="69" cm="1">
        <f t="array" ref="Q999">IF(P999=1,IF(SUMPRODUCT(($P$2:P999)*(--($G$2:G999=$G999)))=1,1,0),0)</f>
        <v>0</v>
      </c>
      <c r="R999" s="69" t="str">
        <f>IF(Q999=1,SUM($Q$2:Q999),"")</f>
        <v/>
      </c>
    </row>
    <row r="1000" spans="1:18" x14ac:dyDescent="0.2">
      <c r="A1000" s="72"/>
      <c r="B1000" s="76"/>
      <c r="C1000" s="73"/>
      <c r="D1000" s="73" t="s">
        <v>976</v>
      </c>
      <c r="E1000" s="77" t="s">
        <v>94</v>
      </c>
      <c r="F1000" s="75" t="s">
        <v>1636</v>
      </c>
      <c r="G1000" s="75" t="s">
        <v>1213</v>
      </c>
      <c r="H1000" s="69"/>
      <c r="P1000" s="69">
        <f t="shared" si="15"/>
        <v>0</v>
      </c>
      <c r="Q1000" s="69" cm="1">
        <f t="array" ref="Q1000">IF(P1000=1,IF(SUMPRODUCT(($P$2:P1000)*(--($G$2:G1000=$G1000)))=1,1,0),0)</f>
        <v>0</v>
      </c>
      <c r="R1000" s="69" t="str">
        <f>IF(Q1000=1,SUM($Q$2:Q1000),"")</f>
        <v/>
      </c>
    </row>
    <row r="1001" spans="1:18" x14ac:dyDescent="0.2">
      <c r="A1001" s="72"/>
      <c r="B1001" s="76"/>
      <c r="C1001" s="73"/>
      <c r="D1001" s="73" t="s">
        <v>976</v>
      </c>
      <c r="E1001" s="77" t="s">
        <v>94</v>
      </c>
      <c r="F1001" s="75" t="s">
        <v>1638</v>
      </c>
      <c r="G1001" s="75" t="s">
        <v>1213</v>
      </c>
      <c r="H1001" s="69"/>
      <c r="P1001" s="69">
        <f t="shared" si="15"/>
        <v>0</v>
      </c>
      <c r="Q1001" s="69" cm="1">
        <f t="array" ref="Q1001">IF(P1001=1,IF(SUMPRODUCT(($P$2:P1001)*(--($G$2:G1001=$G1001)))=1,1,0),0)</f>
        <v>0</v>
      </c>
      <c r="R1001" s="69" t="str">
        <f>IF(Q1001=1,SUM($Q$2:Q1001),"")</f>
        <v/>
      </c>
    </row>
    <row r="1002" spans="1:18" x14ac:dyDescent="0.2">
      <c r="A1002" s="72"/>
      <c r="B1002" s="76"/>
      <c r="C1002" s="73"/>
      <c r="D1002" s="73" t="s">
        <v>976</v>
      </c>
      <c r="E1002" s="77" t="s">
        <v>94</v>
      </c>
      <c r="F1002" s="75" t="s">
        <v>1682</v>
      </c>
      <c r="G1002" s="75" t="s">
        <v>1213</v>
      </c>
      <c r="H1002" s="69"/>
      <c r="P1002" s="69">
        <f t="shared" si="15"/>
        <v>0</v>
      </c>
      <c r="Q1002" s="69" cm="1">
        <f t="array" ref="Q1002">IF(P1002=1,IF(SUMPRODUCT(($P$2:P1002)*(--($G$2:G1002=$G1002)))=1,1,0),0)</f>
        <v>0</v>
      </c>
      <c r="R1002" s="69" t="str">
        <f>IF(Q1002=1,SUM($Q$2:Q1002),"")</f>
        <v/>
      </c>
    </row>
    <row r="1003" spans="1:18" x14ac:dyDescent="0.2">
      <c r="A1003" s="72"/>
      <c r="B1003" s="76"/>
      <c r="C1003" s="73"/>
      <c r="D1003" s="73" t="s">
        <v>976</v>
      </c>
      <c r="E1003" s="77" t="s">
        <v>94</v>
      </c>
      <c r="F1003" s="75" t="s">
        <v>1639</v>
      </c>
      <c r="G1003" s="75" t="s">
        <v>1213</v>
      </c>
      <c r="H1003" s="69"/>
      <c r="P1003" s="69">
        <f t="shared" si="15"/>
        <v>0</v>
      </c>
      <c r="Q1003" s="69" cm="1">
        <f t="array" ref="Q1003">IF(P1003=1,IF(SUMPRODUCT(($P$2:P1003)*(--($G$2:G1003=$G1003)))=1,1,0),0)</f>
        <v>0</v>
      </c>
      <c r="R1003" s="69" t="str">
        <f>IF(Q1003=1,SUM($Q$2:Q1003),"")</f>
        <v/>
      </c>
    </row>
    <row r="1004" spans="1:18" x14ac:dyDescent="0.2">
      <c r="A1004" s="72"/>
      <c r="B1004" s="76"/>
      <c r="C1004" s="73"/>
      <c r="D1004" s="73" t="s">
        <v>976</v>
      </c>
      <c r="E1004" s="77" t="s">
        <v>94</v>
      </c>
      <c r="F1004" s="75" t="s">
        <v>1640</v>
      </c>
      <c r="G1004" s="75" t="s">
        <v>1214</v>
      </c>
      <c r="H1004" s="69"/>
      <c r="P1004" s="69">
        <f t="shared" si="15"/>
        <v>0</v>
      </c>
      <c r="Q1004" s="69" cm="1">
        <f t="array" ref="Q1004">IF(P1004=1,IF(SUMPRODUCT(($P$2:P1004)*(--($G$2:G1004=$G1004)))=1,1,0),0)</f>
        <v>0</v>
      </c>
      <c r="R1004" s="69" t="str">
        <f>IF(Q1004=1,SUM($Q$2:Q1004),"")</f>
        <v/>
      </c>
    </row>
    <row r="1005" spans="1:18" x14ac:dyDescent="0.2">
      <c r="A1005" s="72"/>
      <c r="B1005" s="76"/>
      <c r="C1005" s="73"/>
      <c r="D1005" s="73" t="s">
        <v>976</v>
      </c>
      <c r="E1005" s="77" t="s">
        <v>94</v>
      </c>
      <c r="F1005" s="75" t="s">
        <v>1641</v>
      </c>
      <c r="G1005" s="75" t="s">
        <v>1214</v>
      </c>
      <c r="H1005" s="69"/>
      <c r="P1005" s="69">
        <f t="shared" si="15"/>
        <v>0</v>
      </c>
      <c r="Q1005" s="69" cm="1">
        <f t="array" ref="Q1005">IF(P1005=1,IF(SUMPRODUCT(($P$2:P1005)*(--($G$2:G1005=$G1005)))=1,1,0),0)</f>
        <v>0</v>
      </c>
      <c r="R1005" s="69" t="str">
        <f>IF(Q1005=1,SUM($Q$2:Q1005),"")</f>
        <v/>
      </c>
    </row>
    <row r="1006" spans="1:18" x14ac:dyDescent="0.2">
      <c r="A1006" s="72"/>
      <c r="B1006" s="76"/>
      <c r="C1006" s="73"/>
      <c r="D1006" s="73" t="s">
        <v>976</v>
      </c>
      <c r="E1006" s="77" t="s">
        <v>94</v>
      </c>
      <c r="F1006" s="75" t="s">
        <v>1642</v>
      </c>
      <c r="G1006" s="75" t="s">
        <v>1214</v>
      </c>
      <c r="H1006" s="69"/>
      <c r="P1006" s="69">
        <f t="shared" si="15"/>
        <v>0</v>
      </c>
      <c r="Q1006" s="69" cm="1">
        <f t="array" ref="Q1006">IF(P1006=1,IF(SUMPRODUCT(($P$2:P1006)*(--($G$2:G1006=$G1006)))=1,1,0),0)</f>
        <v>0</v>
      </c>
      <c r="R1006" s="69" t="str">
        <f>IF(Q1006=1,SUM($Q$2:Q1006),"")</f>
        <v/>
      </c>
    </row>
    <row r="1007" spans="1:18" x14ac:dyDescent="0.2">
      <c r="A1007" s="72"/>
      <c r="B1007" s="76"/>
      <c r="C1007" s="73"/>
      <c r="D1007" s="73" t="s">
        <v>976</v>
      </c>
      <c r="E1007" s="77" t="s">
        <v>94</v>
      </c>
      <c r="F1007" s="75" t="s">
        <v>1687</v>
      </c>
      <c r="G1007" s="75" t="s">
        <v>1214</v>
      </c>
      <c r="H1007" s="69"/>
      <c r="P1007" s="69">
        <f t="shared" si="15"/>
        <v>0</v>
      </c>
      <c r="Q1007" s="69" cm="1">
        <f t="array" ref="Q1007">IF(P1007=1,IF(SUMPRODUCT(($P$2:P1007)*(--($G$2:G1007=$G1007)))=1,1,0),0)</f>
        <v>0</v>
      </c>
      <c r="R1007" s="69" t="str">
        <f>IF(Q1007=1,SUM($Q$2:Q1007),"")</f>
        <v/>
      </c>
    </row>
    <row r="1008" spans="1:18" x14ac:dyDescent="0.2">
      <c r="A1008" s="72"/>
      <c r="B1008" s="76"/>
      <c r="C1008" s="73"/>
      <c r="D1008" s="73" t="s">
        <v>976</v>
      </c>
      <c r="E1008" s="77" t="s">
        <v>94</v>
      </c>
      <c r="F1008" s="75" t="s">
        <v>1643</v>
      </c>
      <c r="G1008" s="75" t="s">
        <v>1214</v>
      </c>
      <c r="H1008" s="69"/>
      <c r="P1008" s="69">
        <f t="shared" si="15"/>
        <v>0</v>
      </c>
      <c r="Q1008" s="69" cm="1">
        <f t="array" ref="Q1008">IF(P1008=1,IF(SUMPRODUCT(($P$2:P1008)*(--($G$2:G1008=$G1008)))=1,1,0),0)</f>
        <v>0</v>
      </c>
      <c r="R1008" s="69" t="str">
        <f>IF(Q1008=1,SUM($Q$2:Q1008),"")</f>
        <v/>
      </c>
    </row>
    <row r="1009" spans="1:18" x14ac:dyDescent="0.2">
      <c r="A1009" s="72"/>
      <c r="B1009" s="76"/>
      <c r="C1009" s="73"/>
      <c r="D1009" s="73" t="s">
        <v>976</v>
      </c>
      <c r="E1009" s="77" t="s">
        <v>94</v>
      </c>
      <c r="F1009" s="75" t="s">
        <v>1644</v>
      </c>
      <c r="G1009" s="75" t="s">
        <v>1214</v>
      </c>
      <c r="H1009" s="69"/>
      <c r="P1009" s="69">
        <f t="shared" si="15"/>
        <v>0</v>
      </c>
      <c r="Q1009" s="69" cm="1">
        <f t="array" ref="Q1009">IF(P1009=1,IF(SUMPRODUCT(($P$2:P1009)*(--($G$2:G1009=$G1009)))=1,1,0),0)</f>
        <v>0</v>
      </c>
      <c r="R1009" s="69" t="str">
        <f>IF(Q1009=1,SUM($Q$2:Q1009),"")</f>
        <v/>
      </c>
    </row>
    <row r="1010" spans="1:18" x14ac:dyDescent="0.2">
      <c r="A1010" s="72"/>
      <c r="B1010" s="76"/>
      <c r="C1010" s="73"/>
      <c r="D1010" s="73" t="s">
        <v>976</v>
      </c>
      <c r="E1010" s="77" t="s">
        <v>94</v>
      </c>
      <c r="F1010" s="75" t="s">
        <v>1645</v>
      </c>
      <c r="G1010" s="75" t="s">
        <v>1214</v>
      </c>
      <c r="H1010" s="69"/>
      <c r="P1010" s="69">
        <f t="shared" si="15"/>
        <v>0</v>
      </c>
      <c r="Q1010" s="69" cm="1">
        <f t="array" ref="Q1010">IF(P1010=1,IF(SUMPRODUCT(($P$2:P1010)*(--($G$2:G1010=$G1010)))=1,1,0),0)</f>
        <v>0</v>
      </c>
      <c r="R1010" s="69" t="str">
        <f>IF(Q1010=1,SUM($Q$2:Q1010),"")</f>
        <v/>
      </c>
    </row>
    <row r="1011" spans="1:18" x14ac:dyDescent="0.2">
      <c r="A1011" s="72"/>
      <c r="B1011" s="84"/>
      <c r="C1011" s="73"/>
      <c r="D1011" s="73" t="s">
        <v>979</v>
      </c>
      <c r="E1011" s="77" t="s">
        <v>94</v>
      </c>
      <c r="F1011" s="75" t="s">
        <v>228</v>
      </c>
      <c r="G1011" s="88" t="s">
        <v>585</v>
      </c>
      <c r="H1011" s="69"/>
      <c r="P1011" s="69">
        <f t="shared" si="15"/>
        <v>0</v>
      </c>
      <c r="Q1011" s="69" cm="1">
        <f t="array" ref="Q1011">IF(P1011=1,IF(SUMPRODUCT(($P$2:P1011)*(--($G$2:G1011=$G1011)))=1,1,0),0)</f>
        <v>0</v>
      </c>
      <c r="R1011" s="69" t="str">
        <f>IF(Q1011=1,SUM($Q$2:Q1011),"")</f>
        <v/>
      </c>
    </row>
    <row r="1012" spans="1:18" ht="16" x14ac:dyDescent="0.2">
      <c r="A1012" s="72"/>
      <c r="B1012" s="76"/>
      <c r="C1012" s="73"/>
      <c r="D1012" s="73" t="s">
        <v>979</v>
      </c>
      <c r="E1012" s="77" t="s">
        <v>103</v>
      </c>
      <c r="F1012" s="75" t="s">
        <v>2080</v>
      </c>
      <c r="G1012" s="74" t="s">
        <v>587</v>
      </c>
      <c r="H1012" s="69"/>
      <c r="P1012" s="69">
        <f t="shared" si="15"/>
        <v>0</v>
      </c>
      <c r="Q1012" s="69" cm="1">
        <f t="array" ref="Q1012">IF(P1012=1,IF(SUMPRODUCT(($P$2:P1012)*(--($G$2:G1012=$G1012)))=1,1,0),0)</f>
        <v>0</v>
      </c>
      <c r="R1012" s="69" t="str">
        <f>IF(Q1012=1,SUM($Q$2:Q1012),"")</f>
        <v/>
      </c>
    </row>
    <row r="1013" spans="1:18" ht="16" x14ac:dyDescent="0.2">
      <c r="A1013" s="72"/>
      <c r="B1013" s="76"/>
      <c r="C1013" s="73"/>
      <c r="D1013" s="73" t="s">
        <v>979</v>
      </c>
      <c r="E1013" s="77" t="s">
        <v>103</v>
      </c>
      <c r="F1013" s="75" t="s">
        <v>286</v>
      </c>
      <c r="G1013" s="74" t="s">
        <v>587</v>
      </c>
      <c r="H1013" s="69"/>
      <c r="P1013" s="69">
        <f t="shared" si="15"/>
        <v>0</v>
      </c>
      <c r="Q1013" s="69" cm="1">
        <f t="array" ref="Q1013">IF(P1013=1,IF(SUMPRODUCT(($P$2:P1013)*(--($G$2:G1013=$G1013)))=1,1,0),0)</f>
        <v>0</v>
      </c>
      <c r="R1013" s="69" t="str">
        <f>IF(Q1013=1,SUM($Q$2:Q1013),"")</f>
        <v/>
      </c>
    </row>
    <row r="1014" spans="1:18" ht="16" x14ac:dyDescent="0.2">
      <c r="A1014" s="72"/>
      <c r="B1014" s="76"/>
      <c r="C1014" s="73"/>
      <c r="D1014" s="73" t="s">
        <v>979</v>
      </c>
      <c r="E1014" s="77" t="s">
        <v>103</v>
      </c>
      <c r="F1014" s="75" t="s">
        <v>2217</v>
      </c>
      <c r="G1014" s="74" t="s">
        <v>587</v>
      </c>
      <c r="H1014" s="69"/>
      <c r="P1014" s="69">
        <f t="shared" si="15"/>
        <v>0</v>
      </c>
      <c r="Q1014" s="69" cm="1">
        <f t="array" ref="Q1014">IF(P1014=1,IF(SUMPRODUCT(($P$2:P1014)*(--($G$2:G1014=$G1014)))=1,1,0),0)</f>
        <v>0</v>
      </c>
      <c r="R1014" s="69" t="str">
        <f>IF(Q1014=1,SUM($Q$2:Q1014),"")</f>
        <v/>
      </c>
    </row>
    <row r="1015" spans="1:18" ht="16" x14ac:dyDescent="0.2">
      <c r="A1015" s="72"/>
      <c r="B1015" s="76"/>
      <c r="C1015" s="73"/>
      <c r="D1015" s="73" t="s">
        <v>979</v>
      </c>
      <c r="E1015" s="77" t="s">
        <v>103</v>
      </c>
      <c r="F1015" s="75" t="s">
        <v>2218</v>
      </c>
      <c r="G1015" s="74" t="s">
        <v>587</v>
      </c>
      <c r="H1015" s="69"/>
      <c r="P1015" s="69">
        <f t="shared" si="15"/>
        <v>0</v>
      </c>
      <c r="Q1015" s="69" cm="1">
        <f t="array" ref="Q1015">IF(P1015=1,IF(SUMPRODUCT(($P$2:P1015)*(--($G$2:G1015=$G1015)))=1,1,0),0)</f>
        <v>0</v>
      </c>
      <c r="R1015" s="69" t="str">
        <f>IF(Q1015=1,SUM($Q$2:Q1015),"")</f>
        <v/>
      </c>
    </row>
    <row r="1016" spans="1:18" ht="16" x14ac:dyDescent="0.2">
      <c r="A1016" s="72"/>
      <c r="B1016" s="76"/>
      <c r="C1016" s="73"/>
      <c r="D1016" s="73" t="s">
        <v>979</v>
      </c>
      <c r="E1016" s="77" t="s">
        <v>103</v>
      </c>
      <c r="F1016" s="75" t="s">
        <v>2219</v>
      </c>
      <c r="G1016" s="74" t="s">
        <v>587</v>
      </c>
      <c r="H1016" s="69"/>
      <c r="P1016" s="69">
        <f t="shared" si="15"/>
        <v>0</v>
      </c>
      <c r="Q1016" s="69" cm="1">
        <f t="array" ref="Q1016">IF(P1016=1,IF(SUMPRODUCT(($P$2:P1016)*(--($G$2:G1016=$G1016)))=1,1,0),0)</f>
        <v>0</v>
      </c>
      <c r="R1016" s="69" t="str">
        <f>IF(Q1016=1,SUM($Q$2:Q1016),"")</f>
        <v/>
      </c>
    </row>
    <row r="1017" spans="1:18" ht="16" x14ac:dyDescent="0.2">
      <c r="A1017" s="72"/>
      <c r="B1017" s="76"/>
      <c r="C1017" s="73"/>
      <c r="D1017" s="73" t="s">
        <v>979</v>
      </c>
      <c r="E1017" s="77" t="s">
        <v>103</v>
      </c>
      <c r="F1017" s="75" t="s">
        <v>2225</v>
      </c>
      <c r="G1017" s="74" t="s">
        <v>587</v>
      </c>
      <c r="H1017" s="69"/>
      <c r="P1017" s="69">
        <f t="shared" si="15"/>
        <v>0</v>
      </c>
      <c r="Q1017" s="69" cm="1">
        <f t="array" ref="Q1017">IF(P1017=1,IF(SUMPRODUCT(($P$2:P1017)*(--($G$2:G1017=$G1017)))=1,1,0),0)</f>
        <v>0</v>
      </c>
      <c r="R1017" s="69" t="str">
        <f>IF(Q1017=1,SUM($Q$2:Q1017),"")</f>
        <v/>
      </c>
    </row>
    <row r="1018" spans="1:18" ht="16" x14ac:dyDescent="0.2">
      <c r="A1018" s="72"/>
      <c r="B1018" s="76"/>
      <c r="C1018" s="73"/>
      <c r="D1018" s="73" t="s">
        <v>979</v>
      </c>
      <c r="E1018" s="77" t="s">
        <v>103</v>
      </c>
      <c r="F1018" s="75" t="s">
        <v>2226</v>
      </c>
      <c r="G1018" s="74" t="s">
        <v>587</v>
      </c>
      <c r="H1018" s="69"/>
      <c r="P1018" s="69">
        <f t="shared" si="15"/>
        <v>0</v>
      </c>
      <c r="Q1018" s="69" cm="1">
        <f t="array" ref="Q1018">IF(P1018=1,IF(SUMPRODUCT(($P$2:P1018)*(--($G$2:G1018=$G1018)))=1,1,0),0)</f>
        <v>0</v>
      </c>
      <c r="R1018" s="69" t="str">
        <f>IF(Q1018=1,SUM($Q$2:Q1018),"")</f>
        <v/>
      </c>
    </row>
    <row r="1019" spans="1:18" ht="16" x14ac:dyDescent="0.2">
      <c r="A1019" s="72"/>
      <c r="B1019" s="76"/>
      <c r="C1019" s="73"/>
      <c r="D1019" s="73" t="s">
        <v>979</v>
      </c>
      <c r="E1019" s="77" t="s">
        <v>103</v>
      </c>
      <c r="F1019" s="75" t="s">
        <v>2227</v>
      </c>
      <c r="G1019" s="74" t="s">
        <v>587</v>
      </c>
      <c r="H1019" s="69"/>
      <c r="P1019" s="69">
        <f t="shared" si="15"/>
        <v>0</v>
      </c>
      <c r="Q1019" s="69" cm="1">
        <f t="array" ref="Q1019">IF(P1019=1,IF(SUMPRODUCT(($P$2:P1019)*(--($G$2:G1019=$G1019)))=1,1,0),0)</f>
        <v>0</v>
      </c>
      <c r="R1019" s="69" t="str">
        <f>IF(Q1019=1,SUM($Q$2:Q1019),"")</f>
        <v/>
      </c>
    </row>
    <row r="1020" spans="1:18" ht="16" x14ac:dyDescent="0.2">
      <c r="A1020" s="72"/>
      <c r="B1020" s="76"/>
      <c r="C1020" s="73"/>
      <c r="D1020" s="73" t="s">
        <v>979</v>
      </c>
      <c r="E1020" s="77" t="s">
        <v>103</v>
      </c>
      <c r="F1020" s="75" t="s">
        <v>2228</v>
      </c>
      <c r="G1020" s="74" t="s">
        <v>587</v>
      </c>
      <c r="H1020" s="69"/>
      <c r="P1020" s="69">
        <f t="shared" si="15"/>
        <v>0</v>
      </c>
      <c r="Q1020" s="69" cm="1">
        <f t="array" ref="Q1020">IF(P1020=1,IF(SUMPRODUCT(($P$2:P1020)*(--($G$2:G1020=$G1020)))=1,1,0),0)</f>
        <v>0</v>
      </c>
      <c r="R1020" s="69" t="str">
        <f>IF(Q1020=1,SUM($Q$2:Q1020),"")</f>
        <v/>
      </c>
    </row>
    <row r="1021" spans="1:18" ht="16" x14ac:dyDescent="0.2">
      <c r="A1021" s="72"/>
      <c r="B1021" s="76"/>
      <c r="C1021" s="73"/>
      <c r="D1021" s="73" t="s">
        <v>979</v>
      </c>
      <c r="E1021" s="77" t="s">
        <v>103</v>
      </c>
      <c r="F1021" s="75" t="s">
        <v>2220</v>
      </c>
      <c r="G1021" s="74" t="s">
        <v>1237</v>
      </c>
      <c r="H1021" s="69"/>
      <c r="P1021" s="69">
        <f t="shared" si="15"/>
        <v>0</v>
      </c>
      <c r="Q1021" s="69" cm="1">
        <f t="array" ref="Q1021">IF(P1021=1,IF(SUMPRODUCT(($P$2:P1021)*(--($G$2:G1021=$G1021)))=1,1,0),0)</f>
        <v>0</v>
      </c>
      <c r="R1021" s="69" t="str">
        <f>IF(Q1021=1,SUM($Q$2:Q1021),"")</f>
        <v/>
      </c>
    </row>
    <row r="1022" spans="1:18" ht="16" x14ac:dyDescent="0.2">
      <c r="A1022" s="72"/>
      <c r="B1022" s="76"/>
      <c r="C1022" s="73"/>
      <c r="D1022" s="73" t="s">
        <v>979</v>
      </c>
      <c r="E1022" s="77" t="s">
        <v>103</v>
      </c>
      <c r="F1022" s="75" t="s">
        <v>2221</v>
      </c>
      <c r="G1022" s="74" t="s">
        <v>1237</v>
      </c>
      <c r="H1022" s="69"/>
      <c r="P1022" s="69">
        <f t="shared" si="15"/>
        <v>0</v>
      </c>
      <c r="Q1022" s="69" cm="1">
        <f t="array" ref="Q1022">IF(P1022=1,IF(SUMPRODUCT(($P$2:P1022)*(--($G$2:G1022=$G1022)))=1,1,0),0)</f>
        <v>0</v>
      </c>
      <c r="R1022" s="69" t="str">
        <f>IF(Q1022=1,SUM($Q$2:Q1022),"")</f>
        <v/>
      </c>
    </row>
    <row r="1023" spans="1:18" ht="16" x14ac:dyDescent="0.2">
      <c r="A1023" s="72"/>
      <c r="B1023" s="76"/>
      <c r="C1023" s="73"/>
      <c r="D1023" s="73" t="s">
        <v>979</v>
      </c>
      <c r="E1023" s="77" t="s">
        <v>103</v>
      </c>
      <c r="F1023" s="75" t="s">
        <v>2231</v>
      </c>
      <c r="G1023" s="74" t="s">
        <v>1237</v>
      </c>
      <c r="H1023" s="69"/>
      <c r="P1023" s="69">
        <f t="shared" si="15"/>
        <v>0</v>
      </c>
      <c r="Q1023" s="69" cm="1">
        <f t="array" ref="Q1023">IF(P1023=1,IF(SUMPRODUCT(($P$2:P1023)*(--($G$2:G1023=$G1023)))=1,1,0),0)</f>
        <v>0</v>
      </c>
      <c r="R1023" s="69" t="str">
        <f>IF(Q1023=1,SUM($Q$2:Q1023),"")</f>
        <v/>
      </c>
    </row>
    <row r="1024" spans="1:18" ht="16" x14ac:dyDescent="0.2">
      <c r="A1024" s="72"/>
      <c r="B1024" s="76"/>
      <c r="C1024" s="73"/>
      <c r="D1024" s="73" t="s">
        <v>979</v>
      </c>
      <c r="E1024" s="77" t="s">
        <v>103</v>
      </c>
      <c r="F1024" s="75" t="s">
        <v>2229</v>
      </c>
      <c r="G1024" s="74" t="s">
        <v>1237</v>
      </c>
      <c r="H1024" s="69"/>
      <c r="P1024" s="69">
        <f t="shared" si="15"/>
        <v>0</v>
      </c>
      <c r="Q1024" s="69" cm="1">
        <f t="array" ref="Q1024">IF(P1024=1,IF(SUMPRODUCT(($P$2:P1024)*(--($G$2:G1024=$G1024)))=1,1,0),0)</f>
        <v>0</v>
      </c>
      <c r="R1024" s="69" t="str">
        <f>IF(Q1024=1,SUM($Q$2:Q1024),"")</f>
        <v/>
      </c>
    </row>
    <row r="1025" spans="1:18" ht="16" x14ac:dyDescent="0.2">
      <c r="A1025" s="72"/>
      <c r="B1025" s="76"/>
      <c r="C1025" s="73"/>
      <c r="D1025" s="73" t="s">
        <v>979</v>
      </c>
      <c r="E1025" s="77" t="s">
        <v>103</v>
      </c>
      <c r="F1025" s="75" t="s">
        <v>2230</v>
      </c>
      <c r="G1025" s="74" t="s">
        <v>1237</v>
      </c>
      <c r="H1025" s="69"/>
      <c r="P1025" s="69">
        <f t="shared" si="15"/>
        <v>0</v>
      </c>
      <c r="Q1025" s="69" cm="1">
        <f t="array" ref="Q1025">IF(P1025=1,IF(SUMPRODUCT(($P$2:P1025)*(--($G$2:G1025=$G1025)))=1,1,0),0)</f>
        <v>0</v>
      </c>
      <c r="R1025" s="69" t="str">
        <f>IF(Q1025=1,SUM($Q$2:Q1025),"")</f>
        <v/>
      </c>
    </row>
    <row r="1026" spans="1:18" ht="16" x14ac:dyDescent="0.2">
      <c r="A1026" s="72"/>
      <c r="B1026" s="76"/>
      <c r="C1026" s="73"/>
      <c r="D1026" s="73" t="s">
        <v>979</v>
      </c>
      <c r="E1026" s="77" t="s">
        <v>103</v>
      </c>
      <c r="F1026" s="75" t="s">
        <v>2241</v>
      </c>
      <c r="G1026" s="74" t="s">
        <v>1237</v>
      </c>
      <c r="H1026" s="69"/>
      <c r="P1026" s="69">
        <f t="shared" si="15"/>
        <v>0</v>
      </c>
      <c r="Q1026" s="69" cm="1">
        <f t="array" ref="Q1026">IF(P1026=1,IF(SUMPRODUCT(($P$2:P1026)*(--($G$2:G1026=$G1026)))=1,1,0),0)</f>
        <v>0</v>
      </c>
      <c r="R1026" s="69" t="str">
        <f>IF(Q1026=1,SUM($Q$2:Q1026),"")</f>
        <v/>
      </c>
    </row>
    <row r="1027" spans="1:18" ht="16" x14ac:dyDescent="0.2">
      <c r="A1027" s="72"/>
      <c r="B1027" s="76"/>
      <c r="C1027" s="73"/>
      <c r="D1027" s="73" t="s">
        <v>979</v>
      </c>
      <c r="E1027" s="77" t="s">
        <v>94</v>
      </c>
      <c r="F1027" s="75" t="s">
        <v>2080</v>
      </c>
      <c r="G1027" s="74" t="s">
        <v>1239</v>
      </c>
      <c r="H1027" s="69"/>
      <c r="P1027" s="69">
        <f t="shared" ref="P1027:P1090" si="16">IF(AND(IF(TRIM($J$2&amp;"")="",TRUE,LEFT($D1027,LEN($J$2))=$J$2),IF(TRIM($K$2&amp;"")="",TRUE,$E1027=$K$2),IF($L$2="",TRUE,$F1027=$L$2)),1,0)</f>
        <v>0</v>
      </c>
      <c r="Q1027" s="69" cm="1">
        <f t="array" ref="Q1027">IF(P1027=1,IF(SUMPRODUCT(($P$2:P1027)*(--($G$2:G1027=$G1027)))=1,1,0),0)</f>
        <v>0</v>
      </c>
      <c r="R1027" s="69" t="str">
        <f>IF(Q1027=1,SUM($Q$2:Q1027),"")</f>
        <v/>
      </c>
    </row>
    <row r="1028" spans="1:18" ht="16" x14ac:dyDescent="0.2">
      <c r="A1028" s="72"/>
      <c r="B1028" s="76"/>
      <c r="C1028" s="73"/>
      <c r="D1028" s="73" t="s">
        <v>979</v>
      </c>
      <c r="E1028" s="77" t="s">
        <v>94</v>
      </c>
      <c r="F1028" s="75" t="s">
        <v>286</v>
      </c>
      <c r="G1028" s="74" t="s">
        <v>1239</v>
      </c>
      <c r="H1028" s="69"/>
      <c r="P1028" s="69">
        <f t="shared" si="16"/>
        <v>0</v>
      </c>
      <c r="Q1028" s="69" cm="1">
        <f t="array" ref="Q1028">IF(P1028=1,IF(SUMPRODUCT(($P$2:P1028)*(--($G$2:G1028=$G1028)))=1,1,0),0)</f>
        <v>0</v>
      </c>
      <c r="R1028" s="69" t="str">
        <f>IF(Q1028=1,SUM($Q$2:Q1028),"")</f>
        <v/>
      </c>
    </row>
    <row r="1029" spans="1:18" ht="16" x14ac:dyDescent="0.2">
      <c r="A1029" s="72"/>
      <c r="B1029" s="76"/>
      <c r="C1029" s="73"/>
      <c r="D1029" s="73" t="s">
        <v>979</v>
      </c>
      <c r="E1029" s="77" t="s">
        <v>94</v>
      </c>
      <c r="F1029" s="75" t="s">
        <v>2217</v>
      </c>
      <c r="G1029" s="74" t="s">
        <v>1239</v>
      </c>
      <c r="H1029" s="69"/>
      <c r="P1029" s="69">
        <f t="shared" si="16"/>
        <v>0</v>
      </c>
      <c r="Q1029" s="69" cm="1">
        <f t="array" ref="Q1029">IF(P1029=1,IF(SUMPRODUCT(($P$2:P1029)*(--($G$2:G1029=$G1029)))=1,1,0),0)</f>
        <v>0</v>
      </c>
      <c r="R1029" s="69" t="str">
        <f>IF(Q1029=1,SUM($Q$2:Q1029),"")</f>
        <v/>
      </c>
    </row>
    <row r="1030" spans="1:18" ht="16" x14ac:dyDescent="0.2">
      <c r="A1030" s="72"/>
      <c r="B1030" s="76"/>
      <c r="C1030" s="73"/>
      <c r="D1030" s="73" t="s">
        <v>979</v>
      </c>
      <c r="E1030" s="77" t="s">
        <v>94</v>
      </c>
      <c r="F1030" s="75" t="s">
        <v>2218</v>
      </c>
      <c r="G1030" s="74" t="s">
        <v>1239</v>
      </c>
      <c r="H1030" s="69"/>
      <c r="P1030" s="69">
        <f t="shared" si="16"/>
        <v>0</v>
      </c>
      <c r="Q1030" s="69" cm="1">
        <f t="array" ref="Q1030">IF(P1030=1,IF(SUMPRODUCT(($P$2:P1030)*(--($G$2:G1030=$G1030)))=1,1,0),0)</f>
        <v>0</v>
      </c>
      <c r="R1030" s="69" t="str">
        <f>IF(Q1030=1,SUM($Q$2:Q1030),"")</f>
        <v/>
      </c>
    </row>
    <row r="1031" spans="1:18" ht="16" x14ac:dyDescent="0.2">
      <c r="A1031" s="72"/>
      <c r="B1031" s="76"/>
      <c r="C1031" s="73"/>
      <c r="D1031" s="73" t="s">
        <v>979</v>
      </c>
      <c r="E1031" s="77" t="s">
        <v>94</v>
      </c>
      <c r="F1031" s="75" t="s">
        <v>2219</v>
      </c>
      <c r="G1031" s="74" t="s">
        <v>1239</v>
      </c>
      <c r="H1031" s="69"/>
      <c r="P1031" s="69">
        <f t="shared" si="16"/>
        <v>0</v>
      </c>
      <c r="Q1031" s="69" cm="1">
        <f t="array" ref="Q1031">IF(P1031=1,IF(SUMPRODUCT(($P$2:P1031)*(--($G$2:G1031=$G1031)))=1,1,0),0)</f>
        <v>0</v>
      </c>
      <c r="R1031" s="69" t="str">
        <f>IF(Q1031=1,SUM($Q$2:Q1031),"")</f>
        <v/>
      </c>
    </row>
    <row r="1032" spans="1:18" ht="16" x14ac:dyDescent="0.2">
      <c r="A1032" s="72"/>
      <c r="B1032" s="76"/>
      <c r="C1032" s="73"/>
      <c r="D1032" s="73" t="s">
        <v>979</v>
      </c>
      <c r="E1032" s="77" t="s">
        <v>135</v>
      </c>
      <c r="F1032" s="75" t="s">
        <v>2080</v>
      </c>
      <c r="G1032" s="74" t="s">
        <v>1239</v>
      </c>
      <c r="H1032" s="69"/>
      <c r="P1032" s="69">
        <f t="shared" si="16"/>
        <v>0</v>
      </c>
      <c r="Q1032" s="69" cm="1">
        <f t="array" ref="Q1032">IF(P1032=1,IF(SUMPRODUCT(($P$2:P1032)*(--($G$2:G1032=$G1032)))=1,1,0),0)</f>
        <v>0</v>
      </c>
      <c r="R1032" s="69" t="str">
        <f>IF(Q1032=1,SUM($Q$2:Q1032),"")</f>
        <v/>
      </c>
    </row>
    <row r="1033" spans="1:18" ht="16" x14ac:dyDescent="0.2">
      <c r="A1033" s="72"/>
      <c r="B1033" s="76"/>
      <c r="C1033" s="73"/>
      <c r="D1033" s="73" t="s">
        <v>979</v>
      </c>
      <c r="E1033" s="77" t="s">
        <v>135</v>
      </c>
      <c r="F1033" s="75" t="s">
        <v>286</v>
      </c>
      <c r="G1033" s="74" t="s">
        <v>1239</v>
      </c>
      <c r="H1033" s="69"/>
      <c r="P1033" s="69">
        <f t="shared" si="16"/>
        <v>0</v>
      </c>
      <c r="Q1033" s="69" cm="1">
        <f t="array" ref="Q1033">IF(P1033=1,IF(SUMPRODUCT(($P$2:P1033)*(--($G$2:G1033=$G1033)))=1,1,0),0)</f>
        <v>0</v>
      </c>
      <c r="R1033" s="69" t="str">
        <f>IF(Q1033=1,SUM($Q$2:Q1033),"")</f>
        <v/>
      </c>
    </row>
    <row r="1034" spans="1:18" ht="16" x14ac:dyDescent="0.2">
      <c r="A1034" s="72"/>
      <c r="B1034" s="76"/>
      <c r="C1034" s="73"/>
      <c r="D1034" s="73" t="s">
        <v>979</v>
      </c>
      <c r="E1034" s="77" t="s">
        <v>135</v>
      </c>
      <c r="F1034" s="75" t="s">
        <v>2217</v>
      </c>
      <c r="G1034" s="74" t="s">
        <v>1239</v>
      </c>
      <c r="H1034" s="69"/>
      <c r="P1034" s="69">
        <f t="shared" si="16"/>
        <v>0</v>
      </c>
      <c r="Q1034" s="69" cm="1">
        <f t="array" ref="Q1034">IF(P1034=1,IF(SUMPRODUCT(($P$2:P1034)*(--($G$2:G1034=$G1034)))=1,1,0),0)</f>
        <v>0</v>
      </c>
      <c r="R1034" s="69" t="str">
        <f>IF(Q1034=1,SUM($Q$2:Q1034),"")</f>
        <v/>
      </c>
    </row>
    <row r="1035" spans="1:18" ht="16" x14ac:dyDescent="0.2">
      <c r="A1035" s="72"/>
      <c r="B1035" s="76"/>
      <c r="C1035" s="73"/>
      <c r="D1035" s="73" t="s">
        <v>979</v>
      </c>
      <c r="E1035" s="77" t="s">
        <v>135</v>
      </c>
      <c r="F1035" s="75" t="s">
        <v>2218</v>
      </c>
      <c r="G1035" s="74" t="s">
        <v>1239</v>
      </c>
      <c r="H1035" s="69"/>
      <c r="P1035" s="69">
        <f t="shared" si="16"/>
        <v>0</v>
      </c>
      <c r="Q1035" s="69" cm="1">
        <f t="array" ref="Q1035">IF(P1035=1,IF(SUMPRODUCT(($P$2:P1035)*(--($G$2:G1035=$G1035)))=1,1,0),0)</f>
        <v>0</v>
      </c>
      <c r="R1035" s="69" t="str">
        <f>IF(Q1035=1,SUM($Q$2:Q1035),"")</f>
        <v/>
      </c>
    </row>
    <row r="1036" spans="1:18" ht="16" x14ac:dyDescent="0.2">
      <c r="A1036" s="72"/>
      <c r="B1036" s="76"/>
      <c r="C1036" s="73"/>
      <c r="D1036" s="73" t="s">
        <v>979</v>
      </c>
      <c r="E1036" s="77" t="s">
        <v>135</v>
      </c>
      <c r="F1036" s="75" t="s">
        <v>2219</v>
      </c>
      <c r="G1036" s="74" t="s">
        <v>1239</v>
      </c>
      <c r="H1036" s="69"/>
      <c r="P1036" s="69">
        <f t="shared" si="16"/>
        <v>0</v>
      </c>
      <c r="Q1036" s="69" cm="1">
        <f t="array" ref="Q1036">IF(P1036=1,IF(SUMPRODUCT(($P$2:P1036)*(--($G$2:G1036=$G1036)))=1,1,0),0)</f>
        <v>0</v>
      </c>
      <c r="R1036" s="69" t="str">
        <f>IF(Q1036=1,SUM($Q$2:Q1036),"")</f>
        <v/>
      </c>
    </row>
    <row r="1037" spans="1:18" ht="16" x14ac:dyDescent="0.2">
      <c r="A1037" s="72"/>
      <c r="B1037" s="84"/>
      <c r="C1037" s="73"/>
      <c r="D1037" s="73" t="s">
        <v>979</v>
      </c>
      <c r="E1037" s="77" t="s">
        <v>94</v>
      </c>
      <c r="F1037" s="75" t="s">
        <v>2080</v>
      </c>
      <c r="G1037" s="74" t="s">
        <v>1259</v>
      </c>
      <c r="H1037" s="69"/>
      <c r="P1037" s="69">
        <f t="shared" si="16"/>
        <v>0</v>
      </c>
      <c r="Q1037" s="69" cm="1">
        <f t="array" ref="Q1037">IF(P1037=1,IF(SUMPRODUCT(($P$2:P1037)*(--($G$2:G1037=$G1037)))=1,1,0),0)</f>
        <v>0</v>
      </c>
      <c r="R1037" s="69" t="str">
        <f>IF(Q1037=1,SUM($Q$2:Q1037),"")</f>
        <v/>
      </c>
    </row>
    <row r="1038" spans="1:18" ht="16" x14ac:dyDescent="0.2">
      <c r="A1038" s="72"/>
      <c r="B1038" s="84"/>
      <c r="C1038" s="73"/>
      <c r="D1038" s="73" t="s">
        <v>979</v>
      </c>
      <c r="E1038" s="77" t="s">
        <v>94</v>
      </c>
      <c r="F1038" s="75" t="s">
        <v>286</v>
      </c>
      <c r="G1038" s="74" t="s">
        <v>1259</v>
      </c>
      <c r="H1038" s="69"/>
      <c r="P1038" s="69">
        <f t="shared" si="16"/>
        <v>0</v>
      </c>
      <c r="Q1038" s="69" cm="1">
        <f t="array" ref="Q1038">IF(P1038=1,IF(SUMPRODUCT(($P$2:P1038)*(--($G$2:G1038=$G1038)))=1,1,0),0)</f>
        <v>0</v>
      </c>
      <c r="R1038" s="69" t="str">
        <f>IF(Q1038=1,SUM($Q$2:Q1038),"")</f>
        <v/>
      </c>
    </row>
    <row r="1039" spans="1:18" ht="16" x14ac:dyDescent="0.2">
      <c r="A1039" s="72"/>
      <c r="B1039" s="84"/>
      <c r="C1039" s="73"/>
      <c r="D1039" s="73" t="s">
        <v>979</v>
      </c>
      <c r="E1039" s="77" t="s">
        <v>94</v>
      </c>
      <c r="F1039" s="75" t="s">
        <v>2240</v>
      </c>
      <c r="G1039" s="74" t="s">
        <v>1259</v>
      </c>
      <c r="H1039" s="69"/>
      <c r="P1039" s="69">
        <f t="shared" si="16"/>
        <v>0</v>
      </c>
      <c r="Q1039" s="69" cm="1">
        <f t="array" ref="Q1039">IF(P1039=1,IF(SUMPRODUCT(($P$2:P1039)*(--($G$2:G1039=$G1039)))=1,1,0),0)</f>
        <v>0</v>
      </c>
      <c r="R1039" s="69" t="str">
        <f>IF(Q1039=1,SUM($Q$2:Q1039),"")</f>
        <v/>
      </c>
    </row>
    <row r="1040" spans="1:18" ht="16" x14ac:dyDescent="0.2">
      <c r="A1040" s="72"/>
      <c r="B1040" s="84"/>
      <c r="C1040" s="73"/>
      <c r="D1040" s="73" t="s">
        <v>979</v>
      </c>
      <c r="E1040" s="77" t="s">
        <v>94</v>
      </c>
      <c r="F1040" s="75" t="s">
        <v>2242</v>
      </c>
      <c r="G1040" s="74" t="s">
        <v>1259</v>
      </c>
      <c r="H1040" s="69"/>
      <c r="P1040" s="69">
        <f t="shared" si="16"/>
        <v>0</v>
      </c>
      <c r="Q1040" s="69" cm="1">
        <f t="array" ref="Q1040">IF(P1040=1,IF(SUMPRODUCT(($P$2:P1040)*(--($G$2:G1040=$G1040)))=1,1,0),0)</f>
        <v>0</v>
      </c>
      <c r="R1040" s="69" t="str">
        <f>IF(Q1040=1,SUM($Q$2:Q1040),"")</f>
        <v/>
      </c>
    </row>
    <row r="1041" spans="1:18" ht="16" x14ac:dyDescent="0.2">
      <c r="A1041" s="72"/>
      <c r="B1041" s="84"/>
      <c r="C1041" s="73"/>
      <c r="D1041" s="73" t="s">
        <v>979</v>
      </c>
      <c r="E1041" s="77" t="s">
        <v>94</v>
      </c>
      <c r="F1041" s="75" t="s">
        <v>2219</v>
      </c>
      <c r="G1041" s="74" t="s">
        <v>1259</v>
      </c>
      <c r="H1041" s="69"/>
      <c r="P1041" s="69">
        <f t="shared" si="16"/>
        <v>0</v>
      </c>
      <c r="Q1041" s="69" cm="1">
        <f t="array" ref="Q1041">IF(P1041=1,IF(SUMPRODUCT(($P$2:P1041)*(--($G$2:G1041=$G1041)))=1,1,0),0)</f>
        <v>0</v>
      </c>
      <c r="R1041" s="69" t="str">
        <f>IF(Q1041=1,SUM($Q$2:Q1041),"")</f>
        <v/>
      </c>
    </row>
    <row r="1042" spans="1:18" ht="16" x14ac:dyDescent="0.2">
      <c r="A1042" s="72"/>
      <c r="B1042" s="84"/>
      <c r="C1042" s="73"/>
      <c r="D1042" s="73" t="s">
        <v>979</v>
      </c>
      <c r="E1042" s="77" t="s">
        <v>135</v>
      </c>
      <c r="F1042" s="75" t="s">
        <v>2080</v>
      </c>
      <c r="G1042" s="74" t="s">
        <v>1259</v>
      </c>
      <c r="H1042" s="69"/>
      <c r="P1042" s="69">
        <f t="shared" si="16"/>
        <v>0</v>
      </c>
      <c r="Q1042" s="69" cm="1">
        <f t="array" ref="Q1042">IF(P1042=1,IF(SUMPRODUCT(($P$2:P1042)*(--($G$2:G1042=$G1042)))=1,1,0),0)</f>
        <v>0</v>
      </c>
      <c r="R1042" s="69" t="str">
        <f>IF(Q1042=1,SUM($Q$2:Q1042),"")</f>
        <v/>
      </c>
    </row>
    <row r="1043" spans="1:18" ht="16" x14ac:dyDescent="0.2">
      <c r="A1043" s="72"/>
      <c r="B1043" s="84"/>
      <c r="C1043" s="73"/>
      <c r="D1043" s="73" t="s">
        <v>979</v>
      </c>
      <c r="E1043" s="77" t="s">
        <v>135</v>
      </c>
      <c r="F1043" s="75" t="s">
        <v>286</v>
      </c>
      <c r="G1043" s="74" t="s">
        <v>1259</v>
      </c>
      <c r="H1043" s="69"/>
      <c r="P1043" s="69">
        <f t="shared" si="16"/>
        <v>0</v>
      </c>
      <c r="Q1043" s="69" cm="1">
        <f t="array" ref="Q1043">IF(P1043=1,IF(SUMPRODUCT(($P$2:P1043)*(--($G$2:G1043=$G1043)))=1,1,0),0)</f>
        <v>0</v>
      </c>
      <c r="R1043" s="69" t="str">
        <f>IF(Q1043=1,SUM($Q$2:Q1043),"")</f>
        <v/>
      </c>
    </row>
    <row r="1044" spans="1:18" ht="16" x14ac:dyDescent="0.2">
      <c r="A1044" s="72"/>
      <c r="B1044" s="84"/>
      <c r="C1044" s="73"/>
      <c r="D1044" s="73" t="s">
        <v>979</v>
      </c>
      <c r="E1044" s="77" t="s">
        <v>135</v>
      </c>
      <c r="F1044" s="75" t="s">
        <v>2240</v>
      </c>
      <c r="G1044" s="74" t="s">
        <v>1259</v>
      </c>
      <c r="H1044" s="69"/>
      <c r="P1044" s="69">
        <f t="shared" si="16"/>
        <v>0</v>
      </c>
      <c r="Q1044" s="69" cm="1">
        <f t="array" ref="Q1044">IF(P1044=1,IF(SUMPRODUCT(($P$2:P1044)*(--($G$2:G1044=$G1044)))=1,1,0),0)</f>
        <v>0</v>
      </c>
      <c r="R1044" s="69" t="str">
        <f>IF(Q1044=1,SUM($Q$2:Q1044),"")</f>
        <v/>
      </c>
    </row>
    <row r="1045" spans="1:18" ht="16" x14ac:dyDescent="0.2">
      <c r="A1045" s="72"/>
      <c r="B1045" s="84"/>
      <c r="C1045" s="73"/>
      <c r="D1045" s="73" t="s">
        <v>979</v>
      </c>
      <c r="E1045" s="77" t="s">
        <v>135</v>
      </c>
      <c r="F1045" s="75" t="s">
        <v>2242</v>
      </c>
      <c r="G1045" s="74" t="s">
        <v>1259</v>
      </c>
      <c r="H1045" s="69"/>
      <c r="P1045" s="69">
        <f t="shared" si="16"/>
        <v>0</v>
      </c>
      <c r="Q1045" s="69" cm="1">
        <f t="array" ref="Q1045">IF(P1045=1,IF(SUMPRODUCT(($P$2:P1045)*(--($G$2:G1045=$G1045)))=1,1,0),0)</f>
        <v>0</v>
      </c>
      <c r="R1045" s="69" t="str">
        <f>IF(Q1045=1,SUM($Q$2:Q1045),"")</f>
        <v/>
      </c>
    </row>
    <row r="1046" spans="1:18" ht="16" x14ac:dyDescent="0.2">
      <c r="A1046" s="72"/>
      <c r="B1046" s="84"/>
      <c r="C1046" s="73"/>
      <c r="D1046" s="73" t="s">
        <v>979</v>
      </c>
      <c r="E1046" s="77" t="s">
        <v>135</v>
      </c>
      <c r="F1046" s="75" t="s">
        <v>2219</v>
      </c>
      <c r="G1046" s="74" t="s">
        <v>1259</v>
      </c>
      <c r="H1046" s="69"/>
      <c r="P1046" s="69">
        <f t="shared" si="16"/>
        <v>0</v>
      </c>
      <c r="Q1046" s="69" cm="1">
        <f t="array" ref="Q1046">IF(P1046=1,IF(SUMPRODUCT(($P$2:P1046)*(--($G$2:G1046=$G1046)))=1,1,0),0)</f>
        <v>0</v>
      </c>
      <c r="R1046" s="69" t="str">
        <f>IF(Q1046=1,SUM($Q$2:Q1046),"")</f>
        <v/>
      </c>
    </row>
    <row r="1047" spans="1:18" ht="16" x14ac:dyDescent="0.2">
      <c r="A1047" s="72"/>
      <c r="B1047" s="76"/>
      <c r="C1047" s="73"/>
      <c r="D1047" s="73" t="s">
        <v>979</v>
      </c>
      <c r="E1047" s="77" t="s">
        <v>94</v>
      </c>
      <c r="F1047" s="75" t="s">
        <v>2220</v>
      </c>
      <c r="G1047" s="74" t="s">
        <v>1238</v>
      </c>
      <c r="H1047" s="69"/>
      <c r="P1047" s="69">
        <f t="shared" si="16"/>
        <v>0</v>
      </c>
      <c r="Q1047" s="69" cm="1">
        <f t="array" ref="Q1047">IF(P1047=1,IF(SUMPRODUCT(($P$2:P1047)*(--($G$2:G1047=$G1047)))=1,1,0),0)</f>
        <v>0</v>
      </c>
      <c r="R1047" s="69" t="str">
        <f>IF(Q1047=1,SUM($Q$2:Q1047),"")</f>
        <v/>
      </c>
    </row>
    <row r="1048" spans="1:18" ht="16" x14ac:dyDescent="0.2">
      <c r="A1048" s="72"/>
      <c r="B1048" s="76"/>
      <c r="C1048" s="73"/>
      <c r="D1048" s="73" t="s">
        <v>979</v>
      </c>
      <c r="E1048" s="77" t="s">
        <v>94</v>
      </c>
      <c r="F1048" s="75" t="s">
        <v>2231</v>
      </c>
      <c r="G1048" s="74" t="s">
        <v>1238</v>
      </c>
      <c r="H1048" s="69"/>
      <c r="P1048" s="69">
        <f t="shared" si="16"/>
        <v>0</v>
      </c>
      <c r="Q1048" s="69" cm="1">
        <f t="array" ref="Q1048">IF(P1048=1,IF(SUMPRODUCT(($P$2:P1048)*(--($G$2:G1048=$G1048)))=1,1,0),0)</f>
        <v>0</v>
      </c>
      <c r="R1048" s="69" t="str">
        <f>IF(Q1048=1,SUM($Q$2:Q1048),"")</f>
        <v/>
      </c>
    </row>
    <row r="1049" spans="1:18" ht="16" x14ac:dyDescent="0.2">
      <c r="A1049" s="72"/>
      <c r="B1049" s="76"/>
      <c r="C1049" s="73"/>
      <c r="D1049" s="73" t="s">
        <v>979</v>
      </c>
      <c r="E1049" s="77" t="s">
        <v>94</v>
      </c>
      <c r="F1049" s="75" t="s">
        <v>2221</v>
      </c>
      <c r="G1049" s="74" t="s">
        <v>1238</v>
      </c>
      <c r="H1049" s="69"/>
      <c r="P1049" s="69">
        <f t="shared" si="16"/>
        <v>0</v>
      </c>
      <c r="Q1049" s="69" cm="1">
        <f t="array" ref="Q1049">IF(P1049=1,IF(SUMPRODUCT(($P$2:P1049)*(--($G$2:G1049=$G1049)))=1,1,0),0)</f>
        <v>0</v>
      </c>
      <c r="R1049" s="69" t="str">
        <f>IF(Q1049=1,SUM($Q$2:Q1049),"")</f>
        <v/>
      </c>
    </row>
    <row r="1050" spans="1:18" ht="16" x14ac:dyDescent="0.2">
      <c r="A1050" s="72"/>
      <c r="B1050" s="76"/>
      <c r="C1050" s="73"/>
      <c r="D1050" s="73" t="s">
        <v>979</v>
      </c>
      <c r="E1050" s="77" t="s">
        <v>94</v>
      </c>
      <c r="F1050" s="75" t="s">
        <v>2220</v>
      </c>
      <c r="G1050" s="74" t="s">
        <v>1238</v>
      </c>
      <c r="H1050" s="69"/>
      <c r="P1050" s="69">
        <f t="shared" si="16"/>
        <v>0</v>
      </c>
      <c r="Q1050" s="69" cm="1">
        <f t="array" ref="Q1050">IF(P1050=1,IF(SUMPRODUCT(($P$2:P1050)*(--($G$2:G1050=$G1050)))=1,1,0),0)</f>
        <v>0</v>
      </c>
      <c r="R1050" s="69" t="str">
        <f>IF(Q1050=1,SUM($Q$2:Q1050),"")</f>
        <v/>
      </c>
    </row>
    <row r="1051" spans="1:18" ht="16" x14ac:dyDescent="0.2">
      <c r="A1051" s="72"/>
      <c r="B1051" s="76"/>
      <c r="C1051" s="73"/>
      <c r="D1051" s="73" t="s">
        <v>979</v>
      </c>
      <c r="E1051" s="77" t="s">
        <v>94</v>
      </c>
      <c r="F1051" s="75" t="s">
        <v>2231</v>
      </c>
      <c r="G1051" s="74" t="s">
        <v>1238</v>
      </c>
      <c r="H1051" s="69"/>
      <c r="P1051" s="69">
        <f t="shared" si="16"/>
        <v>0</v>
      </c>
      <c r="Q1051" s="69" cm="1">
        <f t="array" ref="Q1051">IF(P1051=1,IF(SUMPRODUCT(($P$2:P1051)*(--($G$2:G1051=$G1051)))=1,1,0),0)</f>
        <v>0</v>
      </c>
      <c r="R1051" s="69" t="str">
        <f>IF(Q1051=1,SUM($Q$2:Q1051),"")</f>
        <v/>
      </c>
    </row>
    <row r="1052" spans="1:18" ht="16" x14ac:dyDescent="0.2">
      <c r="A1052" s="72"/>
      <c r="B1052" s="76"/>
      <c r="C1052" s="73"/>
      <c r="D1052" s="73" t="s">
        <v>979</v>
      </c>
      <c r="E1052" s="77" t="s">
        <v>94</v>
      </c>
      <c r="F1052" s="75" t="s">
        <v>2221</v>
      </c>
      <c r="G1052" s="74" t="s">
        <v>1238</v>
      </c>
      <c r="H1052" s="69"/>
      <c r="P1052" s="69">
        <f t="shared" si="16"/>
        <v>0</v>
      </c>
      <c r="Q1052" s="69" cm="1">
        <f t="array" ref="Q1052">IF(P1052=1,IF(SUMPRODUCT(($P$2:P1052)*(--($G$2:G1052=$G1052)))=1,1,0),0)</f>
        <v>0</v>
      </c>
      <c r="R1052" s="69" t="str">
        <f>IF(Q1052=1,SUM($Q$2:Q1052),"")</f>
        <v/>
      </c>
    </row>
    <row r="1053" spans="1:18" ht="16" x14ac:dyDescent="0.2">
      <c r="A1053" s="72"/>
      <c r="B1053" s="76"/>
      <c r="C1053" s="73"/>
      <c r="D1053" s="73" t="s">
        <v>979</v>
      </c>
      <c r="E1053" s="77" t="s">
        <v>94</v>
      </c>
      <c r="F1053" s="75" t="s">
        <v>2236</v>
      </c>
      <c r="G1053" s="74" t="s">
        <v>1240</v>
      </c>
      <c r="H1053" s="69"/>
      <c r="P1053" s="69">
        <f t="shared" si="16"/>
        <v>0</v>
      </c>
      <c r="Q1053" s="69" cm="1">
        <f t="array" ref="Q1053">IF(P1053=1,IF(SUMPRODUCT(($P$2:P1053)*(--($G$2:G1053=$G1053)))=1,1,0),0)</f>
        <v>0</v>
      </c>
      <c r="R1053" s="69" t="str">
        <f>IF(Q1053=1,SUM($Q$2:Q1053),"")</f>
        <v/>
      </c>
    </row>
    <row r="1054" spans="1:18" ht="16" x14ac:dyDescent="0.2">
      <c r="A1054" s="72"/>
      <c r="B1054" s="76"/>
      <c r="C1054" s="73"/>
      <c r="D1054" s="73" t="s">
        <v>979</v>
      </c>
      <c r="E1054" s="77" t="s">
        <v>94</v>
      </c>
      <c r="F1054" s="75" t="s">
        <v>2237</v>
      </c>
      <c r="G1054" s="74" t="s">
        <v>1240</v>
      </c>
      <c r="H1054" s="69"/>
      <c r="P1054" s="69">
        <f t="shared" si="16"/>
        <v>0</v>
      </c>
      <c r="Q1054" s="69" cm="1">
        <f t="array" ref="Q1054">IF(P1054=1,IF(SUMPRODUCT(($P$2:P1054)*(--($G$2:G1054=$G1054)))=1,1,0),0)</f>
        <v>0</v>
      </c>
      <c r="R1054" s="69" t="str">
        <f>IF(Q1054=1,SUM($Q$2:Q1054),"")</f>
        <v/>
      </c>
    </row>
    <row r="1055" spans="1:18" ht="16" x14ac:dyDescent="0.2">
      <c r="A1055" s="72"/>
      <c r="B1055" s="76"/>
      <c r="C1055" s="73"/>
      <c r="D1055" s="73" t="s">
        <v>979</v>
      </c>
      <c r="E1055" s="77" t="s">
        <v>94</v>
      </c>
      <c r="F1055" s="75" t="s">
        <v>2238</v>
      </c>
      <c r="G1055" s="74" t="s">
        <v>1284</v>
      </c>
      <c r="H1055" s="69"/>
      <c r="P1055" s="69">
        <f t="shared" si="16"/>
        <v>0</v>
      </c>
      <c r="Q1055" s="69" cm="1">
        <f t="array" ref="Q1055">IF(P1055=1,IF(SUMPRODUCT(($P$2:P1055)*(--($G$2:G1055=$G1055)))=1,1,0),0)</f>
        <v>0</v>
      </c>
      <c r="R1055" s="69" t="str">
        <f>IF(Q1055=1,SUM($Q$2:Q1055),"")</f>
        <v/>
      </c>
    </row>
    <row r="1056" spans="1:18" ht="16" x14ac:dyDescent="0.2">
      <c r="A1056" s="72"/>
      <c r="B1056" s="76"/>
      <c r="C1056" s="73"/>
      <c r="D1056" s="73" t="s">
        <v>979</v>
      </c>
      <c r="E1056" s="77" t="s">
        <v>94</v>
      </c>
      <c r="F1056" s="75" t="s">
        <v>2239</v>
      </c>
      <c r="G1056" s="74" t="s">
        <v>1284</v>
      </c>
      <c r="H1056" s="69"/>
      <c r="P1056" s="69">
        <f t="shared" si="16"/>
        <v>0</v>
      </c>
      <c r="Q1056" s="69" cm="1">
        <f t="array" ref="Q1056">IF(P1056=1,IF(SUMPRODUCT(($P$2:P1056)*(--($G$2:G1056=$G1056)))=1,1,0),0)</f>
        <v>0</v>
      </c>
      <c r="R1056" s="69" t="str">
        <f>IF(Q1056=1,SUM($Q$2:Q1056),"")</f>
        <v/>
      </c>
    </row>
    <row r="1057" spans="1:18" ht="16" x14ac:dyDescent="0.2">
      <c r="A1057" s="72"/>
      <c r="B1057" s="76"/>
      <c r="C1057" s="73"/>
      <c r="D1057" s="73" t="s">
        <v>979</v>
      </c>
      <c r="E1057" s="77" t="s">
        <v>103</v>
      </c>
      <c r="F1057" s="75" t="s">
        <v>1615</v>
      </c>
      <c r="G1057" s="74" t="s">
        <v>1236</v>
      </c>
      <c r="H1057" s="69"/>
      <c r="P1057" s="69">
        <f t="shared" si="16"/>
        <v>0</v>
      </c>
      <c r="Q1057" s="69" cm="1">
        <f t="array" ref="Q1057">IF(P1057=1,IF(SUMPRODUCT(($P$2:P1057)*(--($G$2:G1057=$G1057)))=1,1,0),0)</f>
        <v>0</v>
      </c>
      <c r="R1057" s="69" t="str">
        <f>IF(Q1057=1,SUM($Q$2:Q1057),"")</f>
        <v/>
      </c>
    </row>
    <row r="1058" spans="1:18" ht="16" x14ac:dyDescent="0.2">
      <c r="A1058" s="72"/>
      <c r="B1058" s="76"/>
      <c r="C1058" s="73"/>
      <c r="D1058" s="73" t="s">
        <v>979</v>
      </c>
      <c r="E1058" s="77" t="s">
        <v>103</v>
      </c>
      <c r="F1058" s="75" t="s">
        <v>1617</v>
      </c>
      <c r="G1058" s="74" t="s">
        <v>1236</v>
      </c>
      <c r="H1058" s="69"/>
      <c r="P1058" s="69">
        <f t="shared" si="16"/>
        <v>0</v>
      </c>
      <c r="Q1058" s="69" cm="1">
        <f t="array" ref="Q1058">IF(P1058=1,IF(SUMPRODUCT(($P$2:P1058)*(--($G$2:G1058=$G1058)))=1,1,0),0)</f>
        <v>0</v>
      </c>
      <c r="R1058" s="69" t="str">
        <f>IF(Q1058=1,SUM($Q$2:Q1058),"")</f>
        <v/>
      </c>
    </row>
    <row r="1059" spans="1:18" ht="16" x14ac:dyDescent="0.2">
      <c r="A1059" s="72"/>
      <c r="B1059" s="76"/>
      <c r="C1059" s="73"/>
      <c r="D1059" s="73" t="s">
        <v>979</v>
      </c>
      <c r="E1059" s="77" t="s">
        <v>103</v>
      </c>
      <c r="F1059" s="75" t="s">
        <v>1616</v>
      </c>
      <c r="G1059" s="74" t="s">
        <v>1236</v>
      </c>
      <c r="H1059" s="69"/>
      <c r="P1059" s="69">
        <f t="shared" si="16"/>
        <v>0</v>
      </c>
      <c r="Q1059" s="69" cm="1">
        <f t="array" ref="Q1059">IF(P1059=1,IF(SUMPRODUCT(($P$2:P1059)*(--($G$2:G1059=$G1059)))=1,1,0),0)</f>
        <v>0</v>
      </c>
      <c r="R1059" s="69" t="str">
        <f>IF(Q1059=1,SUM($Q$2:Q1059),"")</f>
        <v/>
      </c>
    </row>
    <row r="1060" spans="1:18" ht="16" x14ac:dyDescent="0.2">
      <c r="A1060" s="72"/>
      <c r="B1060" s="76"/>
      <c r="C1060" s="73"/>
      <c r="D1060" s="73" t="s">
        <v>979</v>
      </c>
      <c r="E1060" s="77" t="s">
        <v>103</v>
      </c>
      <c r="F1060" s="75" t="s">
        <v>1694</v>
      </c>
      <c r="G1060" s="74" t="s">
        <v>1236</v>
      </c>
      <c r="H1060" s="69"/>
      <c r="P1060" s="69">
        <f t="shared" si="16"/>
        <v>0</v>
      </c>
      <c r="Q1060" s="69" cm="1">
        <f t="array" ref="Q1060">IF(P1060=1,IF(SUMPRODUCT(($P$2:P1060)*(--($G$2:G1060=$G1060)))=1,1,0),0)</f>
        <v>0</v>
      </c>
      <c r="R1060" s="69" t="str">
        <f>IF(Q1060=1,SUM($Q$2:Q1060),"")</f>
        <v/>
      </c>
    </row>
    <row r="1061" spans="1:18" ht="16" x14ac:dyDescent="0.2">
      <c r="A1061" s="72"/>
      <c r="B1061" s="76"/>
      <c r="C1061" s="73"/>
      <c r="D1061" s="73" t="s">
        <v>979</v>
      </c>
      <c r="E1061" s="77" t="s">
        <v>103</v>
      </c>
      <c r="F1061" s="75" t="s">
        <v>1618</v>
      </c>
      <c r="G1061" s="74" t="s">
        <v>1236</v>
      </c>
      <c r="H1061" s="69"/>
      <c r="P1061" s="69">
        <f t="shared" si="16"/>
        <v>0</v>
      </c>
      <c r="Q1061" s="69" cm="1">
        <f t="array" ref="Q1061">IF(P1061=1,IF(SUMPRODUCT(($P$2:P1061)*(--($G$2:G1061=$G1061)))=1,1,0),0)</f>
        <v>0</v>
      </c>
      <c r="R1061" s="69" t="str">
        <f>IF(Q1061=1,SUM($Q$2:Q1061),"")</f>
        <v/>
      </c>
    </row>
    <row r="1062" spans="1:18" ht="16" x14ac:dyDescent="0.2">
      <c r="A1062" s="72"/>
      <c r="B1062" s="76"/>
      <c r="C1062" s="73"/>
      <c r="D1062" s="73" t="s">
        <v>979</v>
      </c>
      <c r="E1062" s="77" t="s">
        <v>103</v>
      </c>
      <c r="F1062" s="75" t="s">
        <v>1619</v>
      </c>
      <c r="G1062" s="74" t="s">
        <v>1236</v>
      </c>
      <c r="H1062" s="69"/>
      <c r="P1062" s="69">
        <f t="shared" si="16"/>
        <v>0</v>
      </c>
      <c r="Q1062" s="69" cm="1">
        <f t="array" ref="Q1062">IF(P1062=1,IF(SUMPRODUCT(($P$2:P1062)*(--($G$2:G1062=$G1062)))=1,1,0),0)</f>
        <v>0</v>
      </c>
      <c r="R1062" s="69" t="str">
        <f>IF(Q1062=1,SUM($Q$2:Q1062),"")</f>
        <v/>
      </c>
    </row>
    <row r="1063" spans="1:18" ht="16" x14ac:dyDescent="0.2">
      <c r="A1063" s="72"/>
      <c r="B1063" s="76"/>
      <c r="C1063" s="73"/>
      <c r="D1063" s="73" t="s">
        <v>979</v>
      </c>
      <c r="E1063" s="77" t="s">
        <v>103</v>
      </c>
      <c r="F1063" s="75" t="s">
        <v>1620</v>
      </c>
      <c r="G1063" s="74" t="s">
        <v>1236</v>
      </c>
      <c r="H1063" s="69"/>
      <c r="P1063" s="69">
        <f t="shared" si="16"/>
        <v>0</v>
      </c>
      <c r="Q1063" s="69" cm="1">
        <f t="array" ref="Q1063">IF(P1063=1,IF(SUMPRODUCT(($P$2:P1063)*(--($G$2:G1063=$G1063)))=1,1,0),0)</f>
        <v>0</v>
      </c>
      <c r="R1063" s="69" t="str">
        <f>IF(Q1063=1,SUM($Q$2:Q1063),"")</f>
        <v/>
      </c>
    </row>
    <row r="1064" spans="1:18" ht="16" x14ac:dyDescent="0.2">
      <c r="A1064" s="72"/>
      <c r="B1064" s="76"/>
      <c r="C1064" s="73"/>
      <c r="D1064" s="73" t="s">
        <v>979</v>
      </c>
      <c r="E1064" s="77" t="s">
        <v>103</v>
      </c>
      <c r="F1064" s="75" t="s">
        <v>1621</v>
      </c>
      <c r="G1064" s="74" t="s">
        <v>1236</v>
      </c>
      <c r="H1064" s="69"/>
      <c r="P1064" s="69">
        <f t="shared" si="16"/>
        <v>0</v>
      </c>
      <c r="Q1064" s="69" cm="1">
        <f t="array" ref="Q1064">IF(P1064=1,IF(SUMPRODUCT(($P$2:P1064)*(--($G$2:G1064=$G1064)))=1,1,0),0)</f>
        <v>0</v>
      </c>
      <c r="R1064" s="69" t="str">
        <f>IF(Q1064=1,SUM($Q$2:Q1064),"")</f>
        <v/>
      </c>
    </row>
    <row r="1065" spans="1:18" ht="16" x14ac:dyDescent="0.2">
      <c r="A1065" s="72"/>
      <c r="B1065" s="76"/>
      <c r="C1065" s="73"/>
      <c r="D1065" s="73" t="s">
        <v>979</v>
      </c>
      <c r="E1065" s="77" t="s">
        <v>103</v>
      </c>
      <c r="F1065" s="75" t="s">
        <v>1615</v>
      </c>
      <c r="G1065" s="74" t="s">
        <v>1236</v>
      </c>
      <c r="H1065" s="69"/>
      <c r="P1065" s="69">
        <f t="shared" si="16"/>
        <v>0</v>
      </c>
      <c r="Q1065" s="69" cm="1">
        <f t="array" ref="Q1065">IF(P1065=1,IF(SUMPRODUCT(($P$2:P1065)*(--($G$2:G1065=$G1065)))=1,1,0),0)</f>
        <v>0</v>
      </c>
      <c r="R1065" s="69" t="str">
        <f>IF(Q1065=1,SUM($Q$2:Q1065),"")</f>
        <v/>
      </c>
    </row>
    <row r="1066" spans="1:18" ht="16" x14ac:dyDescent="0.2">
      <c r="A1066" s="72"/>
      <c r="B1066" s="76"/>
      <c r="C1066" s="73"/>
      <c r="D1066" s="73" t="s">
        <v>979</v>
      </c>
      <c r="E1066" s="77" t="s">
        <v>103</v>
      </c>
      <c r="F1066" s="75" t="s">
        <v>1617</v>
      </c>
      <c r="G1066" s="74" t="s">
        <v>1236</v>
      </c>
      <c r="H1066" s="69"/>
      <c r="P1066" s="69">
        <f t="shared" si="16"/>
        <v>0</v>
      </c>
      <c r="Q1066" s="69" cm="1">
        <f t="array" ref="Q1066">IF(P1066=1,IF(SUMPRODUCT(($P$2:P1066)*(--($G$2:G1066=$G1066)))=1,1,0),0)</f>
        <v>0</v>
      </c>
      <c r="R1066" s="69" t="str">
        <f>IF(Q1066=1,SUM($Q$2:Q1066),"")</f>
        <v/>
      </c>
    </row>
    <row r="1067" spans="1:18" ht="16" x14ac:dyDescent="0.2">
      <c r="A1067" s="72"/>
      <c r="B1067" s="76"/>
      <c r="C1067" s="73"/>
      <c r="D1067" s="73" t="s">
        <v>979</v>
      </c>
      <c r="E1067" s="77" t="s">
        <v>103</v>
      </c>
      <c r="F1067" s="75" t="s">
        <v>1616</v>
      </c>
      <c r="G1067" s="74" t="s">
        <v>1236</v>
      </c>
      <c r="H1067" s="69"/>
      <c r="P1067" s="69">
        <f t="shared" si="16"/>
        <v>0</v>
      </c>
      <c r="Q1067" s="69" cm="1">
        <f t="array" ref="Q1067">IF(P1067=1,IF(SUMPRODUCT(($P$2:P1067)*(--($G$2:G1067=$G1067)))=1,1,0),0)</f>
        <v>0</v>
      </c>
      <c r="R1067" s="69" t="str">
        <f>IF(Q1067=1,SUM($Q$2:Q1067),"")</f>
        <v/>
      </c>
    </row>
    <row r="1068" spans="1:18" ht="16" x14ac:dyDescent="0.2">
      <c r="A1068" s="72"/>
      <c r="B1068" s="76"/>
      <c r="C1068" s="73"/>
      <c r="D1068" s="73" t="s">
        <v>979</v>
      </c>
      <c r="E1068" s="77" t="s">
        <v>103</v>
      </c>
      <c r="F1068" s="75" t="s">
        <v>1694</v>
      </c>
      <c r="G1068" s="74" t="s">
        <v>1236</v>
      </c>
      <c r="H1068" s="69"/>
      <c r="P1068" s="69">
        <f t="shared" si="16"/>
        <v>0</v>
      </c>
      <c r="Q1068" s="69" cm="1">
        <f t="array" ref="Q1068">IF(P1068=1,IF(SUMPRODUCT(($P$2:P1068)*(--($G$2:G1068=$G1068)))=1,1,0),0)</f>
        <v>0</v>
      </c>
      <c r="R1068" s="69" t="str">
        <f>IF(Q1068=1,SUM($Q$2:Q1068),"")</f>
        <v/>
      </c>
    </row>
    <row r="1069" spans="1:18" ht="16" x14ac:dyDescent="0.2">
      <c r="A1069" s="72"/>
      <c r="B1069" s="76"/>
      <c r="C1069" s="73"/>
      <c r="D1069" s="73" t="s">
        <v>979</v>
      </c>
      <c r="E1069" s="77" t="s">
        <v>103</v>
      </c>
      <c r="F1069" s="75" t="s">
        <v>1618</v>
      </c>
      <c r="G1069" s="74" t="s">
        <v>1236</v>
      </c>
      <c r="H1069" s="69"/>
      <c r="P1069" s="69">
        <f t="shared" si="16"/>
        <v>0</v>
      </c>
      <c r="Q1069" s="69" cm="1">
        <f t="array" ref="Q1069">IF(P1069=1,IF(SUMPRODUCT(($P$2:P1069)*(--($G$2:G1069=$G1069)))=1,1,0),0)</f>
        <v>0</v>
      </c>
      <c r="R1069" s="69" t="str">
        <f>IF(Q1069=1,SUM($Q$2:Q1069),"")</f>
        <v/>
      </c>
    </row>
    <row r="1070" spans="1:18" ht="16" x14ac:dyDescent="0.2">
      <c r="A1070" s="72"/>
      <c r="B1070" s="76"/>
      <c r="C1070" s="73"/>
      <c r="D1070" s="73" t="s">
        <v>979</v>
      </c>
      <c r="E1070" s="77" t="s">
        <v>103</v>
      </c>
      <c r="F1070" s="75" t="s">
        <v>1619</v>
      </c>
      <c r="G1070" s="74" t="s">
        <v>1236</v>
      </c>
      <c r="H1070" s="69"/>
      <c r="P1070" s="69">
        <f t="shared" si="16"/>
        <v>0</v>
      </c>
      <c r="Q1070" s="69" cm="1">
        <f t="array" ref="Q1070">IF(P1070=1,IF(SUMPRODUCT(($P$2:P1070)*(--($G$2:G1070=$G1070)))=1,1,0),0)</f>
        <v>0</v>
      </c>
      <c r="R1070" s="69" t="str">
        <f>IF(Q1070=1,SUM($Q$2:Q1070),"")</f>
        <v/>
      </c>
    </row>
    <row r="1071" spans="1:18" ht="16" x14ac:dyDescent="0.2">
      <c r="A1071" s="72"/>
      <c r="B1071" s="76"/>
      <c r="C1071" s="73"/>
      <c r="D1071" s="73" t="s">
        <v>979</v>
      </c>
      <c r="E1071" s="77" t="s">
        <v>103</v>
      </c>
      <c r="F1071" s="75" t="s">
        <v>1620</v>
      </c>
      <c r="G1071" s="74" t="s">
        <v>1236</v>
      </c>
      <c r="H1071" s="69"/>
      <c r="P1071" s="69">
        <f t="shared" si="16"/>
        <v>0</v>
      </c>
      <c r="Q1071" s="69" cm="1">
        <f t="array" ref="Q1071">IF(P1071=1,IF(SUMPRODUCT(($P$2:P1071)*(--($G$2:G1071=$G1071)))=1,1,0),0)</f>
        <v>0</v>
      </c>
      <c r="R1071" s="69" t="str">
        <f>IF(Q1071=1,SUM($Q$2:Q1071),"")</f>
        <v/>
      </c>
    </row>
    <row r="1072" spans="1:18" ht="16" x14ac:dyDescent="0.2">
      <c r="A1072" s="72"/>
      <c r="B1072" s="76"/>
      <c r="C1072" s="73"/>
      <c r="D1072" s="73" t="s">
        <v>979</v>
      </c>
      <c r="E1072" s="77" t="s">
        <v>103</v>
      </c>
      <c r="F1072" s="75" t="s">
        <v>1621</v>
      </c>
      <c r="G1072" s="74" t="s">
        <v>1236</v>
      </c>
      <c r="H1072" s="69"/>
      <c r="P1072" s="69">
        <f t="shared" si="16"/>
        <v>0</v>
      </c>
      <c r="Q1072" s="69" cm="1">
        <f t="array" ref="Q1072">IF(P1072=1,IF(SUMPRODUCT(($P$2:P1072)*(--($G$2:G1072=$G1072)))=1,1,0),0)</f>
        <v>0</v>
      </c>
      <c r="R1072" s="69" t="str">
        <f>IF(Q1072=1,SUM($Q$2:Q1072),"")</f>
        <v/>
      </c>
    </row>
    <row r="1073" spans="1:18" ht="16" x14ac:dyDescent="0.2">
      <c r="A1073" s="72"/>
      <c r="B1073" s="76"/>
      <c r="C1073" s="73"/>
      <c r="D1073" s="73" t="s">
        <v>979</v>
      </c>
      <c r="E1073" s="77" t="s">
        <v>94</v>
      </c>
      <c r="F1073" s="75" t="s">
        <v>1655</v>
      </c>
      <c r="G1073" s="74" t="s">
        <v>1276</v>
      </c>
      <c r="H1073" s="69"/>
      <c r="P1073" s="69">
        <f t="shared" si="16"/>
        <v>0</v>
      </c>
      <c r="Q1073" s="69" cm="1">
        <f t="array" ref="Q1073">IF(P1073=1,IF(SUMPRODUCT(($P$2:P1073)*(--($G$2:G1073=$G1073)))=1,1,0),0)</f>
        <v>0</v>
      </c>
      <c r="R1073" s="69" t="str">
        <f>IF(Q1073=1,SUM($Q$2:Q1073),"")</f>
        <v/>
      </c>
    </row>
    <row r="1074" spans="1:18" ht="16" x14ac:dyDescent="0.2">
      <c r="A1074" s="72"/>
      <c r="B1074" s="76"/>
      <c r="C1074" s="73"/>
      <c r="D1074" s="73" t="s">
        <v>979</v>
      </c>
      <c r="E1074" s="77" t="s">
        <v>94</v>
      </c>
      <c r="F1074" s="75" t="s">
        <v>1663</v>
      </c>
      <c r="G1074" s="74" t="s">
        <v>1285</v>
      </c>
      <c r="H1074" s="69"/>
      <c r="P1074" s="69">
        <f t="shared" si="16"/>
        <v>0</v>
      </c>
      <c r="Q1074" s="69" cm="1">
        <f t="array" ref="Q1074">IF(P1074=1,IF(SUMPRODUCT(($P$2:P1074)*(--($G$2:G1074=$G1074)))=1,1,0),0)</f>
        <v>0</v>
      </c>
      <c r="R1074" s="69" t="str">
        <f>IF(Q1074=1,SUM($Q$2:Q1074),"")</f>
        <v/>
      </c>
    </row>
    <row r="1075" spans="1:18" ht="16" x14ac:dyDescent="0.2">
      <c r="A1075" s="72"/>
      <c r="B1075" s="76"/>
      <c r="C1075" s="73"/>
      <c r="D1075" s="73" t="s">
        <v>979</v>
      </c>
      <c r="E1075" s="77" t="s">
        <v>94</v>
      </c>
      <c r="F1075" s="75" t="s">
        <v>1656</v>
      </c>
      <c r="G1075" s="74" t="s">
        <v>1276</v>
      </c>
      <c r="H1075" s="69"/>
      <c r="P1075" s="69">
        <f t="shared" si="16"/>
        <v>0</v>
      </c>
      <c r="Q1075" s="69" cm="1">
        <f t="array" ref="Q1075">IF(P1075=1,IF(SUMPRODUCT(($P$2:P1075)*(--($G$2:G1075=$G1075)))=1,1,0),0)</f>
        <v>0</v>
      </c>
      <c r="R1075" s="69" t="str">
        <f>IF(Q1075=1,SUM($Q$2:Q1075),"")</f>
        <v/>
      </c>
    </row>
    <row r="1076" spans="1:18" ht="16" x14ac:dyDescent="0.2">
      <c r="A1076" s="72"/>
      <c r="B1076" s="76"/>
      <c r="C1076" s="73"/>
      <c r="D1076" s="73" t="s">
        <v>979</v>
      </c>
      <c r="E1076" s="77" t="s">
        <v>94</v>
      </c>
      <c r="F1076" s="75" t="s">
        <v>1664</v>
      </c>
      <c r="G1076" s="74" t="s">
        <v>1285</v>
      </c>
      <c r="H1076" s="69"/>
      <c r="P1076" s="69">
        <f t="shared" si="16"/>
        <v>0</v>
      </c>
      <c r="Q1076" s="69" cm="1">
        <f t="array" ref="Q1076">IF(P1076=1,IF(SUMPRODUCT(($P$2:P1076)*(--($G$2:G1076=$G1076)))=1,1,0),0)</f>
        <v>0</v>
      </c>
      <c r="R1076" s="69" t="str">
        <f>IF(Q1076=1,SUM($Q$2:Q1076),"")</f>
        <v/>
      </c>
    </row>
    <row r="1077" spans="1:18" ht="16" x14ac:dyDescent="0.2">
      <c r="A1077" s="72"/>
      <c r="B1077" s="76"/>
      <c r="C1077" s="73"/>
      <c r="D1077" s="73" t="s">
        <v>979</v>
      </c>
      <c r="E1077" s="77" t="s">
        <v>94</v>
      </c>
      <c r="F1077" s="75" t="s">
        <v>1659</v>
      </c>
      <c r="G1077" s="74" t="s">
        <v>1277</v>
      </c>
      <c r="H1077" s="69"/>
      <c r="P1077" s="69">
        <f t="shared" si="16"/>
        <v>0</v>
      </c>
      <c r="Q1077" s="69" cm="1">
        <f t="array" ref="Q1077">IF(P1077=1,IF(SUMPRODUCT(($P$2:P1077)*(--($G$2:G1077=$G1077)))=1,1,0),0)</f>
        <v>0</v>
      </c>
      <c r="R1077" s="69" t="str">
        <f>IF(Q1077=1,SUM($Q$2:Q1077),"")</f>
        <v/>
      </c>
    </row>
    <row r="1078" spans="1:18" ht="16" x14ac:dyDescent="0.2">
      <c r="A1078" s="72"/>
      <c r="B1078" s="76"/>
      <c r="C1078" s="73"/>
      <c r="D1078" s="73" t="s">
        <v>979</v>
      </c>
      <c r="E1078" s="77" t="s">
        <v>94</v>
      </c>
      <c r="F1078" s="75" t="s">
        <v>1667</v>
      </c>
      <c r="G1078" s="74" t="s">
        <v>1286</v>
      </c>
      <c r="H1078" s="69"/>
      <c r="P1078" s="69">
        <f t="shared" si="16"/>
        <v>0</v>
      </c>
      <c r="Q1078" s="69" cm="1">
        <f t="array" ref="Q1078">IF(P1078=1,IF(SUMPRODUCT(($P$2:P1078)*(--($G$2:G1078=$G1078)))=1,1,0),0)</f>
        <v>0</v>
      </c>
      <c r="R1078" s="69" t="str">
        <f>IF(Q1078=1,SUM($Q$2:Q1078),"")</f>
        <v/>
      </c>
    </row>
    <row r="1079" spans="1:18" ht="16" x14ac:dyDescent="0.2">
      <c r="A1079" s="72"/>
      <c r="B1079" s="76"/>
      <c r="C1079" s="73"/>
      <c r="D1079" s="73" t="s">
        <v>979</v>
      </c>
      <c r="E1079" s="77" t="s">
        <v>94</v>
      </c>
      <c r="F1079" s="75" t="s">
        <v>1660</v>
      </c>
      <c r="G1079" s="74" t="s">
        <v>1277</v>
      </c>
      <c r="H1079" s="69"/>
      <c r="P1079" s="69">
        <f t="shared" si="16"/>
        <v>0</v>
      </c>
      <c r="Q1079" s="69" cm="1">
        <f t="array" ref="Q1079">IF(P1079=1,IF(SUMPRODUCT(($P$2:P1079)*(--($G$2:G1079=$G1079)))=1,1,0),0)</f>
        <v>0</v>
      </c>
      <c r="R1079" s="69" t="str">
        <f>IF(Q1079=1,SUM($Q$2:Q1079),"")</f>
        <v/>
      </c>
    </row>
    <row r="1080" spans="1:18" ht="16" x14ac:dyDescent="0.2">
      <c r="A1080" s="72"/>
      <c r="B1080" s="76"/>
      <c r="C1080" s="73"/>
      <c r="D1080" s="73" t="s">
        <v>979</v>
      </c>
      <c r="E1080" s="77" t="s">
        <v>94</v>
      </c>
      <c r="F1080" s="75" t="s">
        <v>1668</v>
      </c>
      <c r="G1080" s="74" t="s">
        <v>1286</v>
      </c>
      <c r="H1080" s="69"/>
      <c r="P1080" s="69">
        <f t="shared" si="16"/>
        <v>0</v>
      </c>
      <c r="Q1080" s="69" cm="1">
        <f t="array" ref="Q1080">IF(P1080=1,IF(SUMPRODUCT(($P$2:P1080)*(--($G$2:G1080=$G1080)))=1,1,0),0)</f>
        <v>0</v>
      </c>
      <c r="R1080" s="69" t="str">
        <f>IF(Q1080=1,SUM($Q$2:Q1080),"")</f>
        <v/>
      </c>
    </row>
    <row r="1081" spans="1:18" ht="16" x14ac:dyDescent="0.2">
      <c r="A1081" s="72"/>
      <c r="B1081" s="76"/>
      <c r="C1081" s="73"/>
      <c r="D1081" s="73" t="s">
        <v>979</v>
      </c>
      <c r="E1081" s="77" t="s">
        <v>94</v>
      </c>
      <c r="F1081" s="75" t="s">
        <v>1661</v>
      </c>
      <c r="G1081" s="74" t="s">
        <v>1277</v>
      </c>
      <c r="H1081" s="69"/>
      <c r="P1081" s="69">
        <f t="shared" si="16"/>
        <v>0</v>
      </c>
      <c r="Q1081" s="69" cm="1">
        <f t="array" ref="Q1081">IF(P1081=1,IF(SUMPRODUCT(($P$2:P1081)*(--($G$2:G1081=$G1081)))=1,1,0),0)</f>
        <v>0</v>
      </c>
      <c r="R1081" s="69" t="str">
        <f>IF(Q1081=1,SUM($Q$2:Q1081),"")</f>
        <v/>
      </c>
    </row>
    <row r="1082" spans="1:18" ht="16" x14ac:dyDescent="0.2">
      <c r="A1082" s="72"/>
      <c r="B1082" s="76"/>
      <c r="C1082" s="73"/>
      <c r="D1082" s="73" t="s">
        <v>979</v>
      </c>
      <c r="E1082" s="77" t="s">
        <v>94</v>
      </c>
      <c r="F1082" s="75" t="s">
        <v>1669</v>
      </c>
      <c r="G1082" s="74" t="s">
        <v>1286</v>
      </c>
      <c r="H1082" s="69"/>
      <c r="P1082" s="69">
        <f t="shared" si="16"/>
        <v>0</v>
      </c>
      <c r="Q1082" s="69" cm="1">
        <f t="array" ref="Q1082">IF(P1082=1,IF(SUMPRODUCT(($P$2:P1082)*(--($G$2:G1082=$G1082)))=1,1,0),0)</f>
        <v>0</v>
      </c>
      <c r="R1082" s="69" t="str">
        <f>IF(Q1082=1,SUM($Q$2:Q1082),"")</f>
        <v/>
      </c>
    </row>
    <row r="1083" spans="1:18" ht="16" x14ac:dyDescent="0.2">
      <c r="A1083" s="72"/>
      <c r="B1083" s="76"/>
      <c r="C1083" s="73"/>
      <c r="D1083" s="73" t="s">
        <v>979</v>
      </c>
      <c r="E1083" s="77" t="s">
        <v>94</v>
      </c>
      <c r="F1083" s="75" t="s">
        <v>1658</v>
      </c>
      <c r="G1083" s="74" t="s">
        <v>1276</v>
      </c>
      <c r="H1083" s="69"/>
      <c r="P1083" s="69">
        <f t="shared" si="16"/>
        <v>0</v>
      </c>
      <c r="Q1083" s="69" cm="1">
        <f t="array" ref="Q1083">IF(P1083=1,IF(SUMPRODUCT(($P$2:P1083)*(--($G$2:G1083=$G1083)))=1,1,0),0)</f>
        <v>0</v>
      </c>
      <c r="R1083" s="69" t="str">
        <f>IF(Q1083=1,SUM($Q$2:Q1083),"")</f>
        <v/>
      </c>
    </row>
    <row r="1084" spans="1:18" ht="16" x14ac:dyDescent="0.2">
      <c r="A1084" s="72"/>
      <c r="B1084" s="76"/>
      <c r="C1084" s="73"/>
      <c r="D1084" s="73" t="s">
        <v>979</v>
      </c>
      <c r="E1084" s="77" t="s">
        <v>94</v>
      </c>
      <c r="F1084" s="75" t="s">
        <v>1666</v>
      </c>
      <c r="G1084" s="74" t="s">
        <v>1285</v>
      </c>
      <c r="H1084" s="69"/>
      <c r="P1084" s="69">
        <f t="shared" si="16"/>
        <v>0</v>
      </c>
      <c r="Q1084" s="69" cm="1">
        <f t="array" ref="Q1084">IF(P1084=1,IF(SUMPRODUCT(($P$2:P1084)*(--($G$2:G1084=$G1084)))=1,1,0),0)</f>
        <v>0</v>
      </c>
      <c r="R1084" s="69" t="str">
        <f>IF(Q1084=1,SUM($Q$2:Q1084),"")</f>
        <v/>
      </c>
    </row>
    <row r="1085" spans="1:18" ht="16" x14ac:dyDescent="0.2">
      <c r="A1085" s="72"/>
      <c r="B1085" s="76"/>
      <c r="C1085" s="73"/>
      <c r="D1085" s="73" t="s">
        <v>979</v>
      </c>
      <c r="E1085" s="77" t="s">
        <v>94</v>
      </c>
      <c r="F1085" s="75" t="s">
        <v>1662</v>
      </c>
      <c r="G1085" s="74" t="s">
        <v>1277</v>
      </c>
      <c r="H1085" s="69"/>
      <c r="P1085" s="69">
        <f t="shared" si="16"/>
        <v>0</v>
      </c>
      <c r="Q1085" s="69" cm="1">
        <f t="array" ref="Q1085">IF(P1085=1,IF(SUMPRODUCT(($P$2:P1085)*(--($G$2:G1085=$G1085)))=1,1,0),0)</f>
        <v>0</v>
      </c>
      <c r="R1085" s="69" t="str">
        <f>IF(Q1085=1,SUM($Q$2:Q1085),"")</f>
        <v/>
      </c>
    </row>
    <row r="1086" spans="1:18" ht="16" x14ac:dyDescent="0.2">
      <c r="A1086" s="72"/>
      <c r="B1086" s="76"/>
      <c r="C1086" s="73"/>
      <c r="D1086" s="73" t="s">
        <v>979</v>
      </c>
      <c r="E1086" s="77" t="s">
        <v>94</v>
      </c>
      <c r="F1086" s="75" t="s">
        <v>1670</v>
      </c>
      <c r="G1086" s="74" t="s">
        <v>1286</v>
      </c>
      <c r="H1086" s="69"/>
      <c r="P1086" s="69">
        <f t="shared" si="16"/>
        <v>0</v>
      </c>
      <c r="Q1086" s="69" cm="1">
        <f t="array" ref="Q1086">IF(P1086=1,IF(SUMPRODUCT(($P$2:P1086)*(--($G$2:G1086=$G1086)))=1,1,0),0)</f>
        <v>0</v>
      </c>
      <c r="R1086" s="69" t="str">
        <f>IF(Q1086=1,SUM($Q$2:Q1086),"")</f>
        <v/>
      </c>
    </row>
    <row r="1087" spans="1:18" ht="16" x14ac:dyDescent="0.2">
      <c r="A1087" s="72"/>
      <c r="B1087" s="76"/>
      <c r="C1087" s="73"/>
      <c r="D1087" s="73" t="s">
        <v>979</v>
      </c>
      <c r="E1087" s="77" t="s">
        <v>94</v>
      </c>
      <c r="F1087" s="75" t="s">
        <v>1657</v>
      </c>
      <c r="G1087" s="74" t="s">
        <v>1276</v>
      </c>
      <c r="H1087" s="69"/>
      <c r="P1087" s="69">
        <f t="shared" si="16"/>
        <v>0</v>
      </c>
      <c r="Q1087" s="69" cm="1">
        <f t="array" ref="Q1087">IF(P1087=1,IF(SUMPRODUCT(($P$2:P1087)*(--($G$2:G1087=$G1087)))=1,1,0),0)</f>
        <v>0</v>
      </c>
      <c r="R1087" s="69" t="str">
        <f>IF(Q1087=1,SUM($Q$2:Q1087),"")</f>
        <v/>
      </c>
    </row>
    <row r="1088" spans="1:18" ht="16" x14ac:dyDescent="0.2">
      <c r="A1088" s="72"/>
      <c r="B1088" s="76"/>
      <c r="C1088" s="73"/>
      <c r="D1088" s="73" t="s">
        <v>979</v>
      </c>
      <c r="E1088" s="77" t="s">
        <v>94</v>
      </c>
      <c r="F1088" s="75" t="s">
        <v>1665</v>
      </c>
      <c r="G1088" s="74" t="s">
        <v>1285</v>
      </c>
      <c r="H1088" s="69"/>
      <c r="P1088" s="69">
        <f t="shared" si="16"/>
        <v>0</v>
      </c>
      <c r="Q1088" s="69" cm="1">
        <f t="array" ref="Q1088">IF(P1088=1,IF(SUMPRODUCT(($P$2:P1088)*(--($G$2:G1088=$G1088)))=1,1,0),0)</f>
        <v>0</v>
      </c>
      <c r="R1088" s="69" t="str">
        <f>IF(Q1088=1,SUM($Q$2:Q1088),"")</f>
        <v/>
      </c>
    </row>
    <row r="1089" spans="1:18" ht="16" x14ac:dyDescent="0.2">
      <c r="A1089" s="72"/>
      <c r="B1089" s="84"/>
      <c r="C1089" s="73"/>
      <c r="D1089" s="73" t="s">
        <v>979</v>
      </c>
      <c r="E1089" s="77" t="s">
        <v>94</v>
      </c>
      <c r="F1089" s="75" t="s">
        <v>403</v>
      </c>
      <c r="G1089" s="74" t="s">
        <v>601</v>
      </c>
      <c r="H1089" s="69"/>
      <c r="P1089" s="69">
        <f t="shared" si="16"/>
        <v>0</v>
      </c>
      <c r="Q1089" s="69" cm="1">
        <f t="array" ref="Q1089">IF(P1089=1,IF(SUMPRODUCT(($P$2:P1089)*(--($G$2:G1089=$G1089)))=1,1,0),0)</f>
        <v>0</v>
      </c>
      <c r="R1089" s="69" t="str">
        <f>IF(Q1089=1,SUM($Q$2:Q1089),"")</f>
        <v/>
      </c>
    </row>
    <row r="1090" spans="1:18" ht="16" x14ac:dyDescent="0.2">
      <c r="A1090" s="72"/>
      <c r="B1090" s="84"/>
      <c r="C1090" s="73"/>
      <c r="D1090" s="73" t="s">
        <v>979</v>
      </c>
      <c r="E1090" s="77" t="s">
        <v>94</v>
      </c>
      <c r="F1090" s="75" t="s">
        <v>1622</v>
      </c>
      <c r="G1090" s="74" t="s">
        <v>601</v>
      </c>
      <c r="H1090" s="69"/>
      <c r="P1090" s="69">
        <f t="shared" si="16"/>
        <v>0</v>
      </c>
      <c r="Q1090" s="69" cm="1">
        <f t="array" ref="Q1090">IF(P1090=1,IF(SUMPRODUCT(($P$2:P1090)*(--($G$2:G1090=$G1090)))=1,1,0),0)</f>
        <v>0</v>
      </c>
      <c r="R1090" s="69" t="str">
        <f>IF(Q1090=1,SUM($Q$2:Q1090),"")</f>
        <v/>
      </c>
    </row>
    <row r="1091" spans="1:18" ht="16" x14ac:dyDescent="0.2">
      <c r="A1091" s="72"/>
      <c r="B1091" s="84"/>
      <c r="C1091" s="73"/>
      <c r="D1091" s="73" t="s">
        <v>979</v>
      </c>
      <c r="E1091" s="77" t="s">
        <v>94</v>
      </c>
      <c r="F1091" s="75" t="s">
        <v>1696</v>
      </c>
      <c r="G1091" s="74" t="s">
        <v>601</v>
      </c>
      <c r="H1091" s="69"/>
      <c r="P1091" s="69">
        <f t="shared" ref="P1091:P1154" si="17">IF(AND(IF(TRIM($J$2&amp;"")="",TRUE,LEFT($D1091,LEN($J$2))=$J$2),IF(TRIM($K$2&amp;"")="",TRUE,$E1091=$K$2),IF($L$2="",TRUE,$F1091=$L$2)),1,0)</f>
        <v>0</v>
      </c>
      <c r="Q1091" s="69" cm="1">
        <f t="array" ref="Q1091">IF(P1091=1,IF(SUMPRODUCT(($P$2:P1091)*(--($G$2:G1091=$G1091)))=1,1,0),0)</f>
        <v>0</v>
      </c>
      <c r="R1091" s="69" t="str">
        <f>IF(Q1091=1,SUM($Q$2:Q1091),"")</f>
        <v/>
      </c>
    </row>
    <row r="1092" spans="1:18" ht="16" x14ac:dyDescent="0.2">
      <c r="A1092" s="72"/>
      <c r="B1092" s="84"/>
      <c r="C1092" s="73"/>
      <c r="D1092" s="73" t="s">
        <v>979</v>
      </c>
      <c r="E1092" s="77" t="s">
        <v>94</v>
      </c>
      <c r="F1092" s="75" t="s">
        <v>1623</v>
      </c>
      <c r="G1092" s="74" t="s">
        <v>601</v>
      </c>
      <c r="H1092" s="69"/>
      <c r="P1092" s="69">
        <f t="shared" si="17"/>
        <v>0</v>
      </c>
      <c r="Q1092" s="69" cm="1">
        <f t="array" ref="Q1092">IF(P1092=1,IF(SUMPRODUCT(($P$2:P1092)*(--($G$2:G1092=$G1092)))=1,1,0),0)</f>
        <v>0</v>
      </c>
      <c r="R1092" s="69" t="str">
        <f>IF(Q1092=1,SUM($Q$2:Q1092),"")</f>
        <v/>
      </c>
    </row>
    <row r="1093" spans="1:18" ht="16" x14ac:dyDescent="0.2">
      <c r="A1093" s="72"/>
      <c r="B1093" s="84"/>
      <c r="C1093" s="73"/>
      <c r="D1093" s="73" t="s">
        <v>979</v>
      </c>
      <c r="E1093" s="77" t="s">
        <v>94</v>
      </c>
      <c r="F1093" s="75" t="s">
        <v>1671</v>
      </c>
      <c r="G1093" s="74" t="s">
        <v>601</v>
      </c>
      <c r="H1093" s="69"/>
      <c r="P1093" s="69">
        <f t="shared" si="17"/>
        <v>0</v>
      </c>
      <c r="Q1093" s="69" cm="1">
        <f t="array" ref="Q1093">IF(P1093=1,IF(SUMPRODUCT(($P$2:P1093)*(--($G$2:G1093=$G1093)))=1,1,0),0)</f>
        <v>0</v>
      </c>
      <c r="R1093" s="69" t="str">
        <f>IF(Q1093=1,SUM($Q$2:Q1093),"")</f>
        <v/>
      </c>
    </row>
    <row r="1094" spans="1:18" ht="16" x14ac:dyDescent="0.2">
      <c r="A1094" s="72"/>
      <c r="B1094" s="84"/>
      <c r="C1094" s="73"/>
      <c r="D1094" s="73" t="s">
        <v>979</v>
      </c>
      <c r="E1094" s="77" t="s">
        <v>94</v>
      </c>
      <c r="F1094" s="75" t="s">
        <v>1672</v>
      </c>
      <c r="G1094" s="74" t="s">
        <v>601</v>
      </c>
      <c r="H1094" s="69"/>
      <c r="P1094" s="69">
        <f t="shared" si="17"/>
        <v>0</v>
      </c>
      <c r="Q1094" s="69" cm="1">
        <f t="array" ref="Q1094">IF(P1094=1,IF(SUMPRODUCT(($P$2:P1094)*(--($G$2:G1094=$G1094)))=1,1,0),0)</f>
        <v>0</v>
      </c>
      <c r="R1094" s="69" t="str">
        <f>IF(Q1094=1,SUM($Q$2:Q1094),"")</f>
        <v/>
      </c>
    </row>
    <row r="1095" spans="1:18" ht="16" x14ac:dyDescent="0.2">
      <c r="A1095" s="72"/>
      <c r="B1095" s="84"/>
      <c r="C1095" s="73"/>
      <c r="D1095" s="73" t="s">
        <v>979</v>
      </c>
      <c r="E1095" s="77" t="s">
        <v>94</v>
      </c>
      <c r="F1095" s="75" t="s">
        <v>1625</v>
      </c>
      <c r="G1095" s="74" t="s">
        <v>601</v>
      </c>
      <c r="H1095" s="69"/>
      <c r="P1095" s="69">
        <f t="shared" si="17"/>
        <v>0</v>
      </c>
      <c r="Q1095" s="69" cm="1">
        <f t="array" ref="Q1095">IF(P1095=1,IF(SUMPRODUCT(($P$2:P1095)*(--($G$2:G1095=$G1095)))=1,1,0),0)</f>
        <v>0</v>
      </c>
      <c r="R1095" s="69" t="str">
        <f>IF(Q1095=1,SUM($Q$2:Q1095),"")</f>
        <v/>
      </c>
    </row>
    <row r="1096" spans="1:18" ht="16" x14ac:dyDescent="0.2">
      <c r="A1096" s="72"/>
      <c r="B1096" s="84"/>
      <c r="C1096" s="73"/>
      <c r="D1096" s="73" t="s">
        <v>979</v>
      </c>
      <c r="E1096" s="77" t="s">
        <v>94</v>
      </c>
      <c r="F1096" s="75" t="s">
        <v>1673</v>
      </c>
      <c r="G1096" s="74" t="s">
        <v>601</v>
      </c>
      <c r="H1096" s="69"/>
      <c r="P1096" s="69">
        <f t="shared" si="17"/>
        <v>0</v>
      </c>
      <c r="Q1096" s="69" cm="1">
        <f t="array" ref="Q1096">IF(P1096=1,IF(SUMPRODUCT(($P$2:P1096)*(--($G$2:G1096=$G1096)))=1,1,0),0)</f>
        <v>0</v>
      </c>
      <c r="R1096" s="69" t="str">
        <f>IF(Q1096=1,SUM($Q$2:Q1096),"")</f>
        <v/>
      </c>
    </row>
    <row r="1097" spans="1:18" ht="16" x14ac:dyDescent="0.2">
      <c r="A1097" s="72"/>
      <c r="B1097" s="84"/>
      <c r="C1097" s="73"/>
      <c r="D1097" s="73" t="s">
        <v>979</v>
      </c>
      <c r="E1097" s="77" t="s">
        <v>94</v>
      </c>
      <c r="F1097" s="75" t="s">
        <v>1626</v>
      </c>
      <c r="G1097" s="74" t="s">
        <v>601</v>
      </c>
      <c r="H1097" s="69"/>
      <c r="P1097" s="69">
        <f t="shared" si="17"/>
        <v>0</v>
      </c>
      <c r="Q1097" s="69" cm="1">
        <f t="array" ref="Q1097">IF(P1097=1,IF(SUMPRODUCT(($P$2:P1097)*(--($G$2:G1097=$G1097)))=1,1,0),0)</f>
        <v>0</v>
      </c>
      <c r="R1097" s="69" t="str">
        <f>IF(Q1097=1,SUM($Q$2:Q1097),"")</f>
        <v/>
      </c>
    </row>
    <row r="1098" spans="1:18" ht="16" x14ac:dyDescent="0.2">
      <c r="A1098" s="72"/>
      <c r="B1098" s="84"/>
      <c r="C1098" s="73"/>
      <c r="D1098" s="73" t="s">
        <v>979</v>
      </c>
      <c r="E1098" s="77" t="s">
        <v>94</v>
      </c>
      <c r="F1098" s="75" t="s">
        <v>412</v>
      </c>
      <c r="G1098" s="74" t="s">
        <v>601</v>
      </c>
      <c r="H1098" s="69"/>
      <c r="P1098" s="69">
        <f t="shared" si="17"/>
        <v>0</v>
      </c>
      <c r="Q1098" s="69" cm="1">
        <f t="array" ref="Q1098">IF(P1098=1,IF(SUMPRODUCT(($P$2:P1098)*(--($G$2:G1098=$G1098)))=1,1,0),0)</f>
        <v>0</v>
      </c>
      <c r="R1098" s="69" t="str">
        <f>IF(Q1098=1,SUM($Q$2:Q1098),"")</f>
        <v/>
      </c>
    </row>
    <row r="1099" spans="1:18" ht="16" x14ac:dyDescent="0.2">
      <c r="A1099" s="72"/>
      <c r="B1099" s="84"/>
      <c r="C1099" s="73"/>
      <c r="D1099" s="73" t="s">
        <v>979</v>
      </c>
      <c r="E1099" s="77" t="s">
        <v>94</v>
      </c>
      <c r="F1099" s="75" t="s">
        <v>1674</v>
      </c>
      <c r="G1099" s="74" t="s">
        <v>601</v>
      </c>
      <c r="H1099" s="69"/>
      <c r="P1099" s="69">
        <f t="shared" si="17"/>
        <v>0</v>
      </c>
      <c r="Q1099" s="69" cm="1">
        <f t="array" ref="Q1099">IF(P1099=1,IF(SUMPRODUCT(($P$2:P1099)*(--($G$2:G1099=$G1099)))=1,1,0),0)</f>
        <v>0</v>
      </c>
      <c r="R1099" s="69" t="str">
        <f>IF(Q1099=1,SUM($Q$2:Q1099),"")</f>
        <v/>
      </c>
    </row>
    <row r="1100" spans="1:18" ht="16" x14ac:dyDescent="0.2">
      <c r="A1100" s="72"/>
      <c r="B1100" s="84"/>
      <c r="C1100" s="73"/>
      <c r="D1100" s="73" t="s">
        <v>979</v>
      </c>
      <c r="E1100" s="77" t="s">
        <v>94</v>
      </c>
      <c r="F1100" s="75" t="s">
        <v>417</v>
      </c>
      <c r="G1100" s="74" t="s">
        <v>601</v>
      </c>
      <c r="H1100" s="69"/>
      <c r="P1100" s="69">
        <f t="shared" si="17"/>
        <v>0</v>
      </c>
      <c r="Q1100" s="69" cm="1">
        <f t="array" ref="Q1100">IF(P1100=1,IF(SUMPRODUCT(($P$2:P1100)*(--($G$2:G1100=$G1100)))=1,1,0),0)</f>
        <v>0</v>
      </c>
      <c r="R1100" s="69" t="str">
        <f>IF(Q1100=1,SUM($Q$2:Q1100),"")</f>
        <v/>
      </c>
    </row>
    <row r="1101" spans="1:18" ht="16" x14ac:dyDescent="0.2">
      <c r="A1101" s="72"/>
      <c r="B1101" s="84"/>
      <c r="C1101" s="73"/>
      <c r="D1101" s="73" t="s">
        <v>979</v>
      </c>
      <c r="E1101" s="77" t="s">
        <v>94</v>
      </c>
      <c r="F1101" s="75" t="s">
        <v>1675</v>
      </c>
      <c r="G1101" s="74" t="s">
        <v>601</v>
      </c>
      <c r="H1101" s="69"/>
      <c r="P1101" s="69">
        <f t="shared" si="17"/>
        <v>0</v>
      </c>
      <c r="Q1101" s="69" cm="1">
        <f t="array" ref="Q1101">IF(P1101=1,IF(SUMPRODUCT(($P$2:P1101)*(--($G$2:G1101=$G1101)))=1,1,0),0)</f>
        <v>0</v>
      </c>
      <c r="R1101" s="69" t="str">
        <f>IF(Q1101=1,SUM($Q$2:Q1101),"")</f>
        <v/>
      </c>
    </row>
    <row r="1102" spans="1:18" x14ac:dyDescent="0.2">
      <c r="A1102" s="72"/>
      <c r="B1102" s="84"/>
      <c r="C1102" s="73"/>
      <c r="D1102" s="73" t="s">
        <v>979</v>
      </c>
      <c r="E1102" s="77" t="s">
        <v>94</v>
      </c>
      <c r="F1102" s="75" t="s">
        <v>403</v>
      </c>
      <c r="G1102" s="75" t="s">
        <v>1249</v>
      </c>
      <c r="H1102" s="69"/>
      <c r="P1102" s="69">
        <f t="shared" si="17"/>
        <v>0</v>
      </c>
      <c r="Q1102" s="69" cm="1">
        <f t="array" ref="Q1102">IF(P1102=1,IF(SUMPRODUCT(($P$2:P1102)*(--($G$2:G1102=$G1102)))=1,1,0),0)</f>
        <v>0</v>
      </c>
      <c r="R1102" s="69" t="str">
        <f>IF(Q1102=1,SUM($Q$2:Q1102),"")</f>
        <v/>
      </c>
    </row>
    <row r="1103" spans="1:18" x14ac:dyDescent="0.2">
      <c r="A1103" s="72"/>
      <c r="B1103" s="84"/>
      <c r="C1103" s="73"/>
      <c r="D1103" s="73" t="s">
        <v>979</v>
      </c>
      <c r="E1103" s="77" t="s">
        <v>94</v>
      </c>
      <c r="F1103" s="75" t="s">
        <v>1622</v>
      </c>
      <c r="G1103" s="75" t="s">
        <v>1249</v>
      </c>
      <c r="H1103" s="69"/>
      <c r="P1103" s="69">
        <f t="shared" si="17"/>
        <v>0</v>
      </c>
      <c r="Q1103" s="69" cm="1">
        <f t="array" ref="Q1103">IF(P1103=1,IF(SUMPRODUCT(($P$2:P1103)*(--($G$2:G1103=$G1103)))=1,1,0),0)</f>
        <v>0</v>
      </c>
      <c r="R1103" s="69" t="str">
        <f>IF(Q1103=1,SUM($Q$2:Q1103),"")</f>
        <v/>
      </c>
    </row>
    <row r="1104" spans="1:18" x14ac:dyDescent="0.2">
      <c r="A1104" s="72"/>
      <c r="B1104" s="84"/>
      <c r="C1104" s="73"/>
      <c r="D1104" s="73" t="s">
        <v>979</v>
      </c>
      <c r="E1104" s="77" t="s">
        <v>94</v>
      </c>
      <c r="F1104" s="75" t="s">
        <v>1696</v>
      </c>
      <c r="G1104" s="75" t="s">
        <v>1249</v>
      </c>
      <c r="H1104" s="69"/>
      <c r="P1104" s="69">
        <f t="shared" si="17"/>
        <v>0</v>
      </c>
      <c r="Q1104" s="69" cm="1">
        <f t="array" ref="Q1104">IF(P1104=1,IF(SUMPRODUCT(($P$2:P1104)*(--($G$2:G1104=$G1104)))=1,1,0),0)</f>
        <v>0</v>
      </c>
      <c r="R1104" s="69" t="str">
        <f>IF(Q1104=1,SUM($Q$2:Q1104),"")</f>
        <v/>
      </c>
    </row>
    <row r="1105" spans="1:18" x14ac:dyDescent="0.2">
      <c r="A1105" s="72"/>
      <c r="B1105" s="84"/>
      <c r="C1105" s="73"/>
      <c r="D1105" s="73" t="s">
        <v>979</v>
      </c>
      <c r="E1105" s="77" t="s">
        <v>94</v>
      </c>
      <c r="F1105" s="75" t="s">
        <v>1623</v>
      </c>
      <c r="G1105" s="75" t="s">
        <v>1249</v>
      </c>
      <c r="H1105" s="69"/>
      <c r="P1105" s="69">
        <f t="shared" si="17"/>
        <v>0</v>
      </c>
      <c r="Q1105" s="69" cm="1">
        <f t="array" ref="Q1105">IF(P1105=1,IF(SUMPRODUCT(($P$2:P1105)*(--($G$2:G1105=$G1105)))=1,1,0),0)</f>
        <v>0</v>
      </c>
      <c r="R1105" s="69" t="str">
        <f>IF(Q1105=1,SUM($Q$2:Q1105),"")</f>
        <v/>
      </c>
    </row>
    <row r="1106" spans="1:18" x14ac:dyDescent="0.2">
      <c r="A1106" s="72"/>
      <c r="B1106" s="84"/>
      <c r="C1106" s="73"/>
      <c r="D1106" s="73" t="s">
        <v>979</v>
      </c>
      <c r="E1106" s="77" t="s">
        <v>94</v>
      </c>
      <c r="F1106" s="75" t="s">
        <v>1671</v>
      </c>
      <c r="G1106" s="75" t="s">
        <v>1249</v>
      </c>
      <c r="H1106" s="69"/>
      <c r="P1106" s="69">
        <f t="shared" si="17"/>
        <v>0</v>
      </c>
      <c r="Q1106" s="69" cm="1">
        <f t="array" ref="Q1106">IF(P1106=1,IF(SUMPRODUCT(($P$2:P1106)*(--($G$2:G1106=$G1106)))=1,1,0),0)</f>
        <v>0</v>
      </c>
      <c r="R1106" s="69" t="str">
        <f>IF(Q1106=1,SUM($Q$2:Q1106),"")</f>
        <v/>
      </c>
    </row>
    <row r="1107" spans="1:18" x14ac:dyDescent="0.2">
      <c r="A1107" s="72"/>
      <c r="B1107" s="84"/>
      <c r="C1107" s="73"/>
      <c r="D1107" s="73" t="s">
        <v>979</v>
      </c>
      <c r="E1107" s="77" t="s">
        <v>94</v>
      </c>
      <c r="F1107" s="75" t="s">
        <v>1672</v>
      </c>
      <c r="G1107" s="75" t="s">
        <v>1249</v>
      </c>
      <c r="H1107" s="69"/>
      <c r="P1107" s="69">
        <f t="shared" si="17"/>
        <v>0</v>
      </c>
      <c r="Q1107" s="69" cm="1">
        <f t="array" ref="Q1107">IF(P1107=1,IF(SUMPRODUCT(($P$2:P1107)*(--($G$2:G1107=$G1107)))=1,1,0),0)</f>
        <v>0</v>
      </c>
      <c r="R1107" s="69" t="str">
        <f>IF(Q1107=1,SUM($Q$2:Q1107),"")</f>
        <v/>
      </c>
    </row>
    <row r="1108" spans="1:18" x14ac:dyDescent="0.2">
      <c r="A1108" s="72"/>
      <c r="B1108" s="84"/>
      <c r="C1108" s="73"/>
      <c r="D1108" s="73" t="s">
        <v>979</v>
      </c>
      <c r="E1108" s="77" t="s">
        <v>94</v>
      </c>
      <c r="F1108" s="75" t="s">
        <v>1625</v>
      </c>
      <c r="G1108" s="75" t="s">
        <v>1249</v>
      </c>
      <c r="H1108" s="69"/>
      <c r="P1108" s="69">
        <f t="shared" si="17"/>
        <v>0</v>
      </c>
      <c r="Q1108" s="69" cm="1">
        <f t="array" ref="Q1108">IF(P1108=1,IF(SUMPRODUCT(($P$2:P1108)*(--($G$2:G1108=$G1108)))=1,1,0),0)</f>
        <v>0</v>
      </c>
      <c r="R1108" s="69" t="str">
        <f>IF(Q1108=1,SUM($Q$2:Q1108),"")</f>
        <v/>
      </c>
    </row>
    <row r="1109" spans="1:18" x14ac:dyDescent="0.2">
      <c r="A1109" s="72"/>
      <c r="B1109" s="84"/>
      <c r="C1109" s="73"/>
      <c r="D1109" s="73" t="s">
        <v>979</v>
      </c>
      <c r="E1109" s="77" t="s">
        <v>94</v>
      </c>
      <c r="F1109" s="75" t="s">
        <v>1673</v>
      </c>
      <c r="G1109" s="75" t="s">
        <v>1249</v>
      </c>
      <c r="H1109" s="69"/>
      <c r="P1109" s="69">
        <f t="shared" si="17"/>
        <v>0</v>
      </c>
      <c r="Q1109" s="69" cm="1">
        <f t="array" ref="Q1109">IF(P1109=1,IF(SUMPRODUCT(($P$2:P1109)*(--($G$2:G1109=$G1109)))=1,1,0),0)</f>
        <v>0</v>
      </c>
      <c r="R1109" s="69" t="str">
        <f>IF(Q1109=1,SUM($Q$2:Q1109),"")</f>
        <v/>
      </c>
    </row>
    <row r="1110" spans="1:18" x14ac:dyDescent="0.2">
      <c r="A1110" s="72"/>
      <c r="B1110" s="84"/>
      <c r="C1110" s="73"/>
      <c r="D1110" s="73" t="s">
        <v>979</v>
      </c>
      <c r="E1110" s="77" t="s">
        <v>94</v>
      </c>
      <c r="F1110" s="75" t="s">
        <v>1626</v>
      </c>
      <c r="G1110" s="75" t="s">
        <v>1249</v>
      </c>
      <c r="H1110" s="69"/>
      <c r="P1110" s="69">
        <f t="shared" si="17"/>
        <v>0</v>
      </c>
      <c r="Q1110" s="69" cm="1">
        <f t="array" ref="Q1110">IF(P1110=1,IF(SUMPRODUCT(($P$2:P1110)*(--($G$2:G1110=$G1110)))=1,1,0),0)</f>
        <v>0</v>
      </c>
      <c r="R1110" s="69" t="str">
        <f>IF(Q1110=1,SUM($Q$2:Q1110),"")</f>
        <v/>
      </c>
    </row>
    <row r="1111" spans="1:18" x14ac:dyDescent="0.2">
      <c r="A1111" s="72"/>
      <c r="B1111" s="84"/>
      <c r="C1111" s="73"/>
      <c r="D1111" s="73" t="s">
        <v>979</v>
      </c>
      <c r="E1111" s="77" t="s">
        <v>94</v>
      </c>
      <c r="F1111" s="75" t="s">
        <v>412</v>
      </c>
      <c r="G1111" s="75" t="s">
        <v>1249</v>
      </c>
      <c r="H1111" s="69"/>
      <c r="P1111" s="69">
        <f t="shared" si="17"/>
        <v>0</v>
      </c>
      <c r="Q1111" s="69" cm="1">
        <f t="array" ref="Q1111">IF(P1111=1,IF(SUMPRODUCT(($P$2:P1111)*(--($G$2:G1111=$G1111)))=1,1,0),0)</f>
        <v>0</v>
      </c>
      <c r="R1111" s="69" t="str">
        <f>IF(Q1111=1,SUM($Q$2:Q1111),"")</f>
        <v/>
      </c>
    </row>
    <row r="1112" spans="1:18" x14ac:dyDescent="0.2">
      <c r="A1112" s="72"/>
      <c r="B1112" s="84"/>
      <c r="C1112" s="73"/>
      <c r="D1112" s="73" t="s">
        <v>979</v>
      </c>
      <c r="E1112" s="77" t="s">
        <v>94</v>
      </c>
      <c r="F1112" s="75" t="s">
        <v>1674</v>
      </c>
      <c r="G1112" s="75" t="s">
        <v>1249</v>
      </c>
      <c r="H1112" s="69"/>
      <c r="P1112" s="69">
        <f t="shared" si="17"/>
        <v>0</v>
      </c>
      <c r="Q1112" s="69" cm="1">
        <f t="array" ref="Q1112">IF(P1112=1,IF(SUMPRODUCT(($P$2:P1112)*(--($G$2:G1112=$G1112)))=1,1,0),0)</f>
        <v>0</v>
      </c>
      <c r="R1112" s="69" t="str">
        <f>IF(Q1112=1,SUM($Q$2:Q1112),"")</f>
        <v/>
      </c>
    </row>
    <row r="1113" spans="1:18" x14ac:dyDescent="0.2">
      <c r="A1113" s="72"/>
      <c r="B1113" s="84"/>
      <c r="C1113" s="73"/>
      <c r="D1113" s="73" t="s">
        <v>979</v>
      </c>
      <c r="E1113" s="77" t="s">
        <v>94</v>
      </c>
      <c r="F1113" s="75" t="s">
        <v>417</v>
      </c>
      <c r="G1113" s="75" t="s">
        <v>1249</v>
      </c>
      <c r="H1113" s="69"/>
      <c r="P1113" s="69">
        <f t="shared" si="17"/>
        <v>0</v>
      </c>
      <c r="Q1113" s="69" cm="1">
        <f t="array" ref="Q1113">IF(P1113=1,IF(SUMPRODUCT(($P$2:P1113)*(--($G$2:G1113=$G1113)))=1,1,0),0)</f>
        <v>0</v>
      </c>
      <c r="R1113" s="69" t="str">
        <f>IF(Q1113=1,SUM($Q$2:Q1113),"")</f>
        <v/>
      </c>
    </row>
    <row r="1114" spans="1:18" x14ac:dyDescent="0.2">
      <c r="A1114" s="72"/>
      <c r="B1114" s="84"/>
      <c r="C1114" s="73"/>
      <c r="D1114" s="73" t="s">
        <v>979</v>
      </c>
      <c r="E1114" s="77" t="s">
        <v>94</v>
      </c>
      <c r="F1114" s="75" t="s">
        <v>1675</v>
      </c>
      <c r="G1114" s="75" t="s">
        <v>1249</v>
      </c>
      <c r="H1114" s="69"/>
      <c r="P1114" s="69">
        <f t="shared" si="17"/>
        <v>0</v>
      </c>
      <c r="Q1114" s="69" cm="1">
        <f t="array" ref="Q1114">IF(P1114=1,IF(SUMPRODUCT(($P$2:P1114)*(--($G$2:G1114=$G1114)))=1,1,0),0)</f>
        <v>0</v>
      </c>
      <c r="R1114" s="69" t="str">
        <f>IF(Q1114=1,SUM($Q$2:Q1114),"")</f>
        <v/>
      </c>
    </row>
    <row r="1115" spans="1:18" ht="16" x14ac:dyDescent="0.2">
      <c r="A1115" s="72"/>
      <c r="B1115" s="84"/>
      <c r="C1115" s="73"/>
      <c r="D1115" s="73" t="s">
        <v>979</v>
      </c>
      <c r="E1115" s="77" t="s">
        <v>94</v>
      </c>
      <c r="F1115" s="75" t="s">
        <v>1627</v>
      </c>
      <c r="G1115" s="74" t="s">
        <v>603</v>
      </c>
      <c r="H1115" s="69"/>
      <c r="P1115" s="69">
        <f t="shared" si="17"/>
        <v>0</v>
      </c>
      <c r="Q1115" s="69" cm="1">
        <f t="array" ref="Q1115">IF(P1115=1,IF(SUMPRODUCT(($P$2:P1115)*(--($G$2:G1115=$G1115)))=1,1,0),0)</f>
        <v>0</v>
      </c>
      <c r="R1115" s="69" t="str">
        <f>IF(Q1115=1,SUM($Q$2:Q1115),"")</f>
        <v/>
      </c>
    </row>
    <row r="1116" spans="1:18" ht="16" x14ac:dyDescent="0.2">
      <c r="A1116" s="72"/>
      <c r="B1116" s="84"/>
      <c r="C1116" s="73"/>
      <c r="D1116" s="73" t="s">
        <v>979</v>
      </c>
      <c r="E1116" s="77" t="s">
        <v>94</v>
      </c>
      <c r="F1116" s="75" t="s">
        <v>1698</v>
      </c>
      <c r="G1116" s="74" t="s">
        <v>603</v>
      </c>
      <c r="H1116" s="69"/>
      <c r="P1116" s="69">
        <f t="shared" si="17"/>
        <v>0</v>
      </c>
      <c r="Q1116" s="69" cm="1">
        <f t="array" ref="Q1116">IF(P1116=1,IF(SUMPRODUCT(($P$2:P1116)*(--($G$2:G1116=$G1116)))=1,1,0),0)</f>
        <v>0</v>
      </c>
      <c r="R1116" s="69" t="str">
        <f>IF(Q1116=1,SUM($Q$2:Q1116),"")</f>
        <v/>
      </c>
    </row>
    <row r="1117" spans="1:18" ht="16" x14ac:dyDescent="0.2">
      <c r="A1117" s="72"/>
      <c r="B1117" s="84"/>
      <c r="C1117" s="73"/>
      <c r="D1117" s="73" t="s">
        <v>979</v>
      </c>
      <c r="E1117" s="77" t="s">
        <v>94</v>
      </c>
      <c r="F1117" s="75" t="s">
        <v>1630</v>
      </c>
      <c r="G1117" s="74" t="s">
        <v>603</v>
      </c>
      <c r="H1117" s="69"/>
      <c r="P1117" s="69">
        <f t="shared" si="17"/>
        <v>0</v>
      </c>
      <c r="Q1117" s="69" cm="1">
        <f t="array" ref="Q1117">IF(P1117=1,IF(SUMPRODUCT(($P$2:P1117)*(--($G$2:G1117=$G1117)))=1,1,0),0)</f>
        <v>0</v>
      </c>
      <c r="R1117" s="69" t="str">
        <f>IF(Q1117=1,SUM($Q$2:Q1117),"")</f>
        <v/>
      </c>
    </row>
    <row r="1118" spans="1:18" ht="16" x14ac:dyDescent="0.2">
      <c r="A1118" s="72"/>
      <c r="B1118" s="84"/>
      <c r="C1118" s="73"/>
      <c r="D1118" s="73" t="s">
        <v>979</v>
      </c>
      <c r="E1118" s="77" t="s">
        <v>94</v>
      </c>
      <c r="F1118" s="75" t="s">
        <v>1631</v>
      </c>
      <c r="G1118" s="74" t="s">
        <v>603</v>
      </c>
      <c r="H1118" s="69"/>
      <c r="P1118" s="69">
        <f t="shared" si="17"/>
        <v>0</v>
      </c>
      <c r="Q1118" s="69" cm="1">
        <f t="array" ref="Q1118">IF(P1118=1,IF(SUMPRODUCT(($P$2:P1118)*(--($G$2:G1118=$G1118)))=1,1,0),0)</f>
        <v>0</v>
      </c>
      <c r="R1118" s="69" t="str">
        <f>IF(Q1118=1,SUM($Q$2:Q1118),"")</f>
        <v/>
      </c>
    </row>
    <row r="1119" spans="1:18" ht="16" x14ac:dyDescent="0.2">
      <c r="A1119" s="72"/>
      <c r="B1119" s="84"/>
      <c r="C1119" s="73"/>
      <c r="D1119" s="73" t="s">
        <v>979</v>
      </c>
      <c r="E1119" s="77" t="s">
        <v>94</v>
      </c>
      <c r="F1119" s="75" t="s">
        <v>1632</v>
      </c>
      <c r="G1119" s="74" t="s">
        <v>603</v>
      </c>
      <c r="H1119" s="69"/>
      <c r="P1119" s="69">
        <f t="shared" si="17"/>
        <v>0</v>
      </c>
      <c r="Q1119" s="69" cm="1">
        <f t="array" ref="Q1119">IF(P1119=1,IF(SUMPRODUCT(($P$2:P1119)*(--($G$2:G1119=$G1119)))=1,1,0),0)</f>
        <v>0</v>
      </c>
      <c r="R1119" s="69" t="str">
        <f>IF(Q1119=1,SUM($Q$2:Q1119),"")</f>
        <v/>
      </c>
    </row>
    <row r="1120" spans="1:18" ht="16" x14ac:dyDescent="0.2">
      <c r="A1120" s="72"/>
      <c r="B1120" s="84"/>
      <c r="C1120" s="73"/>
      <c r="D1120" s="73" t="s">
        <v>979</v>
      </c>
      <c r="E1120" s="77" t="s">
        <v>94</v>
      </c>
      <c r="F1120" s="75" t="s">
        <v>1677</v>
      </c>
      <c r="G1120" s="74" t="s">
        <v>603</v>
      </c>
      <c r="H1120" s="69"/>
      <c r="P1120" s="69">
        <f t="shared" si="17"/>
        <v>0</v>
      </c>
      <c r="Q1120" s="69" cm="1">
        <f t="array" ref="Q1120">IF(P1120=1,IF(SUMPRODUCT(($P$2:P1120)*(--($G$2:G1120=$G1120)))=1,1,0),0)</f>
        <v>0</v>
      </c>
      <c r="R1120" s="69" t="str">
        <f>IF(Q1120=1,SUM($Q$2:Q1120),"")</f>
        <v/>
      </c>
    </row>
    <row r="1121" spans="1:18" ht="16" x14ac:dyDescent="0.2">
      <c r="A1121" s="72"/>
      <c r="B1121" s="84"/>
      <c r="C1121" s="73"/>
      <c r="D1121" s="73" t="s">
        <v>979</v>
      </c>
      <c r="E1121" s="77" t="s">
        <v>94</v>
      </c>
      <c r="F1121" s="75" t="s">
        <v>1628</v>
      </c>
      <c r="G1121" s="74" t="s">
        <v>603</v>
      </c>
      <c r="H1121" s="69"/>
      <c r="P1121" s="69">
        <f t="shared" si="17"/>
        <v>0</v>
      </c>
      <c r="Q1121" s="69" cm="1">
        <f t="array" ref="Q1121">IF(P1121=1,IF(SUMPRODUCT(($P$2:P1121)*(--($G$2:G1121=$G1121)))=1,1,0),0)</f>
        <v>0</v>
      </c>
      <c r="R1121" s="69" t="str">
        <f>IF(Q1121=1,SUM($Q$2:Q1121),"")</f>
        <v/>
      </c>
    </row>
    <row r="1122" spans="1:18" ht="16" x14ac:dyDescent="0.2">
      <c r="A1122" s="72"/>
      <c r="B1122" s="84"/>
      <c r="C1122" s="73"/>
      <c r="D1122" s="73" t="s">
        <v>979</v>
      </c>
      <c r="E1122" s="77" t="s">
        <v>94</v>
      </c>
      <c r="F1122" s="75" t="s">
        <v>1629</v>
      </c>
      <c r="G1122" s="74" t="s">
        <v>603</v>
      </c>
      <c r="H1122" s="69"/>
      <c r="P1122" s="69">
        <f t="shared" si="17"/>
        <v>0</v>
      </c>
      <c r="Q1122" s="69" cm="1">
        <f t="array" ref="Q1122">IF(P1122=1,IF(SUMPRODUCT(($P$2:P1122)*(--($G$2:G1122=$G1122)))=1,1,0),0)</f>
        <v>0</v>
      </c>
      <c r="R1122" s="69" t="str">
        <f>IF(Q1122=1,SUM($Q$2:Q1122),"")</f>
        <v/>
      </c>
    </row>
    <row r="1123" spans="1:18" ht="16" x14ac:dyDescent="0.2">
      <c r="A1123" s="72"/>
      <c r="B1123" s="84"/>
      <c r="C1123" s="73"/>
      <c r="D1123" s="73" t="s">
        <v>979</v>
      </c>
      <c r="E1123" s="77" t="s">
        <v>94</v>
      </c>
      <c r="F1123" s="75" t="s">
        <v>1678</v>
      </c>
      <c r="G1123" s="74" t="s">
        <v>603</v>
      </c>
      <c r="H1123" s="69"/>
      <c r="P1123" s="69">
        <f t="shared" si="17"/>
        <v>0</v>
      </c>
      <c r="Q1123" s="69" cm="1">
        <f t="array" ref="Q1123">IF(P1123=1,IF(SUMPRODUCT(($P$2:P1123)*(--($G$2:G1123=$G1123)))=1,1,0),0)</f>
        <v>0</v>
      </c>
      <c r="R1123" s="69" t="str">
        <f>IF(Q1123=1,SUM($Q$2:Q1123),"")</f>
        <v/>
      </c>
    </row>
    <row r="1124" spans="1:18" ht="16" x14ac:dyDescent="0.2">
      <c r="A1124" s="72"/>
      <c r="B1124" s="84"/>
      <c r="C1124" s="73"/>
      <c r="D1124" s="73" t="s">
        <v>979</v>
      </c>
      <c r="E1124" s="77" t="s">
        <v>94</v>
      </c>
      <c r="F1124" s="75" t="s">
        <v>1679</v>
      </c>
      <c r="G1124" s="74" t="s">
        <v>603</v>
      </c>
      <c r="H1124" s="69"/>
      <c r="P1124" s="69">
        <f t="shared" si="17"/>
        <v>0</v>
      </c>
      <c r="Q1124" s="69" cm="1">
        <f t="array" ref="Q1124">IF(P1124=1,IF(SUMPRODUCT(($P$2:P1124)*(--($G$2:G1124=$G1124)))=1,1,0),0)</f>
        <v>0</v>
      </c>
      <c r="R1124" s="69" t="str">
        <f>IF(Q1124=1,SUM($Q$2:Q1124),"")</f>
        <v/>
      </c>
    </row>
    <row r="1125" spans="1:18" ht="16" x14ac:dyDescent="0.2">
      <c r="A1125" s="72"/>
      <c r="B1125" s="84"/>
      <c r="C1125" s="73"/>
      <c r="D1125" s="73" t="s">
        <v>979</v>
      </c>
      <c r="E1125" s="77" t="s">
        <v>94</v>
      </c>
      <c r="F1125" s="75" t="s">
        <v>1680</v>
      </c>
      <c r="G1125" s="74" t="s">
        <v>603</v>
      </c>
      <c r="H1125" s="69"/>
      <c r="P1125" s="69">
        <f t="shared" si="17"/>
        <v>0</v>
      </c>
      <c r="Q1125" s="69" cm="1">
        <f t="array" ref="Q1125">IF(P1125=1,IF(SUMPRODUCT(($P$2:P1125)*(--($G$2:G1125=$G1125)))=1,1,0),0)</f>
        <v>0</v>
      </c>
      <c r="R1125" s="69" t="str">
        <f>IF(Q1125=1,SUM($Q$2:Q1125),"")</f>
        <v/>
      </c>
    </row>
    <row r="1126" spans="1:18" ht="16" x14ac:dyDescent="0.2">
      <c r="A1126" s="72"/>
      <c r="B1126" s="84"/>
      <c r="C1126" s="73"/>
      <c r="D1126" s="73" t="s">
        <v>979</v>
      </c>
      <c r="E1126" s="77" t="s">
        <v>94</v>
      </c>
      <c r="F1126" s="75" t="s">
        <v>1681</v>
      </c>
      <c r="G1126" s="74" t="s">
        <v>603</v>
      </c>
      <c r="H1126" s="69"/>
      <c r="P1126" s="69">
        <f t="shared" si="17"/>
        <v>0</v>
      </c>
      <c r="Q1126" s="69" cm="1">
        <f t="array" ref="Q1126">IF(P1126=1,IF(SUMPRODUCT(($P$2:P1126)*(--($G$2:G1126=$G1126)))=1,1,0),0)</f>
        <v>0</v>
      </c>
      <c r="R1126" s="69" t="str">
        <f>IF(Q1126=1,SUM($Q$2:Q1126),"")</f>
        <v/>
      </c>
    </row>
    <row r="1127" spans="1:18" x14ac:dyDescent="0.2">
      <c r="A1127" s="72"/>
      <c r="B1127" s="84"/>
      <c r="C1127" s="73"/>
      <c r="D1127" s="73" t="s">
        <v>979</v>
      </c>
      <c r="E1127" s="77" t="s">
        <v>94</v>
      </c>
      <c r="F1127" s="75" t="s">
        <v>407</v>
      </c>
      <c r="G1127" s="75" t="s">
        <v>1251</v>
      </c>
      <c r="H1127" s="69"/>
      <c r="P1127" s="69">
        <f t="shared" si="17"/>
        <v>0</v>
      </c>
      <c r="Q1127" s="69" cm="1">
        <f t="array" ref="Q1127">IF(P1127=1,IF(SUMPRODUCT(($P$2:P1127)*(--($G$2:G1127=$G1127)))=1,1,0),0)</f>
        <v>0</v>
      </c>
      <c r="R1127" s="69" t="str">
        <f>IF(Q1127=1,SUM($Q$2:Q1127),"")</f>
        <v/>
      </c>
    </row>
    <row r="1128" spans="1:18" x14ac:dyDescent="0.2">
      <c r="A1128" s="72"/>
      <c r="B1128" s="84"/>
      <c r="C1128" s="73"/>
      <c r="D1128" s="73" t="s">
        <v>979</v>
      </c>
      <c r="E1128" s="77" t="s">
        <v>94</v>
      </c>
      <c r="F1128" s="75" t="s">
        <v>1633</v>
      </c>
      <c r="G1128" s="75" t="s">
        <v>1251</v>
      </c>
      <c r="H1128" s="69"/>
      <c r="P1128" s="69">
        <f t="shared" si="17"/>
        <v>0</v>
      </c>
      <c r="Q1128" s="69" cm="1">
        <f t="array" ref="Q1128">IF(P1128=1,IF(SUMPRODUCT(($P$2:P1128)*(--($G$2:G1128=$G1128)))=1,1,0),0)</f>
        <v>0</v>
      </c>
      <c r="R1128" s="69" t="str">
        <f>IF(Q1128=1,SUM($Q$2:Q1128),"")</f>
        <v/>
      </c>
    </row>
    <row r="1129" spans="1:18" x14ac:dyDescent="0.2">
      <c r="A1129" s="72"/>
      <c r="B1129" s="84"/>
      <c r="C1129" s="73"/>
      <c r="D1129" s="73" t="s">
        <v>979</v>
      </c>
      <c r="E1129" s="77" t="s">
        <v>94</v>
      </c>
      <c r="F1129" s="75" t="s">
        <v>1699</v>
      </c>
      <c r="G1129" s="75" t="s">
        <v>1251</v>
      </c>
      <c r="H1129" s="69"/>
      <c r="P1129" s="69">
        <f t="shared" si="17"/>
        <v>0</v>
      </c>
      <c r="Q1129" s="69" cm="1">
        <f t="array" ref="Q1129">IF(P1129=1,IF(SUMPRODUCT(($P$2:P1129)*(--($G$2:G1129=$G1129)))=1,1,0),0)</f>
        <v>0</v>
      </c>
      <c r="R1129" s="69" t="str">
        <f>IF(Q1129=1,SUM($Q$2:Q1129),"")</f>
        <v/>
      </c>
    </row>
    <row r="1130" spans="1:18" x14ac:dyDescent="0.2">
      <c r="A1130" s="72"/>
      <c r="B1130" s="84"/>
      <c r="C1130" s="73"/>
      <c r="D1130" s="73" t="s">
        <v>979</v>
      </c>
      <c r="E1130" s="77" t="s">
        <v>94</v>
      </c>
      <c r="F1130" s="75" t="s">
        <v>1634</v>
      </c>
      <c r="G1130" s="75" t="s">
        <v>1251</v>
      </c>
      <c r="H1130" s="69"/>
      <c r="P1130" s="69">
        <f t="shared" si="17"/>
        <v>0</v>
      </c>
      <c r="Q1130" s="69" cm="1">
        <f t="array" ref="Q1130">IF(P1130=1,IF(SUMPRODUCT(($P$2:P1130)*(--($G$2:G1130=$G1130)))=1,1,0),0)</f>
        <v>0</v>
      </c>
      <c r="R1130" s="69" t="str">
        <f>IF(Q1130=1,SUM($Q$2:Q1130),"")</f>
        <v/>
      </c>
    </row>
    <row r="1131" spans="1:18" x14ac:dyDescent="0.2">
      <c r="A1131" s="72"/>
      <c r="B1131" s="84"/>
      <c r="C1131" s="73"/>
      <c r="D1131" s="73" t="s">
        <v>979</v>
      </c>
      <c r="E1131" s="77" t="s">
        <v>94</v>
      </c>
      <c r="F1131" s="75" t="s">
        <v>1635</v>
      </c>
      <c r="G1131" s="75" t="s">
        <v>1251</v>
      </c>
      <c r="H1131" s="69"/>
      <c r="P1131" s="69">
        <f t="shared" si="17"/>
        <v>0</v>
      </c>
      <c r="Q1131" s="69" cm="1">
        <f t="array" ref="Q1131">IF(P1131=1,IF(SUMPRODUCT(($P$2:P1131)*(--($G$2:G1131=$G1131)))=1,1,0),0)</f>
        <v>0</v>
      </c>
      <c r="R1131" s="69" t="str">
        <f>IF(Q1131=1,SUM($Q$2:Q1131),"")</f>
        <v/>
      </c>
    </row>
    <row r="1132" spans="1:18" x14ac:dyDescent="0.2">
      <c r="A1132" s="72"/>
      <c r="B1132" s="84"/>
      <c r="C1132" s="73"/>
      <c r="D1132" s="73" t="s">
        <v>979</v>
      </c>
      <c r="E1132" s="77" t="s">
        <v>94</v>
      </c>
      <c r="F1132" s="75" t="s">
        <v>1636</v>
      </c>
      <c r="G1132" s="75" t="s">
        <v>1251</v>
      </c>
      <c r="H1132" s="69"/>
      <c r="P1132" s="69">
        <f t="shared" si="17"/>
        <v>0</v>
      </c>
      <c r="Q1132" s="69" cm="1">
        <f t="array" ref="Q1132">IF(P1132=1,IF(SUMPRODUCT(($P$2:P1132)*(--($G$2:G1132=$G1132)))=1,1,0),0)</f>
        <v>0</v>
      </c>
      <c r="R1132" s="69" t="str">
        <f>IF(Q1132=1,SUM($Q$2:Q1132),"")</f>
        <v/>
      </c>
    </row>
    <row r="1133" spans="1:18" x14ac:dyDescent="0.2">
      <c r="A1133" s="72"/>
      <c r="B1133" s="84"/>
      <c r="C1133" s="73"/>
      <c r="D1133" s="73" t="s">
        <v>979</v>
      </c>
      <c r="E1133" s="77" t="s">
        <v>94</v>
      </c>
      <c r="F1133" s="75" t="s">
        <v>1638</v>
      </c>
      <c r="G1133" s="75" t="s">
        <v>1251</v>
      </c>
      <c r="H1133" s="69"/>
      <c r="P1133" s="69">
        <f t="shared" si="17"/>
        <v>0</v>
      </c>
      <c r="Q1133" s="69" cm="1">
        <f t="array" ref="Q1133">IF(P1133=1,IF(SUMPRODUCT(($P$2:P1133)*(--($G$2:G1133=$G1133)))=1,1,0),0)</f>
        <v>0</v>
      </c>
      <c r="R1133" s="69" t="str">
        <f>IF(Q1133=1,SUM($Q$2:Q1133),"")</f>
        <v/>
      </c>
    </row>
    <row r="1134" spans="1:18" x14ac:dyDescent="0.2">
      <c r="A1134" s="72"/>
      <c r="B1134" s="84"/>
      <c r="C1134" s="73"/>
      <c r="D1134" s="73" t="s">
        <v>979</v>
      </c>
      <c r="E1134" s="77" t="s">
        <v>94</v>
      </c>
      <c r="F1134" s="75" t="s">
        <v>1682</v>
      </c>
      <c r="G1134" s="75" t="s">
        <v>1251</v>
      </c>
      <c r="H1134" s="69"/>
      <c r="P1134" s="69">
        <f t="shared" si="17"/>
        <v>0</v>
      </c>
      <c r="Q1134" s="69" cm="1">
        <f t="array" ref="Q1134">IF(P1134=1,IF(SUMPRODUCT(($P$2:P1134)*(--($G$2:G1134=$G1134)))=1,1,0),0)</f>
        <v>0</v>
      </c>
      <c r="R1134" s="69" t="str">
        <f>IF(Q1134=1,SUM($Q$2:Q1134),"")</f>
        <v/>
      </c>
    </row>
    <row r="1135" spans="1:18" x14ac:dyDescent="0.2">
      <c r="A1135" s="72"/>
      <c r="B1135" s="84"/>
      <c r="C1135" s="73"/>
      <c r="D1135" s="73" t="s">
        <v>979</v>
      </c>
      <c r="E1135" s="77" t="s">
        <v>94</v>
      </c>
      <c r="F1135" s="75" t="s">
        <v>1639</v>
      </c>
      <c r="G1135" s="75" t="s">
        <v>1251</v>
      </c>
      <c r="H1135" s="69"/>
      <c r="P1135" s="69">
        <f t="shared" si="17"/>
        <v>0</v>
      </c>
      <c r="Q1135" s="69" cm="1">
        <f t="array" ref="Q1135">IF(P1135=1,IF(SUMPRODUCT(($P$2:P1135)*(--($G$2:G1135=$G1135)))=1,1,0),0)</f>
        <v>0</v>
      </c>
      <c r="R1135" s="69" t="str">
        <f>IF(Q1135=1,SUM($Q$2:Q1135),"")</f>
        <v/>
      </c>
    </row>
    <row r="1136" spans="1:18" x14ac:dyDescent="0.2">
      <c r="A1136" s="72"/>
      <c r="B1136" s="84"/>
      <c r="C1136" s="73"/>
      <c r="D1136" s="73" t="s">
        <v>979</v>
      </c>
      <c r="E1136" s="77" t="s">
        <v>94</v>
      </c>
      <c r="F1136" s="75" t="s">
        <v>1683</v>
      </c>
      <c r="G1136" s="75" t="s">
        <v>1251</v>
      </c>
      <c r="H1136" s="69"/>
      <c r="P1136" s="69">
        <f t="shared" si="17"/>
        <v>0</v>
      </c>
      <c r="Q1136" s="69" cm="1">
        <f t="array" ref="Q1136">IF(P1136=1,IF(SUMPRODUCT(($P$2:P1136)*(--($G$2:G1136=$G1136)))=1,1,0),0)</f>
        <v>0</v>
      </c>
      <c r="R1136" s="69" t="str">
        <f>IF(Q1136=1,SUM($Q$2:Q1136),"")</f>
        <v/>
      </c>
    </row>
    <row r="1137" spans="1:18" x14ac:dyDescent="0.2">
      <c r="A1137" s="72"/>
      <c r="B1137" s="84"/>
      <c r="C1137" s="73"/>
      <c r="D1137" s="73" t="s">
        <v>979</v>
      </c>
      <c r="E1137" s="77" t="s">
        <v>94</v>
      </c>
      <c r="F1137" s="75" t="s">
        <v>1684</v>
      </c>
      <c r="G1137" s="75" t="s">
        <v>1251</v>
      </c>
      <c r="H1137" s="69"/>
      <c r="P1137" s="69">
        <f t="shared" si="17"/>
        <v>0</v>
      </c>
      <c r="Q1137" s="69" cm="1">
        <f t="array" ref="Q1137">IF(P1137=1,IF(SUMPRODUCT(($P$2:P1137)*(--($G$2:G1137=$G1137)))=1,1,0),0)</f>
        <v>0</v>
      </c>
      <c r="R1137" s="69" t="str">
        <f>IF(Q1137=1,SUM($Q$2:Q1137),"")</f>
        <v/>
      </c>
    </row>
    <row r="1138" spans="1:18" x14ac:dyDescent="0.2">
      <c r="A1138" s="72"/>
      <c r="B1138" s="84"/>
      <c r="C1138" s="73"/>
      <c r="D1138" s="73" t="s">
        <v>979</v>
      </c>
      <c r="E1138" s="77" t="s">
        <v>94</v>
      </c>
      <c r="F1138" s="75" t="s">
        <v>1685</v>
      </c>
      <c r="G1138" s="75" t="s">
        <v>1251</v>
      </c>
      <c r="H1138" s="69"/>
      <c r="P1138" s="69">
        <f t="shared" si="17"/>
        <v>0</v>
      </c>
      <c r="Q1138" s="69" cm="1">
        <f t="array" ref="Q1138">IF(P1138=1,IF(SUMPRODUCT(($P$2:P1138)*(--($G$2:G1138=$G1138)))=1,1,0),0)</f>
        <v>0</v>
      </c>
      <c r="R1138" s="69" t="str">
        <f>IF(Q1138=1,SUM($Q$2:Q1138),"")</f>
        <v/>
      </c>
    </row>
    <row r="1139" spans="1:18" x14ac:dyDescent="0.2">
      <c r="A1139" s="72"/>
      <c r="B1139" s="84"/>
      <c r="C1139" s="73"/>
      <c r="D1139" s="73" t="s">
        <v>979</v>
      </c>
      <c r="E1139" s="77" t="s">
        <v>94</v>
      </c>
      <c r="F1139" s="75" t="s">
        <v>1686</v>
      </c>
      <c r="G1139" s="75" t="s">
        <v>1251</v>
      </c>
      <c r="H1139" s="69"/>
      <c r="P1139" s="69">
        <f t="shared" si="17"/>
        <v>0</v>
      </c>
      <c r="Q1139" s="69" cm="1">
        <f t="array" ref="Q1139">IF(P1139=1,IF(SUMPRODUCT(($P$2:P1139)*(--($G$2:G1139=$G1139)))=1,1,0),0)</f>
        <v>0</v>
      </c>
      <c r="R1139" s="69" t="str">
        <f>IF(Q1139=1,SUM($Q$2:Q1139),"")</f>
        <v/>
      </c>
    </row>
    <row r="1140" spans="1:18" x14ac:dyDescent="0.2">
      <c r="A1140" s="72"/>
      <c r="B1140" s="84"/>
      <c r="C1140" s="73"/>
      <c r="D1140" s="73" t="s">
        <v>979</v>
      </c>
      <c r="E1140" s="77" t="s">
        <v>94</v>
      </c>
      <c r="F1140" s="75" t="s">
        <v>407</v>
      </c>
      <c r="G1140" s="75" t="s">
        <v>1250</v>
      </c>
      <c r="H1140" s="69"/>
      <c r="P1140" s="69">
        <f t="shared" si="17"/>
        <v>0</v>
      </c>
      <c r="Q1140" s="69" cm="1">
        <f t="array" ref="Q1140">IF(P1140=1,IF(SUMPRODUCT(($P$2:P1140)*(--($G$2:G1140=$G1140)))=1,1,0),0)</f>
        <v>0</v>
      </c>
      <c r="R1140" s="69" t="str">
        <f>IF(Q1140=1,SUM($Q$2:Q1140),"")</f>
        <v/>
      </c>
    </row>
    <row r="1141" spans="1:18" x14ac:dyDescent="0.2">
      <c r="A1141" s="72"/>
      <c r="B1141" s="84"/>
      <c r="C1141" s="73"/>
      <c r="D1141" s="73" t="s">
        <v>979</v>
      </c>
      <c r="E1141" s="77" t="s">
        <v>94</v>
      </c>
      <c r="F1141" s="75" t="s">
        <v>1633</v>
      </c>
      <c r="G1141" s="75" t="s">
        <v>1250</v>
      </c>
      <c r="H1141" s="69"/>
      <c r="P1141" s="69">
        <f t="shared" si="17"/>
        <v>0</v>
      </c>
      <c r="Q1141" s="69" cm="1">
        <f t="array" ref="Q1141">IF(P1141=1,IF(SUMPRODUCT(($P$2:P1141)*(--($G$2:G1141=$G1141)))=1,1,0),0)</f>
        <v>0</v>
      </c>
      <c r="R1141" s="69" t="str">
        <f>IF(Q1141=1,SUM($Q$2:Q1141),"")</f>
        <v/>
      </c>
    </row>
    <row r="1142" spans="1:18" x14ac:dyDescent="0.2">
      <c r="A1142" s="72"/>
      <c r="B1142" s="84"/>
      <c r="C1142" s="73"/>
      <c r="D1142" s="73" t="s">
        <v>979</v>
      </c>
      <c r="E1142" s="77" t="s">
        <v>94</v>
      </c>
      <c r="F1142" s="75" t="s">
        <v>1699</v>
      </c>
      <c r="G1142" s="75" t="s">
        <v>1250</v>
      </c>
      <c r="H1142" s="69"/>
      <c r="P1142" s="69">
        <f t="shared" si="17"/>
        <v>0</v>
      </c>
      <c r="Q1142" s="69" cm="1">
        <f t="array" ref="Q1142">IF(P1142=1,IF(SUMPRODUCT(($P$2:P1142)*(--($G$2:G1142=$G1142)))=1,1,0),0)</f>
        <v>0</v>
      </c>
      <c r="R1142" s="69" t="str">
        <f>IF(Q1142=1,SUM($Q$2:Q1142),"")</f>
        <v/>
      </c>
    </row>
    <row r="1143" spans="1:18" x14ac:dyDescent="0.2">
      <c r="A1143" s="72"/>
      <c r="B1143" s="84"/>
      <c r="C1143" s="73"/>
      <c r="D1143" s="73" t="s">
        <v>979</v>
      </c>
      <c r="E1143" s="77" t="s">
        <v>94</v>
      </c>
      <c r="F1143" s="75" t="s">
        <v>1634</v>
      </c>
      <c r="G1143" s="75" t="s">
        <v>1250</v>
      </c>
      <c r="H1143" s="69"/>
      <c r="P1143" s="69">
        <f t="shared" si="17"/>
        <v>0</v>
      </c>
      <c r="Q1143" s="69" cm="1">
        <f t="array" ref="Q1143">IF(P1143=1,IF(SUMPRODUCT(($P$2:P1143)*(--($G$2:G1143=$G1143)))=1,1,0),0)</f>
        <v>0</v>
      </c>
      <c r="R1143" s="69" t="str">
        <f>IF(Q1143=1,SUM($Q$2:Q1143),"")</f>
        <v/>
      </c>
    </row>
    <row r="1144" spans="1:18" x14ac:dyDescent="0.2">
      <c r="A1144" s="72"/>
      <c r="B1144" s="84"/>
      <c r="C1144" s="73"/>
      <c r="D1144" s="73" t="s">
        <v>979</v>
      </c>
      <c r="E1144" s="77" t="s">
        <v>94</v>
      </c>
      <c r="F1144" s="75" t="s">
        <v>1635</v>
      </c>
      <c r="G1144" s="75" t="s">
        <v>1250</v>
      </c>
      <c r="H1144" s="69"/>
      <c r="P1144" s="69">
        <f t="shared" si="17"/>
        <v>0</v>
      </c>
      <c r="Q1144" s="69" cm="1">
        <f t="array" ref="Q1144">IF(P1144=1,IF(SUMPRODUCT(($P$2:P1144)*(--($G$2:G1144=$G1144)))=1,1,0),0)</f>
        <v>0</v>
      </c>
      <c r="R1144" s="69" t="str">
        <f>IF(Q1144=1,SUM($Q$2:Q1144),"")</f>
        <v/>
      </c>
    </row>
    <row r="1145" spans="1:18" x14ac:dyDescent="0.2">
      <c r="A1145" s="72"/>
      <c r="B1145" s="84"/>
      <c r="C1145" s="73"/>
      <c r="D1145" s="73" t="s">
        <v>979</v>
      </c>
      <c r="E1145" s="77" t="s">
        <v>94</v>
      </c>
      <c r="F1145" s="75" t="s">
        <v>1636</v>
      </c>
      <c r="G1145" s="75" t="s">
        <v>1250</v>
      </c>
      <c r="H1145" s="69"/>
      <c r="P1145" s="69">
        <f t="shared" si="17"/>
        <v>0</v>
      </c>
      <c r="Q1145" s="69" cm="1">
        <f t="array" ref="Q1145">IF(P1145=1,IF(SUMPRODUCT(($P$2:P1145)*(--($G$2:G1145=$G1145)))=1,1,0),0)</f>
        <v>0</v>
      </c>
      <c r="R1145" s="69" t="str">
        <f>IF(Q1145=1,SUM($Q$2:Q1145),"")</f>
        <v/>
      </c>
    </row>
    <row r="1146" spans="1:18" x14ac:dyDescent="0.2">
      <c r="A1146" s="72"/>
      <c r="B1146" s="84"/>
      <c r="C1146" s="73"/>
      <c r="D1146" s="73" t="s">
        <v>979</v>
      </c>
      <c r="E1146" s="77" t="s">
        <v>94</v>
      </c>
      <c r="F1146" s="75" t="s">
        <v>1638</v>
      </c>
      <c r="G1146" s="75" t="s">
        <v>1250</v>
      </c>
      <c r="H1146" s="69"/>
      <c r="P1146" s="69">
        <f t="shared" si="17"/>
        <v>0</v>
      </c>
      <c r="Q1146" s="69" cm="1">
        <f t="array" ref="Q1146">IF(P1146=1,IF(SUMPRODUCT(($P$2:P1146)*(--($G$2:G1146=$G1146)))=1,1,0),0)</f>
        <v>0</v>
      </c>
      <c r="R1146" s="69" t="str">
        <f>IF(Q1146=1,SUM($Q$2:Q1146),"")</f>
        <v/>
      </c>
    </row>
    <row r="1147" spans="1:18" x14ac:dyDescent="0.2">
      <c r="A1147" s="72"/>
      <c r="B1147" s="84"/>
      <c r="C1147" s="73"/>
      <c r="D1147" s="73" t="s">
        <v>979</v>
      </c>
      <c r="E1147" s="77" t="s">
        <v>94</v>
      </c>
      <c r="F1147" s="75" t="s">
        <v>1682</v>
      </c>
      <c r="G1147" s="75" t="s">
        <v>1250</v>
      </c>
      <c r="H1147" s="69"/>
      <c r="P1147" s="69">
        <f t="shared" si="17"/>
        <v>0</v>
      </c>
      <c r="Q1147" s="69" cm="1">
        <f t="array" ref="Q1147">IF(P1147=1,IF(SUMPRODUCT(($P$2:P1147)*(--($G$2:G1147=$G1147)))=1,1,0),0)</f>
        <v>0</v>
      </c>
      <c r="R1147" s="69" t="str">
        <f>IF(Q1147=1,SUM($Q$2:Q1147),"")</f>
        <v/>
      </c>
    </row>
    <row r="1148" spans="1:18" x14ac:dyDescent="0.2">
      <c r="A1148" s="72"/>
      <c r="B1148" s="84"/>
      <c r="C1148" s="73"/>
      <c r="D1148" s="73" t="s">
        <v>979</v>
      </c>
      <c r="E1148" s="77" t="s">
        <v>94</v>
      </c>
      <c r="F1148" s="75" t="s">
        <v>1639</v>
      </c>
      <c r="G1148" s="75" t="s">
        <v>1250</v>
      </c>
      <c r="H1148" s="69"/>
      <c r="P1148" s="69">
        <f t="shared" si="17"/>
        <v>0</v>
      </c>
      <c r="Q1148" s="69" cm="1">
        <f t="array" ref="Q1148">IF(P1148=1,IF(SUMPRODUCT(($P$2:P1148)*(--($G$2:G1148=$G1148)))=1,1,0),0)</f>
        <v>0</v>
      </c>
      <c r="R1148" s="69" t="str">
        <f>IF(Q1148=1,SUM($Q$2:Q1148),"")</f>
        <v/>
      </c>
    </row>
    <row r="1149" spans="1:18" x14ac:dyDescent="0.2">
      <c r="A1149" s="72"/>
      <c r="B1149" s="84"/>
      <c r="C1149" s="73"/>
      <c r="D1149" s="73" t="s">
        <v>979</v>
      </c>
      <c r="E1149" s="77" t="s">
        <v>94</v>
      </c>
      <c r="F1149" s="75" t="s">
        <v>1683</v>
      </c>
      <c r="G1149" s="75" t="s">
        <v>1250</v>
      </c>
      <c r="H1149" s="69"/>
      <c r="P1149" s="69">
        <f t="shared" si="17"/>
        <v>0</v>
      </c>
      <c r="Q1149" s="69" cm="1">
        <f t="array" ref="Q1149">IF(P1149=1,IF(SUMPRODUCT(($P$2:P1149)*(--($G$2:G1149=$G1149)))=1,1,0),0)</f>
        <v>0</v>
      </c>
      <c r="R1149" s="69" t="str">
        <f>IF(Q1149=1,SUM($Q$2:Q1149),"")</f>
        <v/>
      </c>
    </row>
    <row r="1150" spans="1:18" x14ac:dyDescent="0.2">
      <c r="A1150" s="72"/>
      <c r="B1150" s="84"/>
      <c r="C1150" s="73"/>
      <c r="D1150" s="73" t="s">
        <v>979</v>
      </c>
      <c r="E1150" s="77" t="s">
        <v>94</v>
      </c>
      <c r="F1150" s="75" t="s">
        <v>1684</v>
      </c>
      <c r="G1150" s="75" t="s">
        <v>1250</v>
      </c>
      <c r="H1150" s="69"/>
      <c r="P1150" s="69">
        <f t="shared" si="17"/>
        <v>0</v>
      </c>
      <c r="Q1150" s="69" cm="1">
        <f t="array" ref="Q1150">IF(P1150=1,IF(SUMPRODUCT(($P$2:P1150)*(--($G$2:G1150=$G1150)))=1,1,0),0)</f>
        <v>0</v>
      </c>
      <c r="R1150" s="69" t="str">
        <f>IF(Q1150=1,SUM($Q$2:Q1150),"")</f>
        <v/>
      </c>
    </row>
    <row r="1151" spans="1:18" x14ac:dyDescent="0.2">
      <c r="A1151" s="72"/>
      <c r="B1151" s="84"/>
      <c r="C1151" s="73"/>
      <c r="D1151" s="73" t="s">
        <v>979</v>
      </c>
      <c r="E1151" s="77" t="s">
        <v>94</v>
      </c>
      <c r="F1151" s="75" t="s">
        <v>1685</v>
      </c>
      <c r="G1151" s="75" t="s">
        <v>1250</v>
      </c>
      <c r="H1151" s="69"/>
      <c r="P1151" s="69">
        <f t="shared" si="17"/>
        <v>0</v>
      </c>
      <c r="Q1151" s="69" cm="1">
        <f t="array" ref="Q1151">IF(P1151=1,IF(SUMPRODUCT(($P$2:P1151)*(--($G$2:G1151=$G1151)))=1,1,0),0)</f>
        <v>0</v>
      </c>
      <c r="R1151" s="69" t="str">
        <f>IF(Q1151=1,SUM($Q$2:Q1151),"")</f>
        <v/>
      </c>
    </row>
    <row r="1152" spans="1:18" x14ac:dyDescent="0.2">
      <c r="A1152" s="72"/>
      <c r="B1152" s="84"/>
      <c r="C1152" s="73"/>
      <c r="D1152" s="73" t="s">
        <v>979</v>
      </c>
      <c r="E1152" s="77" t="s">
        <v>94</v>
      </c>
      <c r="F1152" s="75" t="s">
        <v>1686</v>
      </c>
      <c r="G1152" s="75" t="s">
        <v>1250</v>
      </c>
      <c r="H1152" s="69"/>
      <c r="P1152" s="69">
        <f t="shared" si="17"/>
        <v>0</v>
      </c>
      <c r="Q1152" s="69" cm="1">
        <f t="array" ref="Q1152">IF(P1152=1,IF(SUMPRODUCT(($P$2:P1152)*(--($G$2:G1152=$G1152)))=1,1,0),0)</f>
        <v>0</v>
      </c>
      <c r="R1152" s="69" t="str">
        <f>IF(Q1152=1,SUM($Q$2:Q1152),"")</f>
        <v/>
      </c>
    </row>
    <row r="1153" spans="1:18" x14ac:dyDescent="0.2">
      <c r="A1153" s="72"/>
      <c r="B1153" s="84"/>
      <c r="C1153" s="73"/>
      <c r="D1153" s="73" t="s">
        <v>979</v>
      </c>
      <c r="E1153" s="77" t="s">
        <v>94</v>
      </c>
      <c r="F1153" s="75" t="s">
        <v>1640</v>
      </c>
      <c r="G1153" s="75" t="s">
        <v>1252</v>
      </c>
      <c r="H1153" s="69"/>
      <c r="P1153" s="69">
        <f t="shared" si="17"/>
        <v>0</v>
      </c>
      <c r="Q1153" s="69" cm="1">
        <f t="array" ref="Q1153">IF(P1153=1,IF(SUMPRODUCT(($P$2:P1153)*(--($G$2:G1153=$G1153)))=1,1,0),0)</f>
        <v>0</v>
      </c>
      <c r="R1153" s="69" t="str">
        <f>IF(Q1153=1,SUM($Q$2:Q1153),"")</f>
        <v/>
      </c>
    </row>
    <row r="1154" spans="1:18" x14ac:dyDescent="0.2">
      <c r="A1154" s="72"/>
      <c r="B1154" s="84"/>
      <c r="C1154" s="73"/>
      <c r="D1154" s="73" t="s">
        <v>979</v>
      </c>
      <c r="E1154" s="77" t="s">
        <v>94</v>
      </c>
      <c r="F1154" s="75" t="s">
        <v>1700</v>
      </c>
      <c r="G1154" s="75" t="s">
        <v>1252</v>
      </c>
      <c r="H1154" s="69"/>
      <c r="P1154" s="69">
        <f t="shared" si="17"/>
        <v>0</v>
      </c>
      <c r="Q1154" s="69" cm="1">
        <f t="array" ref="Q1154">IF(P1154=1,IF(SUMPRODUCT(($P$2:P1154)*(--($G$2:G1154=$G1154)))=1,1,0),0)</f>
        <v>0</v>
      </c>
      <c r="R1154" s="69" t="str">
        <f>IF(Q1154=1,SUM($Q$2:Q1154),"")</f>
        <v/>
      </c>
    </row>
    <row r="1155" spans="1:18" x14ac:dyDescent="0.2">
      <c r="A1155" s="72"/>
      <c r="B1155" s="84"/>
      <c r="C1155" s="73"/>
      <c r="D1155" s="73" t="s">
        <v>979</v>
      </c>
      <c r="E1155" s="77" t="s">
        <v>94</v>
      </c>
      <c r="F1155" s="75" t="s">
        <v>1643</v>
      </c>
      <c r="G1155" s="75" t="s">
        <v>1252</v>
      </c>
      <c r="H1155" s="69"/>
      <c r="P1155" s="69">
        <f t="shared" ref="P1155:P1218" si="18">IF(AND(IF(TRIM($J$2&amp;"")="",TRUE,LEFT($D1155,LEN($J$2))=$J$2),IF(TRIM($K$2&amp;"")="",TRUE,$E1155=$K$2),IF($L$2="",TRUE,$F1155=$L$2)),1,0)</f>
        <v>0</v>
      </c>
      <c r="Q1155" s="69" cm="1">
        <f t="array" ref="Q1155">IF(P1155=1,IF(SUMPRODUCT(($P$2:P1155)*(--($G$2:G1155=$G1155)))=1,1,0),0)</f>
        <v>0</v>
      </c>
      <c r="R1155" s="69" t="str">
        <f>IF(Q1155=1,SUM($Q$2:Q1155),"")</f>
        <v/>
      </c>
    </row>
    <row r="1156" spans="1:18" x14ac:dyDescent="0.2">
      <c r="A1156" s="72"/>
      <c r="B1156" s="84"/>
      <c r="C1156" s="73"/>
      <c r="D1156" s="73" t="s">
        <v>979</v>
      </c>
      <c r="E1156" s="77" t="s">
        <v>94</v>
      </c>
      <c r="F1156" s="75" t="s">
        <v>1644</v>
      </c>
      <c r="G1156" s="75" t="s">
        <v>1252</v>
      </c>
      <c r="H1156" s="69"/>
      <c r="P1156" s="69">
        <f t="shared" si="18"/>
        <v>0</v>
      </c>
      <c r="Q1156" s="69" cm="1">
        <f t="array" ref="Q1156">IF(P1156=1,IF(SUMPRODUCT(($P$2:P1156)*(--($G$2:G1156=$G1156)))=1,1,0),0)</f>
        <v>0</v>
      </c>
      <c r="R1156" s="69" t="str">
        <f>IF(Q1156=1,SUM($Q$2:Q1156),"")</f>
        <v/>
      </c>
    </row>
    <row r="1157" spans="1:18" x14ac:dyDescent="0.2">
      <c r="A1157" s="72"/>
      <c r="B1157" s="84"/>
      <c r="C1157" s="73"/>
      <c r="D1157" s="73" t="s">
        <v>979</v>
      </c>
      <c r="E1157" s="77" t="s">
        <v>94</v>
      </c>
      <c r="F1157" s="75" t="s">
        <v>1645</v>
      </c>
      <c r="G1157" s="75" t="s">
        <v>1252</v>
      </c>
      <c r="H1157" s="69"/>
      <c r="P1157" s="69">
        <f t="shared" si="18"/>
        <v>0</v>
      </c>
      <c r="Q1157" s="69" cm="1">
        <f t="array" ref="Q1157">IF(P1157=1,IF(SUMPRODUCT(($P$2:P1157)*(--($G$2:G1157=$G1157)))=1,1,0),0)</f>
        <v>0</v>
      </c>
      <c r="R1157" s="69" t="str">
        <f>IF(Q1157=1,SUM($Q$2:Q1157),"")</f>
        <v/>
      </c>
    </row>
    <row r="1158" spans="1:18" x14ac:dyDescent="0.2">
      <c r="A1158" s="72"/>
      <c r="B1158" s="84"/>
      <c r="C1158" s="73"/>
      <c r="D1158" s="73" t="s">
        <v>979</v>
      </c>
      <c r="E1158" s="77" t="s">
        <v>94</v>
      </c>
      <c r="F1158" s="75" t="s">
        <v>1687</v>
      </c>
      <c r="G1158" s="75" t="s">
        <v>1252</v>
      </c>
      <c r="H1158" s="69"/>
      <c r="P1158" s="69">
        <f t="shared" si="18"/>
        <v>0</v>
      </c>
      <c r="Q1158" s="69" cm="1">
        <f t="array" ref="Q1158">IF(P1158=1,IF(SUMPRODUCT(($P$2:P1158)*(--($G$2:G1158=$G1158)))=1,1,0),0)</f>
        <v>0</v>
      </c>
      <c r="R1158" s="69" t="str">
        <f>IF(Q1158=1,SUM($Q$2:Q1158),"")</f>
        <v/>
      </c>
    </row>
    <row r="1159" spans="1:18" x14ac:dyDescent="0.2">
      <c r="A1159" s="72"/>
      <c r="B1159" s="84"/>
      <c r="C1159" s="73"/>
      <c r="D1159" s="73" t="s">
        <v>979</v>
      </c>
      <c r="E1159" s="77" t="s">
        <v>94</v>
      </c>
      <c r="F1159" s="75" t="s">
        <v>1641</v>
      </c>
      <c r="G1159" s="75" t="s">
        <v>1252</v>
      </c>
      <c r="H1159" s="69"/>
      <c r="P1159" s="69">
        <f t="shared" si="18"/>
        <v>0</v>
      </c>
      <c r="Q1159" s="69" cm="1">
        <f t="array" ref="Q1159">IF(P1159=1,IF(SUMPRODUCT(($P$2:P1159)*(--($G$2:G1159=$G1159)))=1,1,0),0)</f>
        <v>0</v>
      </c>
      <c r="R1159" s="69" t="str">
        <f>IF(Q1159=1,SUM($Q$2:Q1159),"")</f>
        <v/>
      </c>
    </row>
    <row r="1160" spans="1:18" x14ac:dyDescent="0.2">
      <c r="A1160" s="72"/>
      <c r="B1160" s="84"/>
      <c r="C1160" s="73"/>
      <c r="D1160" s="73" t="s">
        <v>979</v>
      </c>
      <c r="E1160" s="77" t="s">
        <v>94</v>
      </c>
      <c r="F1160" s="75" t="s">
        <v>1642</v>
      </c>
      <c r="G1160" s="75" t="s">
        <v>1252</v>
      </c>
      <c r="H1160" s="69"/>
      <c r="P1160" s="69">
        <f t="shared" si="18"/>
        <v>0</v>
      </c>
      <c r="Q1160" s="69" cm="1">
        <f t="array" ref="Q1160">IF(P1160=1,IF(SUMPRODUCT(($P$2:P1160)*(--($G$2:G1160=$G1160)))=1,1,0),0)</f>
        <v>0</v>
      </c>
      <c r="R1160" s="69" t="str">
        <f>IF(Q1160=1,SUM($Q$2:Q1160),"")</f>
        <v/>
      </c>
    </row>
    <row r="1161" spans="1:18" x14ac:dyDescent="0.2">
      <c r="A1161" s="72"/>
      <c r="B1161" s="84"/>
      <c r="C1161" s="73"/>
      <c r="D1161" s="73" t="s">
        <v>979</v>
      </c>
      <c r="E1161" s="77" t="s">
        <v>94</v>
      </c>
      <c r="F1161" s="75" t="s">
        <v>1688</v>
      </c>
      <c r="G1161" s="75" t="s">
        <v>1252</v>
      </c>
      <c r="H1161" s="69"/>
      <c r="P1161" s="69">
        <f t="shared" si="18"/>
        <v>0</v>
      </c>
      <c r="Q1161" s="69" cm="1">
        <f t="array" ref="Q1161">IF(P1161=1,IF(SUMPRODUCT(($P$2:P1161)*(--($G$2:G1161=$G1161)))=1,1,0),0)</f>
        <v>0</v>
      </c>
      <c r="R1161" s="69" t="str">
        <f>IF(Q1161=1,SUM($Q$2:Q1161),"")</f>
        <v/>
      </c>
    </row>
    <row r="1162" spans="1:18" x14ac:dyDescent="0.2">
      <c r="A1162" s="72"/>
      <c r="B1162" s="84"/>
      <c r="C1162" s="73"/>
      <c r="D1162" s="73" t="s">
        <v>979</v>
      </c>
      <c r="E1162" s="77" t="s">
        <v>94</v>
      </c>
      <c r="F1162" s="75" t="s">
        <v>1689</v>
      </c>
      <c r="G1162" s="75" t="s">
        <v>1252</v>
      </c>
      <c r="H1162" s="69"/>
      <c r="P1162" s="69">
        <f t="shared" si="18"/>
        <v>0</v>
      </c>
      <c r="Q1162" s="69" cm="1">
        <f t="array" ref="Q1162">IF(P1162=1,IF(SUMPRODUCT(($P$2:P1162)*(--($G$2:G1162=$G1162)))=1,1,0),0)</f>
        <v>0</v>
      </c>
      <c r="R1162" s="69" t="str">
        <f>IF(Q1162=1,SUM($Q$2:Q1162),"")</f>
        <v/>
      </c>
    </row>
    <row r="1163" spans="1:18" x14ac:dyDescent="0.2">
      <c r="A1163" s="72"/>
      <c r="B1163" s="84"/>
      <c r="C1163" s="73"/>
      <c r="D1163" s="73" t="s">
        <v>979</v>
      </c>
      <c r="E1163" s="77" t="s">
        <v>94</v>
      </c>
      <c r="F1163" s="75" t="s">
        <v>1690</v>
      </c>
      <c r="G1163" s="75" t="s">
        <v>1252</v>
      </c>
      <c r="H1163" s="69"/>
      <c r="P1163" s="69">
        <f t="shared" si="18"/>
        <v>0</v>
      </c>
      <c r="Q1163" s="69" cm="1">
        <f t="array" ref="Q1163">IF(P1163=1,IF(SUMPRODUCT(($P$2:P1163)*(--($G$2:G1163=$G1163)))=1,1,0),0)</f>
        <v>0</v>
      </c>
      <c r="R1163" s="69" t="str">
        <f>IF(Q1163=1,SUM($Q$2:Q1163),"")</f>
        <v/>
      </c>
    </row>
    <row r="1164" spans="1:18" x14ac:dyDescent="0.2">
      <c r="A1164" s="72"/>
      <c r="B1164" s="84"/>
      <c r="C1164" s="73"/>
      <c r="D1164" s="73" t="s">
        <v>979</v>
      </c>
      <c r="E1164" s="77" t="s">
        <v>94</v>
      </c>
      <c r="F1164" s="75" t="s">
        <v>1691</v>
      </c>
      <c r="G1164" s="75" t="s">
        <v>1252</v>
      </c>
      <c r="H1164" s="69"/>
      <c r="P1164" s="69">
        <f t="shared" si="18"/>
        <v>0</v>
      </c>
      <c r="Q1164" s="69" cm="1">
        <f t="array" ref="Q1164">IF(P1164=1,IF(SUMPRODUCT(($P$2:P1164)*(--($G$2:G1164=$G1164)))=1,1,0),0)</f>
        <v>0</v>
      </c>
      <c r="R1164" s="69" t="str">
        <f>IF(Q1164=1,SUM($Q$2:Q1164),"")</f>
        <v/>
      </c>
    </row>
    <row r="1165" spans="1:18" ht="16" x14ac:dyDescent="0.2">
      <c r="A1165" s="72"/>
      <c r="B1165" s="84"/>
      <c r="C1165" s="73"/>
      <c r="D1165" s="73" t="s">
        <v>979</v>
      </c>
      <c r="E1165" s="77" t="s">
        <v>94</v>
      </c>
      <c r="F1165" s="75" t="s">
        <v>403</v>
      </c>
      <c r="G1165" s="74" t="s">
        <v>1260</v>
      </c>
      <c r="H1165" s="69"/>
      <c r="P1165" s="69">
        <f t="shared" si="18"/>
        <v>0</v>
      </c>
      <c r="Q1165" s="69" cm="1">
        <f t="array" ref="Q1165">IF(P1165=1,IF(SUMPRODUCT(($P$2:P1165)*(--($G$2:G1165=$G1165)))=1,1,0),0)</f>
        <v>0</v>
      </c>
      <c r="R1165" s="69" t="str">
        <f>IF(Q1165=1,SUM($Q$2:Q1165),"")</f>
        <v/>
      </c>
    </row>
    <row r="1166" spans="1:18" ht="16" x14ac:dyDescent="0.2">
      <c r="A1166" s="72"/>
      <c r="B1166" s="84"/>
      <c r="C1166" s="73"/>
      <c r="D1166" s="73" t="s">
        <v>979</v>
      </c>
      <c r="E1166" s="77" t="s">
        <v>94</v>
      </c>
      <c r="F1166" s="75" t="s">
        <v>1622</v>
      </c>
      <c r="G1166" s="74" t="s">
        <v>1260</v>
      </c>
      <c r="H1166" s="69"/>
      <c r="P1166" s="69">
        <f t="shared" si="18"/>
        <v>0</v>
      </c>
      <c r="Q1166" s="69" cm="1">
        <f t="array" ref="Q1166">IF(P1166=1,IF(SUMPRODUCT(($P$2:P1166)*(--($G$2:G1166=$G1166)))=1,1,0),0)</f>
        <v>0</v>
      </c>
      <c r="R1166" s="69" t="str">
        <f>IF(Q1166=1,SUM($Q$2:Q1166),"")</f>
        <v/>
      </c>
    </row>
    <row r="1167" spans="1:18" ht="16" x14ac:dyDescent="0.2">
      <c r="A1167" s="72"/>
      <c r="B1167" s="84"/>
      <c r="C1167" s="73"/>
      <c r="D1167" s="73" t="s">
        <v>979</v>
      </c>
      <c r="E1167" s="77" t="s">
        <v>94</v>
      </c>
      <c r="F1167" s="75" t="s">
        <v>1623</v>
      </c>
      <c r="G1167" s="74" t="s">
        <v>1260</v>
      </c>
      <c r="H1167" s="69"/>
      <c r="P1167" s="69">
        <f t="shared" si="18"/>
        <v>0</v>
      </c>
      <c r="Q1167" s="69" cm="1">
        <f t="array" ref="Q1167">IF(P1167=1,IF(SUMPRODUCT(($P$2:P1167)*(--($G$2:G1167=$G1167)))=1,1,0),0)</f>
        <v>0</v>
      </c>
      <c r="R1167" s="69" t="str">
        <f>IF(Q1167=1,SUM($Q$2:Q1167),"")</f>
        <v/>
      </c>
    </row>
    <row r="1168" spans="1:18" ht="16" x14ac:dyDescent="0.2">
      <c r="A1168" s="72"/>
      <c r="B1168" s="84"/>
      <c r="C1168" s="73"/>
      <c r="D1168" s="73" t="s">
        <v>979</v>
      </c>
      <c r="E1168" s="77" t="s">
        <v>94</v>
      </c>
      <c r="F1168" s="75" t="s">
        <v>1671</v>
      </c>
      <c r="G1168" s="74" t="s">
        <v>1260</v>
      </c>
      <c r="H1168" s="69"/>
      <c r="P1168" s="69">
        <f t="shared" si="18"/>
        <v>0</v>
      </c>
      <c r="Q1168" s="69" cm="1">
        <f t="array" ref="Q1168">IF(P1168=1,IF(SUMPRODUCT(($P$2:P1168)*(--($G$2:G1168=$G1168)))=1,1,0),0)</f>
        <v>0</v>
      </c>
      <c r="R1168" s="69" t="str">
        <f>IF(Q1168=1,SUM($Q$2:Q1168),"")</f>
        <v/>
      </c>
    </row>
    <row r="1169" spans="1:18" ht="16" x14ac:dyDescent="0.2">
      <c r="A1169" s="72"/>
      <c r="B1169" s="84"/>
      <c r="C1169" s="73"/>
      <c r="D1169" s="73" t="s">
        <v>979</v>
      </c>
      <c r="E1169" s="77" t="s">
        <v>94</v>
      </c>
      <c r="F1169" s="75" t="s">
        <v>1672</v>
      </c>
      <c r="G1169" s="74" t="s">
        <v>1260</v>
      </c>
      <c r="H1169" s="69"/>
      <c r="P1169" s="69">
        <f t="shared" si="18"/>
        <v>0</v>
      </c>
      <c r="Q1169" s="69" cm="1">
        <f t="array" ref="Q1169">IF(P1169=1,IF(SUMPRODUCT(($P$2:P1169)*(--($G$2:G1169=$G1169)))=1,1,0),0)</f>
        <v>0</v>
      </c>
      <c r="R1169" s="69" t="str">
        <f>IF(Q1169=1,SUM($Q$2:Q1169),"")</f>
        <v/>
      </c>
    </row>
    <row r="1170" spans="1:18" ht="16" x14ac:dyDescent="0.2">
      <c r="A1170" s="72"/>
      <c r="B1170" s="84"/>
      <c r="C1170" s="73"/>
      <c r="D1170" s="73" t="s">
        <v>979</v>
      </c>
      <c r="E1170" s="77" t="s">
        <v>94</v>
      </c>
      <c r="F1170" s="75" t="s">
        <v>1624</v>
      </c>
      <c r="G1170" s="74" t="s">
        <v>1260</v>
      </c>
      <c r="H1170" s="69"/>
      <c r="P1170" s="69">
        <f t="shared" si="18"/>
        <v>0</v>
      </c>
      <c r="Q1170" s="69" cm="1">
        <f t="array" ref="Q1170">IF(P1170=1,IF(SUMPRODUCT(($P$2:P1170)*(--($G$2:G1170=$G1170)))=1,1,0),0)</f>
        <v>0</v>
      </c>
      <c r="R1170" s="69" t="str">
        <f>IF(Q1170=1,SUM($Q$2:Q1170),"")</f>
        <v/>
      </c>
    </row>
    <row r="1171" spans="1:18" ht="16" x14ac:dyDescent="0.2">
      <c r="A1171" s="72"/>
      <c r="B1171" s="84"/>
      <c r="C1171" s="73"/>
      <c r="D1171" s="73" t="s">
        <v>979</v>
      </c>
      <c r="E1171" s="77" t="s">
        <v>94</v>
      </c>
      <c r="F1171" s="75" t="s">
        <v>1625</v>
      </c>
      <c r="G1171" s="74" t="s">
        <v>1260</v>
      </c>
      <c r="H1171" s="69"/>
      <c r="P1171" s="69">
        <f t="shared" si="18"/>
        <v>0</v>
      </c>
      <c r="Q1171" s="69" cm="1">
        <f t="array" ref="Q1171">IF(P1171=1,IF(SUMPRODUCT(($P$2:P1171)*(--($G$2:G1171=$G1171)))=1,1,0),0)</f>
        <v>0</v>
      </c>
      <c r="R1171" s="69" t="str">
        <f>IF(Q1171=1,SUM($Q$2:Q1171),"")</f>
        <v/>
      </c>
    </row>
    <row r="1172" spans="1:18" ht="16" x14ac:dyDescent="0.2">
      <c r="A1172" s="72"/>
      <c r="B1172" s="84"/>
      <c r="C1172" s="73"/>
      <c r="D1172" s="73" t="s">
        <v>979</v>
      </c>
      <c r="E1172" s="77" t="s">
        <v>94</v>
      </c>
      <c r="F1172" s="75" t="s">
        <v>1673</v>
      </c>
      <c r="G1172" s="74" t="s">
        <v>1260</v>
      </c>
      <c r="H1172" s="69"/>
      <c r="P1172" s="69">
        <f t="shared" si="18"/>
        <v>0</v>
      </c>
      <c r="Q1172" s="69" cm="1">
        <f t="array" ref="Q1172">IF(P1172=1,IF(SUMPRODUCT(($P$2:P1172)*(--($G$2:G1172=$G1172)))=1,1,0),0)</f>
        <v>0</v>
      </c>
      <c r="R1172" s="69" t="str">
        <f>IF(Q1172=1,SUM($Q$2:Q1172),"")</f>
        <v/>
      </c>
    </row>
    <row r="1173" spans="1:18" ht="16" x14ac:dyDescent="0.2">
      <c r="A1173" s="72"/>
      <c r="B1173" s="84"/>
      <c r="C1173" s="73"/>
      <c r="D1173" s="73" t="s">
        <v>979</v>
      </c>
      <c r="E1173" s="77" t="s">
        <v>94</v>
      </c>
      <c r="F1173" s="75" t="s">
        <v>1626</v>
      </c>
      <c r="G1173" s="74" t="s">
        <v>1260</v>
      </c>
      <c r="H1173" s="69"/>
      <c r="P1173" s="69">
        <f t="shared" si="18"/>
        <v>0</v>
      </c>
      <c r="Q1173" s="69" cm="1">
        <f t="array" ref="Q1173">IF(P1173=1,IF(SUMPRODUCT(($P$2:P1173)*(--($G$2:G1173=$G1173)))=1,1,0),0)</f>
        <v>0</v>
      </c>
      <c r="R1173" s="69" t="str">
        <f>IF(Q1173=1,SUM($Q$2:Q1173),"")</f>
        <v/>
      </c>
    </row>
    <row r="1174" spans="1:18" ht="16" x14ac:dyDescent="0.2">
      <c r="A1174" s="72"/>
      <c r="B1174" s="84"/>
      <c r="C1174" s="73"/>
      <c r="D1174" s="73" t="s">
        <v>979</v>
      </c>
      <c r="E1174" s="77" t="s">
        <v>94</v>
      </c>
      <c r="F1174" s="75" t="s">
        <v>412</v>
      </c>
      <c r="G1174" s="74" t="s">
        <v>1260</v>
      </c>
      <c r="H1174" s="69"/>
      <c r="P1174" s="69">
        <f t="shared" si="18"/>
        <v>0</v>
      </c>
      <c r="Q1174" s="69" cm="1">
        <f t="array" ref="Q1174">IF(P1174=1,IF(SUMPRODUCT(($P$2:P1174)*(--($G$2:G1174=$G1174)))=1,1,0),0)</f>
        <v>0</v>
      </c>
      <c r="R1174" s="69" t="str">
        <f>IF(Q1174=1,SUM($Q$2:Q1174),"")</f>
        <v/>
      </c>
    </row>
    <row r="1175" spans="1:18" ht="16" x14ac:dyDescent="0.2">
      <c r="A1175" s="72"/>
      <c r="B1175" s="84"/>
      <c r="C1175" s="73"/>
      <c r="D1175" s="73" t="s">
        <v>979</v>
      </c>
      <c r="E1175" s="77" t="s">
        <v>94</v>
      </c>
      <c r="F1175" s="75" t="s">
        <v>1674</v>
      </c>
      <c r="G1175" s="74" t="s">
        <v>1260</v>
      </c>
      <c r="H1175" s="69"/>
      <c r="P1175" s="69">
        <f t="shared" si="18"/>
        <v>0</v>
      </c>
      <c r="Q1175" s="69" cm="1">
        <f t="array" ref="Q1175">IF(P1175=1,IF(SUMPRODUCT(($P$2:P1175)*(--($G$2:G1175=$G1175)))=1,1,0),0)</f>
        <v>0</v>
      </c>
      <c r="R1175" s="69" t="str">
        <f>IF(Q1175=1,SUM($Q$2:Q1175),"")</f>
        <v/>
      </c>
    </row>
    <row r="1176" spans="1:18" ht="16" x14ac:dyDescent="0.2">
      <c r="A1176" s="72"/>
      <c r="B1176" s="84"/>
      <c r="C1176" s="73"/>
      <c r="D1176" s="73" t="s">
        <v>979</v>
      </c>
      <c r="E1176" s="77" t="s">
        <v>94</v>
      </c>
      <c r="F1176" s="75" t="s">
        <v>417</v>
      </c>
      <c r="G1176" s="74" t="s">
        <v>1260</v>
      </c>
      <c r="H1176" s="69"/>
      <c r="P1176" s="69">
        <f t="shared" si="18"/>
        <v>0</v>
      </c>
      <c r="Q1176" s="69" cm="1">
        <f t="array" ref="Q1176">IF(P1176=1,IF(SUMPRODUCT(($P$2:P1176)*(--($G$2:G1176=$G1176)))=1,1,0),0)</f>
        <v>0</v>
      </c>
      <c r="R1176" s="69" t="str">
        <f>IF(Q1176=1,SUM($Q$2:Q1176),"")</f>
        <v/>
      </c>
    </row>
    <row r="1177" spans="1:18" ht="16" x14ac:dyDescent="0.2">
      <c r="A1177" s="72"/>
      <c r="B1177" s="84"/>
      <c r="C1177" s="73"/>
      <c r="D1177" s="73" t="s">
        <v>979</v>
      </c>
      <c r="E1177" s="77" t="s">
        <v>94</v>
      </c>
      <c r="F1177" s="75" t="s">
        <v>1675</v>
      </c>
      <c r="G1177" s="74" t="s">
        <v>1260</v>
      </c>
      <c r="H1177" s="69"/>
      <c r="P1177" s="69">
        <f t="shared" si="18"/>
        <v>0</v>
      </c>
      <c r="Q1177" s="69" cm="1">
        <f t="array" ref="Q1177">IF(P1177=1,IF(SUMPRODUCT(($P$2:P1177)*(--($G$2:G1177=$G1177)))=1,1,0),0)</f>
        <v>0</v>
      </c>
      <c r="R1177" s="69" t="str">
        <f>IF(Q1177=1,SUM($Q$2:Q1177),"")</f>
        <v/>
      </c>
    </row>
    <row r="1178" spans="1:18" x14ac:dyDescent="0.2">
      <c r="A1178" s="72"/>
      <c r="B1178" s="76"/>
      <c r="C1178" s="73"/>
      <c r="D1178" s="73" t="s">
        <v>979</v>
      </c>
      <c r="E1178" s="77" t="s">
        <v>94</v>
      </c>
      <c r="F1178" s="75" t="s">
        <v>403</v>
      </c>
      <c r="G1178" s="75" t="s">
        <v>1241</v>
      </c>
      <c r="H1178" s="69"/>
      <c r="P1178" s="69">
        <f t="shared" si="18"/>
        <v>0</v>
      </c>
      <c r="Q1178" s="69" cm="1">
        <f t="array" ref="Q1178">IF(P1178=1,IF(SUMPRODUCT(($P$2:P1178)*(--($G$2:G1178=$G1178)))=1,1,0),0)</f>
        <v>0</v>
      </c>
      <c r="R1178" s="69" t="str">
        <f>IF(Q1178=1,SUM($Q$2:Q1178),"")</f>
        <v/>
      </c>
    </row>
    <row r="1179" spans="1:18" x14ac:dyDescent="0.2">
      <c r="A1179" s="72"/>
      <c r="B1179" s="76"/>
      <c r="C1179" s="73"/>
      <c r="D1179" s="73" t="s">
        <v>979</v>
      </c>
      <c r="E1179" s="77" t="s">
        <v>94</v>
      </c>
      <c r="F1179" s="75" t="s">
        <v>1622</v>
      </c>
      <c r="G1179" s="75" t="s">
        <v>1241</v>
      </c>
      <c r="H1179" s="69"/>
      <c r="P1179" s="69">
        <f t="shared" si="18"/>
        <v>0</v>
      </c>
      <c r="Q1179" s="69" cm="1">
        <f t="array" ref="Q1179">IF(P1179=1,IF(SUMPRODUCT(($P$2:P1179)*(--($G$2:G1179=$G1179)))=1,1,0),0)</f>
        <v>0</v>
      </c>
      <c r="R1179" s="69" t="str">
        <f>IF(Q1179=1,SUM($Q$2:Q1179),"")</f>
        <v/>
      </c>
    </row>
    <row r="1180" spans="1:18" x14ac:dyDescent="0.2">
      <c r="A1180" s="72"/>
      <c r="B1180" s="76"/>
      <c r="C1180" s="73"/>
      <c r="D1180" s="73" t="s">
        <v>979</v>
      </c>
      <c r="E1180" s="77" t="s">
        <v>94</v>
      </c>
      <c r="F1180" s="75" t="s">
        <v>1623</v>
      </c>
      <c r="G1180" s="75" t="s">
        <v>1241</v>
      </c>
      <c r="H1180" s="69"/>
      <c r="P1180" s="69">
        <f t="shared" si="18"/>
        <v>0</v>
      </c>
      <c r="Q1180" s="69" cm="1">
        <f t="array" ref="Q1180">IF(P1180=1,IF(SUMPRODUCT(($P$2:P1180)*(--($G$2:G1180=$G1180)))=1,1,0),0)</f>
        <v>0</v>
      </c>
      <c r="R1180" s="69" t="str">
        <f>IF(Q1180=1,SUM($Q$2:Q1180),"")</f>
        <v/>
      </c>
    </row>
    <row r="1181" spans="1:18" x14ac:dyDescent="0.2">
      <c r="A1181" s="72"/>
      <c r="B1181" s="76"/>
      <c r="C1181" s="73"/>
      <c r="D1181" s="73" t="s">
        <v>979</v>
      </c>
      <c r="E1181" s="77" t="s">
        <v>94</v>
      </c>
      <c r="F1181" s="75" t="s">
        <v>1671</v>
      </c>
      <c r="G1181" s="75" t="s">
        <v>1241</v>
      </c>
      <c r="H1181" s="69"/>
      <c r="P1181" s="69">
        <f t="shared" si="18"/>
        <v>0</v>
      </c>
      <c r="Q1181" s="69" cm="1">
        <f t="array" ref="Q1181">IF(P1181=1,IF(SUMPRODUCT(($P$2:P1181)*(--($G$2:G1181=$G1181)))=1,1,0),0)</f>
        <v>0</v>
      </c>
      <c r="R1181" s="69" t="str">
        <f>IF(Q1181=1,SUM($Q$2:Q1181),"")</f>
        <v/>
      </c>
    </row>
    <row r="1182" spans="1:18" x14ac:dyDescent="0.2">
      <c r="A1182" s="72"/>
      <c r="B1182" s="76"/>
      <c r="C1182" s="73"/>
      <c r="D1182" s="73" t="s">
        <v>979</v>
      </c>
      <c r="E1182" s="77" t="s">
        <v>94</v>
      </c>
      <c r="F1182" s="75" t="s">
        <v>1672</v>
      </c>
      <c r="G1182" s="75" t="s">
        <v>1241</v>
      </c>
      <c r="H1182" s="69"/>
      <c r="P1182" s="69">
        <f t="shared" si="18"/>
        <v>0</v>
      </c>
      <c r="Q1182" s="69" cm="1">
        <f t="array" ref="Q1182">IF(P1182=1,IF(SUMPRODUCT(($P$2:P1182)*(--($G$2:G1182=$G1182)))=1,1,0),0)</f>
        <v>0</v>
      </c>
      <c r="R1182" s="69" t="str">
        <f>IF(Q1182=1,SUM($Q$2:Q1182),"")</f>
        <v/>
      </c>
    </row>
    <row r="1183" spans="1:18" x14ac:dyDescent="0.2">
      <c r="A1183" s="72"/>
      <c r="B1183" s="76"/>
      <c r="C1183" s="73"/>
      <c r="D1183" s="73" t="s">
        <v>979</v>
      </c>
      <c r="E1183" s="77" t="s">
        <v>94</v>
      </c>
      <c r="F1183" s="75" t="s">
        <v>1625</v>
      </c>
      <c r="G1183" s="75" t="s">
        <v>1241</v>
      </c>
      <c r="H1183" s="69"/>
      <c r="P1183" s="69">
        <f t="shared" si="18"/>
        <v>0</v>
      </c>
      <c r="Q1183" s="69" cm="1">
        <f t="array" ref="Q1183">IF(P1183=1,IF(SUMPRODUCT(($P$2:P1183)*(--($G$2:G1183=$G1183)))=1,1,0),0)</f>
        <v>0</v>
      </c>
      <c r="R1183" s="69" t="str">
        <f>IF(Q1183=1,SUM($Q$2:Q1183),"")</f>
        <v/>
      </c>
    </row>
    <row r="1184" spans="1:18" x14ac:dyDescent="0.2">
      <c r="A1184" s="72"/>
      <c r="B1184" s="76"/>
      <c r="C1184" s="73"/>
      <c r="D1184" s="73" t="s">
        <v>979</v>
      </c>
      <c r="E1184" s="77" t="s">
        <v>94</v>
      </c>
      <c r="F1184" s="75" t="s">
        <v>1673</v>
      </c>
      <c r="G1184" s="75" t="s">
        <v>1241</v>
      </c>
      <c r="H1184" s="69"/>
      <c r="P1184" s="69">
        <f t="shared" si="18"/>
        <v>0</v>
      </c>
      <c r="Q1184" s="69" cm="1">
        <f t="array" ref="Q1184">IF(P1184=1,IF(SUMPRODUCT(($P$2:P1184)*(--($G$2:G1184=$G1184)))=1,1,0),0)</f>
        <v>0</v>
      </c>
      <c r="R1184" s="69" t="str">
        <f>IF(Q1184=1,SUM($Q$2:Q1184),"")</f>
        <v/>
      </c>
    </row>
    <row r="1185" spans="1:18" x14ac:dyDescent="0.2">
      <c r="A1185" s="72"/>
      <c r="B1185" s="76"/>
      <c r="C1185" s="73"/>
      <c r="D1185" s="73" t="s">
        <v>979</v>
      </c>
      <c r="E1185" s="77" t="s">
        <v>94</v>
      </c>
      <c r="F1185" s="75" t="s">
        <v>1626</v>
      </c>
      <c r="G1185" s="75" t="s">
        <v>1241</v>
      </c>
      <c r="H1185" s="69"/>
      <c r="P1185" s="69">
        <f t="shared" si="18"/>
        <v>0</v>
      </c>
      <c r="Q1185" s="69" cm="1">
        <f t="array" ref="Q1185">IF(P1185=1,IF(SUMPRODUCT(($P$2:P1185)*(--($G$2:G1185=$G1185)))=1,1,0),0)</f>
        <v>0</v>
      </c>
      <c r="R1185" s="69" t="str">
        <f>IF(Q1185=1,SUM($Q$2:Q1185),"")</f>
        <v/>
      </c>
    </row>
    <row r="1186" spans="1:18" x14ac:dyDescent="0.2">
      <c r="A1186" s="72"/>
      <c r="B1186" s="76"/>
      <c r="C1186" s="73"/>
      <c r="D1186" s="73" t="s">
        <v>979</v>
      </c>
      <c r="E1186" s="77" t="s">
        <v>94</v>
      </c>
      <c r="F1186" s="75" t="s">
        <v>412</v>
      </c>
      <c r="G1186" s="75" t="s">
        <v>1241</v>
      </c>
      <c r="H1186" s="69"/>
      <c r="P1186" s="69">
        <f t="shared" si="18"/>
        <v>0</v>
      </c>
      <c r="Q1186" s="69" cm="1">
        <f t="array" ref="Q1186">IF(P1186=1,IF(SUMPRODUCT(($P$2:P1186)*(--($G$2:G1186=$G1186)))=1,1,0),0)</f>
        <v>0</v>
      </c>
      <c r="R1186" s="69" t="str">
        <f>IF(Q1186=1,SUM($Q$2:Q1186),"")</f>
        <v/>
      </c>
    </row>
    <row r="1187" spans="1:18" x14ac:dyDescent="0.2">
      <c r="A1187" s="72"/>
      <c r="B1187" s="76"/>
      <c r="C1187" s="73"/>
      <c r="D1187" s="73" t="s">
        <v>979</v>
      </c>
      <c r="E1187" s="77" t="s">
        <v>94</v>
      </c>
      <c r="F1187" s="75" t="s">
        <v>1674</v>
      </c>
      <c r="G1187" s="75" t="s">
        <v>1241</v>
      </c>
      <c r="H1187" s="69"/>
      <c r="P1187" s="69">
        <f t="shared" si="18"/>
        <v>0</v>
      </c>
      <c r="Q1187" s="69" cm="1">
        <f t="array" ref="Q1187">IF(P1187=1,IF(SUMPRODUCT(($P$2:P1187)*(--($G$2:G1187=$G1187)))=1,1,0),0)</f>
        <v>0</v>
      </c>
      <c r="R1187" s="69" t="str">
        <f>IF(Q1187=1,SUM($Q$2:Q1187),"")</f>
        <v/>
      </c>
    </row>
    <row r="1188" spans="1:18" x14ac:dyDescent="0.2">
      <c r="A1188" s="72"/>
      <c r="B1188" s="76"/>
      <c r="C1188" s="73"/>
      <c r="D1188" s="73" t="s">
        <v>979</v>
      </c>
      <c r="E1188" s="77" t="s">
        <v>94</v>
      </c>
      <c r="F1188" s="75" t="s">
        <v>417</v>
      </c>
      <c r="G1188" s="75" t="s">
        <v>1241</v>
      </c>
      <c r="H1188" s="69"/>
      <c r="P1188" s="69">
        <f t="shared" si="18"/>
        <v>0</v>
      </c>
      <c r="Q1188" s="69" cm="1">
        <f t="array" ref="Q1188">IF(P1188=1,IF(SUMPRODUCT(($P$2:P1188)*(--($G$2:G1188=$G1188)))=1,1,0),0)</f>
        <v>0</v>
      </c>
      <c r="R1188" s="69" t="str">
        <f>IF(Q1188=1,SUM($Q$2:Q1188),"")</f>
        <v/>
      </c>
    </row>
    <row r="1189" spans="1:18" x14ac:dyDescent="0.2">
      <c r="A1189" s="72"/>
      <c r="B1189" s="76"/>
      <c r="C1189" s="73"/>
      <c r="D1189" s="73" t="s">
        <v>979</v>
      </c>
      <c r="E1189" s="77" t="s">
        <v>94</v>
      </c>
      <c r="F1189" s="75" t="s">
        <v>1675</v>
      </c>
      <c r="G1189" s="75" t="s">
        <v>1241</v>
      </c>
      <c r="H1189" s="69"/>
      <c r="P1189" s="69">
        <f t="shared" si="18"/>
        <v>0</v>
      </c>
      <c r="Q1189" s="69" cm="1">
        <f t="array" ref="Q1189">IF(P1189=1,IF(SUMPRODUCT(($P$2:P1189)*(--($G$2:G1189=$G1189)))=1,1,0),0)</f>
        <v>0</v>
      </c>
      <c r="R1189" s="69" t="str">
        <f>IF(Q1189=1,SUM($Q$2:Q1189),"")</f>
        <v/>
      </c>
    </row>
    <row r="1190" spans="1:18" ht="16" x14ac:dyDescent="0.2">
      <c r="A1190" s="72"/>
      <c r="B1190" s="84"/>
      <c r="C1190" s="73"/>
      <c r="D1190" s="73" t="s">
        <v>979</v>
      </c>
      <c r="E1190" s="77" t="s">
        <v>94</v>
      </c>
      <c r="F1190" s="75" t="s">
        <v>1627</v>
      </c>
      <c r="G1190" s="74" t="s">
        <v>592</v>
      </c>
      <c r="H1190" s="69"/>
      <c r="P1190" s="69">
        <f t="shared" si="18"/>
        <v>0</v>
      </c>
      <c r="Q1190" s="69" cm="1">
        <f t="array" ref="Q1190">IF(P1190=1,IF(SUMPRODUCT(($P$2:P1190)*(--($G$2:G1190=$G1190)))=1,1,0),0)</f>
        <v>0</v>
      </c>
      <c r="R1190" s="69" t="str">
        <f>IF(Q1190=1,SUM($Q$2:Q1190),"")</f>
        <v/>
      </c>
    </row>
    <row r="1191" spans="1:18" ht="16" x14ac:dyDescent="0.2">
      <c r="A1191" s="72"/>
      <c r="B1191" s="84"/>
      <c r="C1191" s="73"/>
      <c r="D1191" s="73" t="s">
        <v>979</v>
      </c>
      <c r="E1191" s="77" t="s">
        <v>94</v>
      </c>
      <c r="F1191" s="75" t="s">
        <v>1630</v>
      </c>
      <c r="G1191" s="74" t="s">
        <v>592</v>
      </c>
      <c r="H1191" s="69"/>
      <c r="P1191" s="69">
        <f t="shared" si="18"/>
        <v>0</v>
      </c>
      <c r="Q1191" s="69" cm="1">
        <f t="array" ref="Q1191">IF(P1191=1,IF(SUMPRODUCT(($P$2:P1191)*(--($G$2:G1191=$G1191)))=1,1,0),0)</f>
        <v>0</v>
      </c>
      <c r="R1191" s="69" t="str">
        <f>IF(Q1191=1,SUM($Q$2:Q1191),"")</f>
        <v/>
      </c>
    </row>
    <row r="1192" spans="1:18" ht="16" x14ac:dyDescent="0.2">
      <c r="A1192" s="72"/>
      <c r="B1192" s="84"/>
      <c r="C1192" s="73"/>
      <c r="D1192" s="73" t="s">
        <v>979</v>
      </c>
      <c r="E1192" s="77" t="s">
        <v>94</v>
      </c>
      <c r="F1192" s="75" t="s">
        <v>1631</v>
      </c>
      <c r="G1192" s="74" t="s">
        <v>592</v>
      </c>
      <c r="H1192" s="69"/>
      <c r="P1192" s="69">
        <f t="shared" si="18"/>
        <v>0</v>
      </c>
      <c r="Q1192" s="69" cm="1">
        <f t="array" ref="Q1192">IF(P1192=1,IF(SUMPRODUCT(($P$2:P1192)*(--($G$2:G1192=$G1192)))=1,1,0),0)</f>
        <v>0</v>
      </c>
      <c r="R1192" s="69" t="str">
        <f>IF(Q1192=1,SUM($Q$2:Q1192),"")</f>
        <v/>
      </c>
    </row>
    <row r="1193" spans="1:18" ht="16" x14ac:dyDescent="0.2">
      <c r="A1193" s="72"/>
      <c r="B1193" s="84"/>
      <c r="C1193" s="73"/>
      <c r="D1193" s="73" t="s">
        <v>979</v>
      </c>
      <c r="E1193" s="77" t="s">
        <v>94</v>
      </c>
      <c r="F1193" s="75" t="s">
        <v>1632</v>
      </c>
      <c r="G1193" s="74" t="s">
        <v>592</v>
      </c>
      <c r="H1193" s="69"/>
      <c r="P1193" s="69">
        <f t="shared" si="18"/>
        <v>0</v>
      </c>
      <c r="Q1193" s="69" cm="1">
        <f t="array" ref="Q1193">IF(P1193=1,IF(SUMPRODUCT(($P$2:P1193)*(--($G$2:G1193=$G1193)))=1,1,0),0)</f>
        <v>0</v>
      </c>
      <c r="R1193" s="69" t="str">
        <f>IF(Q1193=1,SUM($Q$2:Q1193),"")</f>
        <v/>
      </c>
    </row>
    <row r="1194" spans="1:18" ht="16" x14ac:dyDescent="0.2">
      <c r="A1194" s="72"/>
      <c r="B1194" s="84"/>
      <c r="C1194" s="73"/>
      <c r="D1194" s="73" t="s">
        <v>979</v>
      </c>
      <c r="E1194" s="77" t="s">
        <v>94</v>
      </c>
      <c r="F1194" s="75" t="s">
        <v>1677</v>
      </c>
      <c r="G1194" s="74" t="s">
        <v>592</v>
      </c>
      <c r="H1194" s="69"/>
      <c r="P1194" s="69">
        <f t="shared" si="18"/>
        <v>0</v>
      </c>
      <c r="Q1194" s="69" cm="1">
        <f t="array" ref="Q1194">IF(P1194=1,IF(SUMPRODUCT(($P$2:P1194)*(--($G$2:G1194=$G1194)))=1,1,0),0)</f>
        <v>0</v>
      </c>
      <c r="R1194" s="69" t="str">
        <f>IF(Q1194=1,SUM($Q$2:Q1194),"")</f>
        <v/>
      </c>
    </row>
    <row r="1195" spans="1:18" ht="16" x14ac:dyDescent="0.2">
      <c r="A1195" s="72"/>
      <c r="B1195" s="84"/>
      <c r="C1195" s="73"/>
      <c r="D1195" s="73" t="s">
        <v>979</v>
      </c>
      <c r="E1195" s="77" t="s">
        <v>94</v>
      </c>
      <c r="F1195" s="75" t="s">
        <v>1628</v>
      </c>
      <c r="G1195" s="74" t="s">
        <v>592</v>
      </c>
      <c r="H1195" s="69"/>
      <c r="P1195" s="69">
        <f t="shared" si="18"/>
        <v>0</v>
      </c>
      <c r="Q1195" s="69" cm="1">
        <f t="array" ref="Q1195">IF(P1195=1,IF(SUMPRODUCT(($P$2:P1195)*(--($G$2:G1195=$G1195)))=1,1,0),0)</f>
        <v>0</v>
      </c>
      <c r="R1195" s="69" t="str">
        <f>IF(Q1195=1,SUM($Q$2:Q1195),"")</f>
        <v/>
      </c>
    </row>
    <row r="1196" spans="1:18" ht="16" x14ac:dyDescent="0.2">
      <c r="A1196" s="72"/>
      <c r="B1196" s="84"/>
      <c r="C1196" s="73"/>
      <c r="D1196" s="73" t="s">
        <v>979</v>
      </c>
      <c r="E1196" s="77" t="s">
        <v>94</v>
      </c>
      <c r="F1196" s="75" t="s">
        <v>1629</v>
      </c>
      <c r="G1196" s="74" t="s">
        <v>592</v>
      </c>
      <c r="H1196" s="69"/>
      <c r="P1196" s="69">
        <f t="shared" si="18"/>
        <v>0</v>
      </c>
      <c r="Q1196" s="69" cm="1">
        <f t="array" ref="Q1196">IF(P1196=1,IF(SUMPRODUCT(($P$2:P1196)*(--($G$2:G1196=$G1196)))=1,1,0),0)</f>
        <v>0</v>
      </c>
      <c r="R1196" s="69" t="str">
        <f>IF(Q1196=1,SUM($Q$2:Q1196),"")</f>
        <v/>
      </c>
    </row>
    <row r="1197" spans="1:18" ht="16" x14ac:dyDescent="0.2">
      <c r="A1197" s="72"/>
      <c r="B1197" s="84"/>
      <c r="C1197" s="73"/>
      <c r="D1197" s="73" t="s">
        <v>979</v>
      </c>
      <c r="E1197" s="77" t="s">
        <v>94</v>
      </c>
      <c r="F1197" s="75" t="s">
        <v>1678</v>
      </c>
      <c r="G1197" s="74" t="s">
        <v>592</v>
      </c>
      <c r="H1197" s="69"/>
      <c r="P1197" s="69">
        <f t="shared" si="18"/>
        <v>0</v>
      </c>
      <c r="Q1197" s="69" cm="1">
        <f t="array" ref="Q1197">IF(P1197=1,IF(SUMPRODUCT(($P$2:P1197)*(--($G$2:G1197=$G1197)))=1,1,0),0)</f>
        <v>0</v>
      </c>
      <c r="R1197" s="69" t="str">
        <f>IF(Q1197=1,SUM($Q$2:Q1197),"")</f>
        <v/>
      </c>
    </row>
    <row r="1198" spans="1:18" ht="16" x14ac:dyDescent="0.2">
      <c r="A1198" s="72"/>
      <c r="B1198" s="84"/>
      <c r="C1198" s="73"/>
      <c r="D1198" s="73" t="s">
        <v>979</v>
      </c>
      <c r="E1198" s="77" t="s">
        <v>94</v>
      </c>
      <c r="F1198" s="75" t="s">
        <v>1679</v>
      </c>
      <c r="G1198" s="74" t="s">
        <v>592</v>
      </c>
      <c r="H1198" s="69"/>
      <c r="P1198" s="69">
        <f t="shared" si="18"/>
        <v>0</v>
      </c>
      <c r="Q1198" s="69" cm="1">
        <f t="array" ref="Q1198">IF(P1198=1,IF(SUMPRODUCT(($P$2:P1198)*(--($G$2:G1198=$G1198)))=1,1,0),0)</f>
        <v>0</v>
      </c>
      <c r="R1198" s="69" t="str">
        <f>IF(Q1198=1,SUM($Q$2:Q1198),"")</f>
        <v/>
      </c>
    </row>
    <row r="1199" spans="1:18" ht="16" x14ac:dyDescent="0.2">
      <c r="A1199" s="72"/>
      <c r="B1199" s="84"/>
      <c r="C1199" s="73"/>
      <c r="D1199" s="73" t="s">
        <v>979</v>
      </c>
      <c r="E1199" s="77" t="s">
        <v>94</v>
      </c>
      <c r="F1199" s="75" t="s">
        <v>1680</v>
      </c>
      <c r="G1199" s="74" t="s">
        <v>592</v>
      </c>
      <c r="H1199" s="69"/>
      <c r="P1199" s="69">
        <f t="shared" si="18"/>
        <v>0</v>
      </c>
      <c r="Q1199" s="69" cm="1">
        <f t="array" ref="Q1199">IF(P1199=1,IF(SUMPRODUCT(($P$2:P1199)*(--($G$2:G1199=$G1199)))=1,1,0),0)</f>
        <v>0</v>
      </c>
      <c r="R1199" s="69" t="str">
        <f>IF(Q1199=1,SUM($Q$2:Q1199),"")</f>
        <v/>
      </c>
    </row>
    <row r="1200" spans="1:18" ht="16" x14ac:dyDescent="0.2">
      <c r="A1200" s="72"/>
      <c r="B1200" s="84"/>
      <c r="C1200" s="73"/>
      <c r="D1200" s="73" t="s">
        <v>979</v>
      </c>
      <c r="E1200" s="77" t="s">
        <v>94</v>
      </c>
      <c r="F1200" s="75" t="s">
        <v>1681</v>
      </c>
      <c r="G1200" s="74" t="s">
        <v>592</v>
      </c>
      <c r="H1200" s="69"/>
      <c r="P1200" s="69">
        <f t="shared" si="18"/>
        <v>0</v>
      </c>
      <c r="Q1200" s="69" cm="1">
        <f t="array" ref="Q1200">IF(P1200=1,IF(SUMPRODUCT(($P$2:P1200)*(--($G$2:G1200=$G1200)))=1,1,0),0)</f>
        <v>0</v>
      </c>
      <c r="R1200" s="69" t="str">
        <f>IF(Q1200=1,SUM($Q$2:Q1200),"")</f>
        <v/>
      </c>
    </row>
    <row r="1201" spans="1:18" ht="16" x14ac:dyDescent="0.2">
      <c r="A1201" s="72"/>
      <c r="B1201" s="84"/>
      <c r="C1201" s="73"/>
      <c r="D1201" s="73" t="s">
        <v>979</v>
      </c>
      <c r="E1201" s="77" t="s">
        <v>94</v>
      </c>
      <c r="F1201" s="75" t="s">
        <v>1627</v>
      </c>
      <c r="G1201" s="74" t="s">
        <v>1261</v>
      </c>
      <c r="H1201" s="69"/>
      <c r="P1201" s="69">
        <f t="shared" si="18"/>
        <v>0</v>
      </c>
      <c r="Q1201" s="69" cm="1">
        <f t="array" ref="Q1201">IF(P1201=1,IF(SUMPRODUCT(($P$2:P1201)*(--($G$2:G1201=$G1201)))=1,1,0),0)</f>
        <v>0</v>
      </c>
      <c r="R1201" s="69" t="str">
        <f>IF(Q1201=1,SUM($Q$2:Q1201),"")</f>
        <v/>
      </c>
    </row>
    <row r="1202" spans="1:18" ht="16" x14ac:dyDescent="0.2">
      <c r="A1202" s="72"/>
      <c r="B1202" s="84"/>
      <c r="C1202" s="73"/>
      <c r="D1202" s="73" t="s">
        <v>979</v>
      </c>
      <c r="E1202" s="77" t="s">
        <v>94</v>
      </c>
      <c r="F1202" s="75" t="s">
        <v>1630</v>
      </c>
      <c r="G1202" s="74" t="s">
        <v>1261</v>
      </c>
      <c r="H1202" s="69"/>
      <c r="P1202" s="69">
        <f t="shared" si="18"/>
        <v>0</v>
      </c>
      <c r="Q1202" s="69" cm="1">
        <f t="array" ref="Q1202">IF(P1202=1,IF(SUMPRODUCT(($P$2:P1202)*(--($G$2:G1202=$G1202)))=1,1,0),0)</f>
        <v>0</v>
      </c>
      <c r="R1202" s="69" t="str">
        <f>IF(Q1202=1,SUM($Q$2:Q1202),"")</f>
        <v/>
      </c>
    </row>
    <row r="1203" spans="1:18" ht="16" x14ac:dyDescent="0.2">
      <c r="A1203" s="72"/>
      <c r="B1203" s="84"/>
      <c r="C1203" s="73"/>
      <c r="D1203" s="73" t="s">
        <v>979</v>
      </c>
      <c r="E1203" s="77" t="s">
        <v>94</v>
      </c>
      <c r="F1203" s="75" t="s">
        <v>1631</v>
      </c>
      <c r="G1203" s="74" t="s">
        <v>1261</v>
      </c>
      <c r="H1203" s="69"/>
      <c r="P1203" s="69">
        <f t="shared" si="18"/>
        <v>0</v>
      </c>
      <c r="Q1203" s="69" cm="1">
        <f t="array" ref="Q1203">IF(P1203=1,IF(SUMPRODUCT(($P$2:P1203)*(--($G$2:G1203=$G1203)))=1,1,0),0)</f>
        <v>0</v>
      </c>
      <c r="R1203" s="69" t="str">
        <f>IF(Q1203=1,SUM($Q$2:Q1203),"")</f>
        <v/>
      </c>
    </row>
    <row r="1204" spans="1:18" ht="16" x14ac:dyDescent="0.2">
      <c r="A1204" s="72"/>
      <c r="B1204" s="84"/>
      <c r="C1204" s="73"/>
      <c r="D1204" s="73" t="s">
        <v>979</v>
      </c>
      <c r="E1204" s="77" t="s">
        <v>94</v>
      </c>
      <c r="F1204" s="75" t="s">
        <v>1632</v>
      </c>
      <c r="G1204" s="74" t="s">
        <v>1261</v>
      </c>
      <c r="H1204" s="69"/>
      <c r="P1204" s="69">
        <f t="shared" si="18"/>
        <v>0</v>
      </c>
      <c r="Q1204" s="69" cm="1">
        <f t="array" ref="Q1204">IF(P1204=1,IF(SUMPRODUCT(($P$2:P1204)*(--($G$2:G1204=$G1204)))=1,1,0),0)</f>
        <v>0</v>
      </c>
      <c r="R1204" s="69" t="str">
        <f>IF(Q1204=1,SUM($Q$2:Q1204),"")</f>
        <v/>
      </c>
    </row>
    <row r="1205" spans="1:18" ht="16" x14ac:dyDescent="0.2">
      <c r="A1205" s="72"/>
      <c r="B1205" s="84"/>
      <c r="C1205" s="73"/>
      <c r="D1205" s="73" t="s">
        <v>979</v>
      </c>
      <c r="E1205" s="77" t="s">
        <v>94</v>
      </c>
      <c r="F1205" s="75" t="s">
        <v>1676</v>
      </c>
      <c r="G1205" s="74" t="s">
        <v>1261</v>
      </c>
      <c r="H1205" s="69"/>
      <c r="P1205" s="69">
        <f t="shared" si="18"/>
        <v>0</v>
      </c>
      <c r="Q1205" s="69" cm="1">
        <f t="array" ref="Q1205">IF(P1205=1,IF(SUMPRODUCT(($P$2:P1205)*(--($G$2:G1205=$G1205)))=1,1,0),0)</f>
        <v>0</v>
      </c>
      <c r="R1205" s="69" t="str">
        <f>IF(Q1205=1,SUM($Q$2:Q1205),"")</f>
        <v/>
      </c>
    </row>
    <row r="1206" spans="1:18" ht="16" x14ac:dyDescent="0.2">
      <c r="A1206" s="72"/>
      <c r="B1206" s="84"/>
      <c r="C1206" s="73"/>
      <c r="D1206" s="73" t="s">
        <v>979</v>
      </c>
      <c r="E1206" s="77" t="s">
        <v>94</v>
      </c>
      <c r="F1206" s="75" t="s">
        <v>1677</v>
      </c>
      <c r="G1206" s="74" t="s">
        <v>1261</v>
      </c>
      <c r="H1206" s="69"/>
      <c r="P1206" s="69">
        <f t="shared" si="18"/>
        <v>0</v>
      </c>
      <c r="Q1206" s="69" cm="1">
        <f t="array" ref="Q1206">IF(P1206=1,IF(SUMPRODUCT(($P$2:P1206)*(--($G$2:G1206=$G1206)))=1,1,0),0)</f>
        <v>0</v>
      </c>
      <c r="R1206" s="69" t="str">
        <f>IF(Q1206=1,SUM($Q$2:Q1206),"")</f>
        <v/>
      </c>
    </row>
    <row r="1207" spans="1:18" ht="16" x14ac:dyDescent="0.2">
      <c r="A1207" s="72"/>
      <c r="B1207" s="84"/>
      <c r="C1207" s="73"/>
      <c r="D1207" s="73" t="s">
        <v>979</v>
      </c>
      <c r="E1207" s="77" t="s">
        <v>94</v>
      </c>
      <c r="F1207" s="75" t="s">
        <v>1628</v>
      </c>
      <c r="G1207" s="74" t="s">
        <v>1261</v>
      </c>
      <c r="H1207" s="69"/>
      <c r="P1207" s="69">
        <f t="shared" si="18"/>
        <v>0</v>
      </c>
      <c r="Q1207" s="69" cm="1">
        <f t="array" ref="Q1207">IF(P1207=1,IF(SUMPRODUCT(($P$2:P1207)*(--($G$2:G1207=$G1207)))=1,1,0),0)</f>
        <v>0</v>
      </c>
      <c r="R1207" s="69" t="str">
        <f>IF(Q1207=1,SUM($Q$2:Q1207),"")</f>
        <v/>
      </c>
    </row>
    <row r="1208" spans="1:18" ht="16" x14ac:dyDescent="0.2">
      <c r="A1208" s="72"/>
      <c r="B1208" s="84"/>
      <c r="C1208" s="73"/>
      <c r="D1208" s="73" t="s">
        <v>979</v>
      </c>
      <c r="E1208" s="77" t="s">
        <v>94</v>
      </c>
      <c r="F1208" s="75" t="s">
        <v>1629</v>
      </c>
      <c r="G1208" s="74" t="s">
        <v>1261</v>
      </c>
      <c r="H1208" s="69"/>
      <c r="P1208" s="69">
        <f t="shared" si="18"/>
        <v>0</v>
      </c>
      <c r="Q1208" s="69" cm="1">
        <f t="array" ref="Q1208">IF(P1208=1,IF(SUMPRODUCT(($P$2:P1208)*(--($G$2:G1208=$G1208)))=1,1,0),0)</f>
        <v>0</v>
      </c>
      <c r="R1208" s="69" t="str">
        <f>IF(Q1208=1,SUM($Q$2:Q1208),"")</f>
        <v/>
      </c>
    </row>
    <row r="1209" spans="1:18" ht="16" x14ac:dyDescent="0.2">
      <c r="A1209" s="72"/>
      <c r="B1209" s="84"/>
      <c r="C1209" s="73"/>
      <c r="D1209" s="73" t="s">
        <v>979</v>
      </c>
      <c r="E1209" s="77" t="s">
        <v>94</v>
      </c>
      <c r="F1209" s="75" t="s">
        <v>1678</v>
      </c>
      <c r="G1209" s="74" t="s">
        <v>1261</v>
      </c>
      <c r="H1209" s="69"/>
      <c r="P1209" s="69">
        <f t="shared" si="18"/>
        <v>0</v>
      </c>
      <c r="Q1209" s="69" cm="1">
        <f t="array" ref="Q1209">IF(P1209=1,IF(SUMPRODUCT(($P$2:P1209)*(--($G$2:G1209=$G1209)))=1,1,0),0)</f>
        <v>0</v>
      </c>
      <c r="R1209" s="69" t="str">
        <f>IF(Q1209=1,SUM($Q$2:Q1209),"")</f>
        <v/>
      </c>
    </row>
    <row r="1210" spans="1:18" ht="16" x14ac:dyDescent="0.2">
      <c r="A1210" s="72"/>
      <c r="B1210" s="84"/>
      <c r="C1210" s="73"/>
      <c r="D1210" s="73" t="s">
        <v>979</v>
      </c>
      <c r="E1210" s="77" t="s">
        <v>94</v>
      </c>
      <c r="F1210" s="75" t="s">
        <v>1679</v>
      </c>
      <c r="G1210" s="74" t="s">
        <v>1261</v>
      </c>
      <c r="H1210" s="69"/>
      <c r="P1210" s="69">
        <f t="shared" si="18"/>
        <v>0</v>
      </c>
      <c r="Q1210" s="69" cm="1">
        <f t="array" ref="Q1210">IF(P1210=1,IF(SUMPRODUCT(($P$2:P1210)*(--($G$2:G1210=$G1210)))=1,1,0),0)</f>
        <v>0</v>
      </c>
      <c r="R1210" s="69" t="str">
        <f>IF(Q1210=1,SUM($Q$2:Q1210),"")</f>
        <v/>
      </c>
    </row>
    <row r="1211" spans="1:18" ht="16" x14ac:dyDescent="0.2">
      <c r="A1211" s="72"/>
      <c r="B1211" s="84"/>
      <c r="C1211" s="73"/>
      <c r="D1211" s="73" t="s">
        <v>979</v>
      </c>
      <c r="E1211" s="77" t="s">
        <v>94</v>
      </c>
      <c r="F1211" s="75" t="s">
        <v>1680</v>
      </c>
      <c r="G1211" s="74" t="s">
        <v>1261</v>
      </c>
      <c r="H1211" s="69"/>
      <c r="P1211" s="69">
        <f t="shared" si="18"/>
        <v>0</v>
      </c>
      <c r="Q1211" s="69" cm="1">
        <f t="array" ref="Q1211">IF(P1211=1,IF(SUMPRODUCT(($P$2:P1211)*(--($G$2:G1211=$G1211)))=1,1,0),0)</f>
        <v>0</v>
      </c>
      <c r="R1211" s="69" t="str">
        <f>IF(Q1211=1,SUM($Q$2:Q1211),"")</f>
        <v/>
      </c>
    </row>
    <row r="1212" spans="1:18" ht="16" x14ac:dyDescent="0.2">
      <c r="A1212" s="72"/>
      <c r="B1212" s="84"/>
      <c r="C1212" s="73"/>
      <c r="D1212" s="73" t="s">
        <v>979</v>
      </c>
      <c r="E1212" s="77" t="s">
        <v>94</v>
      </c>
      <c r="F1212" s="75" t="s">
        <v>1681</v>
      </c>
      <c r="G1212" s="74" t="s">
        <v>1261</v>
      </c>
      <c r="H1212" s="69"/>
      <c r="P1212" s="69">
        <f t="shared" si="18"/>
        <v>0</v>
      </c>
      <c r="Q1212" s="69" cm="1">
        <f t="array" ref="Q1212">IF(P1212=1,IF(SUMPRODUCT(($P$2:P1212)*(--($G$2:G1212=$G1212)))=1,1,0),0)</f>
        <v>0</v>
      </c>
      <c r="R1212" s="69" t="str">
        <f>IF(Q1212=1,SUM($Q$2:Q1212),"")</f>
        <v/>
      </c>
    </row>
    <row r="1213" spans="1:18" x14ac:dyDescent="0.2">
      <c r="A1213" s="72"/>
      <c r="B1213" s="76"/>
      <c r="C1213" s="73"/>
      <c r="D1213" s="73" t="s">
        <v>979</v>
      </c>
      <c r="E1213" s="77" t="s">
        <v>94</v>
      </c>
      <c r="F1213" s="75" t="s">
        <v>1627</v>
      </c>
      <c r="G1213" s="75" t="s">
        <v>1242</v>
      </c>
      <c r="H1213" s="69"/>
      <c r="P1213" s="69">
        <f t="shared" si="18"/>
        <v>0</v>
      </c>
      <c r="Q1213" s="69" cm="1">
        <f t="array" ref="Q1213">IF(P1213=1,IF(SUMPRODUCT(($P$2:P1213)*(--($G$2:G1213=$G1213)))=1,1,0),0)</f>
        <v>0</v>
      </c>
      <c r="R1213" s="69" t="str">
        <f>IF(Q1213=1,SUM($Q$2:Q1213),"")</f>
        <v/>
      </c>
    </row>
    <row r="1214" spans="1:18" x14ac:dyDescent="0.2">
      <c r="A1214" s="72"/>
      <c r="B1214" s="76"/>
      <c r="C1214" s="73"/>
      <c r="D1214" s="73" t="s">
        <v>979</v>
      </c>
      <c r="E1214" s="77" t="s">
        <v>94</v>
      </c>
      <c r="F1214" s="75" t="s">
        <v>1630</v>
      </c>
      <c r="G1214" s="75" t="s">
        <v>1242</v>
      </c>
      <c r="H1214" s="69"/>
      <c r="P1214" s="69">
        <f t="shared" si="18"/>
        <v>0</v>
      </c>
      <c r="Q1214" s="69" cm="1">
        <f t="array" ref="Q1214">IF(P1214=1,IF(SUMPRODUCT(($P$2:P1214)*(--($G$2:G1214=$G1214)))=1,1,0),0)</f>
        <v>0</v>
      </c>
      <c r="R1214" s="69" t="str">
        <f>IF(Q1214=1,SUM($Q$2:Q1214),"")</f>
        <v/>
      </c>
    </row>
    <row r="1215" spans="1:18" x14ac:dyDescent="0.2">
      <c r="A1215" s="72"/>
      <c r="B1215" s="76"/>
      <c r="C1215" s="73"/>
      <c r="D1215" s="73" t="s">
        <v>979</v>
      </c>
      <c r="E1215" s="77" t="s">
        <v>94</v>
      </c>
      <c r="F1215" s="75" t="s">
        <v>1631</v>
      </c>
      <c r="G1215" s="75" t="s">
        <v>1242</v>
      </c>
      <c r="H1215" s="69"/>
      <c r="P1215" s="69">
        <f t="shared" si="18"/>
        <v>0</v>
      </c>
      <c r="Q1215" s="69" cm="1">
        <f t="array" ref="Q1215">IF(P1215=1,IF(SUMPRODUCT(($P$2:P1215)*(--($G$2:G1215=$G1215)))=1,1,0),0)</f>
        <v>0</v>
      </c>
      <c r="R1215" s="69" t="str">
        <f>IF(Q1215=1,SUM($Q$2:Q1215),"")</f>
        <v/>
      </c>
    </row>
    <row r="1216" spans="1:18" x14ac:dyDescent="0.2">
      <c r="A1216" s="72"/>
      <c r="B1216" s="76"/>
      <c r="C1216" s="73"/>
      <c r="D1216" s="73" t="s">
        <v>979</v>
      </c>
      <c r="E1216" s="77" t="s">
        <v>94</v>
      </c>
      <c r="F1216" s="75" t="s">
        <v>1632</v>
      </c>
      <c r="G1216" s="75" t="s">
        <v>1242</v>
      </c>
      <c r="H1216" s="69"/>
      <c r="P1216" s="69">
        <f t="shared" si="18"/>
        <v>0</v>
      </c>
      <c r="Q1216" s="69" cm="1">
        <f t="array" ref="Q1216">IF(P1216=1,IF(SUMPRODUCT(($P$2:P1216)*(--($G$2:G1216=$G1216)))=1,1,0),0)</f>
        <v>0</v>
      </c>
      <c r="R1216" s="69" t="str">
        <f>IF(Q1216=1,SUM($Q$2:Q1216),"")</f>
        <v/>
      </c>
    </row>
    <row r="1217" spans="1:18" x14ac:dyDescent="0.2">
      <c r="A1217" s="72"/>
      <c r="B1217" s="76"/>
      <c r="C1217" s="73"/>
      <c r="D1217" s="73" t="s">
        <v>979</v>
      </c>
      <c r="E1217" s="77" t="s">
        <v>94</v>
      </c>
      <c r="F1217" s="75" t="s">
        <v>1677</v>
      </c>
      <c r="G1217" s="75" t="s">
        <v>1242</v>
      </c>
      <c r="H1217" s="69"/>
      <c r="P1217" s="69">
        <f t="shared" si="18"/>
        <v>0</v>
      </c>
      <c r="Q1217" s="69" cm="1">
        <f t="array" ref="Q1217">IF(P1217=1,IF(SUMPRODUCT(($P$2:P1217)*(--($G$2:G1217=$G1217)))=1,1,0),0)</f>
        <v>0</v>
      </c>
      <c r="R1217" s="69" t="str">
        <f>IF(Q1217=1,SUM($Q$2:Q1217),"")</f>
        <v/>
      </c>
    </row>
    <row r="1218" spans="1:18" x14ac:dyDescent="0.2">
      <c r="A1218" s="72"/>
      <c r="B1218" s="76"/>
      <c r="C1218" s="73"/>
      <c r="D1218" s="73" t="s">
        <v>979</v>
      </c>
      <c r="E1218" s="77" t="s">
        <v>94</v>
      </c>
      <c r="F1218" s="75" t="s">
        <v>1628</v>
      </c>
      <c r="G1218" s="75" t="s">
        <v>1242</v>
      </c>
      <c r="H1218" s="69"/>
      <c r="P1218" s="69">
        <f t="shared" si="18"/>
        <v>0</v>
      </c>
      <c r="Q1218" s="69" cm="1">
        <f t="array" ref="Q1218">IF(P1218=1,IF(SUMPRODUCT(($P$2:P1218)*(--($G$2:G1218=$G1218)))=1,1,0),0)</f>
        <v>0</v>
      </c>
      <c r="R1218" s="69" t="str">
        <f>IF(Q1218=1,SUM($Q$2:Q1218),"")</f>
        <v/>
      </c>
    </row>
    <row r="1219" spans="1:18" x14ac:dyDescent="0.2">
      <c r="A1219" s="72"/>
      <c r="B1219" s="76"/>
      <c r="C1219" s="73"/>
      <c r="D1219" s="73" t="s">
        <v>979</v>
      </c>
      <c r="E1219" s="77" t="s">
        <v>94</v>
      </c>
      <c r="F1219" s="75" t="s">
        <v>1629</v>
      </c>
      <c r="G1219" s="75" t="s">
        <v>1242</v>
      </c>
      <c r="H1219" s="69"/>
      <c r="P1219" s="69">
        <f t="shared" ref="P1219:P1282" si="19">IF(AND(IF(TRIM($J$2&amp;"")="",TRUE,LEFT($D1219,LEN($J$2))=$J$2),IF(TRIM($K$2&amp;"")="",TRUE,$E1219=$K$2),IF($L$2="",TRUE,$F1219=$L$2)),1,0)</f>
        <v>0</v>
      </c>
      <c r="Q1219" s="69" cm="1">
        <f t="array" ref="Q1219">IF(P1219=1,IF(SUMPRODUCT(($P$2:P1219)*(--($G$2:G1219=$G1219)))=1,1,0),0)</f>
        <v>0</v>
      </c>
      <c r="R1219" s="69" t="str">
        <f>IF(Q1219=1,SUM($Q$2:Q1219),"")</f>
        <v/>
      </c>
    </row>
    <row r="1220" spans="1:18" x14ac:dyDescent="0.2">
      <c r="A1220" s="72"/>
      <c r="B1220" s="76"/>
      <c r="C1220" s="73"/>
      <c r="D1220" s="73" t="s">
        <v>979</v>
      </c>
      <c r="E1220" s="77" t="s">
        <v>94</v>
      </c>
      <c r="F1220" s="75" t="s">
        <v>1678</v>
      </c>
      <c r="G1220" s="75" t="s">
        <v>1242</v>
      </c>
      <c r="H1220" s="69"/>
      <c r="P1220" s="69">
        <f t="shared" si="19"/>
        <v>0</v>
      </c>
      <c r="Q1220" s="69" cm="1">
        <f t="array" ref="Q1220">IF(P1220=1,IF(SUMPRODUCT(($P$2:P1220)*(--($G$2:G1220=$G1220)))=1,1,0),0)</f>
        <v>0</v>
      </c>
      <c r="R1220" s="69" t="str">
        <f>IF(Q1220=1,SUM($Q$2:Q1220),"")</f>
        <v/>
      </c>
    </row>
    <row r="1221" spans="1:18" x14ac:dyDescent="0.2">
      <c r="A1221" s="72"/>
      <c r="B1221" s="76"/>
      <c r="C1221" s="73"/>
      <c r="D1221" s="73" t="s">
        <v>979</v>
      </c>
      <c r="E1221" s="77" t="s">
        <v>94</v>
      </c>
      <c r="F1221" s="75" t="s">
        <v>1679</v>
      </c>
      <c r="G1221" s="75" t="s">
        <v>1242</v>
      </c>
      <c r="H1221" s="69"/>
      <c r="P1221" s="69">
        <f t="shared" si="19"/>
        <v>0</v>
      </c>
      <c r="Q1221" s="69" cm="1">
        <f t="array" ref="Q1221">IF(P1221=1,IF(SUMPRODUCT(($P$2:P1221)*(--($G$2:G1221=$G1221)))=1,1,0),0)</f>
        <v>0</v>
      </c>
      <c r="R1221" s="69" t="str">
        <f>IF(Q1221=1,SUM($Q$2:Q1221),"")</f>
        <v/>
      </c>
    </row>
    <row r="1222" spans="1:18" x14ac:dyDescent="0.2">
      <c r="A1222" s="72"/>
      <c r="B1222" s="76"/>
      <c r="C1222" s="73"/>
      <c r="D1222" s="73" t="s">
        <v>979</v>
      </c>
      <c r="E1222" s="77" t="s">
        <v>94</v>
      </c>
      <c r="F1222" s="75" t="s">
        <v>1680</v>
      </c>
      <c r="G1222" s="75" t="s">
        <v>1242</v>
      </c>
      <c r="H1222" s="69"/>
      <c r="P1222" s="69">
        <f t="shared" si="19"/>
        <v>0</v>
      </c>
      <c r="Q1222" s="69" cm="1">
        <f t="array" ref="Q1222">IF(P1222=1,IF(SUMPRODUCT(($P$2:P1222)*(--($G$2:G1222=$G1222)))=1,1,0),0)</f>
        <v>0</v>
      </c>
      <c r="R1222" s="69" t="str">
        <f>IF(Q1222=1,SUM($Q$2:Q1222),"")</f>
        <v/>
      </c>
    </row>
    <row r="1223" spans="1:18" x14ac:dyDescent="0.2">
      <c r="A1223" s="72"/>
      <c r="B1223" s="76"/>
      <c r="C1223" s="73"/>
      <c r="D1223" s="73" t="s">
        <v>979</v>
      </c>
      <c r="E1223" s="77" t="s">
        <v>94</v>
      </c>
      <c r="F1223" s="75" t="s">
        <v>1681</v>
      </c>
      <c r="G1223" s="75" t="s">
        <v>1242</v>
      </c>
      <c r="H1223" s="69"/>
      <c r="P1223" s="69">
        <f t="shared" si="19"/>
        <v>0</v>
      </c>
      <c r="Q1223" s="69" cm="1">
        <f t="array" ref="Q1223">IF(P1223=1,IF(SUMPRODUCT(($P$2:P1223)*(--($G$2:G1223=$G1223)))=1,1,0),0)</f>
        <v>0</v>
      </c>
      <c r="R1223" s="69" t="str">
        <f>IF(Q1223=1,SUM($Q$2:Q1223),"")</f>
        <v/>
      </c>
    </row>
    <row r="1224" spans="1:18" x14ac:dyDescent="0.2">
      <c r="A1224" s="72"/>
      <c r="B1224" s="76"/>
      <c r="C1224" s="73"/>
      <c r="D1224" s="73" t="s">
        <v>979</v>
      </c>
      <c r="E1224" s="77" t="s">
        <v>94</v>
      </c>
      <c r="F1224" s="75" t="s">
        <v>407</v>
      </c>
      <c r="G1224" s="75" t="s">
        <v>1243</v>
      </c>
      <c r="H1224" s="69"/>
      <c r="P1224" s="69">
        <f t="shared" si="19"/>
        <v>0</v>
      </c>
      <c r="Q1224" s="69" cm="1">
        <f t="array" ref="Q1224">IF(P1224=1,IF(SUMPRODUCT(($P$2:P1224)*(--($G$2:G1224=$G1224)))=1,1,0),0)</f>
        <v>0</v>
      </c>
      <c r="R1224" s="69" t="str">
        <f>IF(Q1224=1,SUM($Q$2:Q1224),"")</f>
        <v/>
      </c>
    </row>
    <row r="1225" spans="1:18" x14ac:dyDescent="0.2">
      <c r="A1225" s="72"/>
      <c r="B1225" s="76"/>
      <c r="C1225" s="73"/>
      <c r="D1225" s="73" t="s">
        <v>979</v>
      </c>
      <c r="E1225" s="77" t="s">
        <v>94</v>
      </c>
      <c r="F1225" s="75" t="s">
        <v>1633</v>
      </c>
      <c r="G1225" s="75" t="s">
        <v>1243</v>
      </c>
      <c r="H1225" s="69"/>
      <c r="P1225" s="69">
        <f t="shared" si="19"/>
        <v>0</v>
      </c>
      <c r="Q1225" s="69" cm="1">
        <f t="array" ref="Q1225">IF(P1225=1,IF(SUMPRODUCT(($P$2:P1225)*(--($G$2:G1225=$G1225)))=1,1,0),0)</f>
        <v>0</v>
      </c>
      <c r="R1225" s="69" t="str">
        <f>IF(Q1225=1,SUM($Q$2:Q1225),"")</f>
        <v/>
      </c>
    </row>
    <row r="1226" spans="1:18" x14ac:dyDescent="0.2">
      <c r="A1226" s="72"/>
      <c r="B1226" s="76"/>
      <c r="C1226" s="73"/>
      <c r="D1226" s="73" t="s">
        <v>979</v>
      </c>
      <c r="E1226" s="77" t="s">
        <v>94</v>
      </c>
      <c r="F1226" s="75" t="s">
        <v>1634</v>
      </c>
      <c r="G1226" s="75" t="s">
        <v>1243</v>
      </c>
      <c r="H1226" s="69"/>
      <c r="P1226" s="69">
        <f t="shared" si="19"/>
        <v>0</v>
      </c>
      <c r="Q1226" s="69" cm="1">
        <f t="array" ref="Q1226">IF(P1226=1,IF(SUMPRODUCT(($P$2:P1226)*(--($G$2:G1226=$G1226)))=1,1,0),0)</f>
        <v>0</v>
      </c>
      <c r="R1226" s="69" t="str">
        <f>IF(Q1226=1,SUM($Q$2:Q1226),"")</f>
        <v/>
      </c>
    </row>
    <row r="1227" spans="1:18" x14ac:dyDescent="0.2">
      <c r="A1227" s="72"/>
      <c r="B1227" s="76"/>
      <c r="C1227" s="73"/>
      <c r="D1227" s="73" t="s">
        <v>979</v>
      </c>
      <c r="E1227" s="77" t="s">
        <v>94</v>
      </c>
      <c r="F1227" s="75" t="s">
        <v>1635</v>
      </c>
      <c r="G1227" s="75" t="s">
        <v>1243</v>
      </c>
      <c r="H1227" s="69"/>
      <c r="P1227" s="69">
        <f t="shared" si="19"/>
        <v>0</v>
      </c>
      <c r="Q1227" s="69" cm="1">
        <f t="array" ref="Q1227">IF(P1227=1,IF(SUMPRODUCT(($P$2:P1227)*(--($G$2:G1227=$G1227)))=1,1,0),0)</f>
        <v>0</v>
      </c>
      <c r="R1227" s="69" t="str">
        <f>IF(Q1227=1,SUM($Q$2:Q1227),"")</f>
        <v/>
      </c>
    </row>
    <row r="1228" spans="1:18" x14ac:dyDescent="0.2">
      <c r="A1228" s="72"/>
      <c r="B1228" s="76"/>
      <c r="C1228" s="73"/>
      <c r="D1228" s="73" t="s">
        <v>979</v>
      </c>
      <c r="E1228" s="77" t="s">
        <v>94</v>
      </c>
      <c r="F1228" s="75" t="s">
        <v>1636</v>
      </c>
      <c r="G1228" s="75" t="s">
        <v>1243</v>
      </c>
      <c r="H1228" s="69"/>
      <c r="P1228" s="69">
        <f t="shared" si="19"/>
        <v>0</v>
      </c>
      <c r="Q1228" s="69" cm="1">
        <f t="array" ref="Q1228">IF(P1228=1,IF(SUMPRODUCT(($P$2:P1228)*(--($G$2:G1228=$G1228)))=1,1,0),0)</f>
        <v>0</v>
      </c>
      <c r="R1228" s="69" t="str">
        <f>IF(Q1228=1,SUM($Q$2:Q1228),"")</f>
        <v/>
      </c>
    </row>
    <row r="1229" spans="1:18" x14ac:dyDescent="0.2">
      <c r="A1229" s="72"/>
      <c r="B1229" s="76"/>
      <c r="C1229" s="73"/>
      <c r="D1229" s="73" t="s">
        <v>979</v>
      </c>
      <c r="E1229" s="77" t="s">
        <v>94</v>
      </c>
      <c r="F1229" s="75" t="s">
        <v>1638</v>
      </c>
      <c r="G1229" s="75" t="s">
        <v>1243</v>
      </c>
      <c r="H1229" s="69"/>
      <c r="P1229" s="69">
        <f t="shared" si="19"/>
        <v>0</v>
      </c>
      <c r="Q1229" s="69" cm="1">
        <f t="array" ref="Q1229">IF(P1229=1,IF(SUMPRODUCT(($P$2:P1229)*(--($G$2:G1229=$G1229)))=1,1,0),0)</f>
        <v>0</v>
      </c>
      <c r="R1229" s="69" t="str">
        <f>IF(Q1229=1,SUM($Q$2:Q1229),"")</f>
        <v/>
      </c>
    </row>
    <row r="1230" spans="1:18" x14ac:dyDescent="0.2">
      <c r="A1230" s="72"/>
      <c r="B1230" s="76"/>
      <c r="C1230" s="73"/>
      <c r="D1230" s="73" t="s">
        <v>979</v>
      </c>
      <c r="E1230" s="77" t="s">
        <v>94</v>
      </c>
      <c r="F1230" s="75" t="s">
        <v>1682</v>
      </c>
      <c r="G1230" s="75" t="s">
        <v>1243</v>
      </c>
      <c r="H1230" s="69"/>
      <c r="P1230" s="69">
        <f t="shared" si="19"/>
        <v>0</v>
      </c>
      <c r="Q1230" s="69" cm="1">
        <f t="array" ref="Q1230">IF(P1230=1,IF(SUMPRODUCT(($P$2:P1230)*(--($G$2:G1230=$G1230)))=1,1,0),0)</f>
        <v>0</v>
      </c>
      <c r="R1230" s="69" t="str">
        <f>IF(Q1230=1,SUM($Q$2:Q1230),"")</f>
        <v/>
      </c>
    </row>
    <row r="1231" spans="1:18" x14ac:dyDescent="0.2">
      <c r="A1231" s="72"/>
      <c r="B1231" s="76"/>
      <c r="C1231" s="73"/>
      <c r="D1231" s="73" t="s">
        <v>979</v>
      </c>
      <c r="E1231" s="77" t="s">
        <v>94</v>
      </c>
      <c r="F1231" s="75" t="s">
        <v>1639</v>
      </c>
      <c r="G1231" s="75" t="s">
        <v>1243</v>
      </c>
      <c r="H1231" s="69"/>
      <c r="P1231" s="69">
        <f t="shared" si="19"/>
        <v>0</v>
      </c>
      <c r="Q1231" s="69" cm="1">
        <f t="array" ref="Q1231">IF(P1231=1,IF(SUMPRODUCT(($P$2:P1231)*(--($G$2:G1231=$G1231)))=1,1,0),0)</f>
        <v>0</v>
      </c>
      <c r="R1231" s="69" t="str">
        <f>IF(Q1231=1,SUM($Q$2:Q1231),"")</f>
        <v/>
      </c>
    </row>
    <row r="1232" spans="1:18" x14ac:dyDescent="0.2">
      <c r="A1232" s="72"/>
      <c r="B1232" s="76"/>
      <c r="C1232" s="73"/>
      <c r="D1232" s="73" t="s">
        <v>979</v>
      </c>
      <c r="E1232" s="77" t="s">
        <v>94</v>
      </c>
      <c r="F1232" s="75" t="s">
        <v>1683</v>
      </c>
      <c r="G1232" s="75" t="s">
        <v>1243</v>
      </c>
      <c r="H1232" s="69"/>
      <c r="P1232" s="69">
        <f t="shared" si="19"/>
        <v>0</v>
      </c>
      <c r="Q1232" s="69" cm="1">
        <f t="array" ref="Q1232">IF(P1232=1,IF(SUMPRODUCT(($P$2:P1232)*(--($G$2:G1232=$G1232)))=1,1,0),0)</f>
        <v>0</v>
      </c>
      <c r="R1232" s="69" t="str">
        <f>IF(Q1232=1,SUM($Q$2:Q1232),"")</f>
        <v/>
      </c>
    </row>
    <row r="1233" spans="1:18" x14ac:dyDescent="0.2">
      <c r="A1233" s="72"/>
      <c r="B1233" s="76"/>
      <c r="C1233" s="73"/>
      <c r="D1233" s="73" t="s">
        <v>979</v>
      </c>
      <c r="E1233" s="77" t="s">
        <v>94</v>
      </c>
      <c r="F1233" s="75" t="s">
        <v>1684</v>
      </c>
      <c r="G1233" s="75" t="s">
        <v>1243</v>
      </c>
      <c r="H1233" s="69"/>
      <c r="P1233" s="69">
        <f t="shared" si="19"/>
        <v>0</v>
      </c>
      <c r="Q1233" s="69" cm="1">
        <f t="array" ref="Q1233">IF(P1233=1,IF(SUMPRODUCT(($P$2:P1233)*(--($G$2:G1233=$G1233)))=1,1,0),0)</f>
        <v>0</v>
      </c>
      <c r="R1233" s="69" t="str">
        <f>IF(Q1233=1,SUM($Q$2:Q1233),"")</f>
        <v/>
      </c>
    </row>
    <row r="1234" spans="1:18" x14ac:dyDescent="0.2">
      <c r="A1234" s="72"/>
      <c r="B1234" s="76"/>
      <c r="C1234" s="73"/>
      <c r="D1234" s="73" t="s">
        <v>979</v>
      </c>
      <c r="E1234" s="77" t="s">
        <v>94</v>
      </c>
      <c r="F1234" s="75" t="s">
        <v>1685</v>
      </c>
      <c r="G1234" s="75" t="s">
        <v>1243</v>
      </c>
      <c r="H1234" s="69"/>
      <c r="P1234" s="69">
        <f t="shared" si="19"/>
        <v>0</v>
      </c>
      <c r="Q1234" s="69" cm="1">
        <f t="array" ref="Q1234">IF(P1234=1,IF(SUMPRODUCT(($P$2:P1234)*(--($G$2:G1234=$G1234)))=1,1,0),0)</f>
        <v>0</v>
      </c>
      <c r="R1234" s="69" t="str">
        <f>IF(Q1234=1,SUM($Q$2:Q1234),"")</f>
        <v/>
      </c>
    </row>
    <row r="1235" spans="1:18" x14ac:dyDescent="0.2">
      <c r="A1235" s="72"/>
      <c r="B1235" s="76"/>
      <c r="C1235" s="73"/>
      <c r="D1235" s="73" t="s">
        <v>979</v>
      </c>
      <c r="E1235" s="77" t="s">
        <v>94</v>
      </c>
      <c r="F1235" s="75" t="s">
        <v>1686</v>
      </c>
      <c r="G1235" s="75" t="s">
        <v>1243</v>
      </c>
      <c r="H1235" s="69"/>
      <c r="P1235" s="69">
        <f t="shared" si="19"/>
        <v>0</v>
      </c>
      <c r="Q1235" s="69" cm="1">
        <f t="array" ref="Q1235">IF(P1235=1,IF(SUMPRODUCT(($P$2:P1235)*(--($G$2:G1235=$G1235)))=1,1,0),0)</f>
        <v>0</v>
      </c>
      <c r="R1235" s="69" t="str">
        <f>IF(Q1235=1,SUM($Q$2:Q1235),"")</f>
        <v/>
      </c>
    </row>
    <row r="1236" spans="1:18" x14ac:dyDescent="0.2">
      <c r="A1236" s="72"/>
      <c r="B1236" s="76"/>
      <c r="C1236" s="73"/>
      <c r="D1236" s="73" t="s">
        <v>979</v>
      </c>
      <c r="E1236" s="77" t="s">
        <v>94</v>
      </c>
      <c r="F1236" s="75" t="s">
        <v>1640</v>
      </c>
      <c r="G1236" s="75" t="s">
        <v>1245</v>
      </c>
      <c r="H1236" s="69"/>
      <c r="P1236" s="69">
        <f t="shared" si="19"/>
        <v>0</v>
      </c>
      <c r="Q1236" s="69" cm="1">
        <f t="array" ref="Q1236">IF(P1236=1,IF(SUMPRODUCT(($P$2:P1236)*(--($G$2:G1236=$G1236)))=1,1,0),0)</f>
        <v>0</v>
      </c>
      <c r="R1236" s="69" t="str">
        <f>IF(Q1236=1,SUM($Q$2:Q1236),"")</f>
        <v/>
      </c>
    </row>
    <row r="1237" spans="1:18" x14ac:dyDescent="0.2">
      <c r="A1237" s="72"/>
      <c r="B1237" s="76"/>
      <c r="C1237" s="73"/>
      <c r="D1237" s="73" t="s">
        <v>979</v>
      </c>
      <c r="E1237" s="77" t="s">
        <v>94</v>
      </c>
      <c r="F1237" s="75" t="s">
        <v>1643</v>
      </c>
      <c r="G1237" s="75" t="s">
        <v>1245</v>
      </c>
      <c r="H1237" s="69"/>
      <c r="P1237" s="69">
        <f t="shared" si="19"/>
        <v>0</v>
      </c>
      <c r="Q1237" s="69" cm="1">
        <f t="array" ref="Q1237">IF(P1237=1,IF(SUMPRODUCT(($P$2:P1237)*(--($G$2:G1237=$G1237)))=1,1,0),0)</f>
        <v>0</v>
      </c>
      <c r="R1237" s="69" t="str">
        <f>IF(Q1237=1,SUM($Q$2:Q1237),"")</f>
        <v/>
      </c>
    </row>
    <row r="1238" spans="1:18" x14ac:dyDescent="0.2">
      <c r="A1238" s="72"/>
      <c r="B1238" s="76"/>
      <c r="C1238" s="73"/>
      <c r="D1238" s="73" t="s">
        <v>979</v>
      </c>
      <c r="E1238" s="77" t="s">
        <v>94</v>
      </c>
      <c r="F1238" s="75" t="s">
        <v>1644</v>
      </c>
      <c r="G1238" s="75" t="s">
        <v>1245</v>
      </c>
      <c r="H1238" s="69"/>
      <c r="P1238" s="69">
        <f t="shared" si="19"/>
        <v>0</v>
      </c>
      <c r="Q1238" s="69" cm="1">
        <f t="array" ref="Q1238">IF(P1238=1,IF(SUMPRODUCT(($P$2:P1238)*(--($G$2:G1238=$G1238)))=1,1,0),0)</f>
        <v>0</v>
      </c>
      <c r="R1238" s="69" t="str">
        <f>IF(Q1238=1,SUM($Q$2:Q1238),"")</f>
        <v/>
      </c>
    </row>
    <row r="1239" spans="1:18" x14ac:dyDescent="0.2">
      <c r="A1239" s="72"/>
      <c r="B1239" s="76"/>
      <c r="C1239" s="73"/>
      <c r="D1239" s="73" t="s">
        <v>979</v>
      </c>
      <c r="E1239" s="77" t="s">
        <v>94</v>
      </c>
      <c r="F1239" s="75" t="s">
        <v>1645</v>
      </c>
      <c r="G1239" s="75" t="s">
        <v>1245</v>
      </c>
      <c r="H1239" s="69"/>
      <c r="P1239" s="69">
        <f t="shared" si="19"/>
        <v>0</v>
      </c>
      <c r="Q1239" s="69" cm="1">
        <f t="array" ref="Q1239">IF(P1239=1,IF(SUMPRODUCT(($P$2:P1239)*(--($G$2:G1239=$G1239)))=1,1,0),0)</f>
        <v>0</v>
      </c>
      <c r="R1239" s="69" t="str">
        <f>IF(Q1239=1,SUM($Q$2:Q1239),"")</f>
        <v/>
      </c>
    </row>
    <row r="1240" spans="1:18" x14ac:dyDescent="0.2">
      <c r="A1240" s="72"/>
      <c r="B1240" s="76"/>
      <c r="C1240" s="73"/>
      <c r="D1240" s="73" t="s">
        <v>979</v>
      </c>
      <c r="E1240" s="77" t="s">
        <v>94</v>
      </c>
      <c r="F1240" s="75" t="s">
        <v>1687</v>
      </c>
      <c r="G1240" s="75" t="s">
        <v>1245</v>
      </c>
      <c r="H1240" s="69"/>
      <c r="P1240" s="69">
        <f t="shared" si="19"/>
        <v>0</v>
      </c>
      <c r="Q1240" s="69" cm="1">
        <f t="array" ref="Q1240">IF(P1240=1,IF(SUMPRODUCT(($P$2:P1240)*(--($G$2:G1240=$G1240)))=1,1,0),0)</f>
        <v>0</v>
      </c>
      <c r="R1240" s="69" t="str">
        <f>IF(Q1240=1,SUM($Q$2:Q1240),"")</f>
        <v/>
      </c>
    </row>
    <row r="1241" spans="1:18" x14ac:dyDescent="0.2">
      <c r="A1241" s="72"/>
      <c r="B1241" s="76"/>
      <c r="C1241" s="73"/>
      <c r="D1241" s="73" t="s">
        <v>979</v>
      </c>
      <c r="E1241" s="77" t="s">
        <v>94</v>
      </c>
      <c r="F1241" s="75" t="s">
        <v>1641</v>
      </c>
      <c r="G1241" s="75" t="s">
        <v>1245</v>
      </c>
      <c r="H1241" s="69"/>
      <c r="P1241" s="69">
        <f t="shared" si="19"/>
        <v>0</v>
      </c>
      <c r="Q1241" s="69" cm="1">
        <f t="array" ref="Q1241">IF(P1241=1,IF(SUMPRODUCT(($P$2:P1241)*(--($G$2:G1241=$G1241)))=1,1,0),0)</f>
        <v>0</v>
      </c>
      <c r="R1241" s="69" t="str">
        <f>IF(Q1241=1,SUM($Q$2:Q1241),"")</f>
        <v/>
      </c>
    </row>
    <row r="1242" spans="1:18" x14ac:dyDescent="0.2">
      <c r="A1242" s="72"/>
      <c r="B1242" s="76"/>
      <c r="C1242" s="73"/>
      <c r="D1242" s="73" t="s">
        <v>979</v>
      </c>
      <c r="E1242" s="77" t="s">
        <v>94</v>
      </c>
      <c r="F1242" s="75" t="s">
        <v>1642</v>
      </c>
      <c r="G1242" s="75" t="s">
        <v>1245</v>
      </c>
      <c r="H1242" s="69"/>
      <c r="P1242" s="69">
        <f t="shared" si="19"/>
        <v>0</v>
      </c>
      <c r="Q1242" s="69" cm="1">
        <f t="array" ref="Q1242">IF(P1242=1,IF(SUMPRODUCT(($P$2:P1242)*(--($G$2:G1242=$G1242)))=1,1,0),0)</f>
        <v>0</v>
      </c>
      <c r="R1242" s="69" t="str">
        <f>IF(Q1242=1,SUM($Q$2:Q1242),"")</f>
        <v/>
      </c>
    </row>
    <row r="1243" spans="1:18" x14ac:dyDescent="0.2">
      <c r="A1243" s="72"/>
      <c r="B1243" s="76"/>
      <c r="C1243" s="73"/>
      <c r="D1243" s="73" t="s">
        <v>979</v>
      </c>
      <c r="E1243" s="77" t="s">
        <v>94</v>
      </c>
      <c r="F1243" s="75" t="s">
        <v>1688</v>
      </c>
      <c r="G1243" s="75" t="s">
        <v>1245</v>
      </c>
      <c r="H1243" s="69"/>
      <c r="P1243" s="69">
        <f t="shared" si="19"/>
        <v>0</v>
      </c>
      <c r="Q1243" s="69" cm="1">
        <f t="array" ref="Q1243">IF(P1243=1,IF(SUMPRODUCT(($P$2:P1243)*(--($G$2:G1243=$G1243)))=1,1,0),0)</f>
        <v>0</v>
      </c>
      <c r="R1243" s="69" t="str">
        <f>IF(Q1243=1,SUM($Q$2:Q1243),"")</f>
        <v/>
      </c>
    </row>
    <row r="1244" spans="1:18" x14ac:dyDescent="0.2">
      <c r="A1244" s="72"/>
      <c r="B1244" s="76"/>
      <c r="C1244" s="73"/>
      <c r="D1244" s="73" t="s">
        <v>979</v>
      </c>
      <c r="E1244" s="77" t="s">
        <v>94</v>
      </c>
      <c r="F1244" s="75" t="s">
        <v>1689</v>
      </c>
      <c r="G1244" s="75" t="s">
        <v>1245</v>
      </c>
      <c r="H1244" s="69"/>
      <c r="P1244" s="69">
        <f t="shared" si="19"/>
        <v>0</v>
      </c>
      <c r="Q1244" s="69" cm="1">
        <f t="array" ref="Q1244">IF(P1244=1,IF(SUMPRODUCT(($P$2:P1244)*(--($G$2:G1244=$G1244)))=1,1,0),0)</f>
        <v>0</v>
      </c>
      <c r="R1244" s="69" t="str">
        <f>IF(Q1244=1,SUM($Q$2:Q1244),"")</f>
        <v/>
      </c>
    </row>
    <row r="1245" spans="1:18" x14ac:dyDescent="0.2">
      <c r="A1245" s="72"/>
      <c r="B1245" s="76"/>
      <c r="C1245" s="73"/>
      <c r="D1245" s="73" t="s">
        <v>979</v>
      </c>
      <c r="E1245" s="77" t="s">
        <v>94</v>
      </c>
      <c r="F1245" s="75" t="s">
        <v>1690</v>
      </c>
      <c r="G1245" s="75" t="s">
        <v>1245</v>
      </c>
      <c r="H1245" s="69"/>
      <c r="P1245" s="69">
        <f t="shared" si="19"/>
        <v>0</v>
      </c>
      <c r="Q1245" s="69" cm="1">
        <f t="array" ref="Q1245">IF(P1245=1,IF(SUMPRODUCT(($P$2:P1245)*(--($G$2:G1245=$G1245)))=1,1,0),0)</f>
        <v>0</v>
      </c>
      <c r="R1245" s="69" t="str">
        <f>IF(Q1245=1,SUM($Q$2:Q1245),"")</f>
        <v/>
      </c>
    </row>
    <row r="1246" spans="1:18" x14ac:dyDescent="0.2">
      <c r="A1246" s="72"/>
      <c r="B1246" s="76"/>
      <c r="C1246" s="73"/>
      <c r="D1246" s="73" t="s">
        <v>979</v>
      </c>
      <c r="E1246" s="77" t="s">
        <v>94</v>
      </c>
      <c r="F1246" s="75" t="s">
        <v>1691</v>
      </c>
      <c r="G1246" s="75" t="s">
        <v>1245</v>
      </c>
      <c r="H1246" s="69"/>
      <c r="P1246" s="69">
        <f t="shared" si="19"/>
        <v>0</v>
      </c>
      <c r="Q1246" s="69" cm="1">
        <f t="array" ref="Q1246">IF(P1246=1,IF(SUMPRODUCT(($P$2:P1246)*(--($G$2:G1246=$G1246)))=1,1,0),0)</f>
        <v>0</v>
      </c>
      <c r="R1246" s="69" t="str">
        <f>IF(Q1246=1,SUM($Q$2:Q1246),"")</f>
        <v/>
      </c>
    </row>
    <row r="1247" spans="1:18" x14ac:dyDescent="0.2">
      <c r="A1247" s="72"/>
      <c r="B1247" s="84"/>
      <c r="C1247" s="73"/>
      <c r="D1247" s="73" t="s">
        <v>979</v>
      </c>
      <c r="E1247" s="77" t="s">
        <v>94</v>
      </c>
      <c r="F1247" s="75" t="s">
        <v>1640</v>
      </c>
      <c r="G1247" s="75" t="s">
        <v>1244</v>
      </c>
      <c r="H1247" s="69"/>
      <c r="P1247" s="69">
        <f t="shared" si="19"/>
        <v>0</v>
      </c>
      <c r="Q1247" s="69" cm="1">
        <f t="array" ref="Q1247">IF(P1247=1,IF(SUMPRODUCT(($P$2:P1247)*(--($G$2:G1247=$G1247)))=1,1,0),0)</f>
        <v>0</v>
      </c>
      <c r="R1247" s="69" t="str">
        <f>IF(Q1247=1,SUM($Q$2:Q1247),"")</f>
        <v/>
      </c>
    </row>
    <row r="1248" spans="1:18" x14ac:dyDescent="0.2">
      <c r="A1248" s="72"/>
      <c r="B1248" s="84"/>
      <c r="C1248" s="73"/>
      <c r="D1248" s="73" t="s">
        <v>979</v>
      </c>
      <c r="E1248" s="77" t="s">
        <v>94</v>
      </c>
      <c r="F1248" s="75" t="s">
        <v>1643</v>
      </c>
      <c r="G1248" s="75" t="s">
        <v>1244</v>
      </c>
      <c r="H1248" s="69"/>
      <c r="P1248" s="69">
        <f t="shared" si="19"/>
        <v>0</v>
      </c>
      <c r="Q1248" s="69" cm="1">
        <f t="array" ref="Q1248">IF(P1248=1,IF(SUMPRODUCT(($P$2:P1248)*(--($G$2:G1248=$G1248)))=1,1,0),0)</f>
        <v>0</v>
      </c>
      <c r="R1248" s="69" t="str">
        <f>IF(Q1248=1,SUM($Q$2:Q1248),"")</f>
        <v/>
      </c>
    </row>
    <row r="1249" spans="1:18" x14ac:dyDescent="0.2">
      <c r="A1249" s="72"/>
      <c r="B1249" s="84"/>
      <c r="C1249" s="73"/>
      <c r="D1249" s="73" t="s">
        <v>979</v>
      </c>
      <c r="E1249" s="77" t="s">
        <v>94</v>
      </c>
      <c r="F1249" s="75" t="s">
        <v>1644</v>
      </c>
      <c r="G1249" s="75" t="s">
        <v>1244</v>
      </c>
      <c r="H1249" s="69"/>
      <c r="P1249" s="69">
        <f t="shared" si="19"/>
        <v>0</v>
      </c>
      <c r="Q1249" s="69" cm="1">
        <f t="array" ref="Q1249">IF(P1249=1,IF(SUMPRODUCT(($P$2:P1249)*(--($G$2:G1249=$G1249)))=1,1,0),0)</f>
        <v>0</v>
      </c>
      <c r="R1249" s="69" t="str">
        <f>IF(Q1249=1,SUM($Q$2:Q1249),"")</f>
        <v/>
      </c>
    </row>
    <row r="1250" spans="1:18" x14ac:dyDescent="0.2">
      <c r="A1250" s="72"/>
      <c r="B1250" s="84"/>
      <c r="C1250" s="73"/>
      <c r="D1250" s="73" t="s">
        <v>979</v>
      </c>
      <c r="E1250" s="77" t="s">
        <v>94</v>
      </c>
      <c r="F1250" s="75" t="s">
        <v>1645</v>
      </c>
      <c r="G1250" s="75" t="s">
        <v>1244</v>
      </c>
      <c r="H1250" s="69"/>
      <c r="P1250" s="69">
        <f t="shared" si="19"/>
        <v>0</v>
      </c>
      <c r="Q1250" s="69" cm="1">
        <f t="array" ref="Q1250">IF(P1250=1,IF(SUMPRODUCT(($P$2:P1250)*(--($G$2:G1250=$G1250)))=1,1,0),0)</f>
        <v>0</v>
      </c>
      <c r="R1250" s="69" t="str">
        <f>IF(Q1250=1,SUM($Q$2:Q1250),"")</f>
        <v/>
      </c>
    </row>
    <row r="1251" spans="1:18" x14ac:dyDescent="0.2">
      <c r="A1251" s="72"/>
      <c r="B1251" s="84"/>
      <c r="C1251" s="73"/>
      <c r="D1251" s="73" t="s">
        <v>979</v>
      </c>
      <c r="E1251" s="77" t="s">
        <v>94</v>
      </c>
      <c r="F1251" s="75" t="s">
        <v>1687</v>
      </c>
      <c r="G1251" s="75" t="s">
        <v>1244</v>
      </c>
      <c r="H1251" s="69"/>
      <c r="P1251" s="69">
        <f t="shared" si="19"/>
        <v>0</v>
      </c>
      <c r="Q1251" s="69" cm="1">
        <f t="array" ref="Q1251">IF(P1251=1,IF(SUMPRODUCT(($P$2:P1251)*(--($G$2:G1251=$G1251)))=1,1,0),0)</f>
        <v>0</v>
      </c>
      <c r="R1251" s="69" t="str">
        <f>IF(Q1251=1,SUM($Q$2:Q1251),"")</f>
        <v/>
      </c>
    </row>
    <row r="1252" spans="1:18" x14ac:dyDescent="0.2">
      <c r="A1252" s="72"/>
      <c r="B1252" s="84"/>
      <c r="C1252" s="73"/>
      <c r="D1252" s="73" t="s">
        <v>979</v>
      </c>
      <c r="E1252" s="77" t="s">
        <v>94</v>
      </c>
      <c r="F1252" s="75" t="s">
        <v>1641</v>
      </c>
      <c r="G1252" s="75" t="s">
        <v>1244</v>
      </c>
      <c r="H1252" s="69"/>
      <c r="P1252" s="69">
        <f t="shared" si="19"/>
        <v>0</v>
      </c>
      <c r="Q1252" s="69" cm="1">
        <f t="array" ref="Q1252">IF(P1252=1,IF(SUMPRODUCT(($P$2:P1252)*(--($G$2:G1252=$G1252)))=1,1,0),0)</f>
        <v>0</v>
      </c>
      <c r="R1252" s="69" t="str">
        <f>IF(Q1252=1,SUM($Q$2:Q1252),"")</f>
        <v/>
      </c>
    </row>
    <row r="1253" spans="1:18" x14ac:dyDescent="0.2">
      <c r="A1253" s="72"/>
      <c r="B1253" s="84"/>
      <c r="C1253" s="73"/>
      <c r="D1253" s="73" t="s">
        <v>979</v>
      </c>
      <c r="E1253" s="77" t="s">
        <v>94</v>
      </c>
      <c r="F1253" s="75" t="s">
        <v>1642</v>
      </c>
      <c r="G1253" s="75" t="s">
        <v>1244</v>
      </c>
      <c r="H1253" s="69"/>
      <c r="P1253" s="69">
        <f t="shared" si="19"/>
        <v>0</v>
      </c>
      <c r="Q1253" s="69" cm="1">
        <f t="array" ref="Q1253">IF(P1253=1,IF(SUMPRODUCT(($P$2:P1253)*(--($G$2:G1253=$G1253)))=1,1,0),0)</f>
        <v>0</v>
      </c>
      <c r="R1253" s="69" t="str">
        <f>IF(Q1253=1,SUM($Q$2:Q1253),"")</f>
        <v/>
      </c>
    </row>
    <row r="1254" spans="1:18" x14ac:dyDescent="0.2">
      <c r="A1254" s="72"/>
      <c r="B1254" s="84"/>
      <c r="C1254" s="73"/>
      <c r="D1254" s="73" t="s">
        <v>979</v>
      </c>
      <c r="E1254" s="77" t="s">
        <v>94</v>
      </c>
      <c r="F1254" s="75" t="s">
        <v>1688</v>
      </c>
      <c r="G1254" s="75" t="s">
        <v>1244</v>
      </c>
      <c r="H1254" s="69"/>
      <c r="P1254" s="69">
        <f t="shared" si="19"/>
        <v>0</v>
      </c>
      <c r="Q1254" s="69" cm="1">
        <f t="array" ref="Q1254">IF(P1254=1,IF(SUMPRODUCT(($P$2:P1254)*(--($G$2:G1254=$G1254)))=1,1,0),0)</f>
        <v>0</v>
      </c>
      <c r="R1254" s="69" t="str">
        <f>IF(Q1254=1,SUM($Q$2:Q1254),"")</f>
        <v/>
      </c>
    </row>
    <row r="1255" spans="1:18" x14ac:dyDescent="0.2">
      <c r="A1255" s="72"/>
      <c r="B1255" s="84"/>
      <c r="C1255" s="73"/>
      <c r="D1255" s="73" t="s">
        <v>979</v>
      </c>
      <c r="E1255" s="77" t="s">
        <v>94</v>
      </c>
      <c r="F1255" s="75" t="s">
        <v>1689</v>
      </c>
      <c r="G1255" s="75" t="s">
        <v>1244</v>
      </c>
      <c r="H1255" s="69"/>
      <c r="P1255" s="69">
        <f t="shared" si="19"/>
        <v>0</v>
      </c>
      <c r="Q1255" s="69" cm="1">
        <f t="array" ref="Q1255">IF(P1255=1,IF(SUMPRODUCT(($P$2:P1255)*(--($G$2:G1255=$G1255)))=1,1,0),0)</f>
        <v>0</v>
      </c>
      <c r="R1255" s="69" t="str">
        <f>IF(Q1255=1,SUM($Q$2:Q1255),"")</f>
        <v/>
      </c>
    </row>
    <row r="1256" spans="1:18" x14ac:dyDescent="0.2">
      <c r="A1256" s="72"/>
      <c r="B1256" s="84"/>
      <c r="C1256" s="73"/>
      <c r="D1256" s="73" t="s">
        <v>979</v>
      </c>
      <c r="E1256" s="77" t="s">
        <v>94</v>
      </c>
      <c r="F1256" s="75" t="s">
        <v>1690</v>
      </c>
      <c r="G1256" s="75" t="s">
        <v>1244</v>
      </c>
      <c r="H1256" s="69"/>
      <c r="P1256" s="69">
        <f t="shared" si="19"/>
        <v>0</v>
      </c>
      <c r="Q1256" s="69" cm="1">
        <f t="array" ref="Q1256">IF(P1256=1,IF(SUMPRODUCT(($P$2:P1256)*(--($G$2:G1256=$G1256)))=1,1,0),0)</f>
        <v>0</v>
      </c>
      <c r="R1256" s="69" t="str">
        <f>IF(Q1256=1,SUM($Q$2:Q1256),"")</f>
        <v/>
      </c>
    </row>
    <row r="1257" spans="1:18" x14ac:dyDescent="0.2">
      <c r="A1257" s="72"/>
      <c r="B1257" s="84"/>
      <c r="C1257" s="73"/>
      <c r="D1257" s="73" t="s">
        <v>979</v>
      </c>
      <c r="E1257" s="77" t="s">
        <v>94</v>
      </c>
      <c r="F1257" s="75" t="s">
        <v>1691</v>
      </c>
      <c r="G1257" s="75" t="s">
        <v>1244</v>
      </c>
      <c r="H1257" s="69"/>
      <c r="P1257" s="69">
        <f t="shared" si="19"/>
        <v>0</v>
      </c>
      <c r="Q1257" s="69" cm="1">
        <f t="array" ref="Q1257">IF(P1257=1,IF(SUMPRODUCT(($P$2:P1257)*(--($G$2:G1257=$G1257)))=1,1,0),0)</f>
        <v>0</v>
      </c>
      <c r="R1257" s="69" t="str">
        <f>IF(Q1257=1,SUM($Q$2:Q1257),"")</f>
        <v/>
      </c>
    </row>
    <row r="1258" spans="1:18" x14ac:dyDescent="0.2">
      <c r="A1258" s="72"/>
      <c r="B1258" s="84"/>
      <c r="C1258" s="73"/>
      <c r="D1258" s="73" t="s">
        <v>979</v>
      </c>
      <c r="E1258" s="77" t="s">
        <v>94</v>
      </c>
      <c r="F1258" s="75" t="s">
        <v>1640</v>
      </c>
      <c r="G1258" s="75" t="s">
        <v>1263</v>
      </c>
      <c r="H1258" s="69"/>
      <c r="P1258" s="69">
        <f t="shared" si="19"/>
        <v>0</v>
      </c>
      <c r="Q1258" s="69" cm="1">
        <f t="array" ref="Q1258">IF(P1258=1,IF(SUMPRODUCT(($P$2:P1258)*(--($G$2:G1258=$G1258)))=1,1,0),0)</f>
        <v>0</v>
      </c>
      <c r="R1258" s="69" t="str">
        <f>IF(Q1258=1,SUM($Q$2:Q1258),"")</f>
        <v/>
      </c>
    </row>
    <row r="1259" spans="1:18" x14ac:dyDescent="0.2">
      <c r="A1259" s="72"/>
      <c r="B1259" s="84"/>
      <c r="C1259" s="73"/>
      <c r="D1259" s="73" t="s">
        <v>979</v>
      </c>
      <c r="E1259" s="77" t="s">
        <v>94</v>
      </c>
      <c r="F1259" s="75" t="s">
        <v>1643</v>
      </c>
      <c r="G1259" s="75" t="s">
        <v>1263</v>
      </c>
      <c r="H1259" s="69"/>
      <c r="P1259" s="69">
        <f t="shared" si="19"/>
        <v>0</v>
      </c>
      <c r="Q1259" s="69" cm="1">
        <f t="array" ref="Q1259">IF(P1259=1,IF(SUMPRODUCT(($P$2:P1259)*(--($G$2:G1259=$G1259)))=1,1,0),0)</f>
        <v>0</v>
      </c>
      <c r="R1259" s="69" t="str">
        <f>IF(Q1259=1,SUM($Q$2:Q1259),"")</f>
        <v/>
      </c>
    </row>
    <row r="1260" spans="1:18" x14ac:dyDescent="0.2">
      <c r="A1260" s="72"/>
      <c r="B1260" s="84"/>
      <c r="C1260" s="73"/>
      <c r="D1260" s="73" t="s">
        <v>979</v>
      </c>
      <c r="E1260" s="77" t="s">
        <v>94</v>
      </c>
      <c r="F1260" s="75" t="s">
        <v>1644</v>
      </c>
      <c r="G1260" s="75" t="s">
        <v>1263</v>
      </c>
      <c r="H1260" s="69"/>
      <c r="P1260" s="69">
        <f t="shared" si="19"/>
        <v>0</v>
      </c>
      <c r="Q1260" s="69" cm="1">
        <f t="array" ref="Q1260">IF(P1260=1,IF(SUMPRODUCT(($P$2:P1260)*(--($G$2:G1260=$G1260)))=1,1,0),0)</f>
        <v>0</v>
      </c>
      <c r="R1260" s="69" t="str">
        <f>IF(Q1260=1,SUM($Q$2:Q1260),"")</f>
        <v/>
      </c>
    </row>
    <row r="1261" spans="1:18" x14ac:dyDescent="0.2">
      <c r="A1261" s="72"/>
      <c r="B1261" s="84"/>
      <c r="C1261" s="73"/>
      <c r="D1261" s="73" t="s">
        <v>979</v>
      </c>
      <c r="E1261" s="77" t="s">
        <v>94</v>
      </c>
      <c r="F1261" s="75" t="s">
        <v>1645</v>
      </c>
      <c r="G1261" s="75" t="s">
        <v>1263</v>
      </c>
      <c r="H1261" s="69"/>
      <c r="P1261" s="69">
        <f t="shared" si="19"/>
        <v>0</v>
      </c>
      <c r="Q1261" s="69" cm="1">
        <f t="array" ref="Q1261">IF(P1261=1,IF(SUMPRODUCT(($P$2:P1261)*(--($G$2:G1261=$G1261)))=1,1,0),0)</f>
        <v>0</v>
      </c>
      <c r="R1261" s="69" t="str">
        <f>IF(Q1261=1,SUM($Q$2:Q1261),"")</f>
        <v/>
      </c>
    </row>
    <row r="1262" spans="1:18" x14ac:dyDescent="0.2">
      <c r="A1262" s="72"/>
      <c r="B1262" s="84"/>
      <c r="C1262" s="73"/>
      <c r="D1262" s="73" t="s">
        <v>979</v>
      </c>
      <c r="E1262" s="77" t="s">
        <v>94</v>
      </c>
      <c r="F1262" s="75" t="s">
        <v>1646</v>
      </c>
      <c r="G1262" s="75" t="s">
        <v>1263</v>
      </c>
      <c r="H1262" s="69"/>
      <c r="P1262" s="69">
        <f t="shared" si="19"/>
        <v>0</v>
      </c>
      <c r="Q1262" s="69" cm="1">
        <f t="array" ref="Q1262">IF(P1262=1,IF(SUMPRODUCT(($P$2:P1262)*(--($G$2:G1262=$G1262)))=1,1,0),0)</f>
        <v>0</v>
      </c>
      <c r="R1262" s="69" t="str">
        <f>IF(Q1262=1,SUM($Q$2:Q1262),"")</f>
        <v/>
      </c>
    </row>
    <row r="1263" spans="1:18" x14ac:dyDescent="0.2">
      <c r="A1263" s="72"/>
      <c r="B1263" s="84"/>
      <c r="C1263" s="73"/>
      <c r="D1263" s="73" t="s">
        <v>979</v>
      </c>
      <c r="E1263" s="77" t="s">
        <v>94</v>
      </c>
      <c r="F1263" s="75" t="s">
        <v>1687</v>
      </c>
      <c r="G1263" s="75" t="s">
        <v>1263</v>
      </c>
      <c r="H1263" s="69"/>
      <c r="P1263" s="69">
        <f t="shared" si="19"/>
        <v>0</v>
      </c>
      <c r="Q1263" s="69" cm="1">
        <f t="array" ref="Q1263">IF(P1263=1,IF(SUMPRODUCT(($P$2:P1263)*(--($G$2:G1263=$G1263)))=1,1,0),0)</f>
        <v>0</v>
      </c>
      <c r="R1263" s="69" t="str">
        <f>IF(Q1263=1,SUM($Q$2:Q1263),"")</f>
        <v/>
      </c>
    </row>
    <row r="1264" spans="1:18" x14ac:dyDescent="0.2">
      <c r="A1264" s="72"/>
      <c r="B1264" s="84"/>
      <c r="C1264" s="73"/>
      <c r="D1264" s="73" t="s">
        <v>979</v>
      </c>
      <c r="E1264" s="77" t="s">
        <v>94</v>
      </c>
      <c r="F1264" s="75" t="s">
        <v>1641</v>
      </c>
      <c r="G1264" s="75" t="s">
        <v>1263</v>
      </c>
      <c r="H1264" s="69"/>
      <c r="P1264" s="69">
        <f t="shared" si="19"/>
        <v>0</v>
      </c>
      <c r="Q1264" s="69" cm="1">
        <f t="array" ref="Q1264">IF(P1264=1,IF(SUMPRODUCT(($P$2:P1264)*(--($G$2:G1264=$G1264)))=1,1,0),0)</f>
        <v>0</v>
      </c>
      <c r="R1264" s="69" t="str">
        <f>IF(Q1264=1,SUM($Q$2:Q1264),"")</f>
        <v/>
      </c>
    </row>
    <row r="1265" spans="1:18" x14ac:dyDescent="0.2">
      <c r="A1265" s="72"/>
      <c r="B1265" s="84"/>
      <c r="C1265" s="73"/>
      <c r="D1265" s="73" t="s">
        <v>979</v>
      </c>
      <c r="E1265" s="77" t="s">
        <v>94</v>
      </c>
      <c r="F1265" s="75" t="s">
        <v>1642</v>
      </c>
      <c r="G1265" s="75" t="s">
        <v>1263</v>
      </c>
      <c r="H1265" s="69"/>
      <c r="P1265" s="69">
        <f t="shared" si="19"/>
        <v>0</v>
      </c>
      <c r="Q1265" s="69" cm="1">
        <f t="array" ref="Q1265">IF(P1265=1,IF(SUMPRODUCT(($P$2:P1265)*(--($G$2:G1265=$G1265)))=1,1,0),0)</f>
        <v>0</v>
      </c>
      <c r="R1265" s="69" t="str">
        <f>IF(Q1265=1,SUM($Q$2:Q1265),"")</f>
        <v/>
      </c>
    </row>
    <row r="1266" spans="1:18" x14ac:dyDescent="0.2">
      <c r="A1266" s="72"/>
      <c r="B1266" s="84"/>
      <c r="C1266" s="73"/>
      <c r="D1266" s="73" t="s">
        <v>979</v>
      </c>
      <c r="E1266" s="77" t="s">
        <v>94</v>
      </c>
      <c r="F1266" s="75" t="s">
        <v>1688</v>
      </c>
      <c r="G1266" s="75" t="s">
        <v>1263</v>
      </c>
      <c r="H1266" s="69"/>
      <c r="P1266" s="69">
        <f t="shared" si="19"/>
        <v>0</v>
      </c>
      <c r="Q1266" s="69" cm="1">
        <f t="array" ref="Q1266">IF(P1266=1,IF(SUMPRODUCT(($P$2:P1266)*(--($G$2:G1266=$G1266)))=1,1,0),0)</f>
        <v>0</v>
      </c>
      <c r="R1266" s="69" t="str">
        <f>IF(Q1266=1,SUM($Q$2:Q1266),"")</f>
        <v/>
      </c>
    </row>
    <row r="1267" spans="1:18" x14ac:dyDescent="0.2">
      <c r="A1267" s="72"/>
      <c r="B1267" s="84"/>
      <c r="C1267" s="73"/>
      <c r="D1267" s="73" t="s">
        <v>979</v>
      </c>
      <c r="E1267" s="77" t="s">
        <v>94</v>
      </c>
      <c r="F1267" s="75" t="s">
        <v>1689</v>
      </c>
      <c r="G1267" s="75" t="s">
        <v>1263</v>
      </c>
      <c r="H1267" s="69"/>
      <c r="P1267" s="69">
        <f t="shared" si="19"/>
        <v>0</v>
      </c>
      <c r="Q1267" s="69" cm="1">
        <f t="array" ref="Q1267">IF(P1267=1,IF(SUMPRODUCT(($P$2:P1267)*(--($G$2:G1267=$G1267)))=1,1,0),0)</f>
        <v>0</v>
      </c>
      <c r="R1267" s="69" t="str">
        <f>IF(Q1267=1,SUM($Q$2:Q1267),"")</f>
        <v/>
      </c>
    </row>
    <row r="1268" spans="1:18" x14ac:dyDescent="0.2">
      <c r="A1268" s="72"/>
      <c r="B1268" s="84"/>
      <c r="C1268" s="73"/>
      <c r="D1268" s="73" t="s">
        <v>979</v>
      </c>
      <c r="E1268" s="77" t="s">
        <v>94</v>
      </c>
      <c r="F1268" s="75" t="s">
        <v>1690</v>
      </c>
      <c r="G1268" s="75" t="s">
        <v>1263</v>
      </c>
      <c r="H1268" s="69"/>
      <c r="P1268" s="69">
        <f t="shared" si="19"/>
        <v>0</v>
      </c>
      <c r="Q1268" s="69" cm="1">
        <f t="array" ref="Q1268">IF(P1268=1,IF(SUMPRODUCT(($P$2:P1268)*(--($G$2:G1268=$G1268)))=1,1,0),0)</f>
        <v>0</v>
      </c>
      <c r="R1268" s="69" t="str">
        <f>IF(Q1268=1,SUM($Q$2:Q1268),"")</f>
        <v/>
      </c>
    </row>
    <row r="1269" spans="1:18" x14ac:dyDescent="0.2">
      <c r="A1269" s="72"/>
      <c r="B1269" s="84"/>
      <c r="C1269" s="73"/>
      <c r="D1269" s="73" t="s">
        <v>979</v>
      </c>
      <c r="E1269" s="77" t="s">
        <v>94</v>
      </c>
      <c r="F1269" s="75" t="s">
        <v>1691</v>
      </c>
      <c r="G1269" s="75" t="s">
        <v>1263</v>
      </c>
      <c r="H1269" s="69"/>
      <c r="P1269" s="69">
        <f t="shared" si="19"/>
        <v>0</v>
      </c>
      <c r="Q1269" s="69" cm="1">
        <f t="array" ref="Q1269">IF(P1269=1,IF(SUMPRODUCT(($P$2:P1269)*(--($G$2:G1269=$G1269)))=1,1,0),0)</f>
        <v>0</v>
      </c>
      <c r="R1269" s="69" t="str">
        <f>IF(Q1269=1,SUM($Q$2:Q1269),"")</f>
        <v/>
      </c>
    </row>
    <row r="1270" spans="1:18" x14ac:dyDescent="0.2">
      <c r="A1270" s="72"/>
      <c r="B1270" s="84"/>
      <c r="C1270" s="73"/>
      <c r="D1270" s="73" t="s">
        <v>979</v>
      </c>
      <c r="E1270" s="77" t="s">
        <v>94</v>
      </c>
      <c r="F1270" s="75" t="s">
        <v>407</v>
      </c>
      <c r="G1270" s="75" t="s">
        <v>1262</v>
      </c>
      <c r="H1270" s="69"/>
      <c r="P1270" s="69">
        <f t="shared" si="19"/>
        <v>0</v>
      </c>
      <c r="Q1270" s="69" cm="1">
        <f t="array" ref="Q1270">IF(P1270=1,IF(SUMPRODUCT(($P$2:P1270)*(--($G$2:G1270=$G1270)))=1,1,0),0)</f>
        <v>0</v>
      </c>
      <c r="R1270" s="69" t="str">
        <f>IF(Q1270=1,SUM($Q$2:Q1270),"")</f>
        <v/>
      </c>
    </row>
    <row r="1271" spans="1:18" x14ac:dyDescent="0.2">
      <c r="A1271" s="72"/>
      <c r="B1271" s="84"/>
      <c r="C1271" s="73"/>
      <c r="D1271" s="73" t="s">
        <v>979</v>
      </c>
      <c r="E1271" s="77" t="s">
        <v>94</v>
      </c>
      <c r="F1271" s="75" t="s">
        <v>1633</v>
      </c>
      <c r="G1271" s="75" t="s">
        <v>1262</v>
      </c>
      <c r="H1271" s="69"/>
      <c r="P1271" s="69">
        <f t="shared" si="19"/>
        <v>0</v>
      </c>
      <c r="Q1271" s="69" cm="1">
        <f t="array" ref="Q1271">IF(P1271=1,IF(SUMPRODUCT(($P$2:P1271)*(--($G$2:G1271=$G1271)))=1,1,0),0)</f>
        <v>0</v>
      </c>
      <c r="R1271" s="69" t="str">
        <f>IF(Q1271=1,SUM($Q$2:Q1271),"")</f>
        <v/>
      </c>
    </row>
    <row r="1272" spans="1:18" x14ac:dyDescent="0.2">
      <c r="A1272" s="72"/>
      <c r="B1272" s="84"/>
      <c r="C1272" s="73"/>
      <c r="D1272" s="73" t="s">
        <v>979</v>
      </c>
      <c r="E1272" s="77" t="s">
        <v>94</v>
      </c>
      <c r="F1272" s="75" t="s">
        <v>1634</v>
      </c>
      <c r="G1272" s="75" t="s">
        <v>1262</v>
      </c>
      <c r="H1272" s="69"/>
      <c r="P1272" s="69">
        <f t="shared" si="19"/>
        <v>0</v>
      </c>
      <c r="Q1272" s="69" cm="1">
        <f t="array" ref="Q1272">IF(P1272=1,IF(SUMPRODUCT(($P$2:P1272)*(--($G$2:G1272=$G1272)))=1,1,0),0)</f>
        <v>0</v>
      </c>
      <c r="R1272" s="69" t="str">
        <f>IF(Q1272=1,SUM($Q$2:Q1272),"")</f>
        <v/>
      </c>
    </row>
    <row r="1273" spans="1:18" x14ac:dyDescent="0.2">
      <c r="A1273" s="72"/>
      <c r="B1273" s="84"/>
      <c r="C1273" s="73"/>
      <c r="D1273" s="73" t="s">
        <v>979</v>
      </c>
      <c r="E1273" s="77" t="s">
        <v>94</v>
      </c>
      <c r="F1273" s="75" t="s">
        <v>1635</v>
      </c>
      <c r="G1273" s="75" t="s">
        <v>1262</v>
      </c>
      <c r="H1273" s="69"/>
      <c r="P1273" s="69">
        <f t="shared" si="19"/>
        <v>0</v>
      </c>
      <c r="Q1273" s="69" cm="1">
        <f t="array" ref="Q1273">IF(P1273=1,IF(SUMPRODUCT(($P$2:P1273)*(--($G$2:G1273=$G1273)))=1,1,0),0)</f>
        <v>0</v>
      </c>
      <c r="R1273" s="69" t="str">
        <f>IF(Q1273=1,SUM($Q$2:Q1273),"")</f>
        <v/>
      </c>
    </row>
    <row r="1274" spans="1:18" x14ac:dyDescent="0.2">
      <c r="A1274" s="72"/>
      <c r="B1274" s="84"/>
      <c r="C1274" s="73"/>
      <c r="D1274" s="73" t="s">
        <v>979</v>
      </c>
      <c r="E1274" s="77" t="s">
        <v>94</v>
      </c>
      <c r="F1274" s="75" t="s">
        <v>1636</v>
      </c>
      <c r="G1274" s="75" t="s">
        <v>1262</v>
      </c>
      <c r="H1274" s="69"/>
      <c r="P1274" s="69">
        <f t="shared" si="19"/>
        <v>0</v>
      </c>
      <c r="Q1274" s="69" cm="1">
        <f t="array" ref="Q1274">IF(P1274=1,IF(SUMPRODUCT(($P$2:P1274)*(--($G$2:G1274=$G1274)))=1,1,0),0)</f>
        <v>0</v>
      </c>
      <c r="R1274" s="69" t="str">
        <f>IF(Q1274=1,SUM($Q$2:Q1274),"")</f>
        <v/>
      </c>
    </row>
    <row r="1275" spans="1:18" x14ac:dyDescent="0.2">
      <c r="A1275" s="72"/>
      <c r="B1275" s="84"/>
      <c r="C1275" s="73"/>
      <c r="D1275" s="73" t="s">
        <v>979</v>
      </c>
      <c r="E1275" s="77" t="s">
        <v>94</v>
      </c>
      <c r="F1275" s="75" t="s">
        <v>1637</v>
      </c>
      <c r="G1275" s="75" t="s">
        <v>1262</v>
      </c>
      <c r="H1275" s="69"/>
      <c r="P1275" s="69">
        <f t="shared" si="19"/>
        <v>0</v>
      </c>
      <c r="Q1275" s="69" cm="1">
        <f t="array" ref="Q1275">IF(P1275=1,IF(SUMPRODUCT(($P$2:P1275)*(--($G$2:G1275=$G1275)))=1,1,0),0)</f>
        <v>0</v>
      </c>
      <c r="R1275" s="69" t="str">
        <f>IF(Q1275=1,SUM($Q$2:Q1275),"")</f>
        <v/>
      </c>
    </row>
    <row r="1276" spans="1:18" x14ac:dyDescent="0.2">
      <c r="A1276" s="72"/>
      <c r="B1276" s="84"/>
      <c r="C1276" s="73"/>
      <c r="D1276" s="73" t="s">
        <v>979</v>
      </c>
      <c r="E1276" s="77" t="s">
        <v>94</v>
      </c>
      <c r="F1276" s="75" t="s">
        <v>1638</v>
      </c>
      <c r="G1276" s="75" t="s">
        <v>1262</v>
      </c>
      <c r="H1276" s="69"/>
      <c r="P1276" s="69">
        <f t="shared" si="19"/>
        <v>0</v>
      </c>
      <c r="Q1276" s="69" cm="1">
        <f t="array" ref="Q1276">IF(P1276=1,IF(SUMPRODUCT(($P$2:P1276)*(--($G$2:G1276=$G1276)))=1,1,0),0)</f>
        <v>0</v>
      </c>
      <c r="R1276" s="69" t="str">
        <f>IF(Q1276=1,SUM($Q$2:Q1276),"")</f>
        <v/>
      </c>
    </row>
    <row r="1277" spans="1:18" x14ac:dyDescent="0.2">
      <c r="A1277" s="72"/>
      <c r="B1277" s="84"/>
      <c r="C1277" s="73"/>
      <c r="D1277" s="73" t="s">
        <v>979</v>
      </c>
      <c r="E1277" s="77" t="s">
        <v>94</v>
      </c>
      <c r="F1277" s="75" t="s">
        <v>1682</v>
      </c>
      <c r="G1277" s="75" t="s">
        <v>1262</v>
      </c>
      <c r="H1277" s="69"/>
      <c r="P1277" s="69">
        <f t="shared" si="19"/>
        <v>0</v>
      </c>
      <c r="Q1277" s="69" cm="1">
        <f t="array" ref="Q1277">IF(P1277=1,IF(SUMPRODUCT(($P$2:P1277)*(--($G$2:G1277=$G1277)))=1,1,0),0)</f>
        <v>0</v>
      </c>
      <c r="R1277" s="69" t="str">
        <f>IF(Q1277=1,SUM($Q$2:Q1277),"")</f>
        <v/>
      </c>
    </row>
    <row r="1278" spans="1:18" x14ac:dyDescent="0.2">
      <c r="A1278" s="72"/>
      <c r="B1278" s="84"/>
      <c r="C1278" s="73"/>
      <c r="D1278" s="73" t="s">
        <v>979</v>
      </c>
      <c r="E1278" s="77" t="s">
        <v>94</v>
      </c>
      <c r="F1278" s="75" t="s">
        <v>1639</v>
      </c>
      <c r="G1278" s="75" t="s">
        <v>1262</v>
      </c>
      <c r="H1278" s="69"/>
      <c r="P1278" s="69">
        <f t="shared" si="19"/>
        <v>0</v>
      </c>
      <c r="Q1278" s="69" cm="1">
        <f t="array" ref="Q1278">IF(P1278=1,IF(SUMPRODUCT(($P$2:P1278)*(--($G$2:G1278=$G1278)))=1,1,0),0)</f>
        <v>0</v>
      </c>
      <c r="R1278" s="69" t="str">
        <f>IF(Q1278=1,SUM($Q$2:Q1278),"")</f>
        <v/>
      </c>
    </row>
    <row r="1279" spans="1:18" x14ac:dyDescent="0.2">
      <c r="A1279" s="72"/>
      <c r="B1279" s="84"/>
      <c r="C1279" s="73"/>
      <c r="D1279" s="73" t="s">
        <v>979</v>
      </c>
      <c r="E1279" s="77" t="s">
        <v>94</v>
      </c>
      <c r="F1279" s="75" t="s">
        <v>1683</v>
      </c>
      <c r="G1279" s="75" t="s">
        <v>1262</v>
      </c>
      <c r="H1279" s="69"/>
      <c r="P1279" s="69">
        <f t="shared" si="19"/>
        <v>0</v>
      </c>
      <c r="Q1279" s="69" cm="1">
        <f t="array" ref="Q1279">IF(P1279=1,IF(SUMPRODUCT(($P$2:P1279)*(--($G$2:G1279=$G1279)))=1,1,0),0)</f>
        <v>0</v>
      </c>
      <c r="R1279" s="69" t="str">
        <f>IF(Q1279=1,SUM($Q$2:Q1279),"")</f>
        <v/>
      </c>
    </row>
    <row r="1280" spans="1:18" x14ac:dyDescent="0.2">
      <c r="A1280" s="72"/>
      <c r="B1280" s="84"/>
      <c r="C1280" s="73"/>
      <c r="D1280" s="73" t="s">
        <v>979</v>
      </c>
      <c r="E1280" s="77" t="s">
        <v>94</v>
      </c>
      <c r="F1280" s="75" t="s">
        <v>1684</v>
      </c>
      <c r="G1280" s="75" t="s">
        <v>1262</v>
      </c>
      <c r="H1280" s="69"/>
      <c r="P1280" s="69">
        <f t="shared" si="19"/>
        <v>0</v>
      </c>
      <c r="Q1280" s="69" cm="1">
        <f t="array" ref="Q1280">IF(P1280=1,IF(SUMPRODUCT(($P$2:P1280)*(--($G$2:G1280=$G1280)))=1,1,0),0)</f>
        <v>0</v>
      </c>
      <c r="R1280" s="69" t="str">
        <f>IF(Q1280=1,SUM($Q$2:Q1280),"")</f>
        <v/>
      </c>
    </row>
    <row r="1281" spans="1:18" x14ac:dyDescent="0.2">
      <c r="A1281" s="72"/>
      <c r="B1281" s="84"/>
      <c r="C1281" s="73"/>
      <c r="D1281" s="73" t="s">
        <v>979</v>
      </c>
      <c r="E1281" s="77" t="s">
        <v>94</v>
      </c>
      <c r="F1281" s="75" t="s">
        <v>1685</v>
      </c>
      <c r="G1281" s="75" t="s">
        <v>1262</v>
      </c>
      <c r="H1281" s="69"/>
      <c r="P1281" s="69">
        <f t="shared" si="19"/>
        <v>0</v>
      </c>
      <c r="Q1281" s="69" cm="1">
        <f t="array" ref="Q1281">IF(P1281=1,IF(SUMPRODUCT(($P$2:P1281)*(--($G$2:G1281=$G1281)))=1,1,0),0)</f>
        <v>0</v>
      </c>
      <c r="R1281" s="69" t="str">
        <f>IF(Q1281=1,SUM($Q$2:Q1281),"")</f>
        <v/>
      </c>
    </row>
    <row r="1282" spans="1:18" x14ac:dyDescent="0.2">
      <c r="A1282" s="72"/>
      <c r="B1282" s="84"/>
      <c r="C1282" s="73"/>
      <c r="D1282" s="73" t="s">
        <v>979</v>
      </c>
      <c r="E1282" s="77" t="s">
        <v>94</v>
      </c>
      <c r="F1282" s="75" t="s">
        <v>1686</v>
      </c>
      <c r="G1282" s="75" t="s">
        <v>1262</v>
      </c>
      <c r="H1282" s="69"/>
      <c r="P1282" s="69">
        <f t="shared" si="19"/>
        <v>0</v>
      </c>
      <c r="Q1282" s="69" cm="1">
        <f t="array" ref="Q1282">IF(P1282=1,IF(SUMPRODUCT(($P$2:P1282)*(--($G$2:G1282=$G1282)))=1,1,0),0)</f>
        <v>0</v>
      </c>
      <c r="R1282" s="69" t="str">
        <f>IF(Q1282=1,SUM($Q$2:Q1282),"")</f>
        <v/>
      </c>
    </row>
    <row r="1283" spans="1:18" x14ac:dyDescent="0.2">
      <c r="A1283" s="72"/>
      <c r="B1283" s="76"/>
      <c r="C1283" s="73"/>
      <c r="D1283" s="73" t="s">
        <v>981</v>
      </c>
      <c r="E1283" s="77" t="s">
        <v>103</v>
      </c>
      <c r="F1283" s="75" t="s">
        <v>1701</v>
      </c>
      <c r="G1283" s="75" t="s">
        <v>1246</v>
      </c>
      <c r="H1283" s="69"/>
      <c r="P1283" s="69">
        <f t="shared" ref="P1283:P1346" si="20">IF(AND(IF(TRIM($J$2&amp;"")="",TRUE,LEFT($D1283,LEN($J$2))=$J$2),IF(TRIM($K$2&amp;"")="",TRUE,$E1283=$K$2),IF($L$2="",TRUE,$F1283=$L$2)),1,0)</f>
        <v>0</v>
      </c>
      <c r="Q1283" s="69" cm="1">
        <f t="array" ref="Q1283">IF(P1283=1,IF(SUMPRODUCT(($P$2:P1283)*(--($G$2:G1283=$G1283)))=1,1,0),0)</f>
        <v>0</v>
      </c>
      <c r="R1283" s="69" t="str">
        <f>IF(Q1283=1,SUM($Q$2:Q1283),"")</f>
        <v/>
      </c>
    </row>
    <row r="1284" spans="1:18" x14ac:dyDescent="0.2">
      <c r="A1284" s="72"/>
      <c r="B1284" s="76"/>
      <c r="C1284" s="73"/>
      <c r="D1284" s="73" t="s">
        <v>981</v>
      </c>
      <c r="E1284" s="77" t="s">
        <v>103</v>
      </c>
      <c r="F1284" s="75" t="s">
        <v>1702</v>
      </c>
      <c r="G1284" s="75" t="s">
        <v>1246</v>
      </c>
      <c r="H1284" s="69"/>
      <c r="P1284" s="69">
        <f t="shared" si="20"/>
        <v>0</v>
      </c>
      <c r="Q1284" s="69" cm="1">
        <f t="array" ref="Q1284">IF(P1284=1,IF(SUMPRODUCT(($P$2:P1284)*(--($G$2:G1284=$G1284)))=1,1,0),0)</f>
        <v>0</v>
      </c>
      <c r="R1284" s="69" t="str">
        <f>IF(Q1284=1,SUM($Q$2:Q1284),"")</f>
        <v/>
      </c>
    </row>
    <row r="1285" spans="1:18" ht="16" x14ac:dyDescent="0.2">
      <c r="A1285" s="72"/>
      <c r="B1285" s="76"/>
      <c r="C1285" s="73"/>
      <c r="D1285" s="73" t="s">
        <v>981</v>
      </c>
      <c r="E1285" s="77" t="s">
        <v>103</v>
      </c>
      <c r="F1285" s="75" t="s">
        <v>1703</v>
      </c>
      <c r="G1285" s="74" t="s">
        <v>597</v>
      </c>
      <c r="H1285" s="69"/>
      <c r="P1285" s="69">
        <f t="shared" si="20"/>
        <v>0</v>
      </c>
      <c r="Q1285" s="69" cm="1">
        <f t="array" ref="Q1285">IF(P1285=1,IF(SUMPRODUCT(($P$2:P1285)*(--($G$2:G1285=$G1285)))=1,1,0),0)</f>
        <v>0</v>
      </c>
      <c r="R1285" s="69" t="str">
        <f>IF(Q1285=1,SUM($Q$2:Q1285),"")</f>
        <v/>
      </c>
    </row>
    <row r="1286" spans="1:18" ht="16" x14ac:dyDescent="0.2">
      <c r="A1286" s="72"/>
      <c r="B1286" s="76"/>
      <c r="C1286" s="73"/>
      <c r="D1286" s="73" t="s">
        <v>981</v>
      </c>
      <c r="E1286" s="77" t="s">
        <v>103</v>
      </c>
      <c r="F1286" s="75" t="s">
        <v>114</v>
      </c>
      <c r="G1286" s="74" t="s">
        <v>597</v>
      </c>
      <c r="H1286" s="69"/>
      <c r="P1286" s="69">
        <f t="shared" si="20"/>
        <v>0</v>
      </c>
      <c r="Q1286" s="69" cm="1">
        <f t="array" ref="Q1286">IF(P1286=1,IF(SUMPRODUCT(($P$2:P1286)*(--($G$2:G1286=$G1286)))=1,1,0),0)</f>
        <v>0</v>
      </c>
      <c r="R1286" s="69" t="str">
        <f>IF(Q1286=1,SUM($Q$2:Q1286),"")</f>
        <v/>
      </c>
    </row>
    <row r="1287" spans="1:18" ht="16" x14ac:dyDescent="0.2">
      <c r="A1287" s="72"/>
      <c r="B1287" s="76"/>
      <c r="C1287" s="73"/>
      <c r="D1287" s="73" t="s">
        <v>981</v>
      </c>
      <c r="E1287" s="77" t="s">
        <v>103</v>
      </c>
      <c r="F1287" s="75" t="s">
        <v>1288</v>
      </c>
      <c r="G1287" s="74" t="s">
        <v>595</v>
      </c>
      <c r="H1287" s="69"/>
      <c r="P1287" s="69">
        <f t="shared" si="20"/>
        <v>0</v>
      </c>
      <c r="Q1287" s="69" cm="1">
        <f t="array" ref="Q1287">IF(P1287=1,IF(SUMPRODUCT(($P$2:P1287)*(--($G$2:G1287=$G1287)))=1,1,0),0)</f>
        <v>0</v>
      </c>
      <c r="R1287" s="69" t="str">
        <f>IF(Q1287=1,SUM($Q$2:Q1287),"")</f>
        <v/>
      </c>
    </row>
    <row r="1288" spans="1:18" ht="16" x14ac:dyDescent="0.2">
      <c r="A1288" s="72"/>
      <c r="B1288" s="76"/>
      <c r="C1288" s="73"/>
      <c r="D1288" s="73" t="s">
        <v>981</v>
      </c>
      <c r="E1288" s="77" t="s">
        <v>103</v>
      </c>
      <c r="F1288" s="75" t="s">
        <v>1288</v>
      </c>
      <c r="G1288" s="74" t="s">
        <v>595</v>
      </c>
      <c r="H1288" s="69"/>
      <c r="P1288" s="69">
        <f t="shared" si="20"/>
        <v>0</v>
      </c>
      <c r="Q1288" s="69" cm="1">
        <f t="array" ref="Q1288">IF(P1288=1,IF(SUMPRODUCT(($P$2:P1288)*(--($G$2:G1288=$G1288)))=1,1,0),0)</f>
        <v>0</v>
      </c>
      <c r="R1288" s="69" t="str">
        <f>IF(Q1288=1,SUM($Q$2:Q1288),"")</f>
        <v/>
      </c>
    </row>
    <row r="1289" spans="1:18" ht="16" x14ac:dyDescent="0.2">
      <c r="A1289" s="72"/>
      <c r="B1289" s="84"/>
      <c r="C1289" s="73"/>
      <c r="D1289" s="73" t="s">
        <v>981</v>
      </c>
      <c r="E1289" s="77" t="s">
        <v>110</v>
      </c>
      <c r="F1289" s="75" t="s">
        <v>245</v>
      </c>
      <c r="G1289" s="74" t="s">
        <v>1247</v>
      </c>
      <c r="H1289" s="69"/>
      <c r="P1289" s="69">
        <f t="shared" si="20"/>
        <v>0</v>
      </c>
      <c r="Q1289" s="69" cm="1">
        <f t="array" ref="Q1289">IF(P1289=1,IF(SUMPRODUCT(($P$2:P1289)*(--($G$2:G1289=$G1289)))=1,1,0),0)</f>
        <v>0</v>
      </c>
      <c r="R1289" s="69" t="str">
        <f>IF(Q1289=1,SUM($Q$2:Q1289),"")</f>
        <v/>
      </c>
    </row>
    <row r="1290" spans="1:18" ht="16" x14ac:dyDescent="0.2">
      <c r="A1290" s="72"/>
      <c r="B1290" s="84"/>
      <c r="C1290" s="73"/>
      <c r="D1290" s="73" t="s">
        <v>981</v>
      </c>
      <c r="E1290" s="77" t="s">
        <v>990</v>
      </c>
      <c r="F1290" s="75" t="s">
        <v>245</v>
      </c>
      <c r="G1290" s="74" t="s">
        <v>1247</v>
      </c>
      <c r="H1290" s="69"/>
      <c r="P1290" s="69">
        <f t="shared" si="20"/>
        <v>0</v>
      </c>
      <c r="Q1290" s="69" cm="1">
        <f t="array" ref="Q1290">IF(P1290=1,IF(SUMPRODUCT(($P$2:P1290)*(--($G$2:G1290=$G1290)))=1,1,0),0)</f>
        <v>0</v>
      </c>
      <c r="R1290" s="69" t="str">
        <f>IF(Q1290=1,SUM($Q$2:Q1290),"")</f>
        <v/>
      </c>
    </row>
    <row r="1291" spans="1:18" ht="16" x14ac:dyDescent="0.2">
      <c r="A1291" s="72"/>
      <c r="B1291" s="84"/>
      <c r="C1291" s="73"/>
      <c r="D1291" s="73" t="s">
        <v>981</v>
      </c>
      <c r="E1291" s="77" t="s">
        <v>126</v>
      </c>
      <c r="F1291" s="75" t="s">
        <v>245</v>
      </c>
      <c r="G1291" s="74" t="s">
        <v>1247</v>
      </c>
      <c r="H1291" s="69"/>
      <c r="P1291" s="69">
        <f t="shared" si="20"/>
        <v>0</v>
      </c>
      <c r="Q1291" s="69" cm="1">
        <f t="array" ref="Q1291">IF(P1291=1,IF(SUMPRODUCT(($P$2:P1291)*(--($G$2:G1291=$G1291)))=1,1,0),0)</f>
        <v>0</v>
      </c>
      <c r="R1291" s="69" t="str">
        <f>IF(Q1291=1,SUM($Q$2:Q1291),"")</f>
        <v/>
      </c>
    </row>
    <row r="1292" spans="1:18" ht="16" x14ac:dyDescent="0.2">
      <c r="A1292" s="79"/>
      <c r="B1292" s="82"/>
      <c r="C1292" s="73"/>
      <c r="D1292" s="73" t="s">
        <v>970</v>
      </c>
      <c r="E1292" s="83" t="s">
        <v>110</v>
      </c>
      <c r="F1292" s="81" t="s">
        <v>1443</v>
      </c>
      <c r="G1292" s="80" t="s">
        <v>541</v>
      </c>
      <c r="H1292" s="69"/>
      <c r="P1292" s="69">
        <f t="shared" si="20"/>
        <v>0</v>
      </c>
      <c r="Q1292" s="69" cm="1">
        <f t="array" ref="Q1292">IF(P1292=1,IF(SUMPRODUCT(($P$2:P1292)*(--($G$2:G1292=$G1292)))=1,1,0),0)</f>
        <v>0</v>
      </c>
      <c r="R1292" s="69" t="str">
        <f>IF(Q1292=1,SUM($Q$2:Q1292),"")</f>
        <v/>
      </c>
    </row>
    <row r="1293" spans="1:18" ht="16" x14ac:dyDescent="0.2">
      <c r="A1293" s="79"/>
      <c r="B1293" s="82"/>
      <c r="C1293" s="73"/>
      <c r="D1293" s="73" t="s">
        <v>970</v>
      </c>
      <c r="E1293" s="83" t="s">
        <v>110</v>
      </c>
      <c r="F1293" s="81" t="s">
        <v>1453</v>
      </c>
      <c r="G1293" s="80" t="s">
        <v>539</v>
      </c>
      <c r="H1293" s="69"/>
      <c r="P1293" s="69">
        <f t="shared" si="20"/>
        <v>0</v>
      </c>
      <c r="Q1293" s="69" cm="1">
        <f t="array" ref="Q1293">IF(P1293=1,IF(SUMPRODUCT(($P$2:P1293)*(--($G$2:G1293=$G1293)))=1,1,0),0)</f>
        <v>0</v>
      </c>
      <c r="R1293" s="69" t="str">
        <f>IF(Q1293=1,SUM($Q$2:Q1293),"")</f>
        <v/>
      </c>
    </row>
    <row r="1294" spans="1:18" ht="16" x14ac:dyDescent="0.2">
      <c r="A1294" s="79"/>
      <c r="B1294" s="82"/>
      <c r="C1294" s="73"/>
      <c r="D1294" s="73" t="s">
        <v>970</v>
      </c>
      <c r="E1294" s="83" t="s">
        <v>110</v>
      </c>
      <c r="F1294" s="81" t="s">
        <v>1455</v>
      </c>
      <c r="G1294" s="80" t="s">
        <v>539</v>
      </c>
      <c r="H1294" s="69"/>
      <c r="P1294" s="69">
        <f t="shared" si="20"/>
        <v>0</v>
      </c>
      <c r="Q1294" s="69" cm="1">
        <f t="array" ref="Q1294">IF(P1294=1,IF(SUMPRODUCT(($P$2:P1294)*(--($G$2:G1294=$G1294)))=1,1,0),0)</f>
        <v>0</v>
      </c>
      <c r="R1294" s="69" t="str">
        <f>IF(Q1294=1,SUM($Q$2:Q1294),"")</f>
        <v/>
      </c>
    </row>
    <row r="1295" spans="1:18" ht="16" x14ac:dyDescent="0.2">
      <c r="A1295" s="72"/>
      <c r="B1295" s="84"/>
      <c r="C1295" s="73"/>
      <c r="D1295" s="73" t="s">
        <v>980</v>
      </c>
      <c r="E1295" s="77" t="s">
        <v>97</v>
      </c>
      <c r="F1295" s="75" t="s">
        <v>2243</v>
      </c>
      <c r="G1295" s="74" t="s">
        <v>954</v>
      </c>
      <c r="H1295" s="69"/>
      <c r="P1295" s="69">
        <f t="shared" si="20"/>
        <v>0</v>
      </c>
      <c r="Q1295" s="69" cm="1">
        <f t="array" ref="Q1295">IF(P1295=1,IF(SUMPRODUCT(($P$2:P1295)*(--($G$2:G1295=$G1295)))=1,1,0),0)</f>
        <v>0</v>
      </c>
      <c r="R1295" s="69" t="str">
        <f>IF(Q1295=1,SUM($Q$2:Q1295),"")</f>
        <v/>
      </c>
    </row>
    <row r="1296" spans="1:18" ht="16" x14ac:dyDescent="0.2">
      <c r="A1296" s="72"/>
      <c r="B1296" s="76"/>
      <c r="C1296" s="73"/>
      <c r="D1296" s="73" t="s">
        <v>1379</v>
      </c>
      <c r="E1296" s="77" t="s">
        <v>94</v>
      </c>
      <c r="F1296" s="75" t="s">
        <v>122</v>
      </c>
      <c r="G1296" s="74" t="s">
        <v>1248</v>
      </c>
      <c r="H1296" s="69"/>
      <c r="P1296" s="69">
        <f t="shared" si="20"/>
        <v>0</v>
      </c>
      <c r="Q1296" s="69" cm="1">
        <f t="array" ref="Q1296">IF(P1296=1,IF(SUMPRODUCT(($P$2:P1296)*(--($G$2:G1296=$G1296)))=1,1,0),0)</f>
        <v>0</v>
      </c>
      <c r="R1296" s="69" t="str">
        <f>IF(Q1296=1,SUM($Q$2:Q1296),"")</f>
        <v/>
      </c>
    </row>
    <row r="1297" spans="1:18" ht="16" x14ac:dyDescent="0.2">
      <c r="A1297" s="72"/>
      <c r="B1297" s="76"/>
      <c r="C1297" s="73"/>
      <c r="D1297" s="73" t="s">
        <v>1379</v>
      </c>
      <c r="E1297" s="77" t="s">
        <v>94</v>
      </c>
      <c r="F1297" s="75" t="s">
        <v>122</v>
      </c>
      <c r="G1297" s="74" t="s">
        <v>1270</v>
      </c>
      <c r="H1297" s="69"/>
      <c r="P1297" s="69">
        <f t="shared" si="20"/>
        <v>0</v>
      </c>
      <c r="Q1297" s="69" cm="1">
        <f t="array" ref="Q1297">IF(P1297=1,IF(SUMPRODUCT(($P$2:P1297)*(--($G$2:G1297=$G1297)))=1,1,0),0)</f>
        <v>0</v>
      </c>
      <c r="R1297" s="69" t="str">
        <f>IF(Q1297=1,SUM($Q$2:Q1297),"")</f>
        <v/>
      </c>
    </row>
    <row r="1298" spans="1:18" x14ac:dyDescent="0.2">
      <c r="A1298" s="72"/>
      <c r="B1298" s="76"/>
      <c r="C1298" s="73"/>
      <c r="D1298" s="73" t="s">
        <v>1379</v>
      </c>
      <c r="E1298" s="77" t="s">
        <v>94</v>
      </c>
      <c r="F1298" s="75" t="s">
        <v>1430</v>
      </c>
      <c r="G1298" s="75" t="s">
        <v>1107</v>
      </c>
      <c r="H1298" s="69"/>
      <c r="P1298" s="69">
        <f t="shared" si="20"/>
        <v>0</v>
      </c>
      <c r="Q1298" s="69" cm="1">
        <f t="array" ref="Q1298">IF(P1298=1,IF(SUMPRODUCT(($P$2:P1298)*(--($G$2:G1298=$G1298)))=1,1,0),0)</f>
        <v>0</v>
      </c>
      <c r="R1298" s="69" t="str">
        <f>IF(Q1298=1,SUM($Q$2:Q1298),"")</f>
        <v/>
      </c>
    </row>
    <row r="1299" spans="1:18" x14ac:dyDescent="0.2">
      <c r="A1299" s="72"/>
      <c r="B1299" s="76"/>
      <c r="C1299" s="73"/>
      <c r="D1299" s="73" t="s">
        <v>1379</v>
      </c>
      <c r="E1299" s="77" t="s">
        <v>94</v>
      </c>
      <c r="F1299" s="75" t="s">
        <v>122</v>
      </c>
      <c r="G1299" s="75" t="s">
        <v>1107</v>
      </c>
      <c r="H1299" s="69"/>
      <c r="P1299" s="69">
        <f t="shared" si="20"/>
        <v>0</v>
      </c>
      <c r="Q1299" s="69" cm="1">
        <f t="array" ref="Q1299">IF(P1299=1,IF(SUMPRODUCT(($P$2:P1299)*(--($G$2:G1299=$G1299)))=1,1,0),0)</f>
        <v>0</v>
      </c>
      <c r="R1299" s="69" t="str">
        <f>IF(Q1299=1,SUM($Q$2:Q1299),"")</f>
        <v/>
      </c>
    </row>
    <row r="1300" spans="1:18" x14ac:dyDescent="0.2">
      <c r="A1300" s="72"/>
      <c r="B1300" s="76"/>
      <c r="C1300" s="73"/>
      <c r="D1300" s="73" t="s">
        <v>1379</v>
      </c>
      <c r="E1300" s="77" t="s">
        <v>94</v>
      </c>
      <c r="F1300" s="75" t="s">
        <v>1430</v>
      </c>
      <c r="G1300" s="75" t="s">
        <v>1111</v>
      </c>
      <c r="H1300" s="69"/>
      <c r="P1300" s="69">
        <f t="shared" si="20"/>
        <v>0</v>
      </c>
      <c r="Q1300" s="69" cm="1">
        <f t="array" ref="Q1300">IF(P1300=1,IF(SUMPRODUCT(($P$2:P1300)*(--($G$2:G1300=$G1300)))=1,1,0),0)</f>
        <v>0</v>
      </c>
      <c r="R1300" s="69" t="str">
        <f>IF(Q1300=1,SUM($Q$2:Q1300),"")</f>
        <v/>
      </c>
    </row>
    <row r="1301" spans="1:18" x14ac:dyDescent="0.2">
      <c r="A1301" s="72"/>
      <c r="B1301" s="76"/>
      <c r="C1301" s="73"/>
      <c r="D1301" s="73" t="s">
        <v>1379</v>
      </c>
      <c r="E1301" s="77" t="s">
        <v>94</v>
      </c>
      <c r="F1301" s="75" t="s">
        <v>122</v>
      </c>
      <c r="G1301" s="75" t="s">
        <v>1111</v>
      </c>
      <c r="H1301" s="69"/>
      <c r="P1301" s="69">
        <f t="shared" si="20"/>
        <v>0</v>
      </c>
      <c r="Q1301" s="69" cm="1">
        <f t="array" ref="Q1301">IF(P1301=1,IF(SUMPRODUCT(($P$2:P1301)*(--($G$2:G1301=$G1301)))=1,1,0),0)</f>
        <v>0</v>
      </c>
      <c r="R1301" s="69" t="str">
        <f>IF(Q1301=1,SUM($Q$2:Q1301),"")</f>
        <v/>
      </c>
    </row>
    <row r="1302" spans="1:18" x14ac:dyDescent="0.2">
      <c r="A1302" s="72"/>
      <c r="B1302" s="76"/>
      <c r="C1302" s="73"/>
      <c r="D1302" s="73" t="s">
        <v>1379</v>
      </c>
      <c r="E1302" s="77" t="s">
        <v>103</v>
      </c>
      <c r="F1302" s="75" t="s">
        <v>1430</v>
      </c>
      <c r="G1302" s="75" t="s">
        <v>1105</v>
      </c>
      <c r="H1302" s="69"/>
      <c r="P1302" s="69">
        <f t="shared" si="20"/>
        <v>0</v>
      </c>
      <c r="Q1302" s="69" cm="1">
        <f t="array" ref="Q1302">IF(P1302=1,IF(SUMPRODUCT(($P$2:P1302)*(--($G$2:G1302=$G1302)))=1,1,0),0)</f>
        <v>0</v>
      </c>
      <c r="R1302" s="69" t="str">
        <f>IF(Q1302=1,SUM($Q$2:Q1302),"")</f>
        <v/>
      </c>
    </row>
    <row r="1303" spans="1:18" x14ac:dyDescent="0.2">
      <c r="A1303" s="72"/>
      <c r="B1303" s="76"/>
      <c r="C1303" s="73"/>
      <c r="D1303" s="73" t="s">
        <v>1379</v>
      </c>
      <c r="E1303" s="77" t="s">
        <v>103</v>
      </c>
      <c r="F1303" s="75" t="s">
        <v>122</v>
      </c>
      <c r="G1303" s="75" t="s">
        <v>1105</v>
      </c>
      <c r="H1303" s="69"/>
      <c r="P1303" s="69">
        <f t="shared" si="20"/>
        <v>0</v>
      </c>
      <c r="Q1303" s="69" cm="1">
        <f t="array" ref="Q1303">IF(P1303=1,IF(SUMPRODUCT(($P$2:P1303)*(--($G$2:G1303=$G1303)))=1,1,0),0)</f>
        <v>0</v>
      </c>
      <c r="R1303" s="69" t="str">
        <f>IF(Q1303=1,SUM($Q$2:Q1303),"")</f>
        <v/>
      </c>
    </row>
    <row r="1304" spans="1:18" x14ac:dyDescent="0.2">
      <c r="A1304" s="72"/>
      <c r="B1304" s="76"/>
      <c r="C1304" s="73"/>
      <c r="D1304" s="73" t="s">
        <v>1379</v>
      </c>
      <c r="E1304" s="77" t="s">
        <v>103</v>
      </c>
      <c r="F1304" s="75" t="s">
        <v>1430</v>
      </c>
      <c r="G1304" s="75" t="s">
        <v>1109</v>
      </c>
      <c r="H1304" s="69"/>
      <c r="P1304" s="69">
        <f t="shared" si="20"/>
        <v>0</v>
      </c>
      <c r="Q1304" s="69" cm="1">
        <f t="array" ref="Q1304">IF(P1304=1,IF(SUMPRODUCT(($P$2:P1304)*(--($G$2:G1304=$G1304)))=1,1,0),0)</f>
        <v>0</v>
      </c>
      <c r="R1304" s="69" t="str">
        <f>IF(Q1304=1,SUM($Q$2:Q1304),"")</f>
        <v/>
      </c>
    </row>
    <row r="1305" spans="1:18" x14ac:dyDescent="0.2">
      <c r="A1305" s="72"/>
      <c r="B1305" s="76"/>
      <c r="C1305" s="73"/>
      <c r="D1305" s="73" t="s">
        <v>1379</v>
      </c>
      <c r="E1305" s="77" t="s">
        <v>103</v>
      </c>
      <c r="F1305" s="75" t="s">
        <v>122</v>
      </c>
      <c r="G1305" s="75" t="s">
        <v>1109</v>
      </c>
      <c r="H1305" s="69"/>
      <c r="P1305" s="69">
        <f t="shared" si="20"/>
        <v>0</v>
      </c>
      <c r="Q1305" s="69" cm="1">
        <f t="array" ref="Q1305">IF(P1305=1,IF(SUMPRODUCT(($P$2:P1305)*(--($G$2:G1305=$G1305)))=1,1,0),0)</f>
        <v>0</v>
      </c>
      <c r="R1305" s="69" t="str">
        <f>IF(Q1305=1,SUM($Q$2:Q1305),"")</f>
        <v/>
      </c>
    </row>
    <row r="1306" spans="1:18" x14ac:dyDescent="0.2">
      <c r="A1306" s="72"/>
      <c r="B1306" s="76"/>
      <c r="C1306" s="73"/>
      <c r="D1306" s="73" t="s">
        <v>1379</v>
      </c>
      <c r="E1306" s="77" t="s">
        <v>110</v>
      </c>
      <c r="F1306" s="75" t="s">
        <v>1704</v>
      </c>
      <c r="G1306" s="75" t="s">
        <v>1264</v>
      </c>
      <c r="H1306" s="69"/>
      <c r="P1306" s="69">
        <f t="shared" si="20"/>
        <v>0</v>
      </c>
      <c r="Q1306" s="69" cm="1">
        <f t="array" ref="Q1306">IF(P1306=1,IF(SUMPRODUCT(($P$2:P1306)*(--($G$2:G1306=$G1306)))=1,1,0),0)</f>
        <v>0</v>
      </c>
      <c r="R1306" s="69" t="str">
        <f>IF(Q1306=1,SUM($Q$2:Q1306),"")</f>
        <v/>
      </c>
    </row>
    <row r="1307" spans="1:18" x14ac:dyDescent="0.2">
      <c r="A1307" s="72"/>
      <c r="B1307" s="76"/>
      <c r="C1307" s="73"/>
      <c r="D1307" s="73" t="s">
        <v>1379</v>
      </c>
      <c r="E1307" s="77" t="s">
        <v>110</v>
      </c>
      <c r="F1307" s="75" t="s">
        <v>122</v>
      </c>
      <c r="G1307" s="75" t="s">
        <v>1264</v>
      </c>
      <c r="H1307" s="69"/>
      <c r="P1307" s="69">
        <f t="shared" si="20"/>
        <v>0</v>
      </c>
      <c r="Q1307" s="69" cm="1">
        <f t="array" ref="Q1307">IF(P1307=1,IF(SUMPRODUCT(($P$2:P1307)*(--($G$2:G1307=$G1307)))=1,1,0),0)</f>
        <v>0</v>
      </c>
      <c r="R1307" s="69" t="str">
        <f>IF(Q1307=1,SUM($Q$2:Q1307),"")</f>
        <v/>
      </c>
    </row>
    <row r="1308" spans="1:18" x14ac:dyDescent="0.2">
      <c r="A1308" s="72"/>
      <c r="B1308" s="76"/>
      <c r="C1308" s="73"/>
      <c r="D1308" s="73" t="s">
        <v>1379</v>
      </c>
      <c r="E1308" s="77" t="s">
        <v>110</v>
      </c>
      <c r="F1308" s="75" t="s">
        <v>1704</v>
      </c>
      <c r="G1308" s="75" t="s">
        <v>1265</v>
      </c>
      <c r="H1308" s="69"/>
      <c r="P1308" s="69">
        <f t="shared" si="20"/>
        <v>0</v>
      </c>
      <c r="Q1308" s="69" cm="1">
        <f t="array" ref="Q1308">IF(P1308=1,IF(SUMPRODUCT(($P$2:P1308)*(--($G$2:G1308=$G1308)))=1,1,0),0)</f>
        <v>0</v>
      </c>
      <c r="R1308" s="69" t="str">
        <f>IF(Q1308=1,SUM($Q$2:Q1308),"")</f>
        <v/>
      </c>
    </row>
    <row r="1309" spans="1:18" x14ac:dyDescent="0.2">
      <c r="A1309" s="72"/>
      <c r="B1309" s="76"/>
      <c r="C1309" s="73"/>
      <c r="D1309" s="73" t="s">
        <v>1379</v>
      </c>
      <c r="E1309" s="77" t="s">
        <v>110</v>
      </c>
      <c r="F1309" s="75" t="s">
        <v>122</v>
      </c>
      <c r="G1309" s="75" t="s">
        <v>1265</v>
      </c>
      <c r="H1309" s="69"/>
      <c r="P1309" s="69">
        <f t="shared" si="20"/>
        <v>0</v>
      </c>
      <c r="Q1309" s="69" cm="1">
        <f t="array" ref="Q1309">IF(P1309=1,IF(SUMPRODUCT(($P$2:P1309)*(--($G$2:G1309=$G1309)))=1,1,0),0)</f>
        <v>0</v>
      </c>
      <c r="R1309" s="69" t="str">
        <f>IF(Q1309=1,SUM($Q$2:Q1309),"")</f>
        <v/>
      </c>
    </row>
    <row r="1310" spans="1:18" x14ac:dyDescent="0.2">
      <c r="A1310" s="79"/>
      <c r="B1310" s="82"/>
      <c r="C1310" s="73"/>
      <c r="D1310" s="73" t="s">
        <v>972</v>
      </c>
      <c r="E1310" s="83" t="s">
        <v>110</v>
      </c>
      <c r="F1310" s="81" t="s">
        <v>1296</v>
      </c>
      <c r="G1310" s="89" t="s">
        <v>1200</v>
      </c>
      <c r="H1310" s="69"/>
      <c r="P1310" s="69">
        <f t="shared" si="20"/>
        <v>0</v>
      </c>
      <c r="Q1310" s="69" cm="1">
        <f t="array" ref="Q1310">IF(P1310=1,IF(SUMPRODUCT(($P$2:P1310)*(--($G$2:G1310=$G1310)))=1,1,0),0)</f>
        <v>0</v>
      </c>
      <c r="R1310" s="69" t="str">
        <f>IF(Q1310=1,SUM($Q$2:Q1310),"")</f>
        <v/>
      </c>
    </row>
    <row r="1311" spans="1:18" x14ac:dyDescent="0.2">
      <c r="A1311" s="79"/>
      <c r="B1311" s="82"/>
      <c r="C1311" s="73"/>
      <c r="D1311" s="73" t="s">
        <v>972</v>
      </c>
      <c r="E1311" s="83" t="s">
        <v>990</v>
      </c>
      <c r="F1311" s="81" t="s">
        <v>1296</v>
      </c>
      <c r="G1311" s="89" t="s">
        <v>1200</v>
      </c>
      <c r="H1311" s="69"/>
      <c r="P1311" s="69">
        <f t="shared" si="20"/>
        <v>0</v>
      </c>
      <c r="Q1311" s="69" cm="1">
        <f t="array" ref="Q1311">IF(P1311=1,IF(SUMPRODUCT(($P$2:P1311)*(--($G$2:G1311=$G1311)))=1,1,0),0)</f>
        <v>0</v>
      </c>
      <c r="R1311" s="69" t="str">
        <f>IF(Q1311=1,SUM($Q$2:Q1311),"")</f>
        <v/>
      </c>
    </row>
    <row r="1312" spans="1:18" ht="16" x14ac:dyDescent="0.2">
      <c r="A1312" s="72"/>
      <c r="B1312" s="76"/>
      <c r="C1312" s="73"/>
      <c r="D1312" s="73" t="s">
        <v>982</v>
      </c>
      <c r="E1312" s="77" t="s">
        <v>94</v>
      </c>
      <c r="F1312" s="75" t="s">
        <v>2232</v>
      </c>
      <c r="G1312" s="74" t="s">
        <v>537</v>
      </c>
      <c r="H1312" s="69"/>
      <c r="P1312" s="69">
        <f t="shared" si="20"/>
        <v>0</v>
      </c>
      <c r="Q1312" s="69" cm="1">
        <f t="array" ref="Q1312">IF(P1312=1,IF(SUMPRODUCT(($P$2:P1312)*(--($G$2:G1312=$G1312)))=1,1,0),0)</f>
        <v>0</v>
      </c>
      <c r="R1312" s="69" t="str">
        <f>IF(Q1312=1,SUM($Q$2:Q1312),"")</f>
        <v/>
      </c>
    </row>
    <row r="1313" spans="1:18" ht="16" x14ac:dyDescent="0.2">
      <c r="A1313" s="72"/>
      <c r="B1313" s="76"/>
      <c r="C1313" s="73"/>
      <c r="D1313" s="73" t="s">
        <v>982</v>
      </c>
      <c r="E1313" s="77" t="s">
        <v>110</v>
      </c>
      <c r="F1313" s="75" t="s">
        <v>2232</v>
      </c>
      <c r="G1313" s="74" t="s">
        <v>537</v>
      </c>
      <c r="H1313" s="69"/>
      <c r="P1313" s="69">
        <f t="shared" si="20"/>
        <v>0</v>
      </c>
      <c r="Q1313" s="69" cm="1">
        <f t="array" ref="Q1313">IF(P1313=1,IF(SUMPRODUCT(($P$2:P1313)*(--($G$2:G1313=$G1313)))=1,1,0),0)</f>
        <v>0</v>
      </c>
      <c r="R1313" s="69" t="str">
        <f>IF(Q1313=1,SUM($Q$2:Q1313),"")</f>
        <v/>
      </c>
    </row>
    <row r="1314" spans="1:18" ht="16" x14ac:dyDescent="0.2">
      <c r="A1314" s="72"/>
      <c r="B1314" s="76"/>
      <c r="C1314" s="73"/>
      <c r="D1314" s="73" t="s">
        <v>982</v>
      </c>
      <c r="E1314" s="77" t="s">
        <v>117</v>
      </c>
      <c r="F1314" s="75" t="s">
        <v>2232</v>
      </c>
      <c r="G1314" s="74" t="s">
        <v>537</v>
      </c>
      <c r="H1314" s="69"/>
      <c r="P1314" s="69">
        <f t="shared" si="20"/>
        <v>0</v>
      </c>
      <c r="Q1314" s="69" cm="1">
        <f t="array" ref="Q1314">IF(P1314=1,IF(SUMPRODUCT(($P$2:P1314)*(--($G$2:G1314=$G1314)))=1,1,0),0)</f>
        <v>0</v>
      </c>
      <c r="R1314" s="69" t="str">
        <f>IF(Q1314=1,SUM($Q$2:Q1314),"")</f>
        <v/>
      </c>
    </row>
    <row r="1315" spans="1:18" ht="16" x14ac:dyDescent="0.2">
      <c r="A1315" s="72"/>
      <c r="B1315" s="76"/>
      <c r="C1315" s="73"/>
      <c r="D1315" s="73" t="s">
        <v>982</v>
      </c>
      <c r="E1315" s="77" t="s">
        <v>94</v>
      </c>
      <c r="F1315" s="75" t="s">
        <v>2233</v>
      </c>
      <c r="G1315" s="74" t="s">
        <v>537</v>
      </c>
      <c r="H1315" s="69"/>
      <c r="P1315" s="69">
        <f t="shared" si="20"/>
        <v>0</v>
      </c>
      <c r="Q1315" s="69" cm="1">
        <f t="array" ref="Q1315">IF(P1315=1,IF(SUMPRODUCT(($P$2:P1315)*(--($G$2:G1315=$G1315)))=1,1,0),0)</f>
        <v>0</v>
      </c>
      <c r="R1315" s="69" t="str">
        <f>IF(Q1315=1,SUM($Q$2:Q1315),"")</f>
        <v/>
      </c>
    </row>
    <row r="1316" spans="1:18" ht="16" x14ac:dyDescent="0.2">
      <c r="A1316" s="72"/>
      <c r="B1316" s="76"/>
      <c r="C1316" s="73"/>
      <c r="D1316" s="73" t="s">
        <v>982</v>
      </c>
      <c r="E1316" s="77" t="s">
        <v>110</v>
      </c>
      <c r="F1316" s="75" t="s">
        <v>2233</v>
      </c>
      <c r="G1316" s="74" t="s">
        <v>537</v>
      </c>
      <c r="H1316" s="69"/>
      <c r="P1316" s="69">
        <f t="shared" si="20"/>
        <v>0</v>
      </c>
      <c r="Q1316" s="69" cm="1">
        <f t="array" ref="Q1316">IF(P1316=1,IF(SUMPRODUCT(($P$2:P1316)*(--($G$2:G1316=$G1316)))=1,1,0),0)</f>
        <v>0</v>
      </c>
      <c r="R1316" s="69" t="str">
        <f>IF(Q1316=1,SUM($Q$2:Q1316),"")</f>
        <v/>
      </c>
    </row>
    <row r="1317" spans="1:18" ht="16" x14ac:dyDescent="0.2">
      <c r="A1317" s="72"/>
      <c r="B1317" s="76"/>
      <c r="C1317" s="73"/>
      <c r="D1317" s="73" t="s">
        <v>982</v>
      </c>
      <c r="E1317" s="77" t="s">
        <v>117</v>
      </c>
      <c r="F1317" s="75" t="s">
        <v>2233</v>
      </c>
      <c r="G1317" s="74" t="s">
        <v>537</v>
      </c>
      <c r="H1317" s="69"/>
      <c r="P1317" s="69">
        <f t="shared" si="20"/>
        <v>0</v>
      </c>
      <c r="Q1317" s="69" cm="1">
        <f t="array" ref="Q1317">IF(P1317=1,IF(SUMPRODUCT(($P$2:P1317)*(--($G$2:G1317=$G1317)))=1,1,0),0)</f>
        <v>0</v>
      </c>
      <c r="R1317" s="69" t="str">
        <f>IF(Q1317=1,SUM($Q$2:Q1317),"")</f>
        <v/>
      </c>
    </row>
    <row r="1318" spans="1:18" ht="16" x14ac:dyDescent="0.2">
      <c r="A1318" s="72"/>
      <c r="B1318" s="76"/>
      <c r="C1318" s="73"/>
      <c r="D1318" s="73" t="s">
        <v>982</v>
      </c>
      <c r="E1318" s="77" t="s">
        <v>103</v>
      </c>
      <c r="F1318" s="75" t="s">
        <v>2233</v>
      </c>
      <c r="G1318" s="74" t="s">
        <v>537</v>
      </c>
      <c r="H1318" s="69"/>
      <c r="P1318" s="69">
        <f t="shared" si="20"/>
        <v>0</v>
      </c>
      <c r="Q1318" s="69" cm="1">
        <f t="array" ref="Q1318">IF(P1318=1,IF(SUMPRODUCT(($P$2:P1318)*(--($G$2:G1318=$G1318)))=1,1,0),0)</f>
        <v>0</v>
      </c>
      <c r="R1318" s="69" t="str">
        <f>IF(Q1318=1,SUM($Q$2:Q1318),"")</f>
        <v/>
      </c>
    </row>
    <row r="1319" spans="1:18" ht="16" x14ac:dyDescent="0.2">
      <c r="A1319" s="72"/>
      <c r="B1319" s="76"/>
      <c r="C1319" s="73"/>
      <c r="D1319" s="73" t="s">
        <v>982</v>
      </c>
      <c r="E1319" s="77" t="s">
        <v>94</v>
      </c>
      <c r="F1319" s="75" t="s">
        <v>2234</v>
      </c>
      <c r="G1319" s="74" t="s">
        <v>1081</v>
      </c>
      <c r="H1319" s="69"/>
      <c r="P1319" s="69">
        <f t="shared" si="20"/>
        <v>0</v>
      </c>
      <c r="Q1319" s="69" cm="1">
        <f t="array" ref="Q1319">IF(P1319=1,IF(SUMPRODUCT(($P$2:P1319)*(--($G$2:G1319=$G1319)))=1,1,0),0)</f>
        <v>0</v>
      </c>
      <c r="R1319" s="69" t="str">
        <f>IF(Q1319=1,SUM($Q$2:Q1319),"")</f>
        <v/>
      </c>
    </row>
    <row r="1320" spans="1:18" ht="16" x14ac:dyDescent="0.2">
      <c r="A1320" s="72"/>
      <c r="B1320" s="76"/>
      <c r="C1320" s="73"/>
      <c r="D1320" s="73" t="s">
        <v>982</v>
      </c>
      <c r="E1320" s="77" t="s">
        <v>110</v>
      </c>
      <c r="F1320" s="75" t="s">
        <v>2234</v>
      </c>
      <c r="G1320" s="74" t="s">
        <v>1081</v>
      </c>
      <c r="H1320" s="69"/>
      <c r="P1320" s="69">
        <f t="shared" si="20"/>
        <v>0</v>
      </c>
      <c r="Q1320" s="69" cm="1">
        <f t="array" ref="Q1320">IF(P1320=1,IF(SUMPRODUCT(($P$2:P1320)*(--($G$2:G1320=$G1320)))=1,1,0),0)</f>
        <v>0</v>
      </c>
      <c r="R1320" s="69" t="str">
        <f>IF(Q1320=1,SUM($Q$2:Q1320),"")</f>
        <v/>
      </c>
    </row>
    <row r="1321" spans="1:18" ht="16" x14ac:dyDescent="0.2">
      <c r="A1321" s="72"/>
      <c r="B1321" s="76"/>
      <c r="C1321" s="73"/>
      <c r="D1321" s="73" t="s">
        <v>982</v>
      </c>
      <c r="E1321" s="77" t="s">
        <v>117</v>
      </c>
      <c r="F1321" s="75" t="s">
        <v>2234</v>
      </c>
      <c r="G1321" s="74" t="s">
        <v>1081</v>
      </c>
      <c r="H1321" s="69"/>
      <c r="P1321" s="69">
        <f t="shared" si="20"/>
        <v>0</v>
      </c>
      <c r="Q1321" s="69" cm="1">
        <f t="array" ref="Q1321">IF(P1321=1,IF(SUMPRODUCT(($P$2:P1321)*(--($G$2:G1321=$G1321)))=1,1,0),0)</f>
        <v>0</v>
      </c>
      <c r="R1321" s="69" t="str">
        <f>IF(Q1321=1,SUM($Q$2:Q1321),"")</f>
        <v/>
      </c>
    </row>
    <row r="1322" spans="1:18" ht="16" x14ac:dyDescent="0.2">
      <c r="A1322" s="72"/>
      <c r="B1322" s="76"/>
      <c r="C1322" s="73"/>
      <c r="D1322" s="73" t="s">
        <v>982</v>
      </c>
      <c r="E1322" s="77" t="s">
        <v>94</v>
      </c>
      <c r="F1322" s="75" t="s">
        <v>2235</v>
      </c>
      <c r="G1322" s="74" t="s">
        <v>1081</v>
      </c>
      <c r="H1322" s="69"/>
      <c r="P1322" s="69">
        <f t="shared" si="20"/>
        <v>0</v>
      </c>
      <c r="Q1322" s="69" cm="1">
        <f t="array" ref="Q1322">IF(P1322=1,IF(SUMPRODUCT(($P$2:P1322)*(--($G$2:G1322=$G1322)))=1,1,0),0)</f>
        <v>0</v>
      </c>
      <c r="R1322" s="69" t="str">
        <f>IF(Q1322=1,SUM($Q$2:Q1322),"")</f>
        <v/>
      </c>
    </row>
    <row r="1323" spans="1:18" ht="16" x14ac:dyDescent="0.2">
      <c r="A1323" s="72"/>
      <c r="B1323" s="76"/>
      <c r="C1323" s="73"/>
      <c r="D1323" s="73" t="s">
        <v>982</v>
      </c>
      <c r="E1323" s="77" t="s">
        <v>110</v>
      </c>
      <c r="F1323" s="75" t="s">
        <v>2235</v>
      </c>
      <c r="G1323" s="74" t="s">
        <v>1081</v>
      </c>
      <c r="H1323" s="69"/>
      <c r="P1323" s="69">
        <f t="shared" si="20"/>
        <v>0</v>
      </c>
      <c r="Q1323" s="69" cm="1">
        <f t="array" ref="Q1323">IF(P1323=1,IF(SUMPRODUCT(($P$2:P1323)*(--($G$2:G1323=$G1323)))=1,1,0),0)</f>
        <v>0</v>
      </c>
      <c r="R1323" s="69" t="str">
        <f>IF(Q1323=1,SUM($Q$2:Q1323),"")</f>
        <v/>
      </c>
    </row>
    <row r="1324" spans="1:18" ht="16" x14ac:dyDescent="0.2">
      <c r="A1324" s="72"/>
      <c r="B1324" s="76"/>
      <c r="C1324" s="73"/>
      <c r="D1324" s="73" t="s">
        <v>982</v>
      </c>
      <c r="E1324" s="77" t="s">
        <v>117</v>
      </c>
      <c r="F1324" s="75" t="s">
        <v>2235</v>
      </c>
      <c r="G1324" s="74" t="s">
        <v>1081</v>
      </c>
      <c r="H1324" s="69"/>
      <c r="P1324" s="69">
        <f t="shared" si="20"/>
        <v>0</v>
      </c>
      <c r="Q1324" s="69" cm="1">
        <f t="array" ref="Q1324">IF(P1324=1,IF(SUMPRODUCT(($P$2:P1324)*(--($G$2:G1324=$G1324)))=1,1,0),0)</f>
        <v>0</v>
      </c>
      <c r="R1324" s="69" t="str">
        <f>IF(Q1324=1,SUM($Q$2:Q1324),"")</f>
        <v/>
      </c>
    </row>
    <row r="1325" spans="1:18" ht="16" x14ac:dyDescent="0.2">
      <c r="A1325" s="72"/>
      <c r="B1325" s="76"/>
      <c r="C1325" s="73"/>
      <c r="D1325" s="73" t="s">
        <v>982</v>
      </c>
      <c r="E1325" s="77" t="s">
        <v>94</v>
      </c>
      <c r="F1325" s="75" t="s">
        <v>2080</v>
      </c>
      <c r="G1325" s="74" t="s">
        <v>1268</v>
      </c>
      <c r="H1325" s="69"/>
      <c r="P1325" s="69">
        <f t="shared" si="20"/>
        <v>0</v>
      </c>
      <c r="Q1325" s="69" cm="1">
        <f t="array" ref="Q1325">IF(P1325=1,IF(SUMPRODUCT(($P$2:P1325)*(--($G$2:G1325=$G1325)))=1,1,0),0)</f>
        <v>0</v>
      </c>
      <c r="R1325" s="69" t="str">
        <f>IF(Q1325=1,SUM($Q$2:Q1325),"")</f>
        <v/>
      </c>
    </row>
    <row r="1326" spans="1:18" ht="16" x14ac:dyDescent="0.2">
      <c r="A1326" s="72"/>
      <c r="B1326" s="76"/>
      <c r="C1326" s="73"/>
      <c r="D1326" s="73" t="s">
        <v>982</v>
      </c>
      <c r="E1326" s="77" t="s">
        <v>110</v>
      </c>
      <c r="F1326" s="75" t="s">
        <v>2080</v>
      </c>
      <c r="G1326" s="74" t="s">
        <v>1268</v>
      </c>
      <c r="H1326" s="69"/>
      <c r="P1326" s="69">
        <f t="shared" si="20"/>
        <v>0</v>
      </c>
      <c r="Q1326" s="69" cm="1">
        <f t="array" ref="Q1326">IF(P1326=1,IF(SUMPRODUCT(($P$2:P1326)*(--($G$2:G1326=$G1326)))=1,1,0),0)</f>
        <v>0</v>
      </c>
      <c r="R1326" s="69" t="str">
        <f>IF(Q1326=1,SUM($Q$2:Q1326),"")</f>
        <v/>
      </c>
    </row>
    <row r="1327" spans="1:18" ht="16" x14ac:dyDescent="0.2">
      <c r="A1327" s="72"/>
      <c r="B1327" s="76"/>
      <c r="C1327" s="73"/>
      <c r="D1327" s="73" t="s">
        <v>982</v>
      </c>
      <c r="E1327" s="77" t="s">
        <v>135</v>
      </c>
      <c r="F1327" s="75" t="s">
        <v>2080</v>
      </c>
      <c r="G1327" s="74" t="s">
        <v>1268</v>
      </c>
      <c r="H1327" s="69"/>
      <c r="P1327" s="69">
        <f t="shared" si="20"/>
        <v>0</v>
      </c>
      <c r="Q1327" s="69" cm="1">
        <f t="array" ref="Q1327">IF(P1327=1,IF(SUMPRODUCT(($P$2:P1327)*(--($G$2:G1327=$G1327)))=1,1,0),0)</f>
        <v>0</v>
      </c>
      <c r="R1327" s="69" t="str">
        <f>IF(Q1327=1,SUM($Q$2:Q1327),"")</f>
        <v/>
      </c>
    </row>
    <row r="1328" spans="1:18" ht="16" x14ac:dyDescent="0.2">
      <c r="A1328" s="72"/>
      <c r="B1328" s="76"/>
      <c r="C1328" s="73"/>
      <c r="D1328" s="73" t="s">
        <v>982</v>
      </c>
      <c r="E1328" s="77" t="s">
        <v>94</v>
      </c>
      <c r="F1328" s="75" t="s">
        <v>286</v>
      </c>
      <c r="G1328" s="74" t="s">
        <v>1268</v>
      </c>
      <c r="H1328" s="69"/>
      <c r="P1328" s="69">
        <f t="shared" si="20"/>
        <v>0</v>
      </c>
      <c r="Q1328" s="69" cm="1">
        <f t="array" ref="Q1328">IF(P1328=1,IF(SUMPRODUCT(($P$2:P1328)*(--($G$2:G1328=$G1328)))=1,1,0),0)</f>
        <v>0</v>
      </c>
      <c r="R1328" s="69" t="str">
        <f>IF(Q1328=1,SUM($Q$2:Q1328),"")</f>
        <v/>
      </c>
    </row>
    <row r="1329" spans="1:18" ht="16" x14ac:dyDescent="0.2">
      <c r="A1329" s="72"/>
      <c r="B1329" s="76"/>
      <c r="C1329" s="73"/>
      <c r="D1329" s="73" t="s">
        <v>982</v>
      </c>
      <c r="E1329" s="77" t="s">
        <v>110</v>
      </c>
      <c r="F1329" s="75" t="s">
        <v>286</v>
      </c>
      <c r="G1329" s="74" t="s">
        <v>1268</v>
      </c>
      <c r="H1329" s="69"/>
      <c r="P1329" s="69">
        <f t="shared" si="20"/>
        <v>0</v>
      </c>
      <c r="Q1329" s="69" cm="1">
        <f t="array" ref="Q1329">IF(P1329=1,IF(SUMPRODUCT(($P$2:P1329)*(--($G$2:G1329=$G1329)))=1,1,0),0)</f>
        <v>0</v>
      </c>
      <c r="R1329" s="69" t="str">
        <f>IF(Q1329=1,SUM($Q$2:Q1329),"")</f>
        <v/>
      </c>
    </row>
    <row r="1330" spans="1:18" ht="16" x14ac:dyDescent="0.2">
      <c r="A1330" s="72"/>
      <c r="B1330" s="76"/>
      <c r="C1330" s="73"/>
      <c r="D1330" s="73" t="s">
        <v>982</v>
      </c>
      <c r="E1330" s="77" t="s">
        <v>135</v>
      </c>
      <c r="F1330" s="75" t="s">
        <v>286</v>
      </c>
      <c r="G1330" s="74" t="s">
        <v>1268</v>
      </c>
      <c r="H1330" s="69"/>
      <c r="P1330" s="69">
        <f t="shared" si="20"/>
        <v>0</v>
      </c>
      <c r="Q1330" s="69" cm="1">
        <f t="array" ref="Q1330">IF(P1330=1,IF(SUMPRODUCT(($P$2:P1330)*(--($G$2:G1330=$G1330)))=1,1,0),0)</f>
        <v>0</v>
      </c>
      <c r="R1330" s="69" t="str">
        <f>IF(Q1330=1,SUM($Q$2:Q1330),"")</f>
        <v/>
      </c>
    </row>
    <row r="1331" spans="1:18" ht="16" x14ac:dyDescent="0.2">
      <c r="A1331" s="72"/>
      <c r="B1331" s="76"/>
      <c r="C1331" s="73"/>
      <c r="D1331" s="73" t="s">
        <v>982</v>
      </c>
      <c r="E1331" s="77" t="s">
        <v>94</v>
      </c>
      <c r="F1331" s="75" t="s">
        <v>2219</v>
      </c>
      <c r="G1331" s="74" t="s">
        <v>1268</v>
      </c>
      <c r="H1331" s="69"/>
      <c r="P1331" s="69">
        <f t="shared" si="20"/>
        <v>0</v>
      </c>
      <c r="Q1331" s="69" cm="1">
        <f t="array" ref="Q1331">IF(P1331=1,IF(SUMPRODUCT(($P$2:P1331)*(--($G$2:G1331=$G1331)))=1,1,0),0)</f>
        <v>0</v>
      </c>
      <c r="R1331" s="69" t="str">
        <f>IF(Q1331=1,SUM($Q$2:Q1331),"")</f>
        <v/>
      </c>
    </row>
    <row r="1332" spans="1:18" ht="16" x14ac:dyDescent="0.2">
      <c r="A1332" s="72"/>
      <c r="B1332" s="76"/>
      <c r="C1332" s="73"/>
      <c r="D1332" s="73" t="s">
        <v>982</v>
      </c>
      <c r="E1332" s="77" t="s">
        <v>110</v>
      </c>
      <c r="F1332" s="75" t="s">
        <v>2219</v>
      </c>
      <c r="G1332" s="74" t="s">
        <v>1268</v>
      </c>
      <c r="H1332" s="69"/>
      <c r="P1332" s="69">
        <f t="shared" si="20"/>
        <v>0</v>
      </c>
      <c r="Q1332" s="69" cm="1">
        <f t="array" ref="Q1332">IF(P1332=1,IF(SUMPRODUCT(($P$2:P1332)*(--($G$2:G1332=$G1332)))=1,1,0),0)</f>
        <v>0</v>
      </c>
      <c r="R1332" s="69" t="str">
        <f>IF(Q1332=1,SUM($Q$2:Q1332),"")</f>
        <v/>
      </c>
    </row>
    <row r="1333" spans="1:18" ht="16" x14ac:dyDescent="0.2">
      <c r="A1333" s="72"/>
      <c r="B1333" s="76"/>
      <c r="C1333" s="73"/>
      <c r="D1333" s="73" t="s">
        <v>982</v>
      </c>
      <c r="E1333" s="77" t="s">
        <v>135</v>
      </c>
      <c r="F1333" s="75" t="s">
        <v>2219</v>
      </c>
      <c r="G1333" s="74" t="s">
        <v>1268</v>
      </c>
      <c r="H1333" s="69"/>
      <c r="P1333" s="69">
        <f t="shared" si="20"/>
        <v>0</v>
      </c>
      <c r="Q1333" s="69" cm="1">
        <f t="array" ref="Q1333">IF(P1333=1,IF(SUMPRODUCT(($P$2:P1333)*(--($G$2:G1333=$G1333)))=1,1,0),0)</f>
        <v>0</v>
      </c>
      <c r="R1333" s="69" t="str">
        <f>IF(Q1333=1,SUM($Q$2:Q1333),"")</f>
        <v/>
      </c>
    </row>
    <row r="1334" spans="1:18" ht="16" x14ac:dyDescent="0.2">
      <c r="A1334" s="72"/>
      <c r="B1334" s="76"/>
      <c r="C1334" s="73"/>
      <c r="D1334" s="73" t="s">
        <v>982</v>
      </c>
      <c r="E1334" s="77" t="s">
        <v>94</v>
      </c>
      <c r="F1334" s="75" t="s">
        <v>2217</v>
      </c>
      <c r="G1334" s="74" t="s">
        <v>1268</v>
      </c>
      <c r="H1334" s="69"/>
      <c r="P1334" s="69">
        <f t="shared" si="20"/>
        <v>0</v>
      </c>
      <c r="Q1334" s="69" cm="1">
        <f t="array" ref="Q1334">IF(P1334=1,IF(SUMPRODUCT(($P$2:P1334)*(--($G$2:G1334=$G1334)))=1,1,0),0)</f>
        <v>0</v>
      </c>
      <c r="R1334" s="69" t="str">
        <f>IF(Q1334=1,SUM($Q$2:Q1334),"")</f>
        <v/>
      </c>
    </row>
    <row r="1335" spans="1:18" ht="16" x14ac:dyDescent="0.2">
      <c r="A1335" s="72"/>
      <c r="B1335" s="76"/>
      <c r="C1335" s="73"/>
      <c r="D1335" s="73" t="s">
        <v>982</v>
      </c>
      <c r="E1335" s="77" t="s">
        <v>110</v>
      </c>
      <c r="F1335" s="75" t="s">
        <v>2217</v>
      </c>
      <c r="G1335" s="74" t="s">
        <v>1268</v>
      </c>
      <c r="H1335" s="69"/>
      <c r="P1335" s="69">
        <f t="shared" si="20"/>
        <v>0</v>
      </c>
      <c r="Q1335" s="69" cm="1">
        <f t="array" ref="Q1335">IF(P1335=1,IF(SUMPRODUCT(($P$2:P1335)*(--($G$2:G1335=$G1335)))=1,1,0),0)</f>
        <v>0</v>
      </c>
      <c r="R1335" s="69" t="str">
        <f>IF(Q1335=1,SUM($Q$2:Q1335),"")</f>
        <v/>
      </c>
    </row>
    <row r="1336" spans="1:18" ht="16" x14ac:dyDescent="0.2">
      <c r="A1336" s="72"/>
      <c r="B1336" s="76"/>
      <c r="C1336" s="73"/>
      <c r="D1336" s="73" t="s">
        <v>982</v>
      </c>
      <c r="E1336" s="77" t="s">
        <v>135</v>
      </c>
      <c r="F1336" s="75" t="s">
        <v>2217</v>
      </c>
      <c r="G1336" s="74" t="s">
        <v>1268</v>
      </c>
      <c r="H1336" s="69"/>
      <c r="P1336" s="69">
        <f t="shared" si="20"/>
        <v>0</v>
      </c>
      <c r="Q1336" s="69" cm="1">
        <f t="array" ref="Q1336">IF(P1336=1,IF(SUMPRODUCT(($P$2:P1336)*(--($G$2:G1336=$G1336)))=1,1,0),0)</f>
        <v>0</v>
      </c>
      <c r="R1336" s="69" t="str">
        <f>IF(Q1336=1,SUM($Q$2:Q1336),"")</f>
        <v/>
      </c>
    </row>
    <row r="1337" spans="1:18" ht="16" x14ac:dyDescent="0.2">
      <c r="A1337" s="72"/>
      <c r="B1337" s="76"/>
      <c r="C1337" s="73"/>
      <c r="D1337" s="73" t="s">
        <v>982</v>
      </c>
      <c r="E1337" s="77" t="s">
        <v>94</v>
      </c>
      <c r="F1337" s="75" t="s">
        <v>2218</v>
      </c>
      <c r="G1337" s="74" t="s">
        <v>1268</v>
      </c>
      <c r="H1337" s="69"/>
      <c r="P1337" s="69">
        <f t="shared" si="20"/>
        <v>0</v>
      </c>
      <c r="Q1337" s="69" cm="1">
        <f t="array" ref="Q1337">IF(P1337=1,IF(SUMPRODUCT(($P$2:P1337)*(--($G$2:G1337=$G1337)))=1,1,0),0)</f>
        <v>0</v>
      </c>
      <c r="R1337" s="69" t="str">
        <f>IF(Q1337=1,SUM($Q$2:Q1337),"")</f>
        <v/>
      </c>
    </row>
    <row r="1338" spans="1:18" ht="16" x14ac:dyDescent="0.2">
      <c r="A1338" s="72"/>
      <c r="B1338" s="76"/>
      <c r="C1338" s="73"/>
      <c r="D1338" s="73" t="s">
        <v>982</v>
      </c>
      <c r="E1338" s="77" t="s">
        <v>110</v>
      </c>
      <c r="F1338" s="75" t="s">
        <v>2218</v>
      </c>
      <c r="G1338" s="74" t="s">
        <v>1268</v>
      </c>
      <c r="H1338" s="69"/>
      <c r="P1338" s="69">
        <f t="shared" si="20"/>
        <v>0</v>
      </c>
      <c r="Q1338" s="69" cm="1">
        <f t="array" ref="Q1338">IF(P1338=1,IF(SUMPRODUCT(($P$2:P1338)*(--($G$2:G1338=$G1338)))=1,1,0),0)</f>
        <v>0</v>
      </c>
      <c r="R1338" s="69" t="str">
        <f>IF(Q1338=1,SUM($Q$2:Q1338),"")</f>
        <v/>
      </c>
    </row>
    <row r="1339" spans="1:18" ht="16" x14ac:dyDescent="0.2">
      <c r="A1339" s="72"/>
      <c r="B1339" s="76"/>
      <c r="C1339" s="73"/>
      <c r="D1339" s="73" t="s">
        <v>982</v>
      </c>
      <c r="E1339" s="77" t="s">
        <v>135</v>
      </c>
      <c r="F1339" s="75" t="s">
        <v>2218</v>
      </c>
      <c r="G1339" s="74" t="s">
        <v>1268</v>
      </c>
      <c r="H1339" s="69"/>
      <c r="P1339" s="69">
        <f t="shared" si="20"/>
        <v>0</v>
      </c>
      <c r="Q1339" s="69" cm="1">
        <f t="array" ref="Q1339">IF(P1339=1,IF(SUMPRODUCT(($P$2:P1339)*(--($G$2:G1339=$G1339)))=1,1,0),0)</f>
        <v>0</v>
      </c>
      <c r="R1339" s="69" t="str">
        <f>IF(Q1339=1,SUM($Q$2:Q1339),"")</f>
        <v/>
      </c>
    </row>
    <row r="1340" spans="1:18" ht="16" x14ac:dyDescent="0.2">
      <c r="A1340" s="72"/>
      <c r="B1340" s="76"/>
      <c r="C1340" s="73"/>
      <c r="D1340" s="73" t="s">
        <v>982</v>
      </c>
      <c r="E1340" s="77" t="s">
        <v>94</v>
      </c>
      <c r="F1340" s="75" t="s">
        <v>2220</v>
      </c>
      <c r="G1340" s="74" t="s">
        <v>1266</v>
      </c>
      <c r="H1340" s="69"/>
      <c r="P1340" s="69">
        <f t="shared" si="20"/>
        <v>0</v>
      </c>
      <c r="Q1340" s="69" cm="1">
        <f t="array" ref="Q1340">IF(P1340=1,IF(SUMPRODUCT(($P$2:P1340)*(--($G$2:G1340=$G1340)))=1,1,0),0)</f>
        <v>0</v>
      </c>
      <c r="R1340" s="69" t="str">
        <f>IF(Q1340=1,SUM($Q$2:Q1340),"")</f>
        <v/>
      </c>
    </row>
    <row r="1341" spans="1:18" ht="16" x14ac:dyDescent="0.2">
      <c r="A1341" s="72"/>
      <c r="B1341" s="76"/>
      <c r="C1341" s="73"/>
      <c r="D1341" s="73" t="s">
        <v>982</v>
      </c>
      <c r="E1341" s="77" t="s">
        <v>110</v>
      </c>
      <c r="F1341" s="75" t="s">
        <v>2220</v>
      </c>
      <c r="G1341" s="74" t="s">
        <v>1266</v>
      </c>
      <c r="H1341" s="69"/>
      <c r="P1341" s="69">
        <f t="shared" si="20"/>
        <v>0</v>
      </c>
      <c r="Q1341" s="69" cm="1">
        <f t="array" ref="Q1341">IF(P1341=1,IF(SUMPRODUCT(($P$2:P1341)*(--($G$2:G1341=$G1341)))=1,1,0),0)</f>
        <v>0</v>
      </c>
      <c r="R1341" s="69" t="str">
        <f>IF(Q1341=1,SUM($Q$2:Q1341),"")</f>
        <v/>
      </c>
    </row>
    <row r="1342" spans="1:18" ht="16" x14ac:dyDescent="0.2">
      <c r="A1342" s="72"/>
      <c r="B1342" s="76"/>
      <c r="C1342" s="73"/>
      <c r="D1342" s="73" t="s">
        <v>982</v>
      </c>
      <c r="E1342" s="77" t="s">
        <v>135</v>
      </c>
      <c r="F1342" s="75" t="s">
        <v>2220</v>
      </c>
      <c r="G1342" s="74" t="s">
        <v>1266</v>
      </c>
      <c r="H1342" s="69"/>
      <c r="P1342" s="69">
        <f t="shared" si="20"/>
        <v>0</v>
      </c>
      <c r="Q1342" s="69" cm="1">
        <f t="array" ref="Q1342">IF(P1342=1,IF(SUMPRODUCT(($P$2:P1342)*(--($G$2:G1342=$G1342)))=1,1,0),0)</f>
        <v>0</v>
      </c>
      <c r="R1342" s="69" t="str">
        <f>IF(Q1342=1,SUM($Q$2:Q1342),"")</f>
        <v/>
      </c>
    </row>
    <row r="1343" spans="1:18" ht="16" x14ac:dyDescent="0.2">
      <c r="A1343" s="72"/>
      <c r="B1343" s="76"/>
      <c r="C1343" s="73"/>
      <c r="D1343" s="73" t="s">
        <v>982</v>
      </c>
      <c r="E1343" s="77" t="s">
        <v>94</v>
      </c>
      <c r="F1343" s="75" t="s">
        <v>1576</v>
      </c>
      <c r="G1343" s="74" t="s">
        <v>1266</v>
      </c>
      <c r="H1343" s="69"/>
      <c r="P1343" s="69">
        <f t="shared" si="20"/>
        <v>0</v>
      </c>
      <c r="Q1343" s="69" cm="1">
        <f t="array" ref="Q1343">IF(P1343=1,IF(SUMPRODUCT(($P$2:P1343)*(--($G$2:G1343=$G1343)))=1,1,0),0)</f>
        <v>0</v>
      </c>
      <c r="R1343" s="69" t="str">
        <f>IF(Q1343=1,SUM($Q$2:Q1343),"")</f>
        <v/>
      </c>
    </row>
    <row r="1344" spans="1:18" ht="16" x14ac:dyDescent="0.2">
      <c r="A1344" s="72"/>
      <c r="B1344" s="76"/>
      <c r="C1344" s="73"/>
      <c r="D1344" s="73" t="s">
        <v>982</v>
      </c>
      <c r="E1344" s="77" t="s">
        <v>110</v>
      </c>
      <c r="F1344" s="75" t="s">
        <v>1576</v>
      </c>
      <c r="G1344" s="74" t="s">
        <v>1266</v>
      </c>
      <c r="H1344" s="69"/>
      <c r="P1344" s="69">
        <f t="shared" si="20"/>
        <v>0</v>
      </c>
      <c r="Q1344" s="69" cm="1">
        <f t="array" ref="Q1344">IF(P1344=1,IF(SUMPRODUCT(($P$2:P1344)*(--($G$2:G1344=$G1344)))=1,1,0),0)</f>
        <v>0</v>
      </c>
      <c r="R1344" s="69" t="str">
        <f>IF(Q1344=1,SUM($Q$2:Q1344),"")</f>
        <v/>
      </c>
    </row>
    <row r="1345" spans="1:18" ht="16" x14ac:dyDescent="0.2">
      <c r="A1345" s="72"/>
      <c r="B1345" s="76"/>
      <c r="C1345" s="73"/>
      <c r="D1345" s="73" t="s">
        <v>982</v>
      </c>
      <c r="E1345" s="77" t="s">
        <v>135</v>
      </c>
      <c r="F1345" s="75" t="s">
        <v>1576</v>
      </c>
      <c r="G1345" s="74" t="s">
        <v>1266</v>
      </c>
      <c r="H1345" s="69"/>
      <c r="P1345" s="69">
        <f t="shared" si="20"/>
        <v>0</v>
      </c>
      <c r="Q1345" s="69" cm="1">
        <f t="array" ref="Q1345">IF(P1345=1,IF(SUMPRODUCT(($P$2:P1345)*(--($G$2:G1345=$G1345)))=1,1,0),0)</f>
        <v>0</v>
      </c>
      <c r="R1345" s="69" t="str">
        <f>IF(Q1345=1,SUM($Q$2:Q1345),"")</f>
        <v/>
      </c>
    </row>
    <row r="1346" spans="1:18" ht="16" x14ac:dyDescent="0.2">
      <c r="A1346" s="72"/>
      <c r="B1346" s="76"/>
      <c r="C1346" s="73"/>
      <c r="D1346" s="73" t="s">
        <v>982</v>
      </c>
      <c r="E1346" s="77" t="s">
        <v>94</v>
      </c>
      <c r="F1346" s="75" t="s">
        <v>2231</v>
      </c>
      <c r="G1346" s="74" t="s">
        <v>1266</v>
      </c>
      <c r="H1346" s="69"/>
      <c r="P1346" s="69">
        <f t="shared" si="20"/>
        <v>0</v>
      </c>
      <c r="Q1346" s="69" cm="1">
        <f t="array" ref="Q1346">IF(P1346=1,IF(SUMPRODUCT(($P$2:P1346)*(--($G$2:G1346=$G1346)))=1,1,0),0)</f>
        <v>0</v>
      </c>
      <c r="R1346" s="69" t="str">
        <f>IF(Q1346=1,SUM($Q$2:Q1346),"")</f>
        <v/>
      </c>
    </row>
    <row r="1347" spans="1:18" ht="16" x14ac:dyDescent="0.2">
      <c r="A1347" s="72"/>
      <c r="B1347" s="76"/>
      <c r="C1347" s="73"/>
      <c r="D1347" s="73" t="s">
        <v>982</v>
      </c>
      <c r="E1347" s="77" t="s">
        <v>110</v>
      </c>
      <c r="F1347" s="75" t="s">
        <v>2231</v>
      </c>
      <c r="G1347" s="74" t="s">
        <v>1266</v>
      </c>
      <c r="H1347" s="69"/>
      <c r="P1347" s="69">
        <f t="shared" ref="P1347:P1410" si="21">IF(AND(IF(TRIM($J$2&amp;"")="",TRUE,LEFT($D1347,LEN($J$2))=$J$2),IF(TRIM($K$2&amp;"")="",TRUE,$E1347=$K$2),IF($L$2="",TRUE,$F1347=$L$2)),1,0)</f>
        <v>0</v>
      </c>
      <c r="Q1347" s="69" cm="1">
        <f t="array" ref="Q1347">IF(P1347=1,IF(SUMPRODUCT(($P$2:P1347)*(--($G$2:G1347=$G1347)))=1,1,0),0)</f>
        <v>0</v>
      </c>
      <c r="R1347" s="69" t="str">
        <f>IF(Q1347=1,SUM($Q$2:Q1347),"")</f>
        <v/>
      </c>
    </row>
    <row r="1348" spans="1:18" ht="16" x14ac:dyDescent="0.2">
      <c r="A1348" s="72"/>
      <c r="B1348" s="76"/>
      <c r="C1348" s="73"/>
      <c r="D1348" s="73" t="s">
        <v>982</v>
      </c>
      <c r="E1348" s="77" t="s">
        <v>135</v>
      </c>
      <c r="F1348" s="75" t="s">
        <v>2231</v>
      </c>
      <c r="G1348" s="74" t="s">
        <v>1266</v>
      </c>
      <c r="H1348" s="69"/>
      <c r="P1348" s="69">
        <f t="shared" si="21"/>
        <v>0</v>
      </c>
      <c r="Q1348" s="69" cm="1">
        <f t="array" ref="Q1348">IF(P1348=1,IF(SUMPRODUCT(($P$2:P1348)*(--($G$2:G1348=$G1348)))=1,1,0),0)</f>
        <v>0</v>
      </c>
      <c r="R1348" s="69" t="str">
        <f>IF(Q1348=1,SUM($Q$2:Q1348),"")</f>
        <v/>
      </c>
    </row>
    <row r="1349" spans="1:18" ht="16" x14ac:dyDescent="0.2">
      <c r="A1349" s="72"/>
      <c r="B1349" s="76"/>
      <c r="C1349" s="73"/>
      <c r="D1349" s="73" t="s">
        <v>982</v>
      </c>
      <c r="E1349" s="77" t="s">
        <v>94</v>
      </c>
      <c r="F1349" s="75" t="s">
        <v>2221</v>
      </c>
      <c r="G1349" s="74" t="s">
        <v>1266</v>
      </c>
      <c r="H1349" s="69"/>
      <c r="P1349" s="69">
        <f t="shared" si="21"/>
        <v>0</v>
      </c>
      <c r="Q1349" s="69" cm="1">
        <f t="array" ref="Q1349">IF(P1349=1,IF(SUMPRODUCT(($P$2:P1349)*(--($G$2:G1349=$G1349)))=1,1,0),0)</f>
        <v>0</v>
      </c>
      <c r="R1349" s="69" t="str">
        <f>IF(Q1349=1,SUM($Q$2:Q1349),"")</f>
        <v/>
      </c>
    </row>
    <row r="1350" spans="1:18" ht="16" x14ac:dyDescent="0.2">
      <c r="A1350" s="72"/>
      <c r="B1350" s="76"/>
      <c r="C1350" s="73"/>
      <c r="D1350" s="73" t="s">
        <v>982</v>
      </c>
      <c r="E1350" s="77" t="s">
        <v>110</v>
      </c>
      <c r="F1350" s="75" t="s">
        <v>2221</v>
      </c>
      <c r="G1350" s="74" t="s">
        <v>1266</v>
      </c>
      <c r="H1350" s="69"/>
      <c r="P1350" s="69">
        <f t="shared" si="21"/>
        <v>0</v>
      </c>
      <c r="Q1350" s="69" cm="1">
        <f t="array" ref="Q1350">IF(P1350=1,IF(SUMPRODUCT(($P$2:P1350)*(--($G$2:G1350=$G1350)))=1,1,0),0)</f>
        <v>0</v>
      </c>
      <c r="R1350" s="69" t="str">
        <f>IF(Q1350=1,SUM($Q$2:Q1350),"")</f>
        <v/>
      </c>
    </row>
    <row r="1351" spans="1:18" ht="16" x14ac:dyDescent="0.2">
      <c r="A1351" s="72"/>
      <c r="B1351" s="76"/>
      <c r="C1351" s="73"/>
      <c r="D1351" s="73" t="s">
        <v>982</v>
      </c>
      <c r="E1351" s="77" t="s">
        <v>135</v>
      </c>
      <c r="F1351" s="75" t="s">
        <v>2221</v>
      </c>
      <c r="G1351" s="74" t="s">
        <v>1266</v>
      </c>
      <c r="H1351" s="69"/>
      <c r="P1351" s="69">
        <f t="shared" si="21"/>
        <v>0</v>
      </c>
      <c r="Q1351" s="69" cm="1">
        <f t="array" ref="Q1351">IF(P1351=1,IF(SUMPRODUCT(($P$2:P1351)*(--($G$2:G1351=$G1351)))=1,1,0),0)</f>
        <v>0</v>
      </c>
      <c r="R1351" s="69" t="str">
        <f>IF(Q1351=1,SUM($Q$2:Q1351),"")</f>
        <v/>
      </c>
    </row>
    <row r="1352" spans="1:18" ht="16" x14ac:dyDescent="0.2">
      <c r="A1352" s="72"/>
      <c r="B1352" s="76"/>
      <c r="C1352" s="73"/>
      <c r="D1352" s="73" t="s">
        <v>982</v>
      </c>
      <c r="E1352" s="77" t="s">
        <v>94</v>
      </c>
      <c r="F1352" s="75" t="s">
        <v>2244</v>
      </c>
      <c r="G1352" s="74" t="s">
        <v>1266</v>
      </c>
      <c r="H1352" s="69"/>
      <c r="P1352" s="69">
        <f t="shared" si="21"/>
        <v>0</v>
      </c>
      <c r="Q1352" s="69" cm="1">
        <f t="array" ref="Q1352">IF(P1352=1,IF(SUMPRODUCT(($P$2:P1352)*(--($G$2:G1352=$G1352)))=1,1,0),0)</f>
        <v>0</v>
      </c>
      <c r="R1352" s="69" t="str">
        <f>IF(Q1352=1,SUM($Q$2:Q1352),"")</f>
        <v/>
      </c>
    </row>
    <row r="1353" spans="1:18" ht="16" x14ac:dyDescent="0.2">
      <c r="A1353" s="72"/>
      <c r="B1353" s="76"/>
      <c r="C1353" s="73"/>
      <c r="D1353" s="73" t="s">
        <v>982</v>
      </c>
      <c r="E1353" s="77" t="s">
        <v>110</v>
      </c>
      <c r="F1353" s="75" t="s">
        <v>2244</v>
      </c>
      <c r="G1353" s="74" t="s">
        <v>1266</v>
      </c>
      <c r="H1353" s="69"/>
      <c r="P1353" s="69">
        <f t="shared" si="21"/>
        <v>0</v>
      </c>
      <c r="Q1353" s="69" cm="1">
        <f t="array" ref="Q1353">IF(P1353=1,IF(SUMPRODUCT(($P$2:P1353)*(--($G$2:G1353=$G1353)))=1,1,0),0)</f>
        <v>0</v>
      </c>
      <c r="R1353" s="69" t="str">
        <f>IF(Q1353=1,SUM($Q$2:Q1353),"")</f>
        <v/>
      </c>
    </row>
    <row r="1354" spans="1:18" ht="16" x14ac:dyDescent="0.2">
      <c r="A1354" s="72"/>
      <c r="B1354" s="76"/>
      <c r="C1354" s="73"/>
      <c r="D1354" s="73" t="s">
        <v>982</v>
      </c>
      <c r="E1354" s="77" t="s">
        <v>135</v>
      </c>
      <c r="F1354" s="75" t="s">
        <v>2244</v>
      </c>
      <c r="G1354" s="74" t="s">
        <v>1266</v>
      </c>
      <c r="H1354" s="69"/>
      <c r="P1354" s="69">
        <f t="shared" si="21"/>
        <v>0</v>
      </c>
      <c r="Q1354" s="69" cm="1">
        <f t="array" ref="Q1354">IF(P1354=1,IF(SUMPRODUCT(($P$2:P1354)*(--($G$2:G1354=$G1354)))=1,1,0),0)</f>
        <v>0</v>
      </c>
      <c r="R1354" s="69" t="str">
        <f>IF(Q1354=1,SUM($Q$2:Q1354),"")</f>
        <v/>
      </c>
    </row>
    <row r="1355" spans="1:18" x14ac:dyDescent="0.2">
      <c r="A1355" s="72"/>
      <c r="B1355" s="76"/>
      <c r="C1355" s="73"/>
      <c r="D1355" s="73" t="s">
        <v>982</v>
      </c>
      <c r="E1355" s="77" t="s">
        <v>117</v>
      </c>
      <c r="F1355" s="75" t="s">
        <v>2080</v>
      </c>
      <c r="G1355" s="75" t="s">
        <v>1269</v>
      </c>
      <c r="H1355" s="69"/>
      <c r="P1355" s="69">
        <f t="shared" si="21"/>
        <v>0</v>
      </c>
      <c r="Q1355" s="69" cm="1">
        <f t="array" ref="Q1355">IF(P1355=1,IF(SUMPRODUCT(($P$2:P1355)*(--($G$2:G1355=$G1355)))=1,1,0),0)</f>
        <v>0</v>
      </c>
      <c r="R1355" s="69" t="str">
        <f>IF(Q1355=1,SUM($Q$2:Q1355),"")</f>
        <v/>
      </c>
    </row>
    <row r="1356" spans="1:18" x14ac:dyDescent="0.2">
      <c r="A1356" s="72"/>
      <c r="B1356" s="76"/>
      <c r="C1356" s="73"/>
      <c r="D1356" s="73" t="s">
        <v>982</v>
      </c>
      <c r="E1356" s="77" t="s">
        <v>990</v>
      </c>
      <c r="F1356" s="75" t="s">
        <v>2080</v>
      </c>
      <c r="G1356" s="75" t="s">
        <v>1269</v>
      </c>
      <c r="H1356" s="69"/>
      <c r="P1356" s="69">
        <f t="shared" si="21"/>
        <v>0</v>
      </c>
      <c r="Q1356" s="69" cm="1">
        <f t="array" ref="Q1356">IF(P1356=1,IF(SUMPRODUCT(($P$2:P1356)*(--($G$2:G1356=$G1356)))=1,1,0),0)</f>
        <v>0</v>
      </c>
      <c r="R1356" s="69" t="str">
        <f>IF(Q1356=1,SUM($Q$2:Q1356),"")</f>
        <v/>
      </c>
    </row>
    <row r="1357" spans="1:18" x14ac:dyDescent="0.2">
      <c r="A1357" s="72"/>
      <c r="B1357" s="76"/>
      <c r="C1357" s="73"/>
      <c r="D1357" s="73" t="s">
        <v>982</v>
      </c>
      <c r="E1357" s="77" t="s">
        <v>117</v>
      </c>
      <c r="F1357" s="75" t="s">
        <v>286</v>
      </c>
      <c r="G1357" s="75" t="s">
        <v>1269</v>
      </c>
      <c r="H1357" s="69"/>
      <c r="P1357" s="69">
        <f t="shared" si="21"/>
        <v>0</v>
      </c>
      <c r="Q1357" s="69" cm="1">
        <f t="array" ref="Q1357">IF(P1357=1,IF(SUMPRODUCT(($P$2:P1357)*(--($G$2:G1357=$G1357)))=1,1,0),0)</f>
        <v>0</v>
      </c>
      <c r="R1357" s="69" t="str">
        <f>IF(Q1357=1,SUM($Q$2:Q1357),"")</f>
        <v/>
      </c>
    </row>
    <row r="1358" spans="1:18" x14ac:dyDescent="0.2">
      <c r="A1358" s="72"/>
      <c r="B1358" s="76"/>
      <c r="C1358" s="73"/>
      <c r="D1358" s="73" t="s">
        <v>982</v>
      </c>
      <c r="E1358" s="77" t="s">
        <v>990</v>
      </c>
      <c r="F1358" s="75" t="s">
        <v>286</v>
      </c>
      <c r="G1358" s="75" t="s">
        <v>1269</v>
      </c>
      <c r="H1358" s="69"/>
      <c r="P1358" s="69">
        <f t="shared" si="21"/>
        <v>0</v>
      </c>
      <c r="Q1358" s="69" cm="1">
        <f t="array" ref="Q1358">IF(P1358=1,IF(SUMPRODUCT(($P$2:P1358)*(--($G$2:G1358=$G1358)))=1,1,0),0)</f>
        <v>0</v>
      </c>
      <c r="R1358" s="69" t="str">
        <f>IF(Q1358=1,SUM($Q$2:Q1358),"")</f>
        <v/>
      </c>
    </row>
    <row r="1359" spans="1:18" x14ac:dyDescent="0.2">
      <c r="A1359" s="72"/>
      <c r="B1359" s="76"/>
      <c r="C1359" s="73"/>
      <c r="D1359" s="73" t="s">
        <v>982</v>
      </c>
      <c r="E1359" s="77" t="s">
        <v>117</v>
      </c>
      <c r="F1359" s="75" t="s">
        <v>2219</v>
      </c>
      <c r="G1359" s="75" t="s">
        <v>1269</v>
      </c>
      <c r="H1359" s="69"/>
      <c r="P1359" s="69">
        <f t="shared" si="21"/>
        <v>0</v>
      </c>
      <c r="Q1359" s="69" cm="1">
        <f t="array" ref="Q1359">IF(P1359=1,IF(SUMPRODUCT(($P$2:P1359)*(--($G$2:G1359=$G1359)))=1,1,0),0)</f>
        <v>0</v>
      </c>
      <c r="R1359" s="69" t="str">
        <f>IF(Q1359=1,SUM($Q$2:Q1359),"")</f>
        <v/>
      </c>
    </row>
    <row r="1360" spans="1:18" x14ac:dyDescent="0.2">
      <c r="A1360" s="72"/>
      <c r="B1360" s="76"/>
      <c r="C1360" s="73"/>
      <c r="D1360" s="73" t="s">
        <v>982</v>
      </c>
      <c r="E1360" s="77" t="s">
        <v>990</v>
      </c>
      <c r="F1360" s="75" t="s">
        <v>2219</v>
      </c>
      <c r="G1360" s="75" t="s">
        <v>1269</v>
      </c>
      <c r="H1360" s="69"/>
      <c r="P1360" s="69">
        <f t="shared" si="21"/>
        <v>0</v>
      </c>
      <c r="Q1360" s="69" cm="1">
        <f t="array" ref="Q1360">IF(P1360=1,IF(SUMPRODUCT(($P$2:P1360)*(--($G$2:G1360=$G1360)))=1,1,0),0)</f>
        <v>0</v>
      </c>
      <c r="R1360" s="69" t="str">
        <f>IF(Q1360=1,SUM($Q$2:Q1360),"")</f>
        <v/>
      </c>
    </row>
    <row r="1361" spans="1:18" x14ac:dyDescent="0.2">
      <c r="A1361" s="72"/>
      <c r="B1361" s="76"/>
      <c r="C1361" s="73"/>
      <c r="D1361" s="73" t="s">
        <v>982</v>
      </c>
      <c r="E1361" s="77" t="s">
        <v>117</v>
      </c>
      <c r="F1361" s="75" t="s">
        <v>2217</v>
      </c>
      <c r="G1361" s="75" t="s">
        <v>1269</v>
      </c>
      <c r="H1361" s="69"/>
      <c r="P1361" s="69">
        <f t="shared" si="21"/>
        <v>0</v>
      </c>
      <c r="Q1361" s="69" cm="1">
        <f t="array" ref="Q1361">IF(P1361=1,IF(SUMPRODUCT(($P$2:P1361)*(--($G$2:G1361=$G1361)))=1,1,0),0)</f>
        <v>0</v>
      </c>
      <c r="R1361" s="69" t="str">
        <f>IF(Q1361=1,SUM($Q$2:Q1361),"")</f>
        <v/>
      </c>
    </row>
    <row r="1362" spans="1:18" x14ac:dyDescent="0.2">
      <c r="A1362" s="72"/>
      <c r="B1362" s="76"/>
      <c r="C1362" s="73"/>
      <c r="D1362" s="73" t="s">
        <v>982</v>
      </c>
      <c r="E1362" s="77" t="s">
        <v>990</v>
      </c>
      <c r="F1362" s="75" t="s">
        <v>2217</v>
      </c>
      <c r="G1362" s="75" t="s">
        <v>1269</v>
      </c>
      <c r="H1362" s="69"/>
      <c r="P1362" s="69">
        <f t="shared" si="21"/>
        <v>0</v>
      </c>
      <c r="Q1362" s="69" cm="1">
        <f t="array" ref="Q1362">IF(P1362=1,IF(SUMPRODUCT(($P$2:P1362)*(--($G$2:G1362=$G1362)))=1,1,0),0)</f>
        <v>0</v>
      </c>
      <c r="R1362" s="69" t="str">
        <f>IF(Q1362=1,SUM($Q$2:Q1362),"")</f>
        <v/>
      </c>
    </row>
    <row r="1363" spans="1:18" x14ac:dyDescent="0.2">
      <c r="A1363" s="72"/>
      <c r="B1363" s="76"/>
      <c r="C1363" s="73"/>
      <c r="D1363" s="73" t="s">
        <v>982</v>
      </c>
      <c r="E1363" s="77" t="s">
        <v>117</v>
      </c>
      <c r="F1363" s="75" t="s">
        <v>2218</v>
      </c>
      <c r="G1363" s="75" t="s">
        <v>1269</v>
      </c>
      <c r="H1363" s="69"/>
      <c r="P1363" s="69">
        <f t="shared" si="21"/>
        <v>0</v>
      </c>
      <c r="Q1363" s="69" cm="1">
        <f t="array" ref="Q1363">IF(P1363=1,IF(SUMPRODUCT(($P$2:P1363)*(--($G$2:G1363=$G1363)))=1,1,0),0)</f>
        <v>0</v>
      </c>
      <c r="R1363" s="69" t="str">
        <f>IF(Q1363=1,SUM($Q$2:Q1363),"")</f>
        <v/>
      </c>
    </row>
    <row r="1364" spans="1:18" x14ac:dyDescent="0.2">
      <c r="A1364" s="72"/>
      <c r="B1364" s="76"/>
      <c r="C1364" s="73"/>
      <c r="D1364" s="73" t="s">
        <v>982</v>
      </c>
      <c r="E1364" s="77" t="s">
        <v>990</v>
      </c>
      <c r="F1364" s="75" t="s">
        <v>2218</v>
      </c>
      <c r="G1364" s="75" t="s">
        <v>1269</v>
      </c>
      <c r="H1364" s="69"/>
      <c r="P1364" s="69">
        <f t="shared" si="21"/>
        <v>0</v>
      </c>
      <c r="Q1364" s="69" cm="1">
        <f t="array" ref="Q1364">IF(P1364=1,IF(SUMPRODUCT(($P$2:P1364)*(--($G$2:G1364=$G1364)))=1,1,0),0)</f>
        <v>0</v>
      </c>
      <c r="R1364" s="69" t="str">
        <f>IF(Q1364=1,SUM($Q$2:Q1364),"")</f>
        <v/>
      </c>
    </row>
    <row r="1365" spans="1:18" x14ac:dyDescent="0.2">
      <c r="A1365" s="72"/>
      <c r="B1365" s="76"/>
      <c r="C1365" s="73"/>
      <c r="D1365" s="73" t="s">
        <v>982</v>
      </c>
      <c r="E1365" s="77" t="s">
        <v>117</v>
      </c>
      <c r="F1365" s="75" t="s">
        <v>2220</v>
      </c>
      <c r="G1365" s="75" t="s">
        <v>1267</v>
      </c>
      <c r="H1365" s="69"/>
      <c r="P1365" s="69">
        <f t="shared" si="21"/>
        <v>0</v>
      </c>
      <c r="Q1365" s="69" cm="1">
        <f t="array" ref="Q1365">IF(P1365=1,IF(SUMPRODUCT(($P$2:P1365)*(--($G$2:G1365=$G1365)))=1,1,0),0)</f>
        <v>0</v>
      </c>
      <c r="R1365" s="69" t="str">
        <f>IF(Q1365=1,SUM($Q$2:Q1365),"")</f>
        <v/>
      </c>
    </row>
    <row r="1366" spans="1:18" x14ac:dyDescent="0.2">
      <c r="A1366" s="72"/>
      <c r="B1366" s="76"/>
      <c r="C1366" s="73"/>
      <c r="D1366" s="73" t="s">
        <v>982</v>
      </c>
      <c r="E1366" s="77" t="s">
        <v>990</v>
      </c>
      <c r="F1366" s="75" t="s">
        <v>2220</v>
      </c>
      <c r="G1366" s="75" t="s">
        <v>1267</v>
      </c>
      <c r="H1366" s="69"/>
      <c r="P1366" s="69">
        <f t="shared" si="21"/>
        <v>0</v>
      </c>
      <c r="Q1366" s="69" cm="1">
        <f t="array" ref="Q1366">IF(P1366=1,IF(SUMPRODUCT(($P$2:P1366)*(--($G$2:G1366=$G1366)))=1,1,0),0)</f>
        <v>0</v>
      </c>
      <c r="R1366" s="69" t="str">
        <f>IF(Q1366=1,SUM($Q$2:Q1366),"")</f>
        <v/>
      </c>
    </row>
    <row r="1367" spans="1:18" x14ac:dyDescent="0.2">
      <c r="A1367" s="72"/>
      <c r="B1367" s="76"/>
      <c r="C1367" s="73"/>
      <c r="D1367" s="73" t="s">
        <v>982</v>
      </c>
      <c r="E1367" s="77" t="s">
        <v>117</v>
      </c>
      <c r="F1367" s="75" t="s">
        <v>1576</v>
      </c>
      <c r="G1367" s="75" t="s">
        <v>1267</v>
      </c>
      <c r="H1367" s="69"/>
      <c r="P1367" s="69">
        <f t="shared" si="21"/>
        <v>0</v>
      </c>
      <c r="Q1367" s="69" cm="1">
        <f t="array" ref="Q1367">IF(P1367=1,IF(SUMPRODUCT(($P$2:P1367)*(--($G$2:G1367=$G1367)))=1,1,0),0)</f>
        <v>0</v>
      </c>
      <c r="R1367" s="69" t="str">
        <f>IF(Q1367=1,SUM($Q$2:Q1367),"")</f>
        <v/>
      </c>
    </row>
    <row r="1368" spans="1:18" x14ac:dyDescent="0.2">
      <c r="A1368" s="72"/>
      <c r="B1368" s="76"/>
      <c r="C1368" s="73"/>
      <c r="D1368" s="73" t="s">
        <v>982</v>
      </c>
      <c r="E1368" s="77" t="s">
        <v>990</v>
      </c>
      <c r="F1368" s="75" t="s">
        <v>1576</v>
      </c>
      <c r="G1368" s="75" t="s">
        <v>1267</v>
      </c>
      <c r="H1368" s="69"/>
      <c r="P1368" s="69">
        <f t="shared" si="21"/>
        <v>0</v>
      </c>
      <c r="Q1368" s="69" cm="1">
        <f t="array" ref="Q1368">IF(P1368=1,IF(SUMPRODUCT(($P$2:P1368)*(--($G$2:G1368=$G1368)))=1,1,0),0)</f>
        <v>0</v>
      </c>
      <c r="R1368" s="69" t="str">
        <f>IF(Q1368=1,SUM($Q$2:Q1368),"")</f>
        <v/>
      </c>
    </row>
    <row r="1369" spans="1:18" x14ac:dyDescent="0.2">
      <c r="A1369" s="72"/>
      <c r="B1369" s="76"/>
      <c r="C1369" s="73"/>
      <c r="D1369" s="73" t="s">
        <v>982</v>
      </c>
      <c r="E1369" s="77" t="s">
        <v>117</v>
      </c>
      <c r="F1369" s="75" t="s">
        <v>2231</v>
      </c>
      <c r="G1369" s="75" t="s">
        <v>1267</v>
      </c>
      <c r="H1369" s="69"/>
      <c r="P1369" s="69">
        <f t="shared" si="21"/>
        <v>0</v>
      </c>
      <c r="Q1369" s="69" cm="1">
        <f t="array" ref="Q1369">IF(P1369=1,IF(SUMPRODUCT(($P$2:P1369)*(--($G$2:G1369=$G1369)))=1,1,0),0)</f>
        <v>0</v>
      </c>
      <c r="R1369" s="69" t="str">
        <f>IF(Q1369=1,SUM($Q$2:Q1369),"")</f>
        <v/>
      </c>
    </row>
    <row r="1370" spans="1:18" x14ac:dyDescent="0.2">
      <c r="A1370" s="72"/>
      <c r="B1370" s="76"/>
      <c r="C1370" s="73"/>
      <c r="D1370" s="73" t="s">
        <v>982</v>
      </c>
      <c r="E1370" s="77" t="s">
        <v>990</v>
      </c>
      <c r="F1370" s="75" t="s">
        <v>2231</v>
      </c>
      <c r="G1370" s="75" t="s">
        <v>1267</v>
      </c>
      <c r="H1370" s="69"/>
      <c r="P1370" s="69">
        <f t="shared" si="21"/>
        <v>0</v>
      </c>
      <c r="Q1370" s="69" cm="1">
        <f t="array" ref="Q1370">IF(P1370=1,IF(SUMPRODUCT(($P$2:P1370)*(--($G$2:G1370=$G1370)))=1,1,0),0)</f>
        <v>0</v>
      </c>
      <c r="R1370" s="69" t="str">
        <f>IF(Q1370=1,SUM($Q$2:Q1370),"")</f>
        <v/>
      </c>
    </row>
    <row r="1371" spans="1:18" x14ac:dyDescent="0.2">
      <c r="A1371" s="72"/>
      <c r="B1371" s="76"/>
      <c r="C1371" s="73"/>
      <c r="D1371" s="73" t="s">
        <v>982</v>
      </c>
      <c r="E1371" s="77" t="s">
        <v>117</v>
      </c>
      <c r="F1371" s="75" t="s">
        <v>2221</v>
      </c>
      <c r="G1371" s="75" t="s">
        <v>1267</v>
      </c>
      <c r="H1371" s="69"/>
      <c r="P1371" s="69">
        <f t="shared" si="21"/>
        <v>0</v>
      </c>
      <c r="Q1371" s="69" cm="1">
        <f t="array" ref="Q1371">IF(P1371=1,IF(SUMPRODUCT(($P$2:P1371)*(--($G$2:G1371=$G1371)))=1,1,0),0)</f>
        <v>0</v>
      </c>
      <c r="R1371" s="69" t="str">
        <f>IF(Q1371=1,SUM($Q$2:Q1371),"")</f>
        <v/>
      </c>
    </row>
    <row r="1372" spans="1:18" x14ac:dyDescent="0.2">
      <c r="A1372" s="72"/>
      <c r="B1372" s="76"/>
      <c r="C1372" s="73"/>
      <c r="D1372" s="73" t="s">
        <v>982</v>
      </c>
      <c r="E1372" s="77" t="s">
        <v>990</v>
      </c>
      <c r="F1372" s="75" t="s">
        <v>2221</v>
      </c>
      <c r="G1372" s="75" t="s">
        <v>1267</v>
      </c>
      <c r="H1372" s="69"/>
      <c r="P1372" s="69">
        <f t="shared" si="21"/>
        <v>0</v>
      </c>
      <c r="Q1372" s="69" cm="1">
        <f t="array" ref="Q1372">IF(P1372=1,IF(SUMPRODUCT(($P$2:P1372)*(--($G$2:G1372=$G1372)))=1,1,0),0)</f>
        <v>0</v>
      </c>
      <c r="R1372" s="69" t="str">
        <f>IF(Q1372=1,SUM($Q$2:Q1372),"")</f>
        <v/>
      </c>
    </row>
    <row r="1373" spans="1:18" x14ac:dyDescent="0.2">
      <c r="A1373" s="72"/>
      <c r="B1373" s="76"/>
      <c r="C1373" s="73"/>
      <c r="D1373" s="73" t="s">
        <v>982</v>
      </c>
      <c r="E1373" s="77" t="s">
        <v>117</v>
      </c>
      <c r="F1373" s="75" t="s">
        <v>2244</v>
      </c>
      <c r="G1373" s="75" t="s">
        <v>1267</v>
      </c>
      <c r="H1373" s="69"/>
      <c r="P1373" s="69">
        <f t="shared" si="21"/>
        <v>0</v>
      </c>
      <c r="Q1373" s="69" cm="1">
        <f t="array" ref="Q1373">IF(P1373=1,IF(SUMPRODUCT(($P$2:P1373)*(--($G$2:G1373=$G1373)))=1,1,0),0)</f>
        <v>0</v>
      </c>
      <c r="R1373" s="69" t="str">
        <f>IF(Q1373=1,SUM($Q$2:Q1373),"")</f>
        <v/>
      </c>
    </row>
    <row r="1374" spans="1:18" x14ac:dyDescent="0.2">
      <c r="A1374" s="72"/>
      <c r="B1374" s="76"/>
      <c r="C1374" s="73"/>
      <c r="D1374" s="73" t="s">
        <v>982</v>
      </c>
      <c r="E1374" s="77" t="s">
        <v>990</v>
      </c>
      <c r="F1374" s="75" t="s">
        <v>2244</v>
      </c>
      <c r="G1374" s="75" t="s">
        <v>1267</v>
      </c>
      <c r="H1374" s="69"/>
      <c r="P1374" s="69">
        <f t="shared" si="21"/>
        <v>0</v>
      </c>
      <c r="Q1374" s="69" cm="1">
        <f t="array" ref="Q1374">IF(P1374=1,IF(SUMPRODUCT(($P$2:P1374)*(--($G$2:G1374=$G1374)))=1,1,0),0)</f>
        <v>0</v>
      </c>
      <c r="R1374" s="69" t="str">
        <f>IF(Q1374=1,SUM($Q$2:Q1374),"")</f>
        <v/>
      </c>
    </row>
    <row r="1375" spans="1:18" ht="16" x14ac:dyDescent="0.2">
      <c r="A1375" s="72"/>
      <c r="B1375" s="84"/>
      <c r="C1375" s="73"/>
      <c r="D1375" s="73" t="s">
        <v>982</v>
      </c>
      <c r="E1375" s="77" t="s">
        <v>94</v>
      </c>
      <c r="F1375" s="75" t="s">
        <v>2240</v>
      </c>
      <c r="G1375" s="74" t="s">
        <v>617</v>
      </c>
      <c r="H1375" s="69"/>
      <c r="P1375" s="69">
        <f t="shared" si="21"/>
        <v>0</v>
      </c>
      <c r="Q1375" s="69" cm="1">
        <f t="array" ref="Q1375">IF(P1375=1,IF(SUMPRODUCT(($P$2:P1375)*(--($G$2:G1375=$G1375)))=1,1,0),0)</f>
        <v>0</v>
      </c>
      <c r="R1375" s="69" t="str">
        <f>IF(Q1375=1,SUM($Q$2:Q1375),"")</f>
        <v/>
      </c>
    </row>
    <row r="1376" spans="1:18" ht="16" x14ac:dyDescent="0.2">
      <c r="A1376" s="72"/>
      <c r="B1376" s="84"/>
      <c r="C1376" s="73"/>
      <c r="D1376" s="73" t="s">
        <v>982</v>
      </c>
      <c r="E1376" s="77" t="s">
        <v>94</v>
      </c>
      <c r="F1376" s="75" t="s">
        <v>2080</v>
      </c>
      <c r="G1376" s="74" t="s">
        <v>617</v>
      </c>
      <c r="H1376" s="69"/>
      <c r="P1376" s="69">
        <f t="shared" si="21"/>
        <v>0</v>
      </c>
      <c r="Q1376" s="69" cm="1">
        <f t="array" ref="Q1376">IF(P1376=1,IF(SUMPRODUCT(($P$2:P1376)*(--($G$2:G1376=$G1376)))=1,1,0),0)</f>
        <v>0</v>
      </c>
      <c r="R1376" s="69" t="str">
        <f>IF(Q1376=1,SUM($Q$2:Q1376),"")</f>
        <v/>
      </c>
    </row>
    <row r="1377" spans="1:18" ht="16" x14ac:dyDescent="0.2">
      <c r="A1377" s="72"/>
      <c r="B1377" s="84"/>
      <c r="C1377" s="73"/>
      <c r="D1377" s="73" t="s">
        <v>982</v>
      </c>
      <c r="E1377" s="77" t="s">
        <v>94</v>
      </c>
      <c r="F1377" s="75" t="s">
        <v>2219</v>
      </c>
      <c r="G1377" s="74" t="s">
        <v>617</v>
      </c>
      <c r="H1377" s="69"/>
      <c r="P1377" s="69">
        <f t="shared" si="21"/>
        <v>0</v>
      </c>
      <c r="Q1377" s="69" cm="1">
        <f t="array" ref="Q1377">IF(P1377=1,IF(SUMPRODUCT(($P$2:P1377)*(--($G$2:G1377=$G1377)))=1,1,0),0)</f>
        <v>0</v>
      </c>
      <c r="R1377" s="69" t="str">
        <f>IF(Q1377=1,SUM($Q$2:Q1377),"")</f>
        <v/>
      </c>
    </row>
    <row r="1378" spans="1:18" ht="16" x14ac:dyDescent="0.2">
      <c r="A1378" s="72"/>
      <c r="B1378" s="84"/>
      <c r="C1378" s="73"/>
      <c r="D1378" s="73" t="s">
        <v>982</v>
      </c>
      <c r="E1378" s="77" t="s">
        <v>94</v>
      </c>
      <c r="F1378" s="75" t="s">
        <v>2217</v>
      </c>
      <c r="G1378" s="74" t="s">
        <v>617</v>
      </c>
      <c r="H1378" s="69"/>
      <c r="P1378" s="69">
        <f t="shared" si="21"/>
        <v>0</v>
      </c>
      <c r="Q1378" s="69" cm="1">
        <f t="array" ref="Q1378">IF(P1378=1,IF(SUMPRODUCT(($P$2:P1378)*(--($G$2:G1378=$G1378)))=1,1,0),0)</f>
        <v>0</v>
      </c>
      <c r="R1378" s="69" t="str">
        <f>IF(Q1378=1,SUM($Q$2:Q1378),"")</f>
        <v/>
      </c>
    </row>
    <row r="1379" spans="1:18" ht="16" x14ac:dyDescent="0.2">
      <c r="A1379" s="72"/>
      <c r="B1379" s="84"/>
      <c r="C1379" s="73"/>
      <c r="D1379" s="73" t="s">
        <v>982</v>
      </c>
      <c r="E1379" s="77" t="s">
        <v>94</v>
      </c>
      <c r="F1379" s="75" t="s">
        <v>2218</v>
      </c>
      <c r="G1379" s="74" t="s">
        <v>617</v>
      </c>
      <c r="H1379" s="69"/>
      <c r="P1379" s="69">
        <f t="shared" si="21"/>
        <v>0</v>
      </c>
      <c r="Q1379" s="69" cm="1">
        <f t="array" ref="Q1379">IF(P1379=1,IF(SUMPRODUCT(($P$2:P1379)*(--($G$2:G1379=$G1379)))=1,1,0),0)</f>
        <v>0</v>
      </c>
      <c r="R1379" s="69" t="str">
        <f>IF(Q1379=1,SUM($Q$2:Q1379),"")</f>
        <v/>
      </c>
    </row>
    <row r="1380" spans="1:18" x14ac:dyDescent="0.2">
      <c r="A1380" s="72"/>
      <c r="B1380" s="76"/>
      <c r="C1380" s="73"/>
      <c r="D1380" s="73" t="s">
        <v>982</v>
      </c>
      <c r="E1380" s="77" t="s">
        <v>110</v>
      </c>
      <c r="F1380" s="75" t="s">
        <v>2225</v>
      </c>
      <c r="G1380" s="75" t="s">
        <v>1124</v>
      </c>
      <c r="H1380" s="69"/>
      <c r="P1380" s="69">
        <f t="shared" si="21"/>
        <v>0</v>
      </c>
      <c r="Q1380" s="69" cm="1">
        <f t="array" ref="Q1380">IF(P1380=1,IF(SUMPRODUCT(($P$2:P1380)*(--($G$2:G1380=$G1380)))=1,1,0),0)</f>
        <v>0</v>
      </c>
      <c r="R1380" s="69" t="str">
        <f>IF(Q1380=1,SUM($Q$2:Q1380),"")</f>
        <v/>
      </c>
    </row>
    <row r="1381" spans="1:18" x14ac:dyDescent="0.2">
      <c r="A1381" s="72"/>
      <c r="B1381" s="76"/>
      <c r="C1381" s="73"/>
      <c r="D1381" s="73" t="s">
        <v>982</v>
      </c>
      <c r="E1381" s="77" t="s">
        <v>990</v>
      </c>
      <c r="F1381" s="75" t="s">
        <v>2225</v>
      </c>
      <c r="G1381" s="75" t="s">
        <v>1124</v>
      </c>
      <c r="H1381" s="69"/>
      <c r="P1381" s="69">
        <f t="shared" si="21"/>
        <v>0</v>
      </c>
      <c r="Q1381" s="69" cm="1">
        <f t="array" ref="Q1381">IF(P1381=1,IF(SUMPRODUCT(($P$2:P1381)*(--($G$2:G1381=$G1381)))=1,1,0),0)</f>
        <v>0</v>
      </c>
      <c r="R1381" s="69" t="str">
        <f>IF(Q1381=1,SUM($Q$2:Q1381),"")</f>
        <v/>
      </c>
    </row>
    <row r="1382" spans="1:18" x14ac:dyDescent="0.2">
      <c r="A1382" s="72"/>
      <c r="B1382" s="76"/>
      <c r="C1382" s="73"/>
      <c r="D1382" s="73" t="s">
        <v>982</v>
      </c>
      <c r="E1382" s="77" t="s">
        <v>110</v>
      </c>
      <c r="F1382" s="75" t="s">
        <v>1526</v>
      </c>
      <c r="G1382" s="75" t="s">
        <v>1124</v>
      </c>
      <c r="H1382" s="69"/>
      <c r="P1382" s="69">
        <f t="shared" si="21"/>
        <v>0</v>
      </c>
      <c r="Q1382" s="69" cm="1">
        <f t="array" ref="Q1382">IF(P1382=1,IF(SUMPRODUCT(($P$2:P1382)*(--($G$2:G1382=$G1382)))=1,1,0),0)</f>
        <v>0</v>
      </c>
      <c r="R1382" s="69" t="str">
        <f>IF(Q1382=1,SUM($Q$2:Q1382),"")</f>
        <v/>
      </c>
    </row>
    <row r="1383" spans="1:18" x14ac:dyDescent="0.2">
      <c r="A1383" s="72"/>
      <c r="B1383" s="76"/>
      <c r="C1383" s="73"/>
      <c r="D1383" s="73" t="s">
        <v>982</v>
      </c>
      <c r="E1383" s="77" t="s">
        <v>990</v>
      </c>
      <c r="F1383" s="75" t="s">
        <v>1526</v>
      </c>
      <c r="G1383" s="75" t="s">
        <v>1124</v>
      </c>
      <c r="H1383" s="69"/>
      <c r="P1383" s="69">
        <f t="shared" si="21"/>
        <v>0</v>
      </c>
      <c r="Q1383" s="69" cm="1">
        <f t="array" ref="Q1383">IF(P1383=1,IF(SUMPRODUCT(($P$2:P1383)*(--($G$2:G1383=$G1383)))=1,1,0),0)</f>
        <v>0</v>
      </c>
      <c r="R1383" s="69" t="str">
        <f>IF(Q1383=1,SUM($Q$2:Q1383),"")</f>
        <v/>
      </c>
    </row>
    <row r="1384" spans="1:18" x14ac:dyDescent="0.2">
      <c r="A1384" s="72"/>
      <c r="B1384" s="76"/>
      <c r="C1384" s="73"/>
      <c r="D1384" s="73" t="s">
        <v>982</v>
      </c>
      <c r="E1384" s="77" t="s">
        <v>110</v>
      </c>
      <c r="F1384" s="75" t="s">
        <v>2225</v>
      </c>
      <c r="G1384" s="75" t="s">
        <v>1124</v>
      </c>
      <c r="H1384" s="69"/>
      <c r="P1384" s="69">
        <f t="shared" si="21"/>
        <v>0</v>
      </c>
      <c r="Q1384" s="69" cm="1">
        <f t="array" ref="Q1384">IF(P1384=1,IF(SUMPRODUCT(($P$2:P1384)*(--($G$2:G1384=$G1384)))=1,1,0),0)</f>
        <v>0</v>
      </c>
      <c r="R1384" s="69" t="str">
        <f>IF(Q1384=1,SUM($Q$2:Q1384),"")</f>
        <v/>
      </c>
    </row>
    <row r="1385" spans="1:18" x14ac:dyDescent="0.2">
      <c r="A1385" s="72"/>
      <c r="B1385" s="76"/>
      <c r="C1385" s="73"/>
      <c r="D1385" s="73" t="s">
        <v>982</v>
      </c>
      <c r="E1385" s="77" t="s">
        <v>990</v>
      </c>
      <c r="F1385" s="75" t="s">
        <v>2225</v>
      </c>
      <c r="G1385" s="75" t="s">
        <v>1124</v>
      </c>
      <c r="H1385" s="69"/>
      <c r="P1385" s="69">
        <f t="shared" si="21"/>
        <v>0</v>
      </c>
      <c r="Q1385" s="69" cm="1">
        <f t="array" ref="Q1385">IF(P1385=1,IF(SUMPRODUCT(($P$2:P1385)*(--($G$2:G1385=$G1385)))=1,1,0),0)</f>
        <v>0</v>
      </c>
      <c r="R1385" s="69" t="str">
        <f>IF(Q1385=1,SUM($Q$2:Q1385),"")</f>
        <v/>
      </c>
    </row>
    <row r="1386" spans="1:18" x14ac:dyDescent="0.2">
      <c r="A1386" s="72"/>
      <c r="B1386" s="76"/>
      <c r="C1386" s="73"/>
      <c r="D1386" s="73" t="s">
        <v>982</v>
      </c>
      <c r="E1386" s="77" t="s">
        <v>110</v>
      </c>
      <c r="F1386" s="75" t="s">
        <v>1526</v>
      </c>
      <c r="G1386" s="75" t="s">
        <v>1124</v>
      </c>
      <c r="H1386" s="69"/>
      <c r="P1386" s="69">
        <f t="shared" si="21"/>
        <v>0</v>
      </c>
      <c r="Q1386" s="69" cm="1">
        <f t="array" ref="Q1386">IF(P1386=1,IF(SUMPRODUCT(($P$2:P1386)*(--($G$2:G1386=$G1386)))=1,1,0),0)</f>
        <v>0</v>
      </c>
      <c r="R1386" s="69" t="str">
        <f>IF(Q1386=1,SUM($Q$2:Q1386),"")</f>
        <v/>
      </c>
    </row>
    <row r="1387" spans="1:18" x14ac:dyDescent="0.2">
      <c r="A1387" s="72"/>
      <c r="B1387" s="76"/>
      <c r="C1387" s="73"/>
      <c r="D1387" s="73" t="s">
        <v>982</v>
      </c>
      <c r="E1387" s="77" t="s">
        <v>990</v>
      </c>
      <c r="F1387" s="75" t="s">
        <v>1526</v>
      </c>
      <c r="G1387" s="75" t="s">
        <v>1124</v>
      </c>
      <c r="H1387" s="69"/>
      <c r="P1387" s="69">
        <f t="shared" si="21"/>
        <v>0</v>
      </c>
      <c r="Q1387" s="69" cm="1">
        <f t="array" ref="Q1387">IF(P1387=1,IF(SUMPRODUCT(($P$2:P1387)*(--($G$2:G1387=$G1387)))=1,1,0),0)</f>
        <v>0</v>
      </c>
      <c r="R1387" s="69" t="str">
        <f>IF(Q1387=1,SUM($Q$2:Q1387),"")</f>
        <v/>
      </c>
    </row>
    <row r="1388" spans="1:18" x14ac:dyDescent="0.2">
      <c r="A1388" s="72"/>
      <c r="B1388" s="76"/>
      <c r="C1388" s="73"/>
      <c r="D1388" s="73" t="s">
        <v>982</v>
      </c>
      <c r="E1388" s="77" t="s">
        <v>94</v>
      </c>
      <c r="F1388" s="75" t="s">
        <v>2222</v>
      </c>
      <c r="G1388" s="75" t="s">
        <v>1056</v>
      </c>
      <c r="H1388" s="69"/>
      <c r="P1388" s="69">
        <f t="shared" si="21"/>
        <v>0</v>
      </c>
      <c r="Q1388" s="69" cm="1">
        <f t="array" ref="Q1388">IF(P1388=1,IF(SUMPRODUCT(($P$2:P1388)*(--($G$2:G1388=$G1388)))=1,1,0),0)</f>
        <v>0</v>
      </c>
      <c r="R1388" s="69" t="str">
        <f>IF(Q1388=1,SUM($Q$2:Q1388),"")</f>
        <v/>
      </c>
    </row>
    <row r="1389" spans="1:18" x14ac:dyDescent="0.2">
      <c r="A1389" s="72"/>
      <c r="B1389" s="76"/>
      <c r="C1389" s="73"/>
      <c r="D1389" s="73" t="s">
        <v>982</v>
      </c>
      <c r="E1389" s="77" t="s">
        <v>135</v>
      </c>
      <c r="F1389" s="75" t="s">
        <v>2222</v>
      </c>
      <c r="G1389" s="75" t="s">
        <v>1056</v>
      </c>
      <c r="H1389" s="69"/>
      <c r="P1389" s="69">
        <f t="shared" si="21"/>
        <v>0</v>
      </c>
      <c r="Q1389" s="69" cm="1">
        <f t="array" ref="Q1389">IF(P1389=1,IF(SUMPRODUCT(($P$2:P1389)*(--($G$2:G1389=$G1389)))=1,1,0),0)</f>
        <v>0</v>
      </c>
      <c r="R1389" s="69" t="str">
        <f>IF(Q1389=1,SUM($Q$2:Q1389),"")</f>
        <v/>
      </c>
    </row>
    <row r="1390" spans="1:18" ht="16" x14ac:dyDescent="0.2">
      <c r="A1390" s="72"/>
      <c r="B1390" s="76"/>
      <c r="C1390" s="73"/>
      <c r="D1390" s="73" t="s">
        <v>975</v>
      </c>
      <c r="E1390" s="77" t="s">
        <v>103</v>
      </c>
      <c r="F1390" s="75" t="s">
        <v>94</v>
      </c>
      <c r="G1390" s="74" t="s">
        <v>567</v>
      </c>
      <c r="H1390" s="69"/>
      <c r="P1390" s="69">
        <f t="shared" si="21"/>
        <v>0</v>
      </c>
      <c r="Q1390" s="69" cm="1">
        <f t="array" ref="Q1390">IF(P1390=1,IF(SUMPRODUCT(($P$2:P1390)*(--($G$2:G1390=$G1390)))=1,1,0),0)</f>
        <v>0</v>
      </c>
      <c r="R1390" s="69" t="str">
        <f>IF(Q1390=1,SUM($Q$2:Q1390),"")</f>
        <v/>
      </c>
    </row>
    <row r="1391" spans="1:18" ht="16" x14ac:dyDescent="0.2">
      <c r="A1391" s="72"/>
      <c r="B1391" s="76"/>
      <c r="C1391" s="73"/>
      <c r="D1391" s="73" t="s">
        <v>975</v>
      </c>
      <c r="E1391" s="77" t="s">
        <v>103</v>
      </c>
      <c r="F1391" s="75" t="s">
        <v>94</v>
      </c>
      <c r="G1391" s="74" t="s">
        <v>567</v>
      </c>
      <c r="H1391" s="69"/>
      <c r="P1391" s="69">
        <f t="shared" si="21"/>
        <v>0</v>
      </c>
      <c r="Q1391" s="69" cm="1">
        <f t="array" ref="Q1391">IF(P1391=1,IF(SUMPRODUCT(($P$2:P1391)*(--($G$2:G1391=$G1391)))=1,1,0),0)</f>
        <v>0</v>
      </c>
      <c r="R1391" s="69" t="str">
        <f>IF(Q1391=1,SUM($Q$2:Q1391),"")</f>
        <v/>
      </c>
    </row>
    <row r="1392" spans="1:18" ht="16" x14ac:dyDescent="0.2">
      <c r="A1392" s="72"/>
      <c r="B1392" s="76"/>
      <c r="C1392" s="73"/>
      <c r="D1392" s="73" t="s">
        <v>975</v>
      </c>
      <c r="E1392" s="77" t="s">
        <v>94</v>
      </c>
      <c r="F1392" s="75" t="s">
        <v>375</v>
      </c>
      <c r="G1392" s="74" t="s">
        <v>577</v>
      </c>
      <c r="H1392" s="69"/>
      <c r="P1392" s="69">
        <f t="shared" si="21"/>
        <v>0</v>
      </c>
      <c r="Q1392" s="69" cm="1">
        <f t="array" ref="Q1392">IF(P1392=1,IF(SUMPRODUCT(($P$2:P1392)*(--($G$2:G1392=$G1392)))=1,1,0),0)</f>
        <v>0</v>
      </c>
      <c r="R1392" s="69" t="str">
        <f>IF(Q1392=1,SUM($Q$2:Q1392),"")</f>
        <v/>
      </c>
    </row>
    <row r="1393" spans="1:18" ht="16" x14ac:dyDescent="0.2">
      <c r="A1393" s="72"/>
      <c r="B1393" s="76"/>
      <c r="C1393" s="73"/>
      <c r="D1393" s="73" t="s">
        <v>975</v>
      </c>
      <c r="E1393" s="77" t="s">
        <v>94</v>
      </c>
      <c r="F1393" s="75" t="s">
        <v>1614</v>
      </c>
      <c r="G1393" s="74" t="s">
        <v>953</v>
      </c>
      <c r="H1393" s="69"/>
      <c r="P1393" s="69">
        <f t="shared" si="21"/>
        <v>0</v>
      </c>
      <c r="Q1393" s="69" cm="1">
        <f t="array" ref="Q1393">IF(P1393=1,IF(SUMPRODUCT(($P$2:P1393)*(--($G$2:G1393=$G1393)))=1,1,0),0)</f>
        <v>0</v>
      </c>
      <c r="R1393" s="69" t="str">
        <f>IF(Q1393=1,SUM($Q$2:Q1393),"")</f>
        <v/>
      </c>
    </row>
    <row r="1394" spans="1:18" ht="16" x14ac:dyDescent="0.2">
      <c r="A1394" s="72"/>
      <c r="B1394" s="76"/>
      <c r="C1394" s="73"/>
      <c r="D1394" s="73" t="s">
        <v>975</v>
      </c>
      <c r="E1394" s="77" t="s">
        <v>94</v>
      </c>
      <c r="F1394" s="75" t="s">
        <v>286</v>
      </c>
      <c r="G1394" s="74" t="s">
        <v>571</v>
      </c>
      <c r="H1394" s="69"/>
      <c r="P1394" s="69">
        <f t="shared" si="21"/>
        <v>0</v>
      </c>
      <c r="Q1394" s="69" cm="1">
        <f t="array" ref="Q1394">IF(P1394=1,IF(SUMPRODUCT(($P$2:P1394)*(--($G$2:G1394=$G1394)))=1,1,0),0)</f>
        <v>0</v>
      </c>
      <c r="R1394" s="69" t="str">
        <f>IF(Q1394=1,SUM($Q$2:Q1394),"")</f>
        <v/>
      </c>
    </row>
    <row r="1395" spans="1:18" ht="16" x14ac:dyDescent="0.2">
      <c r="A1395" s="72"/>
      <c r="B1395" s="76"/>
      <c r="C1395" s="73"/>
      <c r="D1395" s="73" t="s">
        <v>975</v>
      </c>
      <c r="E1395" s="77" t="s">
        <v>94</v>
      </c>
      <c r="F1395" s="75" t="s">
        <v>1582</v>
      </c>
      <c r="G1395" s="74" t="s">
        <v>571</v>
      </c>
      <c r="H1395" s="69"/>
      <c r="P1395" s="69">
        <f t="shared" si="21"/>
        <v>0</v>
      </c>
      <c r="Q1395" s="69" cm="1">
        <f t="array" ref="Q1395">IF(P1395=1,IF(SUMPRODUCT(($P$2:P1395)*(--($G$2:G1395=$G1395)))=1,1,0),0)</f>
        <v>0</v>
      </c>
      <c r="R1395" s="69" t="str">
        <f>IF(Q1395=1,SUM($Q$2:Q1395),"")</f>
        <v/>
      </c>
    </row>
    <row r="1396" spans="1:18" ht="16" x14ac:dyDescent="0.2">
      <c r="A1396" s="72"/>
      <c r="B1396" s="76"/>
      <c r="C1396" s="73"/>
      <c r="D1396" s="73" t="s">
        <v>975</v>
      </c>
      <c r="E1396" s="77" t="s">
        <v>94</v>
      </c>
      <c r="F1396" s="75" t="s">
        <v>1580</v>
      </c>
      <c r="G1396" s="74" t="s">
        <v>571</v>
      </c>
      <c r="H1396" s="69"/>
      <c r="P1396" s="69">
        <f t="shared" si="21"/>
        <v>0</v>
      </c>
      <c r="Q1396" s="69" cm="1">
        <f t="array" ref="Q1396">IF(P1396=1,IF(SUMPRODUCT(($P$2:P1396)*(--($G$2:G1396=$G1396)))=1,1,0),0)</f>
        <v>0</v>
      </c>
      <c r="R1396" s="69" t="str">
        <f>IF(Q1396=1,SUM($Q$2:Q1396),"")</f>
        <v/>
      </c>
    </row>
    <row r="1397" spans="1:18" ht="16" x14ac:dyDescent="0.2">
      <c r="A1397" s="72"/>
      <c r="B1397" s="76"/>
      <c r="C1397" s="73"/>
      <c r="D1397" s="73" t="s">
        <v>975</v>
      </c>
      <c r="E1397" s="77" t="s">
        <v>94</v>
      </c>
      <c r="F1397" s="75" t="s">
        <v>1581</v>
      </c>
      <c r="G1397" s="74" t="s">
        <v>571</v>
      </c>
      <c r="H1397" s="69"/>
      <c r="P1397" s="69">
        <f t="shared" si="21"/>
        <v>0</v>
      </c>
      <c r="Q1397" s="69" cm="1">
        <f t="array" ref="Q1397">IF(P1397=1,IF(SUMPRODUCT(($P$2:P1397)*(--($G$2:G1397=$G1397)))=1,1,0),0)</f>
        <v>0</v>
      </c>
      <c r="R1397" s="69" t="str">
        <f>IF(Q1397=1,SUM($Q$2:Q1397),"")</f>
        <v/>
      </c>
    </row>
    <row r="1398" spans="1:18" ht="16" x14ac:dyDescent="0.2">
      <c r="A1398" s="72"/>
      <c r="B1398" s="76"/>
      <c r="C1398" s="73"/>
      <c r="D1398" s="73" t="s">
        <v>975</v>
      </c>
      <c r="E1398" s="77" t="s">
        <v>103</v>
      </c>
      <c r="F1398" s="75" t="s">
        <v>286</v>
      </c>
      <c r="G1398" s="74" t="s">
        <v>570</v>
      </c>
      <c r="H1398" s="69"/>
      <c r="P1398" s="69">
        <f t="shared" si="21"/>
        <v>0</v>
      </c>
      <c r="Q1398" s="69" cm="1">
        <f t="array" ref="Q1398">IF(P1398=1,IF(SUMPRODUCT(($P$2:P1398)*(--($G$2:G1398=$G1398)))=1,1,0),0)</f>
        <v>0</v>
      </c>
      <c r="R1398" s="69" t="str">
        <f>IF(Q1398=1,SUM($Q$2:Q1398),"")</f>
        <v/>
      </c>
    </row>
    <row r="1399" spans="1:18" ht="16" x14ac:dyDescent="0.2">
      <c r="A1399" s="72"/>
      <c r="B1399" s="76"/>
      <c r="C1399" s="73"/>
      <c r="D1399" s="73" t="s">
        <v>975</v>
      </c>
      <c r="E1399" s="77" t="s">
        <v>103</v>
      </c>
      <c r="F1399" s="75" t="s">
        <v>1580</v>
      </c>
      <c r="G1399" s="74" t="s">
        <v>570</v>
      </c>
      <c r="H1399" s="69"/>
      <c r="P1399" s="69">
        <f t="shared" si="21"/>
        <v>0</v>
      </c>
      <c r="Q1399" s="69" cm="1">
        <f t="array" ref="Q1399">IF(P1399=1,IF(SUMPRODUCT(($P$2:P1399)*(--($G$2:G1399=$G1399)))=1,1,0),0)</f>
        <v>0</v>
      </c>
      <c r="R1399" s="69" t="str">
        <f>IF(Q1399=1,SUM($Q$2:Q1399),"")</f>
        <v/>
      </c>
    </row>
    <row r="1400" spans="1:18" ht="16" x14ac:dyDescent="0.2">
      <c r="A1400" s="72"/>
      <c r="B1400" s="76"/>
      <c r="C1400" s="73"/>
      <c r="D1400" s="73" t="s">
        <v>975</v>
      </c>
      <c r="E1400" s="77" t="s">
        <v>103</v>
      </c>
      <c r="F1400" s="75" t="s">
        <v>1581</v>
      </c>
      <c r="G1400" s="74" t="s">
        <v>570</v>
      </c>
      <c r="H1400" s="69"/>
      <c r="P1400" s="69">
        <f t="shared" si="21"/>
        <v>0</v>
      </c>
      <c r="Q1400" s="69" cm="1">
        <f t="array" ref="Q1400">IF(P1400=1,IF(SUMPRODUCT(($P$2:P1400)*(--($G$2:G1400=$G1400)))=1,1,0),0)</f>
        <v>0</v>
      </c>
      <c r="R1400" s="69" t="str">
        <f>IF(Q1400=1,SUM($Q$2:Q1400),"")</f>
        <v/>
      </c>
    </row>
    <row r="1401" spans="1:18" ht="16" x14ac:dyDescent="0.2">
      <c r="A1401" s="72"/>
      <c r="B1401" s="76"/>
      <c r="C1401" s="73"/>
      <c r="D1401" s="73" t="s">
        <v>975</v>
      </c>
      <c r="E1401" s="77" t="s">
        <v>103</v>
      </c>
      <c r="F1401" s="75" t="s">
        <v>1582</v>
      </c>
      <c r="G1401" s="74" t="s">
        <v>570</v>
      </c>
      <c r="H1401" s="69"/>
      <c r="P1401" s="69">
        <f t="shared" si="21"/>
        <v>0</v>
      </c>
      <c r="Q1401" s="69" cm="1">
        <f t="array" ref="Q1401">IF(P1401=1,IF(SUMPRODUCT(($P$2:P1401)*(--($G$2:G1401=$G1401)))=1,1,0),0)</f>
        <v>0</v>
      </c>
      <c r="R1401" s="69" t="str">
        <f>IF(Q1401=1,SUM($Q$2:Q1401),"")</f>
        <v/>
      </c>
    </row>
    <row r="1402" spans="1:18" ht="16" x14ac:dyDescent="0.2">
      <c r="A1402" s="72"/>
      <c r="B1402" s="76"/>
      <c r="C1402" s="73"/>
      <c r="D1402" s="73" t="s">
        <v>975</v>
      </c>
      <c r="E1402" s="77" t="s">
        <v>103</v>
      </c>
      <c r="F1402" s="75" t="s">
        <v>1526</v>
      </c>
      <c r="G1402" s="74" t="s">
        <v>570</v>
      </c>
      <c r="H1402" s="69"/>
      <c r="P1402" s="69">
        <f t="shared" si="21"/>
        <v>0</v>
      </c>
      <c r="Q1402" s="69" cm="1">
        <f t="array" ref="Q1402">IF(P1402=1,IF(SUMPRODUCT(($P$2:P1402)*(--($G$2:G1402=$G1402)))=1,1,0),0)</f>
        <v>0</v>
      </c>
      <c r="R1402" s="69" t="str">
        <f>IF(Q1402=1,SUM($Q$2:Q1402),"")</f>
        <v/>
      </c>
    </row>
    <row r="1403" spans="1:18" ht="16" x14ac:dyDescent="0.2">
      <c r="A1403" s="72"/>
      <c r="B1403" s="76"/>
      <c r="C1403" s="73"/>
      <c r="D1403" s="73" t="s">
        <v>975</v>
      </c>
      <c r="E1403" s="77" t="s">
        <v>103</v>
      </c>
      <c r="F1403" s="75" t="s">
        <v>1583</v>
      </c>
      <c r="G1403" s="74" t="s">
        <v>570</v>
      </c>
      <c r="H1403" s="69"/>
      <c r="P1403" s="69">
        <f t="shared" si="21"/>
        <v>0</v>
      </c>
      <c r="Q1403" s="69" cm="1">
        <f t="array" ref="Q1403">IF(P1403=1,IF(SUMPRODUCT(($P$2:P1403)*(--($G$2:G1403=$G1403)))=1,1,0),0)</f>
        <v>0</v>
      </c>
      <c r="R1403" s="69" t="str">
        <f>IF(Q1403=1,SUM($Q$2:Q1403),"")</f>
        <v/>
      </c>
    </row>
    <row r="1404" spans="1:18" ht="16" x14ac:dyDescent="0.2">
      <c r="A1404" s="72"/>
      <c r="B1404" s="76"/>
      <c r="C1404" s="73"/>
      <c r="D1404" s="73" t="s">
        <v>975</v>
      </c>
      <c r="E1404" s="77" t="s">
        <v>103</v>
      </c>
      <c r="F1404" s="75" t="s">
        <v>1584</v>
      </c>
      <c r="G1404" s="74" t="s">
        <v>570</v>
      </c>
      <c r="H1404" s="69"/>
      <c r="P1404" s="69">
        <f t="shared" si="21"/>
        <v>0</v>
      </c>
      <c r="Q1404" s="69" cm="1">
        <f t="array" ref="Q1404">IF(P1404=1,IF(SUMPRODUCT(($P$2:P1404)*(--($G$2:G1404=$G1404)))=1,1,0),0)</f>
        <v>0</v>
      </c>
      <c r="R1404" s="69" t="str">
        <f>IF(Q1404=1,SUM($Q$2:Q1404),"")</f>
        <v/>
      </c>
    </row>
    <row r="1405" spans="1:18" ht="16" x14ac:dyDescent="0.2">
      <c r="A1405" s="72"/>
      <c r="B1405" s="76"/>
      <c r="C1405" s="73"/>
      <c r="D1405" s="73" t="s">
        <v>975</v>
      </c>
      <c r="E1405" s="77" t="s">
        <v>103</v>
      </c>
      <c r="F1405" s="75" t="s">
        <v>1585</v>
      </c>
      <c r="G1405" s="74" t="s">
        <v>570</v>
      </c>
      <c r="H1405" s="69"/>
      <c r="P1405" s="69">
        <f t="shared" si="21"/>
        <v>0</v>
      </c>
      <c r="Q1405" s="69" cm="1">
        <f t="array" ref="Q1405">IF(P1405=1,IF(SUMPRODUCT(($P$2:P1405)*(--($G$2:G1405=$G1405)))=1,1,0),0)</f>
        <v>0</v>
      </c>
      <c r="R1405" s="69" t="str">
        <f>IF(Q1405=1,SUM($Q$2:Q1405),"")</f>
        <v/>
      </c>
    </row>
    <row r="1406" spans="1:18" ht="16" x14ac:dyDescent="0.2">
      <c r="A1406" s="72"/>
      <c r="B1406" s="76"/>
      <c r="C1406" s="73"/>
      <c r="D1406" s="73" t="s">
        <v>975</v>
      </c>
      <c r="E1406" s="77" t="s">
        <v>103</v>
      </c>
      <c r="F1406" s="75" t="s">
        <v>2080</v>
      </c>
      <c r="G1406" s="74" t="s">
        <v>573</v>
      </c>
      <c r="H1406" s="69"/>
      <c r="P1406" s="69">
        <f t="shared" si="21"/>
        <v>0</v>
      </c>
      <c r="Q1406" s="69" cm="1">
        <f t="array" ref="Q1406">IF(P1406=1,IF(SUMPRODUCT(($P$2:P1406)*(--($G$2:G1406=$G1406)))=1,1,0),0)</f>
        <v>0</v>
      </c>
      <c r="R1406" s="69" t="str">
        <f>IF(Q1406=1,SUM($Q$2:Q1406),"")</f>
        <v/>
      </c>
    </row>
    <row r="1407" spans="1:18" ht="16" x14ac:dyDescent="0.2">
      <c r="A1407" s="72"/>
      <c r="B1407" s="76"/>
      <c r="C1407" s="73"/>
      <c r="D1407" s="73" t="s">
        <v>975</v>
      </c>
      <c r="E1407" s="77" t="s">
        <v>103</v>
      </c>
      <c r="F1407" s="75" t="s">
        <v>2217</v>
      </c>
      <c r="G1407" s="74" t="s">
        <v>573</v>
      </c>
      <c r="H1407" s="69"/>
      <c r="P1407" s="69">
        <f t="shared" si="21"/>
        <v>0</v>
      </c>
      <c r="Q1407" s="69" cm="1">
        <f t="array" ref="Q1407">IF(P1407=1,IF(SUMPRODUCT(($P$2:P1407)*(--($G$2:G1407=$G1407)))=1,1,0),0)</f>
        <v>0</v>
      </c>
      <c r="R1407" s="69" t="str">
        <f>IF(Q1407=1,SUM($Q$2:Q1407),"")</f>
        <v/>
      </c>
    </row>
    <row r="1408" spans="1:18" ht="16" x14ac:dyDescent="0.2">
      <c r="A1408" s="72"/>
      <c r="B1408" s="76"/>
      <c r="C1408" s="73"/>
      <c r="D1408" s="73" t="s">
        <v>975</v>
      </c>
      <c r="E1408" s="77" t="s">
        <v>103</v>
      </c>
      <c r="F1408" s="75" t="s">
        <v>2218</v>
      </c>
      <c r="G1408" s="74" t="s">
        <v>573</v>
      </c>
      <c r="H1408" s="69"/>
      <c r="P1408" s="69">
        <f t="shared" si="21"/>
        <v>0</v>
      </c>
      <c r="Q1408" s="69" cm="1">
        <f t="array" ref="Q1408">IF(P1408=1,IF(SUMPRODUCT(($P$2:P1408)*(--($G$2:G1408=$G1408)))=1,1,0),0)</f>
        <v>0</v>
      </c>
      <c r="R1408" s="69" t="str">
        <f>IF(Q1408=1,SUM($Q$2:Q1408),"")</f>
        <v/>
      </c>
    </row>
    <row r="1409" spans="1:18" ht="16" x14ac:dyDescent="0.2">
      <c r="A1409" s="72"/>
      <c r="B1409" s="76"/>
      <c r="C1409" s="73"/>
      <c r="D1409" s="73" t="s">
        <v>975</v>
      </c>
      <c r="E1409" s="77" t="s">
        <v>103</v>
      </c>
      <c r="F1409" s="75" t="s">
        <v>2219</v>
      </c>
      <c r="G1409" s="74" t="s">
        <v>573</v>
      </c>
      <c r="H1409" s="69"/>
      <c r="P1409" s="69">
        <f t="shared" si="21"/>
        <v>0</v>
      </c>
      <c r="Q1409" s="69" cm="1">
        <f t="array" ref="Q1409">IF(P1409=1,IF(SUMPRODUCT(($P$2:P1409)*(--($G$2:G1409=$G1409)))=1,1,0),0)</f>
        <v>0</v>
      </c>
      <c r="R1409" s="69" t="str">
        <f>IF(Q1409=1,SUM($Q$2:Q1409),"")</f>
        <v/>
      </c>
    </row>
    <row r="1410" spans="1:18" ht="16" x14ac:dyDescent="0.2">
      <c r="A1410" s="72"/>
      <c r="B1410" s="76"/>
      <c r="C1410" s="73"/>
      <c r="D1410" s="73" t="s">
        <v>975</v>
      </c>
      <c r="E1410" s="77" t="s">
        <v>103</v>
      </c>
      <c r="F1410" s="75" t="s">
        <v>2225</v>
      </c>
      <c r="G1410" s="74" t="s">
        <v>573</v>
      </c>
      <c r="H1410" s="69"/>
      <c r="P1410" s="69">
        <f t="shared" si="21"/>
        <v>0</v>
      </c>
      <c r="Q1410" s="69" cm="1">
        <f t="array" ref="Q1410">IF(P1410=1,IF(SUMPRODUCT(($P$2:P1410)*(--($G$2:G1410=$G1410)))=1,1,0),0)</f>
        <v>0</v>
      </c>
      <c r="R1410" s="69" t="str">
        <f>IF(Q1410=1,SUM($Q$2:Q1410),"")</f>
        <v/>
      </c>
    </row>
    <row r="1411" spans="1:18" ht="16" x14ac:dyDescent="0.2">
      <c r="A1411" s="72"/>
      <c r="B1411" s="76"/>
      <c r="C1411" s="73"/>
      <c r="D1411" s="73" t="s">
        <v>975</v>
      </c>
      <c r="E1411" s="77" t="s">
        <v>103</v>
      </c>
      <c r="F1411" s="75" t="s">
        <v>2226</v>
      </c>
      <c r="G1411" s="74" t="s">
        <v>573</v>
      </c>
      <c r="H1411" s="69"/>
      <c r="P1411" s="69">
        <f t="shared" ref="P1411:P1474" si="22">IF(AND(IF(TRIM($J$2&amp;"")="",TRUE,LEFT($D1411,LEN($J$2))=$J$2),IF(TRIM($K$2&amp;"")="",TRUE,$E1411=$K$2),IF($L$2="",TRUE,$F1411=$L$2)),1,0)</f>
        <v>0</v>
      </c>
      <c r="Q1411" s="69" cm="1">
        <f t="array" ref="Q1411">IF(P1411=1,IF(SUMPRODUCT(($P$2:P1411)*(--($G$2:G1411=$G1411)))=1,1,0),0)</f>
        <v>0</v>
      </c>
      <c r="R1411" s="69" t="str">
        <f>IF(Q1411=1,SUM($Q$2:Q1411),"")</f>
        <v/>
      </c>
    </row>
    <row r="1412" spans="1:18" ht="16" x14ac:dyDescent="0.2">
      <c r="A1412" s="72"/>
      <c r="B1412" s="76"/>
      <c r="C1412" s="73"/>
      <c r="D1412" s="73" t="s">
        <v>975</v>
      </c>
      <c r="E1412" s="77" t="s">
        <v>103</v>
      </c>
      <c r="F1412" s="75" t="s">
        <v>2227</v>
      </c>
      <c r="G1412" s="74" t="s">
        <v>573</v>
      </c>
      <c r="H1412" s="69"/>
      <c r="P1412" s="69">
        <f t="shared" si="22"/>
        <v>0</v>
      </c>
      <c r="Q1412" s="69" cm="1">
        <f t="array" ref="Q1412">IF(P1412=1,IF(SUMPRODUCT(($P$2:P1412)*(--($G$2:G1412=$G1412)))=1,1,0),0)</f>
        <v>0</v>
      </c>
      <c r="R1412" s="69" t="str">
        <f>IF(Q1412=1,SUM($Q$2:Q1412),"")</f>
        <v/>
      </c>
    </row>
    <row r="1413" spans="1:18" ht="16" x14ac:dyDescent="0.2">
      <c r="A1413" s="72"/>
      <c r="B1413" s="76"/>
      <c r="C1413" s="73"/>
      <c r="D1413" s="73" t="s">
        <v>975</v>
      </c>
      <c r="E1413" s="77" t="s">
        <v>103</v>
      </c>
      <c r="F1413" s="75" t="s">
        <v>2228</v>
      </c>
      <c r="G1413" s="74" t="s">
        <v>573</v>
      </c>
      <c r="H1413" s="69"/>
      <c r="P1413" s="69">
        <f t="shared" si="22"/>
        <v>0</v>
      </c>
      <c r="Q1413" s="69" cm="1">
        <f t="array" ref="Q1413">IF(P1413=1,IF(SUMPRODUCT(($P$2:P1413)*(--($G$2:G1413=$G1413)))=1,1,0),0)</f>
        <v>0</v>
      </c>
      <c r="R1413" s="69" t="str">
        <f>IF(Q1413=1,SUM($Q$2:Q1413),"")</f>
        <v/>
      </c>
    </row>
    <row r="1414" spans="1:18" ht="16" x14ac:dyDescent="0.2">
      <c r="A1414" s="72"/>
      <c r="B1414" s="76"/>
      <c r="C1414" s="73"/>
      <c r="D1414" s="73" t="s">
        <v>975</v>
      </c>
      <c r="E1414" s="77" t="s">
        <v>94</v>
      </c>
      <c r="F1414" s="75" t="s">
        <v>2080</v>
      </c>
      <c r="G1414" s="74" t="s">
        <v>575</v>
      </c>
      <c r="H1414" s="69"/>
      <c r="P1414" s="69">
        <f t="shared" si="22"/>
        <v>0</v>
      </c>
      <c r="Q1414" s="69" cm="1">
        <f t="array" ref="Q1414">IF(P1414=1,IF(SUMPRODUCT(($P$2:P1414)*(--($G$2:G1414=$G1414)))=1,1,0),0)</f>
        <v>0</v>
      </c>
      <c r="R1414" s="69" t="str">
        <f>IF(Q1414=1,SUM($Q$2:Q1414),"")</f>
        <v/>
      </c>
    </row>
    <row r="1415" spans="1:18" ht="16" x14ac:dyDescent="0.2">
      <c r="A1415" s="72"/>
      <c r="B1415" s="76"/>
      <c r="C1415" s="73"/>
      <c r="D1415" s="73" t="s">
        <v>975</v>
      </c>
      <c r="E1415" s="77" t="s">
        <v>94</v>
      </c>
      <c r="F1415" s="75" t="s">
        <v>2219</v>
      </c>
      <c r="G1415" s="74" t="s">
        <v>575</v>
      </c>
      <c r="H1415" s="69"/>
      <c r="P1415" s="69">
        <f t="shared" si="22"/>
        <v>0</v>
      </c>
      <c r="Q1415" s="69" cm="1">
        <f t="array" ref="Q1415">IF(P1415=1,IF(SUMPRODUCT(($P$2:P1415)*(--($G$2:G1415=$G1415)))=1,1,0),0)</f>
        <v>0</v>
      </c>
      <c r="R1415" s="69" t="str">
        <f>IF(Q1415=1,SUM($Q$2:Q1415),"")</f>
        <v/>
      </c>
    </row>
    <row r="1416" spans="1:18" ht="16" x14ac:dyDescent="0.2">
      <c r="A1416" s="72"/>
      <c r="B1416" s="76"/>
      <c r="C1416" s="73"/>
      <c r="D1416" s="73" t="s">
        <v>975</v>
      </c>
      <c r="E1416" s="77" t="s">
        <v>94</v>
      </c>
      <c r="F1416" s="75" t="s">
        <v>2217</v>
      </c>
      <c r="G1416" s="74" t="s">
        <v>575</v>
      </c>
      <c r="H1416" s="69"/>
      <c r="P1416" s="69">
        <f t="shared" si="22"/>
        <v>0</v>
      </c>
      <c r="Q1416" s="69" cm="1">
        <f t="array" ref="Q1416">IF(P1416=1,IF(SUMPRODUCT(($P$2:P1416)*(--($G$2:G1416=$G1416)))=1,1,0),0)</f>
        <v>0</v>
      </c>
      <c r="R1416" s="69" t="str">
        <f>IF(Q1416=1,SUM($Q$2:Q1416),"")</f>
        <v/>
      </c>
    </row>
    <row r="1417" spans="1:18" ht="16" x14ac:dyDescent="0.2">
      <c r="A1417" s="72"/>
      <c r="B1417" s="76"/>
      <c r="C1417" s="73"/>
      <c r="D1417" s="73" t="s">
        <v>975</v>
      </c>
      <c r="E1417" s="77" t="s">
        <v>94</v>
      </c>
      <c r="F1417" s="75" t="s">
        <v>2218</v>
      </c>
      <c r="G1417" s="74" t="s">
        <v>575</v>
      </c>
      <c r="H1417" s="69"/>
      <c r="P1417" s="69">
        <f t="shared" si="22"/>
        <v>0</v>
      </c>
      <c r="Q1417" s="69" cm="1">
        <f t="array" ref="Q1417">IF(P1417=1,IF(SUMPRODUCT(($P$2:P1417)*(--($G$2:G1417=$G1417)))=1,1,0),0)</f>
        <v>0</v>
      </c>
      <c r="R1417" s="69" t="str">
        <f>IF(Q1417=1,SUM($Q$2:Q1417),"")</f>
        <v/>
      </c>
    </row>
    <row r="1418" spans="1:18" ht="16" x14ac:dyDescent="0.2">
      <c r="A1418" s="72"/>
      <c r="B1418" s="76"/>
      <c r="C1418" s="73"/>
      <c r="D1418" s="73" t="s">
        <v>975</v>
      </c>
      <c r="E1418" s="77" t="s">
        <v>94</v>
      </c>
      <c r="F1418" s="75" t="s">
        <v>2236</v>
      </c>
      <c r="G1418" s="74" t="s">
        <v>1210</v>
      </c>
      <c r="H1418" s="69"/>
      <c r="P1418" s="69">
        <f t="shared" si="22"/>
        <v>0</v>
      </c>
      <c r="Q1418" s="69" cm="1">
        <f t="array" ref="Q1418">IF(P1418=1,IF(SUMPRODUCT(($P$2:P1418)*(--($G$2:G1418=$G1418)))=1,1,0),0)</f>
        <v>0</v>
      </c>
      <c r="R1418" s="69" t="str">
        <f>IF(Q1418=1,SUM($Q$2:Q1418),"")</f>
        <v/>
      </c>
    </row>
    <row r="1419" spans="1:18" ht="16" x14ac:dyDescent="0.2">
      <c r="A1419" s="72"/>
      <c r="B1419" s="76"/>
      <c r="C1419" s="73"/>
      <c r="D1419" s="73" t="s">
        <v>975</v>
      </c>
      <c r="E1419" s="77" t="s">
        <v>94</v>
      </c>
      <c r="F1419" s="75" t="s">
        <v>2237</v>
      </c>
      <c r="G1419" s="74" t="s">
        <v>1210</v>
      </c>
      <c r="H1419" s="69"/>
      <c r="P1419" s="69">
        <f t="shared" si="22"/>
        <v>0</v>
      </c>
      <c r="Q1419" s="69" cm="1">
        <f t="array" ref="Q1419">IF(P1419=1,IF(SUMPRODUCT(($P$2:P1419)*(--($G$2:G1419=$G1419)))=1,1,0),0)</f>
        <v>0</v>
      </c>
      <c r="R1419" s="69" t="str">
        <f>IF(Q1419=1,SUM($Q$2:Q1419),"")</f>
        <v/>
      </c>
    </row>
    <row r="1420" spans="1:18" ht="16" x14ac:dyDescent="0.2">
      <c r="A1420" s="72"/>
      <c r="B1420" s="76"/>
      <c r="C1420" s="73"/>
      <c r="D1420" s="73" t="s">
        <v>975</v>
      </c>
      <c r="E1420" s="77" t="s">
        <v>94</v>
      </c>
      <c r="F1420" s="75" t="s">
        <v>2238</v>
      </c>
      <c r="G1420" s="74" t="s">
        <v>1280</v>
      </c>
      <c r="H1420" s="69"/>
      <c r="P1420" s="69">
        <f t="shared" si="22"/>
        <v>0</v>
      </c>
      <c r="Q1420" s="69" cm="1">
        <f t="array" ref="Q1420">IF(P1420=1,IF(SUMPRODUCT(($P$2:P1420)*(--($G$2:G1420=$G1420)))=1,1,0),0)</f>
        <v>0</v>
      </c>
      <c r="R1420" s="69" t="str">
        <f>IF(Q1420=1,SUM($Q$2:Q1420),"")</f>
        <v/>
      </c>
    </row>
    <row r="1421" spans="1:18" ht="16" x14ac:dyDescent="0.2">
      <c r="A1421" s="72"/>
      <c r="B1421" s="76"/>
      <c r="C1421" s="73"/>
      <c r="D1421" s="73" t="s">
        <v>975</v>
      </c>
      <c r="E1421" s="77" t="s">
        <v>94</v>
      </c>
      <c r="F1421" s="75" t="s">
        <v>2239</v>
      </c>
      <c r="G1421" s="74" t="s">
        <v>1280</v>
      </c>
      <c r="H1421" s="69"/>
      <c r="P1421" s="69">
        <f t="shared" si="22"/>
        <v>0</v>
      </c>
      <c r="Q1421" s="69" cm="1">
        <f t="array" ref="Q1421">IF(P1421=1,IF(SUMPRODUCT(($P$2:P1421)*(--($G$2:G1421=$G1421)))=1,1,0),0)</f>
        <v>0</v>
      </c>
      <c r="R1421" s="69" t="str">
        <f>IF(Q1421=1,SUM($Q$2:Q1421),"")</f>
        <v/>
      </c>
    </row>
    <row r="1422" spans="1:18" ht="16" x14ac:dyDescent="0.2">
      <c r="A1422" s="72"/>
      <c r="B1422" s="76"/>
      <c r="C1422" s="73"/>
      <c r="D1422" s="73" t="s">
        <v>975</v>
      </c>
      <c r="E1422" s="77" t="s">
        <v>94</v>
      </c>
      <c r="F1422" s="75" t="s">
        <v>2220</v>
      </c>
      <c r="G1422" s="74" t="s">
        <v>952</v>
      </c>
      <c r="H1422" s="69"/>
      <c r="P1422" s="69">
        <f t="shared" si="22"/>
        <v>0</v>
      </c>
      <c r="Q1422" s="69" cm="1">
        <f t="array" ref="Q1422">IF(P1422=1,IF(SUMPRODUCT(($P$2:P1422)*(--($G$2:G1422=$G1422)))=1,1,0),0)</f>
        <v>0</v>
      </c>
      <c r="R1422" s="69" t="str">
        <f>IF(Q1422=1,SUM($Q$2:Q1422),"")</f>
        <v/>
      </c>
    </row>
    <row r="1423" spans="1:18" ht="16" x14ac:dyDescent="0.2">
      <c r="A1423" s="72"/>
      <c r="B1423" s="76"/>
      <c r="C1423" s="73"/>
      <c r="D1423" s="73" t="s">
        <v>975</v>
      </c>
      <c r="E1423" s="77" t="s">
        <v>94</v>
      </c>
      <c r="F1423" s="75" t="s">
        <v>1576</v>
      </c>
      <c r="G1423" s="74" t="s">
        <v>951</v>
      </c>
      <c r="H1423" s="69"/>
      <c r="P1423" s="69">
        <f t="shared" si="22"/>
        <v>0</v>
      </c>
      <c r="Q1423" s="69" cm="1">
        <f t="array" ref="Q1423">IF(P1423=1,IF(SUMPRODUCT(($P$2:P1423)*(--($G$2:G1423=$G1423)))=1,1,0),0)</f>
        <v>0</v>
      </c>
      <c r="R1423" s="69" t="str">
        <f>IF(Q1423=1,SUM($Q$2:Q1423),"")</f>
        <v/>
      </c>
    </row>
    <row r="1424" spans="1:18" ht="16" x14ac:dyDescent="0.2">
      <c r="A1424" s="72"/>
      <c r="B1424" s="76"/>
      <c r="C1424" s="73"/>
      <c r="D1424" s="73" t="s">
        <v>975</v>
      </c>
      <c r="E1424" s="77" t="s">
        <v>94</v>
      </c>
      <c r="F1424" s="75" t="s">
        <v>2221</v>
      </c>
      <c r="G1424" s="74" t="s">
        <v>952</v>
      </c>
      <c r="H1424" s="69"/>
      <c r="P1424" s="69">
        <f t="shared" si="22"/>
        <v>0</v>
      </c>
      <c r="Q1424" s="69" cm="1">
        <f t="array" ref="Q1424">IF(P1424=1,IF(SUMPRODUCT(($P$2:P1424)*(--($G$2:G1424=$G1424)))=1,1,0),0)</f>
        <v>0</v>
      </c>
      <c r="R1424" s="69" t="str">
        <f>IF(Q1424=1,SUM($Q$2:Q1424),"")</f>
        <v/>
      </c>
    </row>
    <row r="1425" spans="1:18" ht="16" x14ac:dyDescent="0.2">
      <c r="A1425" s="72"/>
      <c r="B1425" s="76"/>
      <c r="C1425" s="73"/>
      <c r="D1425" s="73" t="s">
        <v>975</v>
      </c>
      <c r="E1425" s="77" t="s">
        <v>94</v>
      </c>
      <c r="F1425" s="75" t="s">
        <v>1577</v>
      </c>
      <c r="G1425" s="74" t="s">
        <v>951</v>
      </c>
      <c r="H1425" s="69"/>
      <c r="P1425" s="69">
        <f t="shared" si="22"/>
        <v>0</v>
      </c>
      <c r="Q1425" s="69" cm="1">
        <f t="array" ref="Q1425">IF(P1425=1,IF(SUMPRODUCT(($P$2:P1425)*(--($G$2:G1425=$G1425)))=1,1,0),0)</f>
        <v>0</v>
      </c>
      <c r="R1425" s="69" t="str">
        <f>IF(Q1425=1,SUM($Q$2:Q1425),"")</f>
        <v/>
      </c>
    </row>
    <row r="1426" spans="1:18" x14ac:dyDescent="0.2">
      <c r="A1426" s="72"/>
      <c r="B1426" s="84"/>
      <c r="C1426" s="73"/>
      <c r="D1426" s="73" t="s">
        <v>975</v>
      </c>
      <c r="E1426" s="77" t="s">
        <v>94</v>
      </c>
      <c r="F1426" s="75" t="s">
        <v>228</v>
      </c>
      <c r="G1426" s="75" t="s">
        <v>1209</v>
      </c>
      <c r="H1426" s="69"/>
      <c r="P1426" s="69">
        <f t="shared" si="22"/>
        <v>0</v>
      </c>
      <c r="Q1426" s="69" cm="1">
        <f t="array" ref="Q1426">IF(P1426=1,IF(SUMPRODUCT(($P$2:P1426)*(--($G$2:G1426=$G1426)))=1,1,0),0)</f>
        <v>0</v>
      </c>
      <c r="R1426" s="69" t="str">
        <f>IF(Q1426=1,SUM($Q$2:Q1426),"")</f>
        <v/>
      </c>
    </row>
    <row r="1427" spans="1:18" ht="16" x14ac:dyDescent="0.2">
      <c r="A1427" s="72"/>
      <c r="B1427" s="84"/>
      <c r="C1427" s="73"/>
      <c r="D1427" s="73" t="s">
        <v>967</v>
      </c>
      <c r="E1427" s="77" t="s">
        <v>94</v>
      </c>
      <c r="F1427" s="75" t="s">
        <v>403</v>
      </c>
      <c r="G1427" s="74" t="s">
        <v>605</v>
      </c>
      <c r="H1427" s="69"/>
      <c r="P1427" s="69">
        <f t="shared" si="22"/>
        <v>0</v>
      </c>
      <c r="Q1427" s="69" cm="1">
        <f t="array" ref="Q1427">IF(P1427=1,IF(SUMPRODUCT(($P$2:P1427)*(--($G$2:G1427=$G1427)))=1,1,0),0)</f>
        <v>0</v>
      </c>
      <c r="R1427" s="69" t="str">
        <f>IF(Q1427=1,SUM($Q$2:Q1427),"")</f>
        <v/>
      </c>
    </row>
    <row r="1428" spans="1:18" ht="16" x14ac:dyDescent="0.2">
      <c r="A1428" s="72"/>
      <c r="B1428" s="84"/>
      <c r="C1428" s="73"/>
      <c r="D1428" s="73" t="s">
        <v>967</v>
      </c>
      <c r="E1428" s="77" t="s">
        <v>94</v>
      </c>
      <c r="F1428" s="75" t="s">
        <v>1622</v>
      </c>
      <c r="G1428" s="74" t="s">
        <v>605</v>
      </c>
      <c r="H1428" s="69"/>
      <c r="P1428" s="69">
        <f t="shared" si="22"/>
        <v>0</v>
      </c>
      <c r="Q1428" s="69" cm="1">
        <f t="array" ref="Q1428">IF(P1428=1,IF(SUMPRODUCT(($P$2:P1428)*(--($G$2:G1428=$G1428)))=1,1,0),0)</f>
        <v>0</v>
      </c>
      <c r="R1428" s="69" t="str">
        <f>IF(Q1428=1,SUM($Q$2:Q1428),"")</f>
        <v/>
      </c>
    </row>
    <row r="1429" spans="1:18" ht="16" x14ac:dyDescent="0.2">
      <c r="A1429" s="72"/>
      <c r="B1429" s="84"/>
      <c r="C1429" s="73"/>
      <c r="D1429" s="73" t="s">
        <v>967</v>
      </c>
      <c r="E1429" s="77" t="s">
        <v>94</v>
      </c>
      <c r="F1429" s="75" t="s">
        <v>1623</v>
      </c>
      <c r="G1429" s="74" t="s">
        <v>605</v>
      </c>
      <c r="H1429" s="69"/>
      <c r="P1429" s="69">
        <f t="shared" si="22"/>
        <v>0</v>
      </c>
      <c r="Q1429" s="69" cm="1">
        <f t="array" ref="Q1429">IF(P1429=1,IF(SUMPRODUCT(($P$2:P1429)*(--($G$2:G1429=$G1429)))=1,1,0),0)</f>
        <v>0</v>
      </c>
      <c r="R1429" s="69" t="str">
        <f>IF(Q1429=1,SUM($Q$2:Q1429),"")</f>
        <v/>
      </c>
    </row>
    <row r="1430" spans="1:18" ht="16" x14ac:dyDescent="0.2">
      <c r="A1430" s="72"/>
      <c r="B1430" s="84"/>
      <c r="C1430" s="73"/>
      <c r="D1430" s="73" t="s">
        <v>967</v>
      </c>
      <c r="E1430" s="77" t="s">
        <v>94</v>
      </c>
      <c r="F1430" s="75" t="s">
        <v>1671</v>
      </c>
      <c r="G1430" s="74" t="s">
        <v>605</v>
      </c>
      <c r="H1430" s="69"/>
      <c r="P1430" s="69">
        <f t="shared" si="22"/>
        <v>0</v>
      </c>
      <c r="Q1430" s="69" cm="1">
        <f t="array" ref="Q1430">IF(P1430=1,IF(SUMPRODUCT(($P$2:P1430)*(--($G$2:G1430=$G1430)))=1,1,0),0)</f>
        <v>0</v>
      </c>
      <c r="R1430" s="69" t="str">
        <f>IF(Q1430=1,SUM($Q$2:Q1430),"")</f>
        <v/>
      </c>
    </row>
    <row r="1431" spans="1:18" ht="16" x14ac:dyDescent="0.2">
      <c r="A1431" s="72"/>
      <c r="B1431" s="84"/>
      <c r="C1431" s="73"/>
      <c r="D1431" s="73" t="s">
        <v>967</v>
      </c>
      <c r="E1431" s="77" t="s">
        <v>94</v>
      </c>
      <c r="F1431" s="75" t="s">
        <v>1672</v>
      </c>
      <c r="G1431" s="74" t="s">
        <v>605</v>
      </c>
      <c r="H1431" s="69"/>
      <c r="P1431" s="69">
        <f t="shared" si="22"/>
        <v>0</v>
      </c>
      <c r="Q1431" s="69" cm="1">
        <f t="array" ref="Q1431">IF(P1431=1,IF(SUMPRODUCT(($P$2:P1431)*(--($G$2:G1431=$G1431)))=1,1,0),0)</f>
        <v>0</v>
      </c>
      <c r="R1431" s="69" t="str">
        <f>IF(Q1431=1,SUM($Q$2:Q1431),"")</f>
        <v/>
      </c>
    </row>
    <row r="1432" spans="1:18" ht="16" x14ac:dyDescent="0.2">
      <c r="A1432" s="72"/>
      <c r="B1432" s="84"/>
      <c r="C1432" s="73"/>
      <c r="D1432" s="73" t="s">
        <v>967</v>
      </c>
      <c r="E1432" s="77" t="s">
        <v>94</v>
      </c>
      <c r="F1432" s="75" t="s">
        <v>1624</v>
      </c>
      <c r="G1432" s="74" t="s">
        <v>605</v>
      </c>
      <c r="H1432" s="69"/>
      <c r="P1432" s="69">
        <f t="shared" si="22"/>
        <v>0</v>
      </c>
      <c r="Q1432" s="69" cm="1">
        <f t="array" ref="Q1432">IF(P1432=1,IF(SUMPRODUCT(($P$2:P1432)*(--($G$2:G1432=$G1432)))=1,1,0),0)</f>
        <v>0</v>
      </c>
      <c r="R1432" s="69" t="str">
        <f>IF(Q1432=1,SUM($Q$2:Q1432),"")</f>
        <v/>
      </c>
    </row>
    <row r="1433" spans="1:18" ht="16" x14ac:dyDescent="0.2">
      <c r="A1433" s="72"/>
      <c r="B1433" s="84"/>
      <c r="C1433" s="73"/>
      <c r="D1433" s="73" t="s">
        <v>967</v>
      </c>
      <c r="E1433" s="77" t="s">
        <v>94</v>
      </c>
      <c r="F1433" s="75" t="s">
        <v>1625</v>
      </c>
      <c r="G1433" s="74" t="s">
        <v>605</v>
      </c>
      <c r="H1433" s="69"/>
      <c r="P1433" s="69">
        <f t="shared" si="22"/>
        <v>0</v>
      </c>
      <c r="Q1433" s="69" cm="1">
        <f t="array" ref="Q1433">IF(P1433=1,IF(SUMPRODUCT(($P$2:P1433)*(--($G$2:G1433=$G1433)))=1,1,0),0)</f>
        <v>0</v>
      </c>
      <c r="R1433" s="69" t="str">
        <f>IF(Q1433=1,SUM($Q$2:Q1433),"")</f>
        <v/>
      </c>
    </row>
    <row r="1434" spans="1:18" ht="16" x14ac:dyDescent="0.2">
      <c r="A1434" s="72"/>
      <c r="B1434" s="84"/>
      <c r="C1434" s="73"/>
      <c r="D1434" s="73" t="s">
        <v>967</v>
      </c>
      <c r="E1434" s="77" t="s">
        <v>94</v>
      </c>
      <c r="F1434" s="75" t="s">
        <v>1673</v>
      </c>
      <c r="G1434" s="74" t="s">
        <v>605</v>
      </c>
      <c r="H1434" s="69"/>
      <c r="P1434" s="69">
        <f t="shared" si="22"/>
        <v>0</v>
      </c>
      <c r="Q1434" s="69" cm="1">
        <f t="array" ref="Q1434">IF(P1434=1,IF(SUMPRODUCT(($P$2:P1434)*(--($G$2:G1434=$G1434)))=1,1,0),0)</f>
        <v>0</v>
      </c>
      <c r="R1434" s="69" t="str">
        <f>IF(Q1434=1,SUM($Q$2:Q1434),"")</f>
        <v/>
      </c>
    </row>
    <row r="1435" spans="1:18" ht="16" x14ac:dyDescent="0.2">
      <c r="A1435" s="72"/>
      <c r="B1435" s="84"/>
      <c r="C1435" s="73"/>
      <c r="D1435" s="73" t="s">
        <v>967</v>
      </c>
      <c r="E1435" s="77" t="s">
        <v>94</v>
      </c>
      <c r="F1435" s="75" t="s">
        <v>1626</v>
      </c>
      <c r="G1435" s="74" t="s">
        <v>605</v>
      </c>
      <c r="H1435" s="69"/>
      <c r="P1435" s="69">
        <f t="shared" si="22"/>
        <v>0</v>
      </c>
      <c r="Q1435" s="69" cm="1">
        <f t="array" ref="Q1435">IF(P1435=1,IF(SUMPRODUCT(($P$2:P1435)*(--($G$2:G1435=$G1435)))=1,1,0),0)</f>
        <v>0</v>
      </c>
      <c r="R1435" s="69" t="str">
        <f>IF(Q1435=1,SUM($Q$2:Q1435),"")</f>
        <v/>
      </c>
    </row>
    <row r="1436" spans="1:18" ht="16" x14ac:dyDescent="0.2">
      <c r="A1436" s="72"/>
      <c r="B1436" s="84"/>
      <c r="C1436" s="73"/>
      <c r="D1436" s="73" t="s">
        <v>967</v>
      </c>
      <c r="E1436" s="77" t="s">
        <v>94</v>
      </c>
      <c r="F1436" s="75" t="s">
        <v>412</v>
      </c>
      <c r="G1436" s="74" t="s">
        <v>605</v>
      </c>
      <c r="H1436" s="69"/>
      <c r="P1436" s="69">
        <f t="shared" si="22"/>
        <v>0</v>
      </c>
      <c r="Q1436" s="69" cm="1">
        <f t="array" ref="Q1436">IF(P1436=1,IF(SUMPRODUCT(($P$2:P1436)*(--($G$2:G1436=$G1436)))=1,1,0),0)</f>
        <v>0</v>
      </c>
      <c r="R1436" s="69" t="str">
        <f>IF(Q1436=1,SUM($Q$2:Q1436),"")</f>
        <v/>
      </c>
    </row>
    <row r="1437" spans="1:18" ht="16" x14ac:dyDescent="0.2">
      <c r="A1437" s="72"/>
      <c r="B1437" s="84"/>
      <c r="C1437" s="73"/>
      <c r="D1437" s="73" t="s">
        <v>967</v>
      </c>
      <c r="E1437" s="77" t="s">
        <v>94</v>
      </c>
      <c r="F1437" s="75" t="s">
        <v>1674</v>
      </c>
      <c r="G1437" s="74" t="s">
        <v>605</v>
      </c>
      <c r="H1437" s="69"/>
      <c r="P1437" s="69">
        <f t="shared" si="22"/>
        <v>0</v>
      </c>
      <c r="Q1437" s="69" cm="1">
        <f t="array" ref="Q1437">IF(P1437=1,IF(SUMPRODUCT(($P$2:P1437)*(--($G$2:G1437=$G1437)))=1,1,0),0)</f>
        <v>0</v>
      </c>
      <c r="R1437" s="69" t="str">
        <f>IF(Q1437=1,SUM($Q$2:Q1437),"")</f>
        <v/>
      </c>
    </row>
    <row r="1438" spans="1:18" ht="16" x14ac:dyDescent="0.2">
      <c r="A1438" s="72"/>
      <c r="B1438" s="84"/>
      <c r="C1438" s="73"/>
      <c r="D1438" s="73" t="s">
        <v>967</v>
      </c>
      <c r="E1438" s="77" t="s">
        <v>94</v>
      </c>
      <c r="F1438" s="75" t="s">
        <v>417</v>
      </c>
      <c r="G1438" s="74" t="s">
        <v>605</v>
      </c>
      <c r="H1438" s="69"/>
      <c r="P1438" s="69">
        <f t="shared" si="22"/>
        <v>0</v>
      </c>
      <c r="Q1438" s="69" cm="1">
        <f t="array" ref="Q1438">IF(P1438=1,IF(SUMPRODUCT(($P$2:P1438)*(--($G$2:G1438=$G1438)))=1,1,0),0)</f>
        <v>0</v>
      </c>
      <c r="R1438" s="69" t="str">
        <f>IF(Q1438=1,SUM($Q$2:Q1438),"")</f>
        <v/>
      </c>
    </row>
    <row r="1439" spans="1:18" ht="16" x14ac:dyDescent="0.2">
      <c r="A1439" s="72"/>
      <c r="B1439" s="84"/>
      <c r="C1439" s="73"/>
      <c r="D1439" s="73" t="s">
        <v>967</v>
      </c>
      <c r="E1439" s="77" t="s">
        <v>94</v>
      </c>
      <c r="F1439" s="75" t="s">
        <v>1675</v>
      </c>
      <c r="G1439" s="74" t="s">
        <v>605</v>
      </c>
      <c r="H1439" s="69"/>
      <c r="P1439" s="69">
        <f t="shared" si="22"/>
        <v>0</v>
      </c>
      <c r="Q1439" s="69" cm="1">
        <f t="array" ref="Q1439">IF(P1439=1,IF(SUMPRODUCT(($P$2:P1439)*(--($G$2:G1439=$G1439)))=1,1,0),0)</f>
        <v>0</v>
      </c>
      <c r="R1439" s="69" t="str">
        <f>IF(Q1439=1,SUM($Q$2:Q1439),"")</f>
        <v/>
      </c>
    </row>
    <row r="1440" spans="1:18" ht="16" x14ac:dyDescent="0.2">
      <c r="A1440" s="72"/>
      <c r="B1440" s="84"/>
      <c r="C1440" s="73"/>
      <c r="D1440" s="73" t="s">
        <v>967</v>
      </c>
      <c r="E1440" s="77" t="s">
        <v>94</v>
      </c>
      <c r="F1440" s="75" t="s">
        <v>1627</v>
      </c>
      <c r="G1440" s="74" t="s">
        <v>607</v>
      </c>
      <c r="H1440" s="69"/>
      <c r="P1440" s="69">
        <f t="shared" si="22"/>
        <v>0</v>
      </c>
      <c r="Q1440" s="69" cm="1">
        <f t="array" ref="Q1440">IF(P1440=1,IF(SUMPRODUCT(($P$2:P1440)*(--($G$2:G1440=$G1440)))=1,1,0),0)</f>
        <v>0</v>
      </c>
      <c r="R1440" s="69" t="str">
        <f>IF(Q1440=1,SUM($Q$2:Q1440),"")</f>
        <v/>
      </c>
    </row>
    <row r="1441" spans="1:18" ht="16" x14ac:dyDescent="0.2">
      <c r="A1441" s="72"/>
      <c r="B1441" s="84"/>
      <c r="C1441" s="73"/>
      <c r="D1441" s="73" t="s">
        <v>967</v>
      </c>
      <c r="E1441" s="77" t="s">
        <v>94</v>
      </c>
      <c r="F1441" s="75" t="s">
        <v>1630</v>
      </c>
      <c r="G1441" s="74" t="s">
        <v>607</v>
      </c>
      <c r="H1441" s="69"/>
      <c r="P1441" s="69">
        <f t="shared" si="22"/>
        <v>0</v>
      </c>
      <c r="Q1441" s="69" cm="1">
        <f t="array" ref="Q1441">IF(P1441=1,IF(SUMPRODUCT(($P$2:P1441)*(--($G$2:G1441=$G1441)))=1,1,0),0)</f>
        <v>0</v>
      </c>
      <c r="R1441" s="69" t="str">
        <f>IF(Q1441=1,SUM($Q$2:Q1441),"")</f>
        <v/>
      </c>
    </row>
    <row r="1442" spans="1:18" ht="16" x14ac:dyDescent="0.2">
      <c r="A1442" s="72"/>
      <c r="B1442" s="84"/>
      <c r="C1442" s="73"/>
      <c r="D1442" s="73" t="s">
        <v>967</v>
      </c>
      <c r="E1442" s="77" t="s">
        <v>94</v>
      </c>
      <c r="F1442" s="75" t="s">
        <v>1631</v>
      </c>
      <c r="G1442" s="74" t="s">
        <v>607</v>
      </c>
      <c r="H1442" s="69"/>
      <c r="P1442" s="69">
        <f t="shared" si="22"/>
        <v>0</v>
      </c>
      <c r="Q1442" s="69" cm="1">
        <f t="array" ref="Q1442">IF(P1442=1,IF(SUMPRODUCT(($P$2:P1442)*(--($G$2:G1442=$G1442)))=1,1,0),0)</f>
        <v>0</v>
      </c>
      <c r="R1442" s="69" t="str">
        <f>IF(Q1442=1,SUM($Q$2:Q1442),"")</f>
        <v/>
      </c>
    </row>
    <row r="1443" spans="1:18" ht="16" x14ac:dyDescent="0.2">
      <c r="A1443" s="72"/>
      <c r="B1443" s="84"/>
      <c r="C1443" s="73"/>
      <c r="D1443" s="73" t="s">
        <v>967</v>
      </c>
      <c r="E1443" s="77" t="s">
        <v>94</v>
      </c>
      <c r="F1443" s="75" t="s">
        <v>1632</v>
      </c>
      <c r="G1443" s="74" t="s">
        <v>607</v>
      </c>
      <c r="H1443" s="69"/>
      <c r="P1443" s="69">
        <f t="shared" si="22"/>
        <v>0</v>
      </c>
      <c r="Q1443" s="69" cm="1">
        <f t="array" ref="Q1443">IF(P1443=1,IF(SUMPRODUCT(($P$2:P1443)*(--($G$2:G1443=$G1443)))=1,1,0),0)</f>
        <v>0</v>
      </c>
      <c r="R1443" s="69" t="str">
        <f>IF(Q1443=1,SUM($Q$2:Q1443),"")</f>
        <v/>
      </c>
    </row>
    <row r="1444" spans="1:18" ht="16" x14ac:dyDescent="0.2">
      <c r="A1444" s="72"/>
      <c r="B1444" s="84"/>
      <c r="C1444" s="73"/>
      <c r="D1444" s="73" t="s">
        <v>967</v>
      </c>
      <c r="E1444" s="77" t="s">
        <v>94</v>
      </c>
      <c r="F1444" s="75" t="s">
        <v>1676</v>
      </c>
      <c r="G1444" s="74" t="s">
        <v>607</v>
      </c>
      <c r="H1444" s="69"/>
      <c r="P1444" s="69">
        <f t="shared" si="22"/>
        <v>0</v>
      </c>
      <c r="Q1444" s="69" cm="1">
        <f t="array" ref="Q1444">IF(P1444=1,IF(SUMPRODUCT(($P$2:P1444)*(--($G$2:G1444=$G1444)))=1,1,0),0)</f>
        <v>0</v>
      </c>
      <c r="R1444" s="69" t="str">
        <f>IF(Q1444=1,SUM($Q$2:Q1444),"")</f>
        <v/>
      </c>
    </row>
    <row r="1445" spans="1:18" ht="16" x14ac:dyDescent="0.2">
      <c r="A1445" s="72"/>
      <c r="B1445" s="84"/>
      <c r="C1445" s="73"/>
      <c r="D1445" s="73" t="s">
        <v>967</v>
      </c>
      <c r="E1445" s="77" t="s">
        <v>94</v>
      </c>
      <c r="F1445" s="75" t="s">
        <v>1677</v>
      </c>
      <c r="G1445" s="74" t="s">
        <v>607</v>
      </c>
      <c r="H1445" s="69"/>
      <c r="P1445" s="69">
        <f t="shared" si="22"/>
        <v>0</v>
      </c>
      <c r="Q1445" s="69" cm="1">
        <f t="array" ref="Q1445">IF(P1445=1,IF(SUMPRODUCT(($P$2:P1445)*(--($G$2:G1445=$G1445)))=1,1,0),0)</f>
        <v>0</v>
      </c>
      <c r="R1445" s="69" t="str">
        <f>IF(Q1445=1,SUM($Q$2:Q1445),"")</f>
        <v/>
      </c>
    </row>
    <row r="1446" spans="1:18" ht="16" x14ac:dyDescent="0.2">
      <c r="A1446" s="72"/>
      <c r="B1446" s="84"/>
      <c r="C1446" s="73"/>
      <c r="D1446" s="73" t="s">
        <v>967</v>
      </c>
      <c r="E1446" s="77" t="s">
        <v>94</v>
      </c>
      <c r="F1446" s="75" t="s">
        <v>1628</v>
      </c>
      <c r="G1446" s="74" t="s">
        <v>607</v>
      </c>
      <c r="H1446" s="69"/>
      <c r="P1446" s="69">
        <f t="shared" si="22"/>
        <v>0</v>
      </c>
      <c r="Q1446" s="69" cm="1">
        <f t="array" ref="Q1446">IF(P1446=1,IF(SUMPRODUCT(($P$2:P1446)*(--($G$2:G1446=$G1446)))=1,1,0),0)</f>
        <v>0</v>
      </c>
      <c r="R1446" s="69" t="str">
        <f>IF(Q1446=1,SUM($Q$2:Q1446),"")</f>
        <v/>
      </c>
    </row>
    <row r="1447" spans="1:18" ht="16" x14ac:dyDescent="0.2">
      <c r="A1447" s="72"/>
      <c r="B1447" s="84"/>
      <c r="C1447" s="73"/>
      <c r="D1447" s="73" t="s">
        <v>967</v>
      </c>
      <c r="E1447" s="77" t="s">
        <v>94</v>
      </c>
      <c r="F1447" s="75" t="s">
        <v>1629</v>
      </c>
      <c r="G1447" s="74" t="s">
        <v>607</v>
      </c>
      <c r="H1447" s="69"/>
      <c r="P1447" s="69">
        <f t="shared" si="22"/>
        <v>0</v>
      </c>
      <c r="Q1447" s="69" cm="1">
        <f t="array" ref="Q1447">IF(P1447=1,IF(SUMPRODUCT(($P$2:P1447)*(--($G$2:G1447=$G1447)))=1,1,0),0)</f>
        <v>0</v>
      </c>
      <c r="R1447" s="69" t="str">
        <f>IF(Q1447=1,SUM($Q$2:Q1447),"")</f>
        <v/>
      </c>
    </row>
    <row r="1448" spans="1:18" ht="16" x14ac:dyDescent="0.2">
      <c r="A1448" s="72"/>
      <c r="B1448" s="84"/>
      <c r="C1448" s="73"/>
      <c r="D1448" s="73" t="s">
        <v>967</v>
      </c>
      <c r="E1448" s="77" t="s">
        <v>94</v>
      </c>
      <c r="F1448" s="75" t="s">
        <v>1678</v>
      </c>
      <c r="G1448" s="74" t="s">
        <v>607</v>
      </c>
      <c r="H1448" s="69"/>
      <c r="P1448" s="69">
        <f t="shared" si="22"/>
        <v>0</v>
      </c>
      <c r="Q1448" s="69" cm="1">
        <f t="array" ref="Q1448">IF(P1448=1,IF(SUMPRODUCT(($P$2:P1448)*(--($G$2:G1448=$G1448)))=1,1,0),0)</f>
        <v>0</v>
      </c>
      <c r="R1448" s="69" t="str">
        <f>IF(Q1448=1,SUM($Q$2:Q1448),"")</f>
        <v/>
      </c>
    </row>
    <row r="1449" spans="1:18" ht="16" x14ac:dyDescent="0.2">
      <c r="A1449" s="72"/>
      <c r="B1449" s="84"/>
      <c r="C1449" s="73"/>
      <c r="D1449" s="73" t="s">
        <v>967</v>
      </c>
      <c r="E1449" s="77" t="s">
        <v>94</v>
      </c>
      <c r="F1449" s="75" t="s">
        <v>1679</v>
      </c>
      <c r="G1449" s="74" t="s">
        <v>607</v>
      </c>
      <c r="H1449" s="69"/>
      <c r="P1449" s="69">
        <f t="shared" si="22"/>
        <v>0</v>
      </c>
      <c r="Q1449" s="69" cm="1">
        <f t="array" ref="Q1449">IF(P1449=1,IF(SUMPRODUCT(($P$2:P1449)*(--($G$2:G1449=$G1449)))=1,1,0),0)</f>
        <v>0</v>
      </c>
      <c r="R1449" s="69" t="str">
        <f>IF(Q1449=1,SUM($Q$2:Q1449),"")</f>
        <v/>
      </c>
    </row>
    <row r="1450" spans="1:18" ht="16" x14ac:dyDescent="0.2">
      <c r="A1450" s="72"/>
      <c r="B1450" s="84"/>
      <c r="C1450" s="73"/>
      <c r="D1450" s="73" t="s">
        <v>967</v>
      </c>
      <c r="E1450" s="77" t="s">
        <v>94</v>
      </c>
      <c r="F1450" s="75" t="s">
        <v>1680</v>
      </c>
      <c r="G1450" s="74" t="s">
        <v>607</v>
      </c>
      <c r="H1450" s="69"/>
      <c r="P1450" s="69">
        <f t="shared" si="22"/>
        <v>0</v>
      </c>
      <c r="Q1450" s="69" cm="1">
        <f t="array" ref="Q1450">IF(P1450=1,IF(SUMPRODUCT(($P$2:P1450)*(--($G$2:G1450=$G1450)))=1,1,0),0)</f>
        <v>0</v>
      </c>
      <c r="R1450" s="69" t="str">
        <f>IF(Q1450=1,SUM($Q$2:Q1450),"")</f>
        <v/>
      </c>
    </row>
    <row r="1451" spans="1:18" ht="16" x14ac:dyDescent="0.2">
      <c r="A1451" s="72"/>
      <c r="B1451" s="84"/>
      <c r="C1451" s="73"/>
      <c r="D1451" s="73" t="s">
        <v>967</v>
      </c>
      <c r="E1451" s="77" t="s">
        <v>94</v>
      </c>
      <c r="F1451" s="75" t="s">
        <v>1681</v>
      </c>
      <c r="G1451" s="74" t="s">
        <v>607</v>
      </c>
      <c r="H1451" s="69"/>
      <c r="P1451" s="69">
        <f t="shared" si="22"/>
        <v>0</v>
      </c>
      <c r="Q1451" s="69" cm="1">
        <f t="array" ref="Q1451">IF(P1451=1,IF(SUMPRODUCT(($P$2:P1451)*(--($G$2:G1451=$G1451)))=1,1,0),0)</f>
        <v>0</v>
      </c>
      <c r="R1451" s="69" t="str">
        <f>IF(Q1451=1,SUM($Q$2:Q1451),"")</f>
        <v/>
      </c>
    </row>
    <row r="1452" spans="1:18" x14ac:dyDescent="0.2">
      <c r="A1452" s="72"/>
      <c r="B1452" s="76"/>
      <c r="C1452" s="73"/>
      <c r="D1452" s="73" t="s">
        <v>967</v>
      </c>
      <c r="E1452" s="77" t="s">
        <v>94</v>
      </c>
      <c r="F1452" s="75" t="s">
        <v>228</v>
      </c>
      <c r="G1452" s="85" t="s">
        <v>520</v>
      </c>
      <c r="H1452" s="69"/>
      <c r="P1452" s="69">
        <f t="shared" si="22"/>
        <v>0</v>
      </c>
      <c r="Q1452" s="69" cm="1">
        <f t="array" ref="Q1452">IF(P1452=1,IF(SUMPRODUCT(($P$2:P1452)*(--($G$2:G1452=$G1452)))=1,1,0),0)</f>
        <v>0</v>
      </c>
      <c r="R1452" s="69" t="str">
        <f>IF(Q1452=1,SUM($Q$2:Q1452),"")</f>
        <v/>
      </c>
    </row>
    <row r="1453" spans="1:18" ht="16" x14ac:dyDescent="0.2">
      <c r="A1453" s="72"/>
      <c r="B1453" s="76"/>
      <c r="C1453" s="73"/>
      <c r="D1453" s="73" t="s">
        <v>967</v>
      </c>
      <c r="E1453" s="77" t="s">
        <v>103</v>
      </c>
      <c r="F1453" s="75" t="s">
        <v>1615</v>
      </c>
      <c r="G1453" s="74" t="s">
        <v>524</v>
      </c>
      <c r="H1453" s="69"/>
      <c r="P1453" s="69">
        <f t="shared" si="22"/>
        <v>0</v>
      </c>
      <c r="Q1453" s="69" cm="1">
        <f t="array" ref="Q1453">IF(P1453=1,IF(SUMPRODUCT(($P$2:P1453)*(--($G$2:G1453=$G1453)))=1,1,0),0)</f>
        <v>0</v>
      </c>
      <c r="R1453" s="69" t="str">
        <f>IF(Q1453=1,SUM($Q$2:Q1453),"")</f>
        <v/>
      </c>
    </row>
    <row r="1454" spans="1:18" ht="16" x14ac:dyDescent="0.2">
      <c r="A1454" s="72"/>
      <c r="B1454" s="76"/>
      <c r="C1454" s="73"/>
      <c r="D1454" s="73" t="s">
        <v>967</v>
      </c>
      <c r="E1454" s="77" t="s">
        <v>103</v>
      </c>
      <c r="F1454" s="75" t="s">
        <v>1617</v>
      </c>
      <c r="G1454" s="74" t="s">
        <v>524</v>
      </c>
      <c r="H1454" s="69"/>
      <c r="P1454" s="69">
        <f t="shared" si="22"/>
        <v>0</v>
      </c>
      <c r="Q1454" s="69" cm="1">
        <f t="array" ref="Q1454">IF(P1454=1,IF(SUMPRODUCT(($P$2:P1454)*(--($G$2:G1454=$G1454)))=1,1,0),0)</f>
        <v>0</v>
      </c>
      <c r="R1454" s="69" t="str">
        <f>IF(Q1454=1,SUM($Q$2:Q1454),"")</f>
        <v/>
      </c>
    </row>
    <row r="1455" spans="1:18" ht="16" x14ac:dyDescent="0.2">
      <c r="A1455" s="72"/>
      <c r="B1455" s="76"/>
      <c r="C1455" s="73"/>
      <c r="D1455" s="73" t="s">
        <v>967</v>
      </c>
      <c r="E1455" s="77" t="s">
        <v>103</v>
      </c>
      <c r="F1455" s="75" t="s">
        <v>1616</v>
      </c>
      <c r="G1455" s="74" t="s">
        <v>524</v>
      </c>
      <c r="H1455" s="69"/>
      <c r="P1455" s="69">
        <f t="shared" si="22"/>
        <v>0</v>
      </c>
      <c r="Q1455" s="69" cm="1">
        <f t="array" ref="Q1455">IF(P1455=1,IF(SUMPRODUCT(($P$2:P1455)*(--($G$2:G1455=$G1455)))=1,1,0),0)</f>
        <v>0</v>
      </c>
      <c r="R1455" s="69" t="str">
        <f>IF(Q1455=1,SUM($Q$2:Q1455),"")</f>
        <v/>
      </c>
    </row>
    <row r="1456" spans="1:18" ht="16" x14ac:dyDescent="0.2">
      <c r="A1456" s="72"/>
      <c r="B1456" s="76"/>
      <c r="C1456" s="73"/>
      <c r="D1456" s="73" t="s">
        <v>967</v>
      </c>
      <c r="E1456" s="77" t="s">
        <v>103</v>
      </c>
      <c r="F1456" s="75" t="s">
        <v>1694</v>
      </c>
      <c r="G1456" s="74" t="s">
        <v>524</v>
      </c>
      <c r="H1456" s="69"/>
      <c r="P1456" s="69">
        <f t="shared" si="22"/>
        <v>0</v>
      </c>
      <c r="Q1456" s="69" cm="1">
        <f t="array" ref="Q1456">IF(P1456=1,IF(SUMPRODUCT(($P$2:P1456)*(--($G$2:G1456=$G1456)))=1,1,0),0)</f>
        <v>0</v>
      </c>
      <c r="R1456" s="69" t="str">
        <f>IF(Q1456=1,SUM($Q$2:Q1456),"")</f>
        <v/>
      </c>
    </row>
    <row r="1457" spans="1:18" ht="16" x14ac:dyDescent="0.2">
      <c r="A1457" s="72"/>
      <c r="B1457" s="76"/>
      <c r="C1457" s="73"/>
      <c r="D1457" s="73" t="s">
        <v>967</v>
      </c>
      <c r="E1457" s="77" t="s">
        <v>103</v>
      </c>
      <c r="F1457" s="75" t="s">
        <v>1618</v>
      </c>
      <c r="G1457" s="74" t="s">
        <v>524</v>
      </c>
      <c r="H1457" s="69"/>
      <c r="P1457" s="69">
        <f t="shared" si="22"/>
        <v>0</v>
      </c>
      <c r="Q1457" s="69" cm="1">
        <f t="array" ref="Q1457">IF(P1457=1,IF(SUMPRODUCT(($P$2:P1457)*(--($G$2:G1457=$G1457)))=1,1,0),0)</f>
        <v>0</v>
      </c>
      <c r="R1457" s="69" t="str">
        <f>IF(Q1457=1,SUM($Q$2:Q1457),"")</f>
        <v/>
      </c>
    </row>
    <row r="1458" spans="1:18" ht="16" x14ac:dyDescent="0.2">
      <c r="A1458" s="72"/>
      <c r="B1458" s="76"/>
      <c r="C1458" s="73"/>
      <c r="D1458" s="73" t="s">
        <v>967</v>
      </c>
      <c r="E1458" s="77" t="s">
        <v>103</v>
      </c>
      <c r="F1458" s="75" t="s">
        <v>1619</v>
      </c>
      <c r="G1458" s="74" t="s">
        <v>524</v>
      </c>
      <c r="H1458" s="69"/>
      <c r="P1458" s="69">
        <f t="shared" si="22"/>
        <v>0</v>
      </c>
      <c r="Q1458" s="69" cm="1">
        <f t="array" ref="Q1458">IF(P1458=1,IF(SUMPRODUCT(($P$2:P1458)*(--($G$2:G1458=$G1458)))=1,1,0),0)</f>
        <v>0</v>
      </c>
      <c r="R1458" s="69" t="str">
        <f>IF(Q1458=1,SUM($Q$2:Q1458),"")</f>
        <v/>
      </c>
    </row>
    <row r="1459" spans="1:18" ht="16" x14ac:dyDescent="0.2">
      <c r="A1459" s="72"/>
      <c r="B1459" s="76"/>
      <c r="C1459" s="73"/>
      <c r="D1459" s="73" t="s">
        <v>967</v>
      </c>
      <c r="E1459" s="77" t="s">
        <v>103</v>
      </c>
      <c r="F1459" s="75" t="s">
        <v>1620</v>
      </c>
      <c r="G1459" s="74" t="s">
        <v>524</v>
      </c>
      <c r="H1459" s="69"/>
      <c r="P1459" s="69">
        <f t="shared" si="22"/>
        <v>0</v>
      </c>
      <c r="Q1459" s="69" cm="1">
        <f t="array" ref="Q1459">IF(P1459=1,IF(SUMPRODUCT(($P$2:P1459)*(--($G$2:G1459=$G1459)))=1,1,0),0)</f>
        <v>0</v>
      </c>
      <c r="R1459" s="69" t="str">
        <f>IF(Q1459=1,SUM($Q$2:Q1459),"")</f>
        <v/>
      </c>
    </row>
    <row r="1460" spans="1:18" ht="16" x14ac:dyDescent="0.2">
      <c r="A1460" s="72"/>
      <c r="B1460" s="76"/>
      <c r="C1460" s="73"/>
      <c r="D1460" s="73" t="s">
        <v>967</v>
      </c>
      <c r="E1460" s="77" t="s">
        <v>103</v>
      </c>
      <c r="F1460" s="75" t="s">
        <v>1621</v>
      </c>
      <c r="G1460" s="74" t="s">
        <v>524</v>
      </c>
      <c r="H1460" s="69"/>
      <c r="P1460" s="69">
        <f t="shared" si="22"/>
        <v>0</v>
      </c>
      <c r="Q1460" s="69" cm="1">
        <f t="array" ref="Q1460">IF(P1460=1,IF(SUMPRODUCT(($P$2:P1460)*(--($G$2:G1460=$G1460)))=1,1,0),0)</f>
        <v>0</v>
      </c>
      <c r="R1460" s="69" t="str">
        <f>IF(Q1460=1,SUM($Q$2:Q1460),"")</f>
        <v/>
      </c>
    </row>
    <row r="1461" spans="1:18" ht="16" x14ac:dyDescent="0.2">
      <c r="A1461" s="72"/>
      <c r="B1461" s="76"/>
      <c r="C1461" s="73"/>
      <c r="D1461" s="73" t="s">
        <v>967</v>
      </c>
      <c r="E1461" s="77" t="s">
        <v>103</v>
      </c>
      <c r="F1461" s="75" t="s">
        <v>1615</v>
      </c>
      <c r="G1461" s="74" t="s">
        <v>524</v>
      </c>
      <c r="H1461" s="69"/>
      <c r="P1461" s="69">
        <f t="shared" si="22"/>
        <v>0</v>
      </c>
      <c r="Q1461" s="69" cm="1">
        <f t="array" ref="Q1461">IF(P1461=1,IF(SUMPRODUCT(($P$2:P1461)*(--($G$2:G1461=$G1461)))=1,1,0),0)</f>
        <v>0</v>
      </c>
      <c r="R1461" s="69" t="str">
        <f>IF(Q1461=1,SUM($Q$2:Q1461),"")</f>
        <v/>
      </c>
    </row>
    <row r="1462" spans="1:18" ht="16" x14ac:dyDescent="0.2">
      <c r="A1462" s="72"/>
      <c r="B1462" s="76"/>
      <c r="C1462" s="73"/>
      <c r="D1462" s="73" t="s">
        <v>967</v>
      </c>
      <c r="E1462" s="77" t="s">
        <v>103</v>
      </c>
      <c r="F1462" s="75" t="s">
        <v>1617</v>
      </c>
      <c r="G1462" s="74" t="s">
        <v>524</v>
      </c>
      <c r="H1462" s="69"/>
      <c r="P1462" s="69">
        <f t="shared" si="22"/>
        <v>0</v>
      </c>
      <c r="Q1462" s="69" cm="1">
        <f t="array" ref="Q1462">IF(P1462=1,IF(SUMPRODUCT(($P$2:P1462)*(--($G$2:G1462=$G1462)))=1,1,0),0)</f>
        <v>0</v>
      </c>
      <c r="R1462" s="69" t="str">
        <f>IF(Q1462=1,SUM($Q$2:Q1462),"")</f>
        <v/>
      </c>
    </row>
    <row r="1463" spans="1:18" ht="16" x14ac:dyDescent="0.2">
      <c r="A1463" s="72"/>
      <c r="B1463" s="76"/>
      <c r="C1463" s="73"/>
      <c r="D1463" s="73" t="s">
        <v>967</v>
      </c>
      <c r="E1463" s="77" t="s">
        <v>103</v>
      </c>
      <c r="F1463" s="75" t="s">
        <v>1616</v>
      </c>
      <c r="G1463" s="74" t="s">
        <v>524</v>
      </c>
      <c r="H1463" s="69"/>
      <c r="P1463" s="69">
        <f t="shared" si="22"/>
        <v>0</v>
      </c>
      <c r="Q1463" s="69" cm="1">
        <f t="array" ref="Q1463">IF(P1463=1,IF(SUMPRODUCT(($P$2:P1463)*(--($G$2:G1463=$G1463)))=1,1,0),0)</f>
        <v>0</v>
      </c>
      <c r="R1463" s="69" t="str">
        <f>IF(Q1463=1,SUM($Q$2:Q1463),"")</f>
        <v/>
      </c>
    </row>
    <row r="1464" spans="1:18" ht="16" x14ac:dyDescent="0.2">
      <c r="A1464" s="72"/>
      <c r="B1464" s="76"/>
      <c r="C1464" s="73"/>
      <c r="D1464" s="73" t="s">
        <v>967</v>
      </c>
      <c r="E1464" s="77" t="s">
        <v>103</v>
      </c>
      <c r="F1464" s="75" t="s">
        <v>1694</v>
      </c>
      <c r="G1464" s="74" t="s">
        <v>524</v>
      </c>
      <c r="H1464" s="69"/>
      <c r="P1464" s="69">
        <f t="shared" si="22"/>
        <v>0</v>
      </c>
      <c r="Q1464" s="69" cm="1">
        <f t="array" ref="Q1464">IF(P1464=1,IF(SUMPRODUCT(($P$2:P1464)*(--($G$2:G1464=$G1464)))=1,1,0),0)</f>
        <v>0</v>
      </c>
      <c r="R1464" s="69" t="str">
        <f>IF(Q1464=1,SUM($Q$2:Q1464),"")</f>
        <v/>
      </c>
    </row>
    <row r="1465" spans="1:18" ht="16" x14ac:dyDescent="0.2">
      <c r="A1465" s="72"/>
      <c r="B1465" s="76"/>
      <c r="C1465" s="73"/>
      <c r="D1465" s="73" t="s">
        <v>967</v>
      </c>
      <c r="E1465" s="77" t="s">
        <v>103</v>
      </c>
      <c r="F1465" s="75" t="s">
        <v>1618</v>
      </c>
      <c r="G1465" s="74" t="s">
        <v>524</v>
      </c>
      <c r="H1465" s="69"/>
      <c r="P1465" s="69">
        <f t="shared" si="22"/>
        <v>0</v>
      </c>
      <c r="Q1465" s="69" cm="1">
        <f t="array" ref="Q1465">IF(P1465=1,IF(SUMPRODUCT(($P$2:P1465)*(--($G$2:G1465=$G1465)))=1,1,0),0)</f>
        <v>0</v>
      </c>
      <c r="R1465" s="69" t="str">
        <f>IF(Q1465=1,SUM($Q$2:Q1465),"")</f>
        <v/>
      </c>
    </row>
    <row r="1466" spans="1:18" ht="16" x14ac:dyDescent="0.2">
      <c r="A1466" s="72"/>
      <c r="B1466" s="76"/>
      <c r="C1466" s="73"/>
      <c r="D1466" s="73" t="s">
        <v>967</v>
      </c>
      <c r="E1466" s="77" t="s">
        <v>103</v>
      </c>
      <c r="F1466" s="75" t="s">
        <v>1619</v>
      </c>
      <c r="G1466" s="74" t="s">
        <v>524</v>
      </c>
      <c r="H1466" s="69"/>
      <c r="P1466" s="69">
        <f t="shared" si="22"/>
        <v>0</v>
      </c>
      <c r="Q1466" s="69" cm="1">
        <f t="array" ref="Q1466">IF(P1466=1,IF(SUMPRODUCT(($P$2:P1466)*(--($G$2:G1466=$G1466)))=1,1,0),0)</f>
        <v>0</v>
      </c>
      <c r="R1466" s="69" t="str">
        <f>IF(Q1466=1,SUM($Q$2:Q1466),"")</f>
        <v/>
      </c>
    </row>
    <row r="1467" spans="1:18" ht="16" x14ac:dyDescent="0.2">
      <c r="A1467" s="72"/>
      <c r="B1467" s="76"/>
      <c r="C1467" s="73"/>
      <c r="D1467" s="73" t="s">
        <v>967</v>
      </c>
      <c r="E1467" s="77" t="s">
        <v>103</v>
      </c>
      <c r="F1467" s="75" t="s">
        <v>1620</v>
      </c>
      <c r="G1467" s="74" t="s">
        <v>524</v>
      </c>
      <c r="H1467" s="69"/>
      <c r="P1467" s="69">
        <f t="shared" si="22"/>
        <v>0</v>
      </c>
      <c r="Q1467" s="69" cm="1">
        <f t="array" ref="Q1467">IF(P1467=1,IF(SUMPRODUCT(($P$2:P1467)*(--($G$2:G1467=$G1467)))=1,1,0),0)</f>
        <v>0</v>
      </c>
      <c r="R1467" s="69" t="str">
        <f>IF(Q1467=1,SUM($Q$2:Q1467),"")</f>
        <v/>
      </c>
    </row>
    <row r="1468" spans="1:18" ht="16" x14ac:dyDescent="0.2">
      <c r="A1468" s="72"/>
      <c r="B1468" s="76"/>
      <c r="C1468" s="73"/>
      <c r="D1468" s="73" t="s">
        <v>967</v>
      </c>
      <c r="E1468" s="77" t="s">
        <v>103</v>
      </c>
      <c r="F1468" s="75" t="s">
        <v>1621</v>
      </c>
      <c r="G1468" s="74" t="s">
        <v>524</v>
      </c>
      <c r="H1468" s="69"/>
      <c r="P1468" s="69">
        <f t="shared" si="22"/>
        <v>0</v>
      </c>
      <c r="Q1468" s="69" cm="1">
        <f t="array" ref="Q1468">IF(P1468=1,IF(SUMPRODUCT(($P$2:P1468)*(--($G$2:G1468=$G1468)))=1,1,0),0)</f>
        <v>0</v>
      </c>
      <c r="R1468" s="69" t="str">
        <f>IF(Q1468=1,SUM($Q$2:Q1468),"")</f>
        <v/>
      </c>
    </row>
    <row r="1469" spans="1:18" ht="16" x14ac:dyDescent="0.2">
      <c r="A1469" s="72"/>
      <c r="B1469" s="76"/>
      <c r="C1469" s="73"/>
      <c r="D1469" s="73" t="s">
        <v>967</v>
      </c>
      <c r="E1469" s="77" t="s">
        <v>94</v>
      </c>
      <c r="F1469" s="75" t="s">
        <v>1655</v>
      </c>
      <c r="G1469" s="74" t="s">
        <v>1272</v>
      </c>
      <c r="H1469" s="69"/>
      <c r="P1469" s="69">
        <f t="shared" si="22"/>
        <v>0</v>
      </c>
      <c r="Q1469" s="69" cm="1">
        <f t="array" ref="Q1469">IF(P1469=1,IF(SUMPRODUCT(($P$2:P1469)*(--($G$2:G1469=$G1469)))=1,1,0),0)</f>
        <v>0</v>
      </c>
      <c r="R1469" s="69" t="str">
        <f>IF(Q1469=1,SUM($Q$2:Q1469),"")</f>
        <v/>
      </c>
    </row>
    <row r="1470" spans="1:18" ht="16" x14ac:dyDescent="0.2">
      <c r="A1470" s="72"/>
      <c r="B1470" s="76"/>
      <c r="C1470" s="73"/>
      <c r="D1470" s="73" t="s">
        <v>967</v>
      </c>
      <c r="E1470" s="77" t="s">
        <v>94</v>
      </c>
      <c r="F1470" s="75" t="s">
        <v>1657</v>
      </c>
      <c r="G1470" s="74" t="s">
        <v>1272</v>
      </c>
      <c r="H1470" s="69"/>
      <c r="P1470" s="69">
        <f t="shared" si="22"/>
        <v>0</v>
      </c>
      <c r="Q1470" s="69" cm="1">
        <f t="array" ref="Q1470">IF(P1470=1,IF(SUMPRODUCT(($P$2:P1470)*(--($G$2:G1470=$G1470)))=1,1,0),0)</f>
        <v>0</v>
      </c>
      <c r="R1470" s="69" t="str">
        <f>IF(Q1470=1,SUM($Q$2:Q1470),"")</f>
        <v/>
      </c>
    </row>
    <row r="1471" spans="1:18" ht="16" x14ac:dyDescent="0.2">
      <c r="A1471" s="72"/>
      <c r="B1471" s="76"/>
      <c r="C1471" s="73"/>
      <c r="D1471" s="73" t="s">
        <v>967</v>
      </c>
      <c r="E1471" s="77" t="s">
        <v>94</v>
      </c>
      <c r="F1471" s="75" t="s">
        <v>1656</v>
      </c>
      <c r="G1471" s="74" t="s">
        <v>1272</v>
      </c>
      <c r="H1471" s="69"/>
      <c r="P1471" s="69">
        <f t="shared" si="22"/>
        <v>0</v>
      </c>
      <c r="Q1471" s="69" cm="1">
        <f t="array" ref="Q1471">IF(P1471=1,IF(SUMPRODUCT(($P$2:P1471)*(--($G$2:G1471=$G1471)))=1,1,0),0)</f>
        <v>0</v>
      </c>
      <c r="R1471" s="69" t="str">
        <f>IF(Q1471=1,SUM($Q$2:Q1471),"")</f>
        <v/>
      </c>
    </row>
    <row r="1472" spans="1:18" ht="16" x14ac:dyDescent="0.2">
      <c r="A1472" s="72"/>
      <c r="B1472" s="76"/>
      <c r="C1472" s="73"/>
      <c r="D1472" s="73" t="s">
        <v>967</v>
      </c>
      <c r="E1472" s="77" t="s">
        <v>94</v>
      </c>
      <c r="F1472" s="75" t="s">
        <v>1659</v>
      </c>
      <c r="G1472" s="74" t="s">
        <v>1273</v>
      </c>
      <c r="H1472" s="69"/>
      <c r="P1472" s="69">
        <f t="shared" si="22"/>
        <v>0</v>
      </c>
      <c r="Q1472" s="69" cm="1">
        <f t="array" ref="Q1472">IF(P1472=1,IF(SUMPRODUCT(($P$2:P1472)*(--($G$2:G1472=$G1472)))=1,1,0),0)</f>
        <v>0</v>
      </c>
      <c r="R1472" s="69" t="str">
        <f>IF(Q1472=1,SUM($Q$2:Q1472),"")</f>
        <v/>
      </c>
    </row>
    <row r="1473" spans="1:18" ht="16" x14ac:dyDescent="0.2">
      <c r="A1473" s="72"/>
      <c r="B1473" s="76"/>
      <c r="C1473" s="73"/>
      <c r="D1473" s="73" t="s">
        <v>967</v>
      </c>
      <c r="E1473" s="77" t="s">
        <v>94</v>
      </c>
      <c r="F1473" s="75" t="s">
        <v>1660</v>
      </c>
      <c r="G1473" s="74" t="s">
        <v>1273</v>
      </c>
      <c r="H1473" s="69"/>
      <c r="P1473" s="69">
        <f t="shared" si="22"/>
        <v>0</v>
      </c>
      <c r="Q1473" s="69" cm="1">
        <f t="array" ref="Q1473">IF(P1473=1,IF(SUMPRODUCT(($P$2:P1473)*(--($G$2:G1473=$G1473)))=1,1,0),0)</f>
        <v>0</v>
      </c>
      <c r="R1473" s="69" t="str">
        <f>IF(Q1473=1,SUM($Q$2:Q1473),"")</f>
        <v/>
      </c>
    </row>
    <row r="1474" spans="1:18" ht="16" x14ac:dyDescent="0.2">
      <c r="A1474" s="72"/>
      <c r="B1474" s="76"/>
      <c r="C1474" s="73"/>
      <c r="D1474" s="73" t="s">
        <v>967</v>
      </c>
      <c r="E1474" s="77" t="s">
        <v>94</v>
      </c>
      <c r="F1474" s="75" t="s">
        <v>1661</v>
      </c>
      <c r="G1474" s="74" t="s">
        <v>1273</v>
      </c>
      <c r="H1474" s="69"/>
      <c r="P1474" s="69">
        <f t="shared" si="22"/>
        <v>0</v>
      </c>
      <c r="Q1474" s="69" cm="1">
        <f t="array" ref="Q1474">IF(P1474=1,IF(SUMPRODUCT(($P$2:P1474)*(--($G$2:G1474=$G1474)))=1,1,0),0)</f>
        <v>0</v>
      </c>
      <c r="R1474" s="69" t="str">
        <f>IF(Q1474=1,SUM($Q$2:Q1474),"")</f>
        <v/>
      </c>
    </row>
    <row r="1475" spans="1:18" ht="16" x14ac:dyDescent="0.2">
      <c r="A1475" s="72"/>
      <c r="B1475" s="76"/>
      <c r="C1475" s="73"/>
      <c r="D1475" s="73" t="s">
        <v>967</v>
      </c>
      <c r="E1475" s="77" t="s">
        <v>94</v>
      </c>
      <c r="F1475" s="75" t="s">
        <v>1658</v>
      </c>
      <c r="G1475" s="74" t="s">
        <v>1272</v>
      </c>
      <c r="H1475" s="69"/>
      <c r="P1475" s="69">
        <f t="shared" ref="P1475:P1538" si="23">IF(AND(IF(TRIM($J$2&amp;"")="",TRUE,LEFT($D1475,LEN($J$2))=$J$2),IF(TRIM($K$2&amp;"")="",TRUE,$E1475=$K$2),IF($L$2="",TRUE,$F1475=$L$2)),1,0)</f>
        <v>0</v>
      </c>
      <c r="Q1475" s="69" cm="1">
        <f t="array" ref="Q1475">IF(P1475=1,IF(SUMPRODUCT(($P$2:P1475)*(--($G$2:G1475=$G1475)))=1,1,0),0)</f>
        <v>0</v>
      </c>
      <c r="R1475" s="69" t="str">
        <f>IF(Q1475=1,SUM($Q$2:Q1475),"")</f>
        <v/>
      </c>
    </row>
    <row r="1476" spans="1:18" ht="16" x14ac:dyDescent="0.2">
      <c r="A1476" s="72"/>
      <c r="B1476" s="76"/>
      <c r="C1476" s="73"/>
      <c r="D1476" s="73" t="s">
        <v>967</v>
      </c>
      <c r="E1476" s="77" t="s">
        <v>94</v>
      </c>
      <c r="F1476" s="75" t="s">
        <v>1663</v>
      </c>
      <c r="G1476" s="74" t="s">
        <v>1278</v>
      </c>
      <c r="H1476" s="69"/>
      <c r="P1476" s="69">
        <f t="shared" si="23"/>
        <v>0</v>
      </c>
      <c r="Q1476" s="69" cm="1">
        <f t="array" ref="Q1476">IF(P1476=1,IF(SUMPRODUCT(($P$2:P1476)*(--($G$2:G1476=$G1476)))=1,1,0),0)</f>
        <v>0</v>
      </c>
      <c r="R1476" s="69" t="str">
        <f>IF(Q1476=1,SUM($Q$2:Q1476),"")</f>
        <v/>
      </c>
    </row>
    <row r="1477" spans="1:18" ht="16" x14ac:dyDescent="0.2">
      <c r="A1477" s="72"/>
      <c r="B1477" s="76"/>
      <c r="C1477" s="73"/>
      <c r="D1477" s="73" t="s">
        <v>967</v>
      </c>
      <c r="E1477" s="77" t="s">
        <v>94</v>
      </c>
      <c r="F1477" s="75" t="s">
        <v>1665</v>
      </c>
      <c r="G1477" s="74" t="s">
        <v>1278</v>
      </c>
      <c r="H1477" s="69"/>
      <c r="P1477" s="69">
        <f t="shared" si="23"/>
        <v>0</v>
      </c>
      <c r="Q1477" s="69" cm="1">
        <f t="array" ref="Q1477">IF(P1477=1,IF(SUMPRODUCT(($P$2:P1477)*(--($G$2:G1477=$G1477)))=1,1,0),0)</f>
        <v>0</v>
      </c>
      <c r="R1477" s="69" t="str">
        <f>IF(Q1477=1,SUM($Q$2:Q1477),"")</f>
        <v/>
      </c>
    </row>
    <row r="1478" spans="1:18" ht="16" x14ac:dyDescent="0.2">
      <c r="A1478" s="72"/>
      <c r="B1478" s="76"/>
      <c r="C1478" s="73"/>
      <c r="D1478" s="73" t="s">
        <v>967</v>
      </c>
      <c r="E1478" s="77" t="s">
        <v>94</v>
      </c>
      <c r="F1478" s="75" t="s">
        <v>1664</v>
      </c>
      <c r="G1478" s="74" t="s">
        <v>1278</v>
      </c>
      <c r="H1478" s="69"/>
      <c r="P1478" s="69">
        <f t="shared" si="23"/>
        <v>0</v>
      </c>
      <c r="Q1478" s="69" cm="1">
        <f t="array" ref="Q1478">IF(P1478=1,IF(SUMPRODUCT(($P$2:P1478)*(--($G$2:G1478=$G1478)))=1,1,0),0)</f>
        <v>0</v>
      </c>
      <c r="R1478" s="69" t="str">
        <f>IF(Q1478=1,SUM($Q$2:Q1478),"")</f>
        <v/>
      </c>
    </row>
    <row r="1479" spans="1:18" ht="16" x14ac:dyDescent="0.2">
      <c r="A1479" s="72"/>
      <c r="B1479" s="76"/>
      <c r="C1479" s="73"/>
      <c r="D1479" s="73" t="s">
        <v>967</v>
      </c>
      <c r="E1479" s="77" t="s">
        <v>94</v>
      </c>
      <c r="F1479" s="75" t="s">
        <v>1667</v>
      </c>
      <c r="G1479" s="74" t="s">
        <v>1279</v>
      </c>
      <c r="H1479" s="69"/>
      <c r="P1479" s="69">
        <f t="shared" si="23"/>
        <v>0</v>
      </c>
      <c r="Q1479" s="69" cm="1">
        <f t="array" ref="Q1479">IF(P1479=1,IF(SUMPRODUCT(($P$2:P1479)*(--($G$2:G1479=$G1479)))=1,1,0),0)</f>
        <v>0</v>
      </c>
      <c r="R1479" s="69" t="str">
        <f>IF(Q1479=1,SUM($Q$2:Q1479),"")</f>
        <v/>
      </c>
    </row>
    <row r="1480" spans="1:18" ht="16" x14ac:dyDescent="0.2">
      <c r="A1480" s="72"/>
      <c r="B1480" s="76"/>
      <c r="C1480" s="73"/>
      <c r="D1480" s="73" t="s">
        <v>967</v>
      </c>
      <c r="E1480" s="77" t="s">
        <v>94</v>
      </c>
      <c r="F1480" s="75" t="s">
        <v>1668</v>
      </c>
      <c r="G1480" s="74" t="s">
        <v>1279</v>
      </c>
      <c r="H1480" s="69"/>
      <c r="P1480" s="69">
        <f t="shared" si="23"/>
        <v>0</v>
      </c>
      <c r="Q1480" s="69" cm="1">
        <f t="array" ref="Q1480">IF(P1480=1,IF(SUMPRODUCT(($P$2:P1480)*(--($G$2:G1480=$G1480)))=1,1,0),0)</f>
        <v>0</v>
      </c>
      <c r="R1480" s="69" t="str">
        <f>IF(Q1480=1,SUM($Q$2:Q1480),"")</f>
        <v/>
      </c>
    </row>
    <row r="1481" spans="1:18" ht="16" x14ac:dyDescent="0.2">
      <c r="A1481" s="72"/>
      <c r="B1481" s="76"/>
      <c r="C1481" s="73"/>
      <c r="D1481" s="73" t="s">
        <v>967</v>
      </c>
      <c r="E1481" s="77" t="s">
        <v>94</v>
      </c>
      <c r="F1481" s="75" t="s">
        <v>1669</v>
      </c>
      <c r="G1481" s="74" t="s">
        <v>1279</v>
      </c>
      <c r="H1481" s="69"/>
      <c r="P1481" s="69">
        <f t="shared" si="23"/>
        <v>0</v>
      </c>
      <c r="Q1481" s="69" cm="1">
        <f t="array" ref="Q1481">IF(P1481=1,IF(SUMPRODUCT(($P$2:P1481)*(--($G$2:G1481=$G1481)))=1,1,0),0)</f>
        <v>0</v>
      </c>
      <c r="R1481" s="69" t="str">
        <f>IF(Q1481=1,SUM($Q$2:Q1481),"")</f>
        <v/>
      </c>
    </row>
    <row r="1482" spans="1:18" ht="16" x14ac:dyDescent="0.2">
      <c r="A1482" s="72"/>
      <c r="B1482" s="76"/>
      <c r="C1482" s="73"/>
      <c r="D1482" s="73" t="s">
        <v>967</v>
      </c>
      <c r="E1482" s="77" t="s">
        <v>94</v>
      </c>
      <c r="F1482" s="75" t="s">
        <v>1666</v>
      </c>
      <c r="G1482" s="74" t="s">
        <v>1278</v>
      </c>
      <c r="H1482" s="69"/>
      <c r="P1482" s="69">
        <f t="shared" si="23"/>
        <v>0</v>
      </c>
      <c r="Q1482" s="69" cm="1">
        <f t="array" ref="Q1482">IF(P1482=1,IF(SUMPRODUCT(($P$2:P1482)*(--($G$2:G1482=$G1482)))=1,1,0),0)</f>
        <v>0</v>
      </c>
      <c r="R1482" s="69" t="str">
        <f>IF(Q1482=1,SUM($Q$2:Q1482),"")</f>
        <v/>
      </c>
    </row>
    <row r="1483" spans="1:18" x14ac:dyDescent="0.2">
      <c r="A1483" s="72"/>
      <c r="B1483" s="84"/>
      <c r="C1483" s="73"/>
      <c r="D1483" s="73" t="s">
        <v>967</v>
      </c>
      <c r="E1483" s="77" t="s">
        <v>94</v>
      </c>
      <c r="F1483" s="75" t="s">
        <v>407</v>
      </c>
      <c r="G1483" s="75" t="s">
        <v>1253</v>
      </c>
      <c r="H1483" s="69"/>
      <c r="P1483" s="69">
        <f t="shared" si="23"/>
        <v>0</v>
      </c>
      <c r="Q1483" s="69" cm="1">
        <f t="array" ref="Q1483">IF(P1483=1,IF(SUMPRODUCT(($P$2:P1483)*(--($G$2:G1483=$G1483)))=1,1,0),0)</f>
        <v>0</v>
      </c>
      <c r="R1483" s="69" t="str">
        <f>IF(Q1483=1,SUM($Q$2:Q1483),"")</f>
        <v/>
      </c>
    </row>
    <row r="1484" spans="1:18" x14ac:dyDescent="0.2">
      <c r="A1484" s="72"/>
      <c r="B1484" s="84"/>
      <c r="C1484" s="73"/>
      <c r="D1484" s="73" t="s">
        <v>967</v>
      </c>
      <c r="E1484" s="77" t="s">
        <v>94</v>
      </c>
      <c r="F1484" s="75" t="s">
        <v>1633</v>
      </c>
      <c r="G1484" s="75" t="s">
        <v>1253</v>
      </c>
      <c r="H1484" s="69"/>
      <c r="P1484" s="69">
        <f t="shared" si="23"/>
        <v>0</v>
      </c>
      <c r="Q1484" s="69" cm="1">
        <f t="array" ref="Q1484">IF(P1484=1,IF(SUMPRODUCT(($P$2:P1484)*(--($G$2:G1484=$G1484)))=1,1,0),0)</f>
        <v>0</v>
      </c>
      <c r="R1484" s="69" t="str">
        <f>IF(Q1484=1,SUM($Q$2:Q1484),"")</f>
        <v/>
      </c>
    </row>
    <row r="1485" spans="1:18" x14ac:dyDescent="0.2">
      <c r="A1485" s="72"/>
      <c r="B1485" s="84"/>
      <c r="C1485" s="73"/>
      <c r="D1485" s="73" t="s">
        <v>967</v>
      </c>
      <c r="E1485" s="77" t="s">
        <v>94</v>
      </c>
      <c r="F1485" s="75" t="s">
        <v>1634</v>
      </c>
      <c r="G1485" s="75" t="s">
        <v>1253</v>
      </c>
      <c r="H1485" s="69"/>
      <c r="P1485" s="69">
        <f t="shared" si="23"/>
        <v>0</v>
      </c>
      <c r="Q1485" s="69" cm="1">
        <f t="array" ref="Q1485">IF(P1485=1,IF(SUMPRODUCT(($P$2:P1485)*(--($G$2:G1485=$G1485)))=1,1,0),0)</f>
        <v>0</v>
      </c>
      <c r="R1485" s="69" t="str">
        <f>IF(Q1485=1,SUM($Q$2:Q1485),"")</f>
        <v/>
      </c>
    </row>
    <row r="1486" spans="1:18" x14ac:dyDescent="0.2">
      <c r="A1486" s="72"/>
      <c r="B1486" s="84"/>
      <c r="C1486" s="73"/>
      <c r="D1486" s="73" t="s">
        <v>967</v>
      </c>
      <c r="E1486" s="77" t="s">
        <v>94</v>
      </c>
      <c r="F1486" s="75" t="s">
        <v>1635</v>
      </c>
      <c r="G1486" s="75" t="s">
        <v>1253</v>
      </c>
      <c r="H1486" s="69"/>
      <c r="P1486" s="69">
        <f t="shared" si="23"/>
        <v>0</v>
      </c>
      <c r="Q1486" s="69" cm="1">
        <f t="array" ref="Q1486">IF(P1486=1,IF(SUMPRODUCT(($P$2:P1486)*(--($G$2:G1486=$G1486)))=1,1,0),0)</f>
        <v>0</v>
      </c>
      <c r="R1486" s="69" t="str">
        <f>IF(Q1486=1,SUM($Q$2:Q1486),"")</f>
        <v/>
      </c>
    </row>
    <row r="1487" spans="1:18" x14ac:dyDescent="0.2">
      <c r="A1487" s="72"/>
      <c r="B1487" s="84"/>
      <c r="C1487" s="73"/>
      <c r="D1487" s="73" t="s">
        <v>967</v>
      </c>
      <c r="E1487" s="77" t="s">
        <v>94</v>
      </c>
      <c r="F1487" s="75" t="s">
        <v>1636</v>
      </c>
      <c r="G1487" s="75" t="s">
        <v>1253</v>
      </c>
      <c r="H1487" s="69"/>
      <c r="P1487" s="69">
        <f t="shared" si="23"/>
        <v>0</v>
      </c>
      <c r="Q1487" s="69" cm="1">
        <f t="array" ref="Q1487">IF(P1487=1,IF(SUMPRODUCT(($P$2:P1487)*(--($G$2:G1487=$G1487)))=1,1,0),0)</f>
        <v>0</v>
      </c>
      <c r="R1487" s="69" t="str">
        <f>IF(Q1487=1,SUM($Q$2:Q1487),"")</f>
        <v/>
      </c>
    </row>
    <row r="1488" spans="1:18" x14ac:dyDescent="0.2">
      <c r="A1488" s="72"/>
      <c r="B1488" s="84"/>
      <c r="C1488" s="73"/>
      <c r="D1488" s="73" t="s">
        <v>967</v>
      </c>
      <c r="E1488" s="77" t="s">
        <v>94</v>
      </c>
      <c r="F1488" s="75" t="s">
        <v>1637</v>
      </c>
      <c r="G1488" s="75" t="s">
        <v>1253</v>
      </c>
      <c r="H1488" s="69"/>
      <c r="P1488" s="69">
        <f t="shared" si="23"/>
        <v>0</v>
      </c>
      <c r="Q1488" s="69" cm="1">
        <f t="array" ref="Q1488">IF(P1488=1,IF(SUMPRODUCT(($P$2:P1488)*(--($G$2:G1488=$G1488)))=1,1,0),0)</f>
        <v>0</v>
      </c>
      <c r="R1488" s="69" t="str">
        <f>IF(Q1488=1,SUM($Q$2:Q1488),"")</f>
        <v/>
      </c>
    </row>
    <row r="1489" spans="1:18" x14ac:dyDescent="0.2">
      <c r="A1489" s="72"/>
      <c r="B1489" s="84"/>
      <c r="C1489" s="73"/>
      <c r="D1489" s="73" t="s">
        <v>967</v>
      </c>
      <c r="E1489" s="77" t="s">
        <v>94</v>
      </c>
      <c r="F1489" s="75" t="s">
        <v>1638</v>
      </c>
      <c r="G1489" s="75" t="s">
        <v>1253</v>
      </c>
      <c r="H1489" s="69"/>
      <c r="P1489" s="69">
        <f t="shared" si="23"/>
        <v>0</v>
      </c>
      <c r="Q1489" s="69" cm="1">
        <f t="array" ref="Q1489">IF(P1489=1,IF(SUMPRODUCT(($P$2:P1489)*(--($G$2:G1489=$G1489)))=1,1,0),0)</f>
        <v>0</v>
      </c>
      <c r="R1489" s="69" t="str">
        <f>IF(Q1489=1,SUM($Q$2:Q1489),"")</f>
        <v/>
      </c>
    </row>
    <row r="1490" spans="1:18" x14ac:dyDescent="0.2">
      <c r="A1490" s="72"/>
      <c r="B1490" s="84"/>
      <c r="C1490" s="73"/>
      <c r="D1490" s="73" t="s">
        <v>967</v>
      </c>
      <c r="E1490" s="77" t="s">
        <v>94</v>
      </c>
      <c r="F1490" s="75" t="s">
        <v>1682</v>
      </c>
      <c r="G1490" s="75" t="s">
        <v>1253</v>
      </c>
      <c r="H1490" s="69"/>
      <c r="P1490" s="69">
        <f t="shared" si="23"/>
        <v>0</v>
      </c>
      <c r="Q1490" s="69" cm="1">
        <f t="array" ref="Q1490">IF(P1490=1,IF(SUMPRODUCT(($P$2:P1490)*(--($G$2:G1490=$G1490)))=1,1,0),0)</f>
        <v>0</v>
      </c>
      <c r="R1490" s="69" t="str">
        <f>IF(Q1490=1,SUM($Q$2:Q1490),"")</f>
        <v/>
      </c>
    </row>
    <row r="1491" spans="1:18" x14ac:dyDescent="0.2">
      <c r="A1491" s="72"/>
      <c r="B1491" s="84"/>
      <c r="C1491" s="73"/>
      <c r="D1491" s="73" t="s">
        <v>967</v>
      </c>
      <c r="E1491" s="77" t="s">
        <v>94</v>
      </c>
      <c r="F1491" s="75" t="s">
        <v>1639</v>
      </c>
      <c r="G1491" s="75" t="s">
        <v>1253</v>
      </c>
      <c r="H1491" s="69"/>
      <c r="P1491" s="69">
        <f t="shared" si="23"/>
        <v>0</v>
      </c>
      <c r="Q1491" s="69" cm="1">
        <f t="array" ref="Q1491">IF(P1491=1,IF(SUMPRODUCT(($P$2:P1491)*(--($G$2:G1491=$G1491)))=1,1,0),0)</f>
        <v>0</v>
      </c>
      <c r="R1491" s="69" t="str">
        <f>IF(Q1491=1,SUM($Q$2:Q1491),"")</f>
        <v/>
      </c>
    </row>
    <row r="1492" spans="1:18" x14ac:dyDescent="0.2">
      <c r="A1492" s="72"/>
      <c r="B1492" s="84"/>
      <c r="C1492" s="73"/>
      <c r="D1492" s="73" t="s">
        <v>967</v>
      </c>
      <c r="E1492" s="77" t="s">
        <v>94</v>
      </c>
      <c r="F1492" s="75" t="s">
        <v>1683</v>
      </c>
      <c r="G1492" s="75" t="s">
        <v>1253</v>
      </c>
      <c r="H1492" s="69"/>
      <c r="P1492" s="69">
        <f t="shared" si="23"/>
        <v>0</v>
      </c>
      <c r="Q1492" s="69" cm="1">
        <f t="array" ref="Q1492">IF(P1492=1,IF(SUMPRODUCT(($P$2:P1492)*(--($G$2:G1492=$G1492)))=1,1,0),0)</f>
        <v>0</v>
      </c>
      <c r="R1492" s="69" t="str">
        <f>IF(Q1492=1,SUM($Q$2:Q1492),"")</f>
        <v/>
      </c>
    </row>
    <row r="1493" spans="1:18" x14ac:dyDescent="0.2">
      <c r="A1493" s="72"/>
      <c r="B1493" s="84"/>
      <c r="C1493" s="73"/>
      <c r="D1493" s="73" t="s">
        <v>967</v>
      </c>
      <c r="E1493" s="77" t="s">
        <v>94</v>
      </c>
      <c r="F1493" s="75" t="s">
        <v>1684</v>
      </c>
      <c r="G1493" s="75" t="s">
        <v>1253</v>
      </c>
      <c r="H1493" s="69"/>
      <c r="P1493" s="69">
        <f t="shared" si="23"/>
        <v>0</v>
      </c>
      <c r="Q1493" s="69" cm="1">
        <f t="array" ref="Q1493">IF(P1493=1,IF(SUMPRODUCT(($P$2:P1493)*(--($G$2:G1493=$G1493)))=1,1,0),0)</f>
        <v>0</v>
      </c>
      <c r="R1493" s="69" t="str">
        <f>IF(Q1493=1,SUM($Q$2:Q1493),"")</f>
        <v/>
      </c>
    </row>
    <row r="1494" spans="1:18" x14ac:dyDescent="0.2">
      <c r="A1494" s="72"/>
      <c r="B1494" s="84"/>
      <c r="C1494" s="73"/>
      <c r="D1494" s="73" t="s">
        <v>967</v>
      </c>
      <c r="E1494" s="77" t="s">
        <v>94</v>
      </c>
      <c r="F1494" s="75" t="s">
        <v>1685</v>
      </c>
      <c r="G1494" s="75" t="s">
        <v>1253</v>
      </c>
      <c r="H1494" s="69"/>
      <c r="P1494" s="69">
        <f t="shared" si="23"/>
        <v>0</v>
      </c>
      <c r="Q1494" s="69" cm="1">
        <f t="array" ref="Q1494">IF(P1494=1,IF(SUMPRODUCT(($P$2:P1494)*(--($G$2:G1494=$G1494)))=1,1,0),0)</f>
        <v>0</v>
      </c>
      <c r="R1494" s="69" t="str">
        <f>IF(Q1494=1,SUM($Q$2:Q1494),"")</f>
        <v/>
      </c>
    </row>
    <row r="1495" spans="1:18" x14ac:dyDescent="0.2">
      <c r="A1495" s="72"/>
      <c r="B1495" s="84"/>
      <c r="C1495" s="73"/>
      <c r="D1495" s="73" t="s">
        <v>967</v>
      </c>
      <c r="E1495" s="77" t="s">
        <v>94</v>
      </c>
      <c r="F1495" s="75" t="s">
        <v>1686</v>
      </c>
      <c r="G1495" s="75" t="s">
        <v>1253</v>
      </c>
      <c r="H1495" s="69"/>
      <c r="P1495" s="69">
        <f t="shared" si="23"/>
        <v>0</v>
      </c>
      <c r="Q1495" s="69" cm="1">
        <f t="array" ref="Q1495">IF(P1495=1,IF(SUMPRODUCT(($P$2:P1495)*(--($G$2:G1495=$G1495)))=1,1,0),0)</f>
        <v>0</v>
      </c>
      <c r="R1495" s="69" t="str">
        <f>IF(Q1495=1,SUM($Q$2:Q1495),"")</f>
        <v/>
      </c>
    </row>
    <row r="1496" spans="1:18" x14ac:dyDescent="0.2">
      <c r="A1496" s="72"/>
      <c r="B1496" s="84"/>
      <c r="C1496" s="73"/>
      <c r="D1496" s="73" t="s">
        <v>967</v>
      </c>
      <c r="E1496" s="77" t="s">
        <v>94</v>
      </c>
      <c r="F1496" s="75" t="s">
        <v>1640</v>
      </c>
      <c r="G1496" s="75" t="s">
        <v>1254</v>
      </c>
      <c r="H1496" s="69"/>
      <c r="P1496" s="69">
        <f t="shared" si="23"/>
        <v>0</v>
      </c>
      <c r="Q1496" s="69" cm="1">
        <f t="array" ref="Q1496">IF(P1496=1,IF(SUMPRODUCT(($P$2:P1496)*(--($G$2:G1496=$G1496)))=1,1,0),0)</f>
        <v>0</v>
      </c>
      <c r="R1496" s="69" t="str">
        <f>IF(Q1496=1,SUM($Q$2:Q1496),"")</f>
        <v/>
      </c>
    </row>
    <row r="1497" spans="1:18" x14ac:dyDescent="0.2">
      <c r="A1497" s="72"/>
      <c r="B1497" s="84"/>
      <c r="C1497" s="73"/>
      <c r="D1497" s="73" t="s">
        <v>967</v>
      </c>
      <c r="E1497" s="77" t="s">
        <v>94</v>
      </c>
      <c r="F1497" s="75" t="s">
        <v>1643</v>
      </c>
      <c r="G1497" s="75" t="s">
        <v>1254</v>
      </c>
      <c r="H1497" s="69"/>
      <c r="P1497" s="69">
        <f t="shared" si="23"/>
        <v>0</v>
      </c>
      <c r="Q1497" s="69" cm="1">
        <f t="array" ref="Q1497">IF(P1497=1,IF(SUMPRODUCT(($P$2:P1497)*(--($G$2:G1497=$G1497)))=1,1,0),0)</f>
        <v>0</v>
      </c>
      <c r="R1497" s="69" t="str">
        <f>IF(Q1497=1,SUM($Q$2:Q1497),"")</f>
        <v/>
      </c>
    </row>
    <row r="1498" spans="1:18" x14ac:dyDescent="0.2">
      <c r="A1498" s="72"/>
      <c r="B1498" s="84"/>
      <c r="C1498" s="73"/>
      <c r="D1498" s="73" t="s">
        <v>967</v>
      </c>
      <c r="E1498" s="77" t="s">
        <v>94</v>
      </c>
      <c r="F1498" s="75" t="s">
        <v>1644</v>
      </c>
      <c r="G1498" s="75" t="s">
        <v>1254</v>
      </c>
      <c r="H1498" s="69"/>
      <c r="P1498" s="69">
        <f t="shared" si="23"/>
        <v>0</v>
      </c>
      <c r="Q1498" s="69" cm="1">
        <f t="array" ref="Q1498">IF(P1498=1,IF(SUMPRODUCT(($P$2:P1498)*(--($G$2:G1498=$G1498)))=1,1,0),0)</f>
        <v>0</v>
      </c>
      <c r="R1498" s="69" t="str">
        <f>IF(Q1498=1,SUM($Q$2:Q1498),"")</f>
        <v/>
      </c>
    </row>
    <row r="1499" spans="1:18" x14ac:dyDescent="0.2">
      <c r="A1499" s="72"/>
      <c r="B1499" s="84"/>
      <c r="C1499" s="73"/>
      <c r="D1499" s="73" t="s">
        <v>967</v>
      </c>
      <c r="E1499" s="77" t="s">
        <v>94</v>
      </c>
      <c r="F1499" s="75" t="s">
        <v>1645</v>
      </c>
      <c r="G1499" s="75" t="s">
        <v>1254</v>
      </c>
      <c r="H1499" s="69"/>
      <c r="P1499" s="69">
        <f t="shared" si="23"/>
        <v>0</v>
      </c>
      <c r="Q1499" s="69" cm="1">
        <f t="array" ref="Q1499">IF(P1499=1,IF(SUMPRODUCT(($P$2:P1499)*(--($G$2:G1499=$G1499)))=1,1,0),0)</f>
        <v>0</v>
      </c>
      <c r="R1499" s="69" t="str">
        <f>IF(Q1499=1,SUM($Q$2:Q1499),"")</f>
        <v/>
      </c>
    </row>
    <row r="1500" spans="1:18" x14ac:dyDescent="0.2">
      <c r="A1500" s="72"/>
      <c r="B1500" s="84"/>
      <c r="C1500" s="73"/>
      <c r="D1500" s="73" t="s">
        <v>967</v>
      </c>
      <c r="E1500" s="77" t="s">
        <v>94</v>
      </c>
      <c r="F1500" s="75" t="s">
        <v>1646</v>
      </c>
      <c r="G1500" s="75" t="s">
        <v>1254</v>
      </c>
      <c r="H1500" s="69"/>
      <c r="P1500" s="69">
        <f t="shared" si="23"/>
        <v>0</v>
      </c>
      <c r="Q1500" s="69" cm="1">
        <f t="array" ref="Q1500">IF(P1500=1,IF(SUMPRODUCT(($P$2:P1500)*(--($G$2:G1500=$G1500)))=1,1,0),0)</f>
        <v>0</v>
      </c>
      <c r="R1500" s="69" t="str">
        <f>IF(Q1500=1,SUM($Q$2:Q1500),"")</f>
        <v/>
      </c>
    </row>
    <row r="1501" spans="1:18" x14ac:dyDescent="0.2">
      <c r="A1501" s="72"/>
      <c r="B1501" s="84"/>
      <c r="C1501" s="73"/>
      <c r="D1501" s="73" t="s">
        <v>967</v>
      </c>
      <c r="E1501" s="77" t="s">
        <v>94</v>
      </c>
      <c r="F1501" s="75" t="s">
        <v>1687</v>
      </c>
      <c r="G1501" s="75" t="s">
        <v>1254</v>
      </c>
      <c r="H1501" s="69"/>
      <c r="P1501" s="69">
        <f t="shared" si="23"/>
        <v>0</v>
      </c>
      <c r="Q1501" s="69" cm="1">
        <f t="array" ref="Q1501">IF(P1501=1,IF(SUMPRODUCT(($P$2:P1501)*(--($G$2:G1501=$G1501)))=1,1,0),0)</f>
        <v>0</v>
      </c>
      <c r="R1501" s="69" t="str">
        <f>IF(Q1501=1,SUM($Q$2:Q1501),"")</f>
        <v/>
      </c>
    </row>
    <row r="1502" spans="1:18" x14ac:dyDescent="0.2">
      <c r="A1502" s="72"/>
      <c r="B1502" s="84"/>
      <c r="C1502" s="73"/>
      <c r="D1502" s="73" t="s">
        <v>967</v>
      </c>
      <c r="E1502" s="77" t="s">
        <v>94</v>
      </c>
      <c r="F1502" s="75" t="s">
        <v>1641</v>
      </c>
      <c r="G1502" s="75" t="s">
        <v>1254</v>
      </c>
      <c r="H1502" s="69"/>
      <c r="P1502" s="69">
        <f t="shared" si="23"/>
        <v>0</v>
      </c>
      <c r="Q1502" s="69" cm="1">
        <f t="array" ref="Q1502">IF(P1502=1,IF(SUMPRODUCT(($P$2:P1502)*(--($G$2:G1502=$G1502)))=1,1,0),0)</f>
        <v>0</v>
      </c>
      <c r="R1502" s="69" t="str">
        <f>IF(Q1502=1,SUM($Q$2:Q1502),"")</f>
        <v/>
      </c>
    </row>
    <row r="1503" spans="1:18" x14ac:dyDescent="0.2">
      <c r="A1503" s="72"/>
      <c r="B1503" s="84"/>
      <c r="C1503" s="73"/>
      <c r="D1503" s="73" t="s">
        <v>967</v>
      </c>
      <c r="E1503" s="77" t="s">
        <v>94</v>
      </c>
      <c r="F1503" s="75" t="s">
        <v>1642</v>
      </c>
      <c r="G1503" s="75" t="s">
        <v>1254</v>
      </c>
      <c r="H1503" s="69"/>
      <c r="P1503" s="69">
        <f t="shared" si="23"/>
        <v>0</v>
      </c>
      <c r="Q1503" s="69" cm="1">
        <f t="array" ref="Q1503">IF(P1503=1,IF(SUMPRODUCT(($P$2:P1503)*(--($G$2:G1503=$G1503)))=1,1,0),0)</f>
        <v>0</v>
      </c>
      <c r="R1503" s="69" t="str">
        <f>IF(Q1503=1,SUM($Q$2:Q1503),"")</f>
        <v/>
      </c>
    </row>
    <row r="1504" spans="1:18" x14ac:dyDescent="0.2">
      <c r="A1504" s="72"/>
      <c r="B1504" s="84"/>
      <c r="C1504" s="73"/>
      <c r="D1504" s="73" t="s">
        <v>967</v>
      </c>
      <c r="E1504" s="77" t="s">
        <v>94</v>
      </c>
      <c r="F1504" s="75" t="s">
        <v>1688</v>
      </c>
      <c r="G1504" s="75" t="s">
        <v>1254</v>
      </c>
      <c r="H1504" s="69"/>
      <c r="P1504" s="69">
        <f t="shared" si="23"/>
        <v>0</v>
      </c>
      <c r="Q1504" s="69" cm="1">
        <f t="array" ref="Q1504">IF(P1504=1,IF(SUMPRODUCT(($P$2:P1504)*(--($G$2:G1504=$G1504)))=1,1,0),0)</f>
        <v>0</v>
      </c>
      <c r="R1504" s="69" t="str">
        <f>IF(Q1504=1,SUM($Q$2:Q1504),"")</f>
        <v/>
      </c>
    </row>
    <row r="1505" spans="1:18" x14ac:dyDescent="0.2">
      <c r="A1505" s="72"/>
      <c r="B1505" s="84"/>
      <c r="C1505" s="73"/>
      <c r="D1505" s="73" t="s">
        <v>967</v>
      </c>
      <c r="E1505" s="77" t="s">
        <v>94</v>
      </c>
      <c r="F1505" s="75" t="s">
        <v>1689</v>
      </c>
      <c r="G1505" s="75" t="s">
        <v>1254</v>
      </c>
      <c r="H1505" s="69"/>
      <c r="P1505" s="69">
        <f t="shared" si="23"/>
        <v>0</v>
      </c>
      <c r="Q1505" s="69" cm="1">
        <f t="array" ref="Q1505">IF(P1505=1,IF(SUMPRODUCT(($P$2:P1505)*(--($G$2:G1505=$G1505)))=1,1,0),0)</f>
        <v>0</v>
      </c>
      <c r="R1505" s="69" t="str">
        <f>IF(Q1505=1,SUM($Q$2:Q1505),"")</f>
        <v/>
      </c>
    </row>
    <row r="1506" spans="1:18" x14ac:dyDescent="0.2">
      <c r="A1506" s="72"/>
      <c r="B1506" s="84"/>
      <c r="C1506" s="73"/>
      <c r="D1506" s="73" t="s">
        <v>967</v>
      </c>
      <c r="E1506" s="77" t="s">
        <v>94</v>
      </c>
      <c r="F1506" s="75" t="s">
        <v>1690</v>
      </c>
      <c r="G1506" s="75" t="s">
        <v>1254</v>
      </c>
      <c r="H1506" s="69"/>
      <c r="P1506" s="69">
        <f t="shared" si="23"/>
        <v>0</v>
      </c>
      <c r="Q1506" s="69" cm="1">
        <f t="array" ref="Q1506">IF(P1506=1,IF(SUMPRODUCT(($P$2:P1506)*(--($G$2:G1506=$G1506)))=1,1,0),0)</f>
        <v>0</v>
      </c>
      <c r="R1506" s="69" t="str">
        <f>IF(Q1506=1,SUM($Q$2:Q1506),"")</f>
        <v/>
      </c>
    </row>
    <row r="1507" spans="1:18" x14ac:dyDescent="0.2">
      <c r="A1507" s="72"/>
      <c r="B1507" s="84"/>
      <c r="C1507" s="73"/>
      <c r="D1507" s="73" t="s">
        <v>967</v>
      </c>
      <c r="E1507" s="77" t="s">
        <v>94</v>
      </c>
      <c r="F1507" s="75" t="s">
        <v>1691</v>
      </c>
      <c r="G1507" s="75" t="s">
        <v>1254</v>
      </c>
      <c r="H1507" s="69"/>
      <c r="P1507" s="69">
        <f t="shared" si="23"/>
        <v>0</v>
      </c>
      <c r="Q1507" s="69" cm="1">
        <f t="array" ref="Q1507">IF(P1507=1,IF(SUMPRODUCT(($P$2:P1507)*(--($G$2:G1507=$G1507)))=1,1,0),0)</f>
        <v>0</v>
      </c>
      <c r="R1507" s="69" t="str">
        <f>IF(Q1507=1,SUM($Q$2:Q1507),"")</f>
        <v/>
      </c>
    </row>
    <row r="1508" spans="1:18" x14ac:dyDescent="0.2">
      <c r="A1508" s="72"/>
      <c r="B1508" s="76"/>
      <c r="C1508" s="73"/>
      <c r="D1508" s="73" t="s">
        <v>967</v>
      </c>
      <c r="E1508" s="77" t="s">
        <v>94</v>
      </c>
      <c r="F1508" s="75" t="s">
        <v>403</v>
      </c>
      <c r="G1508" s="75" t="s">
        <v>1194</v>
      </c>
      <c r="H1508" s="69"/>
      <c r="P1508" s="69">
        <f t="shared" si="23"/>
        <v>0</v>
      </c>
      <c r="Q1508" s="69" cm="1">
        <f t="array" ref="Q1508">IF(P1508=1,IF(SUMPRODUCT(($P$2:P1508)*(--($G$2:G1508=$G1508)))=1,1,0),0)</f>
        <v>0</v>
      </c>
      <c r="R1508" s="69" t="str">
        <f>IF(Q1508=1,SUM($Q$2:Q1508),"")</f>
        <v/>
      </c>
    </row>
    <row r="1509" spans="1:18" x14ac:dyDescent="0.2">
      <c r="A1509" s="72"/>
      <c r="B1509" s="76"/>
      <c r="C1509" s="73"/>
      <c r="D1509" s="73" t="s">
        <v>967</v>
      </c>
      <c r="E1509" s="77" t="s">
        <v>94</v>
      </c>
      <c r="F1509" s="75" t="s">
        <v>1622</v>
      </c>
      <c r="G1509" s="75" t="s">
        <v>1194</v>
      </c>
      <c r="H1509" s="69"/>
      <c r="P1509" s="69">
        <f t="shared" si="23"/>
        <v>0</v>
      </c>
      <c r="Q1509" s="69" cm="1">
        <f t="array" ref="Q1509">IF(P1509=1,IF(SUMPRODUCT(($P$2:P1509)*(--($G$2:G1509=$G1509)))=1,1,0),0)</f>
        <v>0</v>
      </c>
      <c r="R1509" s="69" t="str">
        <f>IF(Q1509=1,SUM($Q$2:Q1509),"")</f>
        <v/>
      </c>
    </row>
    <row r="1510" spans="1:18" x14ac:dyDescent="0.2">
      <c r="A1510" s="72"/>
      <c r="B1510" s="76"/>
      <c r="C1510" s="73"/>
      <c r="D1510" s="73" t="s">
        <v>967</v>
      </c>
      <c r="E1510" s="77" t="s">
        <v>94</v>
      </c>
      <c r="F1510" s="75" t="s">
        <v>1623</v>
      </c>
      <c r="G1510" s="75" t="s">
        <v>1194</v>
      </c>
      <c r="H1510" s="69"/>
      <c r="P1510" s="69">
        <f t="shared" si="23"/>
        <v>0</v>
      </c>
      <c r="Q1510" s="69" cm="1">
        <f t="array" ref="Q1510">IF(P1510=1,IF(SUMPRODUCT(($P$2:P1510)*(--($G$2:G1510=$G1510)))=1,1,0),0)</f>
        <v>0</v>
      </c>
      <c r="R1510" s="69" t="str">
        <f>IF(Q1510=1,SUM($Q$2:Q1510),"")</f>
        <v/>
      </c>
    </row>
    <row r="1511" spans="1:18" x14ac:dyDescent="0.2">
      <c r="A1511" s="72"/>
      <c r="B1511" s="76"/>
      <c r="C1511" s="73"/>
      <c r="D1511" s="73" t="s">
        <v>967</v>
      </c>
      <c r="E1511" s="77" t="s">
        <v>94</v>
      </c>
      <c r="F1511" s="75" t="s">
        <v>1671</v>
      </c>
      <c r="G1511" s="75" t="s">
        <v>1194</v>
      </c>
      <c r="H1511" s="69"/>
      <c r="P1511" s="69">
        <f t="shared" si="23"/>
        <v>0</v>
      </c>
      <c r="Q1511" s="69" cm="1">
        <f t="array" ref="Q1511">IF(P1511=1,IF(SUMPRODUCT(($P$2:P1511)*(--($G$2:G1511=$G1511)))=1,1,0),0)</f>
        <v>0</v>
      </c>
      <c r="R1511" s="69" t="str">
        <f>IF(Q1511=1,SUM($Q$2:Q1511),"")</f>
        <v/>
      </c>
    </row>
    <row r="1512" spans="1:18" x14ac:dyDescent="0.2">
      <c r="A1512" s="72"/>
      <c r="B1512" s="76"/>
      <c r="C1512" s="73"/>
      <c r="D1512" s="73" t="s">
        <v>967</v>
      </c>
      <c r="E1512" s="77" t="s">
        <v>94</v>
      </c>
      <c r="F1512" s="75" t="s">
        <v>1672</v>
      </c>
      <c r="G1512" s="75" t="s">
        <v>1194</v>
      </c>
      <c r="H1512" s="69"/>
      <c r="P1512" s="69">
        <f t="shared" si="23"/>
        <v>0</v>
      </c>
      <c r="Q1512" s="69" cm="1">
        <f t="array" ref="Q1512">IF(P1512=1,IF(SUMPRODUCT(($P$2:P1512)*(--($G$2:G1512=$G1512)))=1,1,0),0)</f>
        <v>0</v>
      </c>
      <c r="R1512" s="69" t="str">
        <f>IF(Q1512=1,SUM($Q$2:Q1512),"")</f>
        <v/>
      </c>
    </row>
    <row r="1513" spans="1:18" x14ac:dyDescent="0.2">
      <c r="A1513" s="72"/>
      <c r="B1513" s="76"/>
      <c r="C1513" s="73"/>
      <c r="D1513" s="73" t="s">
        <v>967</v>
      </c>
      <c r="E1513" s="77" t="s">
        <v>94</v>
      </c>
      <c r="F1513" s="75" t="s">
        <v>1625</v>
      </c>
      <c r="G1513" s="75" t="s">
        <v>1194</v>
      </c>
      <c r="H1513" s="69"/>
      <c r="P1513" s="69">
        <f t="shared" si="23"/>
        <v>0</v>
      </c>
      <c r="Q1513" s="69" cm="1">
        <f t="array" ref="Q1513">IF(P1513=1,IF(SUMPRODUCT(($P$2:P1513)*(--($G$2:G1513=$G1513)))=1,1,0),0)</f>
        <v>0</v>
      </c>
      <c r="R1513" s="69" t="str">
        <f>IF(Q1513=1,SUM($Q$2:Q1513),"")</f>
        <v/>
      </c>
    </row>
    <row r="1514" spans="1:18" x14ac:dyDescent="0.2">
      <c r="A1514" s="72"/>
      <c r="B1514" s="76"/>
      <c r="C1514" s="73"/>
      <c r="D1514" s="73" t="s">
        <v>967</v>
      </c>
      <c r="E1514" s="77" t="s">
        <v>94</v>
      </c>
      <c r="F1514" s="75" t="s">
        <v>1673</v>
      </c>
      <c r="G1514" s="75" t="s">
        <v>1194</v>
      </c>
      <c r="H1514" s="69"/>
      <c r="P1514" s="69">
        <f t="shared" si="23"/>
        <v>0</v>
      </c>
      <c r="Q1514" s="69" cm="1">
        <f t="array" ref="Q1514">IF(P1514=1,IF(SUMPRODUCT(($P$2:P1514)*(--($G$2:G1514=$G1514)))=1,1,0),0)</f>
        <v>0</v>
      </c>
      <c r="R1514" s="69" t="str">
        <f>IF(Q1514=1,SUM($Q$2:Q1514),"")</f>
        <v/>
      </c>
    </row>
    <row r="1515" spans="1:18" x14ac:dyDescent="0.2">
      <c r="A1515" s="72"/>
      <c r="B1515" s="76"/>
      <c r="C1515" s="73"/>
      <c r="D1515" s="73" t="s">
        <v>967</v>
      </c>
      <c r="E1515" s="77" t="s">
        <v>94</v>
      </c>
      <c r="F1515" s="75" t="s">
        <v>1626</v>
      </c>
      <c r="G1515" s="75" t="s">
        <v>1194</v>
      </c>
      <c r="H1515" s="69"/>
      <c r="P1515" s="69">
        <f t="shared" si="23"/>
        <v>0</v>
      </c>
      <c r="Q1515" s="69" cm="1">
        <f t="array" ref="Q1515">IF(P1515=1,IF(SUMPRODUCT(($P$2:P1515)*(--($G$2:G1515=$G1515)))=1,1,0),0)</f>
        <v>0</v>
      </c>
      <c r="R1515" s="69" t="str">
        <f>IF(Q1515=1,SUM($Q$2:Q1515),"")</f>
        <v/>
      </c>
    </row>
    <row r="1516" spans="1:18" x14ac:dyDescent="0.2">
      <c r="A1516" s="72"/>
      <c r="B1516" s="76"/>
      <c r="C1516" s="73"/>
      <c r="D1516" s="73" t="s">
        <v>967</v>
      </c>
      <c r="E1516" s="77" t="s">
        <v>94</v>
      </c>
      <c r="F1516" s="75" t="s">
        <v>412</v>
      </c>
      <c r="G1516" s="75" t="s">
        <v>1194</v>
      </c>
      <c r="H1516" s="69"/>
      <c r="P1516" s="69">
        <f t="shared" si="23"/>
        <v>0</v>
      </c>
      <c r="Q1516" s="69" cm="1">
        <f t="array" ref="Q1516">IF(P1516=1,IF(SUMPRODUCT(($P$2:P1516)*(--($G$2:G1516=$G1516)))=1,1,0),0)</f>
        <v>0</v>
      </c>
      <c r="R1516" s="69" t="str">
        <f>IF(Q1516=1,SUM($Q$2:Q1516),"")</f>
        <v/>
      </c>
    </row>
    <row r="1517" spans="1:18" x14ac:dyDescent="0.2">
      <c r="A1517" s="72"/>
      <c r="B1517" s="76"/>
      <c r="C1517" s="73"/>
      <c r="D1517" s="73" t="s">
        <v>967</v>
      </c>
      <c r="E1517" s="77" t="s">
        <v>94</v>
      </c>
      <c r="F1517" s="75" t="s">
        <v>1674</v>
      </c>
      <c r="G1517" s="75" t="s">
        <v>1194</v>
      </c>
      <c r="H1517" s="69"/>
      <c r="P1517" s="69">
        <f t="shared" si="23"/>
        <v>0</v>
      </c>
      <c r="Q1517" s="69" cm="1">
        <f t="array" ref="Q1517">IF(P1517=1,IF(SUMPRODUCT(($P$2:P1517)*(--($G$2:G1517=$G1517)))=1,1,0),0)</f>
        <v>0</v>
      </c>
      <c r="R1517" s="69" t="str">
        <f>IF(Q1517=1,SUM($Q$2:Q1517),"")</f>
        <v/>
      </c>
    </row>
    <row r="1518" spans="1:18" x14ac:dyDescent="0.2">
      <c r="A1518" s="72"/>
      <c r="B1518" s="76"/>
      <c r="C1518" s="73"/>
      <c r="D1518" s="73" t="s">
        <v>967</v>
      </c>
      <c r="E1518" s="77" t="s">
        <v>94</v>
      </c>
      <c r="F1518" s="75" t="s">
        <v>417</v>
      </c>
      <c r="G1518" s="75" t="s">
        <v>1194</v>
      </c>
      <c r="H1518" s="69"/>
      <c r="P1518" s="69">
        <f t="shared" si="23"/>
        <v>0</v>
      </c>
      <c r="Q1518" s="69" cm="1">
        <f t="array" ref="Q1518">IF(P1518=1,IF(SUMPRODUCT(($P$2:P1518)*(--($G$2:G1518=$G1518)))=1,1,0),0)</f>
        <v>0</v>
      </c>
      <c r="R1518" s="69" t="str">
        <f>IF(Q1518=1,SUM($Q$2:Q1518),"")</f>
        <v/>
      </c>
    </row>
    <row r="1519" spans="1:18" x14ac:dyDescent="0.2">
      <c r="A1519" s="72"/>
      <c r="B1519" s="76"/>
      <c r="C1519" s="73"/>
      <c r="D1519" s="73" t="s">
        <v>967</v>
      </c>
      <c r="E1519" s="77" t="s">
        <v>94</v>
      </c>
      <c r="F1519" s="75" t="s">
        <v>1675</v>
      </c>
      <c r="G1519" s="75" t="s">
        <v>1194</v>
      </c>
      <c r="H1519" s="69"/>
      <c r="P1519" s="69">
        <f t="shared" si="23"/>
        <v>0</v>
      </c>
      <c r="Q1519" s="69" cm="1">
        <f t="array" ref="Q1519">IF(P1519=1,IF(SUMPRODUCT(($P$2:P1519)*(--($G$2:G1519=$G1519)))=1,1,0),0)</f>
        <v>0</v>
      </c>
      <c r="R1519" s="69" t="str">
        <f>IF(Q1519=1,SUM($Q$2:Q1519),"")</f>
        <v/>
      </c>
    </row>
    <row r="1520" spans="1:18" x14ac:dyDescent="0.2">
      <c r="A1520" s="72"/>
      <c r="B1520" s="76"/>
      <c r="C1520" s="73"/>
      <c r="D1520" s="73" t="s">
        <v>967</v>
      </c>
      <c r="E1520" s="77" t="s">
        <v>94</v>
      </c>
      <c r="F1520" s="75" t="s">
        <v>1627</v>
      </c>
      <c r="G1520" s="75" t="s">
        <v>1195</v>
      </c>
      <c r="H1520" s="69"/>
      <c r="P1520" s="69">
        <f t="shared" si="23"/>
        <v>0</v>
      </c>
      <c r="Q1520" s="69" cm="1">
        <f t="array" ref="Q1520">IF(P1520=1,IF(SUMPRODUCT(($P$2:P1520)*(--($G$2:G1520=$G1520)))=1,1,0),0)</f>
        <v>0</v>
      </c>
      <c r="R1520" s="69" t="str">
        <f>IF(Q1520=1,SUM($Q$2:Q1520),"")</f>
        <v/>
      </c>
    </row>
    <row r="1521" spans="1:18" x14ac:dyDescent="0.2">
      <c r="A1521" s="72"/>
      <c r="B1521" s="76"/>
      <c r="C1521" s="73"/>
      <c r="D1521" s="73" t="s">
        <v>967</v>
      </c>
      <c r="E1521" s="77" t="s">
        <v>94</v>
      </c>
      <c r="F1521" s="75" t="s">
        <v>1630</v>
      </c>
      <c r="G1521" s="75" t="s">
        <v>1195</v>
      </c>
      <c r="H1521" s="69"/>
      <c r="P1521" s="69">
        <f t="shared" si="23"/>
        <v>0</v>
      </c>
      <c r="Q1521" s="69" cm="1">
        <f t="array" ref="Q1521">IF(P1521=1,IF(SUMPRODUCT(($P$2:P1521)*(--($G$2:G1521=$G1521)))=1,1,0),0)</f>
        <v>0</v>
      </c>
      <c r="R1521" s="69" t="str">
        <f>IF(Q1521=1,SUM($Q$2:Q1521),"")</f>
        <v/>
      </c>
    </row>
    <row r="1522" spans="1:18" x14ac:dyDescent="0.2">
      <c r="A1522" s="72"/>
      <c r="B1522" s="76"/>
      <c r="C1522" s="73"/>
      <c r="D1522" s="73" t="s">
        <v>967</v>
      </c>
      <c r="E1522" s="77" t="s">
        <v>94</v>
      </c>
      <c r="F1522" s="75" t="s">
        <v>1631</v>
      </c>
      <c r="G1522" s="75" t="s">
        <v>1195</v>
      </c>
      <c r="H1522" s="69"/>
      <c r="P1522" s="69">
        <f t="shared" si="23"/>
        <v>0</v>
      </c>
      <c r="Q1522" s="69" cm="1">
        <f t="array" ref="Q1522">IF(P1522=1,IF(SUMPRODUCT(($P$2:P1522)*(--($G$2:G1522=$G1522)))=1,1,0),0)</f>
        <v>0</v>
      </c>
      <c r="R1522" s="69" t="str">
        <f>IF(Q1522=1,SUM($Q$2:Q1522),"")</f>
        <v/>
      </c>
    </row>
    <row r="1523" spans="1:18" x14ac:dyDescent="0.2">
      <c r="A1523" s="72"/>
      <c r="B1523" s="76"/>
      <c r="C1523" s="73"/>
      <c r="D1523" s="73" t="s">
        <v>967</v>
      </c>
      <c r="E1523" s="77" t="s">
        <v>94</v>
      </c>
      <c r="F1523" s="75" t="s">
        <v>1632</v>
      </c>
      <c r="G1523" s="75" t="s">
        <v>1195</v>
      </c>
      <c r="H1523" s="69"/>
      <c r="P1523" s="69">
        <f t="shared" si="23"/>
        <v>0</v>
      </c>
      <c r="Q1523" s="69" cm="1">
        <f t="array" ref="Q1523">IF(P1523=1,IF(SUMPRODUCT(($P$2:P1523)*(--($G$2:G1523=$G1523)))=1,1,0),0)</f>
        <v>0</v>
      </c>
      <c r="R1523" s="69" t="str">
        <f>IF(Q1523=1,SUM($Q$2:Q1523),"")</f>
        <v/>
      </c>
    </row>
    <row r="1524" spans="1:18" x14ac:dyDescent="0.2">
      <c r="A1524" s="72"/>
      <c r="B1524" s="76"/>
      <c r="C1524" s="73"/>
      <c r="D1524" s="73" t="s">
        <v>967</v>
      </c>
      <c r="E1524" s="77" t="s">
        <v>94</v>
      </c>
      <c r="F1524" s="75" t="s">
        <v>1677</v>
      </c>
      <c r="G1524" s="75" t="s">
        <v>1195</v>
      </c>
      <c r="H1524" s="69"/>
      <c r="P1524" s="69">
        <f t="shared" si="23"/>
        <v>0</v>
      </c>
      <c r="Q1524" s="69" cm="1">
        <f t="array" ref="Q1524">IF(P1524=1,IF(SUMPRODUCT(($P$2:P1524)*(--($G$2:G1524=$G1524)))=1,1,0),0)</f>
        <v>0</v>
      </c>
      <c r="R1524" s="69" t="str">
        <f>IF(Q1524=1,SUM($Q$2:Q1524),"")</f>
        <v/>
      </c>
    </row>
    <row r="1525" spans="1:18" x14ac:dyDescent="0.2">
      <c r="A1525" s="72"/>
      <c r="B1525" s="76"/>
      <c r="C1525" s="73"/>
      <c r="D1525" s="73" t="s">
        <v>967</v>
      </c>
      <c r="E1525" s="77" t="s">
        <v>94</v>
      </c>
      <c r="F1525" s="75" t="s">
        <v>1628</v>
      </c>
      <c r="G1525" s="75" t="s">
        <v>1195</v>
      </c>
      <c r="H1525" s="69"/>
      <c r="P1525" s="69">
        <f t="shared" si="23"/>
        <v>0</v>
      </c>
      <c r="Q1525" s="69" cm="1">
        <f t="array" ref="Q1525">IF(P1525=1,IF(SUMPRODUCT(($P$2:P1525)*(--($G$2:G1525=$G1525)))=1,1,0),0)</f>
        <v>0</v>
      </c>
      <c r="R1525" s="69" t="str">
        <f>IF(Q1525=1,SUM($Q$2:Q1525),"")</f>
        <v/>
      </c>
    </row>
    <row r="1526" spans="1:18" x14ac:dyDescent="0.2">
      <c r="A1526" s="72"/>
      <c r="B1526" s="76"/>
      <c r="C1526" s="73"/>
      <c r="D1526" s="73" t="s">
        <v>967</v>
      </c>
      <c r="E1526" s="77" t="s">
        <v>94</v>
      </c>
      <c r="F1526" s="75" t="s">
        <v>1629</v>
      </c>
      <c r="G1526" s="75" t="s">
        <v>1195</v>
      </c>
      <c r="H1526" s="69"/>
      <c r="P1526" s="69">
        <f t="shared" si="23"/>
        <v>0</v>
      </c>
      <c r="Q1526" s="69" cm="1">
        <f t="array" ref="Q1526">IF(P1526=1,IF(SUMPRODUCT(($P$2:P1526)*(--($G$2:G1526=$G1526)))=1,1,0),0)</f>
        <v>0</v>
      </c>
      <c r="R1526" s="69" t="str">
        <f>IF(Q1526=1,SUM($Q$2:Q1526),"")</f>
        <v/>
      </c>
    </row>
    <row r="1527" spans="1:18" x14ac:dyDescent="0.2">
      <c r="A1527" s="72"/>
      <c r="B1527" s="76"/>
      <c r="C1527" s="73"/>
      <c r="D1527" s="73" t="s">
        <v>967</v>
      </c>
      <c r="E1527" s="77" t="s">
        <v>94</v>
      </c>
      <c r="F1527" s="75" t="s">
        <v>1678</v>
      </c>
      <c r="G1527" s="75" t="s">
        <v>1195</v>
      </c>
      <c r="H1527" s="69"/>
      <c r="P1527" s="69">
        <f t="shared" si="23"/>
        <v>0</v>
      </c>
      <c r="Q1527" s="69" cm="1">
        <f t="array" ref="Q1527">IF(P1527=1,IF(SUMPRODUCT(($P$2:P1527)*(--($G$2:G1527=$G1527)))=1,1,0),0)</f>
        <v>0</v>
      </c>
      <c r="R1527" s="69" t="str">
        <f>IF(Q1527=1,SUM($Q$2:Q1527),"")</f>
        <v/>
      </c>
    </row>
    <row r="1528" spans="1:18" x14ac:dyDescent="0.2">
      <c r="A1528" s="72"/>
      <c r="B1528" s="76"/>
      <c r="C1528" s="73"/>
      <c r="D1528" s="73" t="s">
        <v>967</v>
      </c>
      <c r="E1528" s="77" t="s">
        <v>94</v>
      </c>
      <c r="F1528" s="75" t="s">
        <v>1679</v>
      </c>
      <c r="G1528" s="75" t="s">
        <v>1195</v>
      </c>
      <c r="H1528" s="69"/>
      <c r="P1528" s="69">
        <f t="shared" si="23"/>
        <v>0</v>
      </c>
      <c r="Q1528" s="69" cm="1">
        <f t="array" ref="Q1528">IF(P1528=1,IF(SUMPRODUCT(($P$2:P1528)*(--($G$2:G1528=$G1528)))=1,1,0),0)</f>
        <v>0</v>
      </c>
      <c r="R1528" s="69" t="str">
        <f>IF(Q1528=1,SUM($Q$2:Q1528),"")</f>
        <v/>
      </c>
    </row>
    <row r="1529" spans="1:18" x14ac:dyDescent="0.2">
      <c r="A1529" s="72"/>
      <c r="B1529" s="76"/>
      <c r="C1529" s="73"/>
      <c r="D1529" s="73" t="s">
        <v>967</v>
      </c>
      <c r="E1529" s="77" t="s">
        <v>94</v>
      </c>
      <c r="F1529" s="75" t="s">
        <v>1680</v>
      </c>
      <c r="G1529" s="75" t="s">
        <v>1195</v>
      </c>
      <c r="H1529" s="69"/>
      <c r="P1529" s="69">
        <f t="shared" si="23"/>
        <v>0</v>
      </c>
      <c r="Q1529" s="69" cm="1">
        <f t="array" ref="Q1529">IF(P1529=1,IF(SUMPRODUCT(($P$2:P1529)*(--($G$2:G1529=$G1529)))=1,1,0),0)</f>
        <v>0</v>
      </c>
      <c r="R1529" s="69" t="str">
        <f>IF(Q1529=1,SUM($Q$2:Q1529),"")</f>
        <v/>
      </c>
    </row>
    <row r="1530" spans="1:18" x14ac:dyDescent="0.2">
      <c r="A1530" s="72"/>
      <c r="B1530" s="76"/>
      <c r="C1530" s="73"/>
      <c r="D1530" s="73" t="s">
        <v>967</v>
      </c>
      <c r="E1530" s="77" t="s">
        <v>94</v>
      </c>
      <c r="F1530" s="75" t="s">
        <v>1681</v>
      </c>
      <c r="G1530" s="75" t="s">
        <v>1195</v>
      </c>
      <c r="H1530" s="69"/>
      <c r="P1530" s="69">
        <f t="shared" si="23"/>
        <v>0</v>
      </c>
      <c r="Q1530" s="69" cm="1">
        <f t="array" ref="Q1530">IF(P1530=1,IF(SUMPRODUCT(($P$2:P1530)*(--($G$2:G1530=$G1530)))=1,1,0),0)</f>
        <v>0</v>
      </c>
      <c r="R1530" s="69" t="str">
        <f>IF(Q1530=1,SUM($Q$2:Q1530),"")</f>
        <v/>
      </c>
    </row>
    <row r="1531" spans="1:18" x14ac:dyDescent="0.2">
      <c r="A1531" s="72"/>
      <c r="B1531" s="76"/>
      <c r="C1531" s="73"/>
      <c r="D1531" s="73" t="s">
        <v>967</v>
      </c>
      <c r="E1531" s="77" t="s">
        <v>94</v>
      </c>
      <c r="F1531" s="75" t="s">
        <v>407</v>
      </c>
      <c r="G1531" s="75" t="s">
        <v>1196</v>
      </c>
      <c r="H1531" s="69"/>
      <c r="P1531" s="69">
        <f t="shared" si="23"/>
        <v>0</v>
      </c>
      <c r="Q1531" s="69" cm="1">
        <f t="array" ref="Q1531">IF(P1531=1,IF(SUMPRODUCT(($P$2:P1531)*(--($G$2:G1531=$G1531)))=1,1,0),0)</f>
        <v>0</v>
      </c>
      <c r="R1531" s="69" t="str">
        <f>IF(Q1531=1,SUM($Q$2:Q1531),"")</f>
        <v/>
      </c>
    </row>
    <row r="1532" spans="1:18" x14ac:dyDescent="0.2">
      <c r="A1532" s="72"/>
      <c r="B1532" s="76"/>
      <c r="C1532" s="73"/>
      <c r="D1532" s="73" t="s">
        <v>967</v>
      </c>
      <c r="E1532" s="77" t="s">
        <v>94</v>
      </c>
      <c r="F1532" s="75" t="s">
        <v>1633</v>
      </c>
      <c r="G1532" s="75" t="s">
        <v>1196</v>
      </c>
      <c r="H1532" s="69"/>
      <c r="P1532" s="69">
        <f t="shared" si="23"/>
        <v>0</v>
      </c>
      <c r="Q1532" s="69" cm="1">
        <f t="array" ref="Q1532">IF(P1532=1,IF(SUMPRODUCT(($P$2:P1532)*(--($G$2:G1532=$G1532)))=1,1,0),0)</f>
        <v>0</v>
      </c>
      <c r="R1532" s="69" t="str">
        <f>IF(Q1532=1,SUM($Q$2:Q1532),"")</f>
        <v/>
      </c>
    </row>
    <row r="1533" spans="1:18" x14ac:dyDescent="0.2">
      <c r="A1533" s="72"/>
      <c r="B1533" s="76"/>
      <c r="C1533" s="73"/>
      <c r="D1533" s="73" t="s">
        <v>967</v>
      </c>
      <c r="E1533" s="77" t="s">
        <v>94</v>
      </c>
      <c r="F1533" s="75" t="s">
        <v>1634</v>
      </c>
      <c r="G1533" s="75" t="s">
        <v>1196</v>
      </c>
      <c r="H1533" s="69"/>
      <c r="P1533" s="69">
        <f t="shared" si="23"/>
        <v>0</v>
      </c>
      <c r="Q1533" s="69" cm="1">
        <f t="array" ref="Q1533">IF(P1533=1,IF(SUMPRODUCT(($P$2:P1533)*(--($G$2:G1533=$G1533)))=1,1,0),0)</f>
        <v>0</v>
      </c>
      <c r="R1533" s="69" t="str">
        <f>IF(Q1533=1,SUM($Q$2:Q1533),"")</f>
        <v/>
      </c>
    </row>
    <row r="1534" spans="1:18" x14ac:dyDescent="0.2">
      <c r="A1534" s="72"/>
      <c r="B1534" s="76"/>
      <c r="C1534" s="73"/>
      <c r="D1534" s="73" t="s">
        <v>967</v>
      </c>
      <c r="E1534" s="77" t="s">
        <v>94</v>
      </c>
      <c r="F1534" s="75" t="s">
        <v>1635</v>
      </c>
      <c r="G1534" s="75" t="s">
        <v>1196</v>
      </c>
      <c r="H1534" s="69"/>
      <c r="P1534" s="69">
        <f t="shared" si="23"/>
        <v>0</v>
      </c>
      <c r="Q1534" s="69" cm="1">
        <f t="array" ref="Q1534">IF(P1534=1,IF(SUMPRODUCT(($P$2:P1534)*(--($G$2:G1534=$G1534)))=1,1,0),0)</f>
        <v>0</v>
      </c>
      <c r="R1534" s="69" t="str">
        <f>IF(Q1534=1,SUM($Q$2:Q1534),"")</f>
        <v/>
      </c>
    </row>
    <row r="1535" spans="1:18" x14ac:dyDescent="0.2">
      <c r="A1535" s="72"/>
      <c r="B1535" s="76"/>
      <c r="C1535" s="73"/>
      <c r="D1535" s="73" t="s">
        <v>967</v>
      </c>
      <c r="E1535" s="77" t="s">
        <v>94</v>
      </c>
      <c r="F1535" s="75" t="s">
        <v>1636</v>
      </c>
      <c r="G1535" s="75" t="s">
        <v>1196</v>
      </c>
      <c r="H1535" s="69"/>
      <c r="P1535" s="69">
        <f t="shared" si="23"/>
        <v>0</v>
      </c>
      <c r="Q1535" s="69" cm="1">
        <f t="array" ref="Q1535">IF(P1535=1,IF(SUMPRODUCT(($P$2:P1535)*(--($G$2:G1535=$G1535)))=1,1,0),0)</f>
        <v>0</v>
      </c>
      <c r="R1535" s="69" t="str">
        <f>IF(Q1535=1,SUM($Q$2:Q1535),"")</f>
        <v/>
      </c>
    </row>
    <row r="1536" spans="1:18" x14ac:dyDescent="0.2">
      <c r="A1536" s="72"/>
      <c r="B1536" s="76"/>
      <c r="C1536" s="73"/>
      <c r="D1536" s="73" t="s">
        <v>967</v>
      </c>
      <c r="E1536" s="77" t="s">
        <v>94</v>
      </c>
      <c r="F1536" s="75" t="s">
        <v>1638</v>
      </c>
      <c r="G1536" s="75" t="s">
        <v>1196</v>
      </c>
      <c r="H1536" s="69"/>
      <c r="P1536" s="69">
        <f t="shared" si="23"/>
        <v>0</v>
      </c>
      <c r="Q1536" s="69" cm="1">
        <f t="array" ref="Q1536">IF(P1536=1,IF(SUMPRODUCT(($P$2:P1536)*(--($G$2:G1536=$G1536)))=1,1,0),0)</f>
        <v>0</v>
      </c>
      <c r="R1536" s="69" t="str">
        <f>IF(Q1536=1,SUM($Q$2:Q1536),"")</f>
        <v/>
      </c>
    </row>
    <row r="1537" spans="1:18" x14ac:dyDescent="0.2">
      <c r="A1537" s="72"/>
      <c r="B1537" s="76"/>
      <c r="C1537" s="73"/>
      <c r="D1537" s="73" t="s">
        <v>967</v>
      </c>
      <c r="E1537" s="77" t="s">
        <v>94</v>
      </c>
      <c r="F1537" s="75" t="s">
        <v>1682</v>
      </c>
      <c r="G1537" s="75" t="s">
        <v>1196</v>
      </c>
      <c r="H1537" s="69"/>
      <c r="P1537" s="69">
        <f t="shared" si="23"/>
        <v>0</v>
      </c>
      <c r="Q1537" s="69" cm="1">
        <f t="array" ref="Q1537">IF(P1537=1,IF(SUMPRODUCT(($P$2:P1537)*(--($G$2:G1537=$G1537)))=1,1,0),0)</f>
        <v>0</v>
      </c>
      <c r="R1537" s="69" t="str">
        <f>IF(Q1537=1,SUM($Q$2:Q1537),"")</f>
        <v/>
      </c>
    </row>
    <row r="1538" spans="1:18" x14ac:dyDescent="0.2">
      <c r="A1538" s="72"/>
      <c r="B1538" s="76"/>
      <c r="C1538" s="73"/>
      <c r="D1538" s="73" t="s">
        <v>967</v>
      </c>
      <c r="E1538" s="77" t="s">
        <v>94</v>
      </c>
      <c r="F1538" s="75" t="s">
        <v>1639</v>
      </c>
      <c r="G1538" s="75" t="s">
        <v>1196</v>
      </c>
      <c r="H1538" s="69"/>
      <c r="P1538" s="69">
        <f t="shared" si="23"/>
        <v>0</v>
      </c>
      <c r="Q1538" s="69" cm="1">
        <f t="array" ref="Q1538">IF(P1538=1,IF(SUMPRODUCT(($P$2:P1538)*(--($G$2:G1538=$G1538)))=1,1,0),0)</f>
        <v>0</v>
      </c>
      <c r="R1538" s="69" t="str">
        <f>IF(Q1538=1,SUM($Q$2:Q1538),"")</f>
        <v/>
      </c>
    </row>
    <row r="1539" spans="1:18" x14ac:dyDescent="0.2">
      <c r="A1539" s="72"/>
      <c r="B1539" s="76"/>
      <c r="C1539" s="73"/>
      <c r="D1539" s="73" t="s">
        <v>967</v>
      </c>
      <c r="E1539" s="77" t="s">
        <v>94</v>
      </c>
      <c r="F1539" s="75" t="s">
        <v>1683</v>
      </c>
      <c r="G1539" s="75" t="s">
        <v>1196</v>
      </c>
      <c r="H1539" s="69"/>
      <c r="P1539" s="69">
        <f t="shared" ref="P1539:P1581" si="24">IF(AND(IF(TRIM($J$2&amp;"")="",TRUE,LEFT($D1539,LEN($J$2))=$J$2),IF(TRIM($K$2&amp;"")="",TRUE,$E1539=$K$2),IF($L$2="",TRUE,$F1539=$L$2)),1,0)</f>
        <v>0</v>
      </c>
      <c r="Q1539" s="69" cm="1">
        <f t="array" ref="Q1539">IF(P1539=1,IF(SUMPRODUCT(($P$2:P1539)*(--($G$2:G1539=$G1539)))=1,1,0),0)</f>
        <v>0</v>
      </c>
      <c r="R1539" s="69" t="str">
        <f>IF(Q1539=1,SUM($Q$2:Q1539),"")</f>
        <v/>
      </c>
    </row>
    <row r="1540" spans="1:18" x14ac:dyDescent="0.2">
      <c r="A1540" s="72"/>
      <c r="B1540" s="76"/>
      <c r="C1540" s="73"/>
      <c r="D1540" s="73" t="s">
        <v>967</v>
      </c>
      <c r="E1540" s="77" t="s">
        <v>94</v>
      </c>
      <c r="F1540" s="75" t="s">
        <v>1684</v>
      </c>
      <c r="G1540" s="75" t="s">
        <v>1196</v>
      </c>
      <c r="H1540" s="69"/>
      <c r="P1540" s="69">
        <f t="shared" si="24"/>
        <v>0</v>
      </c>
      <c r="Q1540" s="69" cm="1">
        <f t="array" ref="Q1540">IF(P1540=1,IF(SUMPRODUCT(($P$2:P1540)*(--($G$2:G1540=$G1540)))=1,1,0),0)</f>
        <v>0</v>
      </c>
      <c r="R1540" s="69" t="str">
        <f>IF(Q1540=1,SUM($Q$2:Q1540),"")</f>
        <v/>
      </c>
    </row>
    <row r="1541" spans="1:18" x14ac:dyDescent="0.2">
      <c r="A1541" s="72"/>
      <c r="B1541" s="76"/>
      <c r="C1541" s="73"/>
      <c r="D1541" s="73" t="s">
        <v>967</v>
      </c>
      <c r="E1541" s="77" t="s">
        <v>94</v>
      </c>
      <c r="F1541" s="75" t="s">
        <v>1685</v>
      </c>
      <c r="G1541" s="75" t="s">
        <v>1196</v>
      </c>
      <c r="H1541" s="69"/>
      <c r="P1541" s="69">
        <f t="shared" si="24"/>
        <v>0</v>
      </c>
      <c r="Q1541" s="69" cm="1">
        <f t="array" ref="Q1541">IF(P1541=1,IF(SUMPRODUCT(($P$2:P1541)*(--($G$2:G1541=$G1541)))=1,1,0),0)</f>
        <v>0</v>
      </c>
      <c r="R1541" s="69" t="str">
        <f>IF(Q1541=1,SUM($Q$2:Q1541),"")</f>
        <v/>
      </c>
    </row>
    <row r="1542" spans="1:18" x14ac:dyDescent="0.2">
      <c r="A1542" s="72"/>
      <c r="B1542" s="76"/>
      <c r="C1542" s="73"/>
      <c r="D1542" s="73" t="s">
        <v>967</v>
      </c>
      <c r="E1542" s="77" t="s">
        <v>94</v>
      </c>
      <c r="F1542" s="75" t="s">
        <v>1686</v>
      </c>
      <c r="G1542" s="75" t="s">
        <v>1196</v>
      </c>
      <c r="H1542" s="69"/>
      <c r="P1542" s="69">
        <f t="shared" si="24"/>
        <v>0</v>
      </c>
      <c r="Q1542" s="69" cm="1">
        <f t="array" ref="Q1542">IF(P1542=1,IF(SUMPRODUCT(($P$2:P1542)*(--($G$2:G1542=$G1542)))=1,1,0),0)</f>
        <v>0</v>
      </c>
      <c r="R1542" s="69" t="str">
        <f>IF(Q1542=1,SUM($Q$2:Q1542),"")</f>
        <v/>
      </c>
    </row>
    <row r="1543" spans="1:18" x14ac:dyDescent="0.2">
      <c r="A1543" s="72"/>
      <c r="B1543" s="76"/>
      <c r="C1543" s="73"/>
      <c r="D1543" s="73" t="s">
        <v>967</v>
      </c>
      <c r="E1543" s="77" t="s">
        <v>94</v>
      </c>
      <c r="F1543" s="75" t="s">
        <v>1640</v>
      </c>
      <c r="G1543" s="75" t="s">
        <v>1197</v>
      </c>
      <c r="H1543" s="69"/>
      <c r="P1543" s="69">
        <f t="shared" si="24"/>
        <v>0</v>
      </c>
      <c r="Q1543" s="69" cm="1">
        <f t="array" ref="Q1543">IF(P1543=1,IF(SUMPRODUCT(($P$2:P1543)*(--($G$2:G1543=$G1543)))=1,1,0),0)</f>
        <v>0</v>
      </c>
      <c r="R1543" s="69" t="str">
        <f>IF(Q1543=1,SUM($Q$2:Q1543),"")</f>
        <v/>
      </c>
    </row>
    <row r="1544" spans="1:18" x14ac:dyDescent="0.2">
      <c r="A1544" s="72"/>
      <c r="B1544" s="76"/>
      <c r="C1544" s="73"/>
      <c r="D1544" s="73" t="s">
        <v>967</v>
      </c>
      <c r="E1544" s="77" t="s">
        <v>94</v>
      </c>
      <c r="F1544" s="75" t="s">
        <v>1643</v>
      </c>
      <c r="G1544" s="75" t="s">
        <v>1197</v>
      </c>
      <c r="H1544" s="69"/>
      <c r="P1544" s="69">
        <f t="shared" si="24"/>
        <v>0</v>
      </c>
      <c r="Q1544" s="69" cm="1">
        <f t="array" ref="Q1544">IF(P1544=1,IF(SUMPRODUCT(($P$2:P1544)*(--($G$2:G1544=$G1544)))=1,1,0),0)</f>
        <v>0</v>
      </c>
      <c r="R1544" s="69" t="str">
        <f>IF(Q1544=1,SUM($Q$2:Q1544),"")</f>
        <v/>
      </c>
    </row>
    <row r="1545" spans="1:18" x14ac:dyDescent="0.2">
      <c r="A1545" s="72"/>
      <c r="B1545" s="76"/>
      <c r="C1545" s="73"/>
      <c r="D1545" s="73" t="s">
        <v>967</v>
      </c>
      <c r="E1545" s="77" t="s">
        <v>94</v>
      </c>
      <c r="F1545" s="75" t="s">
        <v>1644</v>
      </c>
      <c r="G1545" s="75" t="s">
        <v>1197</v>
      </c>
      <c r="H1545" s="69"/>
      <c r="P1545" s="69">
        <f t="shared" si="24"/>
        <v>0</v>
      </c>
      <c r="Q1545" s="69" cm="1">
        <f t="array" ref="Q1545">IF(P1545=1,IF(SUMPRODUCT(($P$2:P1545)*(--($G$2:G1545=$G1545)))=1,1,0),0)</f>
        <v>0</v>
      </c>
      <c r="R1545" s="69" t="str">
        <f>IF(Q1545=1,SUM($Q$2:Q1545),"")</f>
        <v/>
      </c>
    </row>
    <row r="1546" spans="1:18" x14ac:dyDescent="0.2">
      <c r="A1546" s="72"/>
      <c r="B1546" s="76"/>
      <c r="C1546" s="73"/>
      <c r="D1546" s="73" t="s">
        <v>967</v>
      </c>
      <c r="E1546" s="77" t="s">
        <v>94</v>
      </c>
      <c r="F1546" s="75" t="s">
        <v>1645</v>
      </c>
      <c r="G1546" s="75" t="s">
        <v>1197</v>
      </c>
      <c r="H1546" s="69"/>
      <c r="P1546" s="69">
        <f t="shared" si="24"/>
        <v>0</v>
      </c>
      <c r="Q1546" s="69" cm="1">
        <f t="array" ref="Q1546">IF(P1546=1,IF(SUMPRODUCT(($P$2:P1546)*(--($G$2:G1546=$G1546)))=1,1,0),0)</f>
        <v>0</v>
      </c>
      <c r="R1546" s="69" t="str">
        <f>IF(Q1546=1,SUM($Q$2:Q1546),"")</f>
        <v/>
      </c>
    </row>
    <row r="1547" spans="1:18" x14ac:dyDescent="0.2">
      <c r="A1547" s="72"/>
      <c r="B1547" s="76"/>
      <c r="C1547" s="73"/>
      <c r="D1547" s="73" t="s">
        <v>967</v>
      </c>
      <c r="E1547" s="77" t="s">
        <v>94</v>
      </c>
      <c r="F1547" s="75" t="s">
        <v>1687</v>
      </c>
      <c r="G1547" s="75" t="s">
        <v>1197</v>
      </c>
      <c r="H1547" s="69"/>
      <c r="P1547" s="69">
        <f t="shared" si="24"/>
        <v>0</v>
      </c>
      <c r="Q1547" s="69" cm="1">
        <f t="array" ref="Q1547">IF(P1547=1,IF(SUMPRODUCT(($P$2:P1547)*(--($G$2:G1547=$G1547)))=1,1,0),0)</f>
        <v>0</v>
      </c>
      <c r="R1547" s="69" t="str">
        <f>IF(Q1547=1,SUM($Q$2:Q1547),"")</f>
        <v/>
      </c>
    </row>
    <row r="1548" spans="1:18" x14ac:dyDescent="0.2">
      <c r="A1548" s="72"/>
      <c r="B1548" s="76"/>
      <c r="C1548" s="73"/>
      <c r="D1548" s="73" t="s">
        <v>967</v>
      </c>
      <c r="E1548" s="77" t="s">
        <v>94</v>
      </c>
      <c r="F1548" s="75" t="s">
        <v>1641</v>
      </c>
      <c r="G1548" s="75" t="s">
        <v>1197</v>
      </c>
      <c r="H1548" s="69"/>
      <c r="P1548" s="69">
        <f t="shared" si="24"/>
        <v>0</v>
      </c>
      <c r="Q1548" s="69" cm="1">
        <f t="array" ref="Q1548">IF(P1548=1,IF(SUMPRODUCT(($P$2:P1548)*(--($G$2:G1548=$G1548)))=1,1,0),0)</f>
        <v>0</v>
      </c>
      <c r="R1548" s="69" t="str">
        <f>IF(Q1548=1,SUM($Q$2:Q1548),"")</f>
        <v/>
      </c>
    </row>
    <row r="1549" spans="1:18" x14ac:dyDescent="0.2">
      <c r="A1549" s="72"/>
      <c r="B1549" s="76"/>
      <c r="C1549" s="73"/>
      <c r="D1549" s="73" t="s">
        <v>967</v>
      </c>
      <c r="E1549" s="77" t="s">
        <v>94</v>
      </c>
      <c r="F1549" s="75" t="s">
        <v>1642</v>
      </c>
      <c r="G1549" s="75" t="s">
        <v>1197</v>
      </c>
      <c r="H1549" s="69"/>
      <c r="P1549" s="69">
        <f t="shared" si="24"/>
        <v>0</v>
      </c>
      <c r="Q1549" s="69" cm="1">
        <f t="array" ref="Q1549">IF(P1549=1,IF(SUMPRODUCT(($P$2:P1549)*(--($G$2:G1549=$G1549)))=1,1,0),0)</f>
        <v>0</v>
      </c>
      <c r="R1549" s="69" t="str">
        <f>IF(Q1549=1,SUM($Q$2:Q1549),"")</f>
        <v/>
      </c>
    </row>
    <row r="1550" spans="1:18" x14ac:dyDescent="0.2">
      <c r="A1550" s="72"/>
      <c r="B1550" s="76"/>
      <c r="C1550" s="73"/>
      <c r="D1550" s="73" t="s">
        <v>967</v>
      </c>
      <c r="E1550" s="77" t="s">
        <v>94</v>
      </c>
      <c r="F1550" s="75" t="s">
        <v>1688</v>
      </c>
      <c r="G1550" s="75" t="s">
        <v>1197</v>
      </c>
      <c r="H1550" s="69"/>
      <c r="P1550" s="69">
        <f t="shared" si="24"/>
        <v>0</v>
      </c>
      <c r="Q1550" s="69" cm="1">
        <f t="array" ref="Q1550">IF(P1550=1,IF(SUMPRODUCT(($P$2:P1550)*(--($G$2:G1550=$G1550)))=1,1,0),0)</f>
        <v>0</v>
      </c>
      <c r="R1550" s="69" t="str">
        <f>IF(Q1550=1,SUM($Q$2:Q1550),"")</f>
        <v/>
      </c>
    </row>
    <row r="1551" spans="1:18" x14ac:dyDescent="0.2">
      <c r="A1551" s="72"/>
      <c r="B1551" s="76"/>
      <c r="C1551" s="73"/>
      <c r="D1551" s="73" t="s">
        <v>967</v>
      </c>
      <c r="E1551" s="77" t="s">
        <v>94</v>
      </c>
      <c r="F1551" s="75" t="s">
        <v>1689</v>
      </c>
      <c r="G1551" s="75" t="s">
        <v>1197</v>
      </c>
      <c r="H1551" s="69"/>
      <c r="P1551" s="69">
        <f t="shared" si="24"/>
        <v>0</v>
      </c>
      <c r="Q1551" s="69" cm="1">
        <f t="array" ref="Q1551">IF(P1551=1,IF(SUMPRODUCT(($P$2:P1551)*(--($G$2:G1551=$G1551)))=1,1,0),0)</f>
        <v>0</v>
      </c>
      <c r="R1551" s="69" t="str">
        <f>IF(Q1551=1,SUM($Q$2:Q1551),"")</f>
        <v/>
      </c>
    </row>
    <row r="1552" spans="1:18" x14ac:dyDescent="0.2">
      <c r="A1552" s="72"/>
      <c r="B1552" s="76"/>
      <c r="C1552" s="73"/>
      <c r="D1552" s="73" t="s">
        <v>967</v>
      </c>
      <c r="E1552" s="77" t="s">
        <v>94</v>
      </c>
      <c r="F1552" s="75" t="s">
        <v>1690</v>
      </c>
      <c r="G1552" s="75" t="s">
        <v>1197</v>
      </c>
      <c r="H1552" s="69"/>
      <c r="P1552" s="69">
        <f t="shared" si="24"/>
        <v>0</v>
      </c>
      <c r="Q1552" s="69" cm="1">
        <f t="array" ref="Q1552">IF(P1552=1,IF(SUMPRODUCT(($P$2:P1552)*(--($G$2:G1552=$G1552)))=1,1,0),0)</f>
        <v>0</v>
      </c>
      <c r="R1552" s="69" t="str">
        <f>IF(Q1552=1,SUM($Q$2:Q1552),"")</f>
        <v/>
      </c>
    </row>
    <row r="1553" spans="1:18" x14ac:dyDescent="0.2">
      <c r="A1553" s="72"/>
      <c r="B1553" s="76"/>
      <c r="C1553" s="73"/>
      <c r="D1553" s="73" t="s">
        <v>967</v>
      </c>
      <c r="E1553" s="77" t="s">
        <v>94</v>
      </c>
      <c r="F1553" s="75" t="s">
        <v>1691</v>
      </c>
      <c r="G1553" s="75" t="s">
        <v>1197</v>
      </c>
      <c r="H1553" s="69"/>
      <c r="P1553" s="69">
        <f t="shared" si="24"/>
        <v>0</v>
      </c>
      <c r="Q1553" s="69" cm="1">
        <f t="array" ref="Q1553">IF(P1553=1,IF(SUMPRODUCT(($P$2:P1553)*(--($G$2:G1553=$G1553)))=1,1,0),0)</f>
        <v>0</v>
      </c>
      <c r="R1553" s="69" t="str">
        <f>IF(Q1553=1,SUM($Q$2:Q1553),"")</f>
        <v/>
      </c>
    </row>
    <row r="1554" spans="1:18" ht="16" x14ac:dyDescent="0.2">
      <c r="A1554" s="72"/>
      <c r="B1554" s="84"/>
      <c r="C1554" s="73"/>
      <c r="D1554" s="73" t="s">
        <v>974</v>
      </c>
      <c r="E1554" s="77" t="s">
        <v>110</v>
      </c>
      <c r="F1554" s="75" t="s">
        <v>1705</v>
      </c>
      <c r="G1554" s="74" t="s">
        <v>1207</v>
      </c>
      <c r="H1554" s="69"/>
      <c r="P1554" s="69">
        <f t="shared" si="24"/>
        <v>0</v>
      </c>
      <c r="Q1554" s="69" cm="1">
        <f t="array" ref="Q1554">IF(P1554=1,IF(SUMPRODUCT(($P$2:P1554)*(--($G$2:G1554=$G1554)))=1,1,0),0)</f>
        <v>0</v>
      </c>
      <c r="R1554" s="69" t="str">
        <f>IF(Q1554=1,SUM($Q$2:Q1554),"")</f>
        <v/>
      </c>
    </row>
    <row r="1555" spans="1:18" ht="16" x14ac:dyDescent="0.2">
      <c r="A1555" s="72"/>
      <c r="B1555" s="84"/>
      <c r="C1555" s="73"/>
      <c r="D1555" s="73" t="s">
        <v>974</v>
      </c>
      <c r="E1555" s="77" t="s">
        <v>990</v>
      </c>
      <c r="F1555" s="75" t="s">
        <v>1705</v>
      </c>
      <c r="G1555" s="74" t="s">
        <v>1207</v>
      </c>
      <c r="H1555" s="69"/>
      <c r="P1555" s="69">
        <f t="shared" si="24"/>
        <v>0</v>
      </c>
      <c r="Q1555" s="69" cm="1">
        <f t="array" ref="Q1555">IF(P1555=1,IF(SUMPRODUCT(($P$2:P1555)*(--($G$2:G1555=$G1555)))=1,1,0),0)</f>
        <v>0</v>
      </c>
      <c r="R1555" s="69" t="str">
        <f>IF(Q1555=1,SUM($Q$2:Q1555),"")</f>
        <v/>
      </c>
    </row>
    <row r="1556" spans="1:18" ht="16" x14ac:dyDescent="0.2">
      <c r="A1556" s="72"/>
      <c r="B1556" s="84"/>
      <c r="C1556" s="73"/>
      <c r="D1556" s="73" t="s">
        <v>974</v>
      </c>
      <c r="E1556" s="77" t="s">
        <v>110</v>
      </c>
      <c r="F1556" s="75" t="s">
        <v>489</v>
      </c>
      <c r="G1556" s="74" t="s">
        <v>1207</v>
      </c>
      <c r="H1556" s="69"/>
      <c r="P1556" s="69">
        <f t="shared" si="24"/>
        <v>0</v>
      </c>
      <c r="Q1556" s="69" cm="1">
        <f t="array" ref="Q1556">IF(P1556=1,IF(SUMPRODUCT(($P$2:P1556)*(--($G$2:G1556=$G1556)))=1,1,0),0)</f>
        <v>0</v>
      </c>
      <c r="R1556" s="69" t="str">
        <f>IF(Q1556=1,SUM($Q$2:Q1556),"")</f>
        <v/>
      </c>
    </row>
    <row r="1557" spans="1:18" ht="16" x14ac:dyDescent="0.2">
      <c r="A1557" s="72"/>
      <c r="B1557" s="84"/>
      <c r="C1557" s="73"/>
      <c r="D1557" s="73" t="s">
        <v>974</v>
      </c>
      <c r="E1557" s="77" t="s">
        <v>990</v>
      </c>
      <c r="F1557" s="75" t="s">
        <v>489</v>
      </c>
      <c r="G1557" s="74" t="s">
        <v>1207</v>
      </c>
      <c r="H1557" s="69"/>
      <c r="P1557" s="69">
        <f t="shared" si="24"/>
        <v>0</v>
      </c>
      <c r="Q1557" s="69" cm="1">
        <f t="array" ref="Q1557">IF(P1557=1,IF(SUMPRODUCT(($P$2:P1557)*(--($G$2:G1557=$G1557)))=1,1,0),0)</f>
        <v>0</v>
      </c>
      <c r="R1557" s="69" t="str">
        <f>IF(Q1557=1,SUM($Q$2:Q1557),"")</f>
        <v/>
      </c>
    </row>
    <row r="1558" spans="1:18" ht="16" x14ac:dyDescent="0.2">
      <c r="A1558" s="72"/>
      <c r="B1558" s="76"/>
      <c r="C1558" s="73"/>
      <c r="D1558" s="73" t="s">
        <v>983</v>
      </c>
      <c r="E1558" s="77" t="s">
        <v>94</v>
      </c>
      <c r="F1558" s="75" t="s">
        <v>273</v>
      </c>
      <c r="G1558" s="74" t="s">
        <v>626</v>
      </c>
      <c r="H1558" s="69"/>
      <c r="P1558" s="69">
        <f t="shared" si="24"/>
        <v>0</v>
      </c>
      <c r="Q1558" s="69" cm="1">
        <f t="array" ref="Q1558">IF(P1558=1,IF(SUMPRODUCT(($P$2:P1558)*(--($G$2:G1558=$G1558)))=1,1,0),0)</f>
        <v>0</v>
      </c>
      <c r="R1558" s="69" t="str">
        <f>IF(Q1558=1,SUM($Q$2:Q1558),"")</f>
        <v/>
      </c>
    </row>
    <row r="1559" spans="1:18" ht="16" x14ac:dyDescent="0.2">
      <c r="A1559" s="72"/>
      <c r="B1559" s="76"/>
      <c r="C1559" s="73"/>
      <c r="D1559" s="73" t="s">
        <v>983</v>
      </c>
      <c r="E1559" s="77" t="s">
        <v>94</v>
      </c>
      <c r="F1559" s="75" t="s">
        <v>266</v>
      </c>
      <c r="G1559" s="74" t="s">
        <v>620</v>
      </c>
      <c r="H1559" s="69"/>
      <c r="P1559" s="69">
        <f t="shared" si="24"/>
        <v>0</v>
      </c>
      <c r="Q1559" s="69" cm="1">
        <f t="array" ref="Q1559">IF(P1559=1,IF(SUMPRODUCT(($P$2:P1559)*(--($G$2:G1559=$G1559)))=1,1,0),0)</f>
        <v>0</v>
      </c>
      <c r="R1559" s="69" t="str">
        <f>IF(Q1559=1,SUM($Q$2:Q1559),"")</f>
        <v/>
      </c>
    </row>
    <row r="1560" spans="1:18" ht="16" x14ac:dyDescent="0.2">
      <c r="A1560" s="72"/>
      <c r="B1560" s="76"/>
      <c r="C1560" s="73"/>
      <c r="D1560" s="73" t="s">
        <v>983</v>
      </c>
      <c r="E1560" s="77" t="s">
        <v>94</v>
      </c>
      <c r="F1560" s="75" t="s">
        <v>1291</v>
      </c>
      <c r="G1560" s="74" t="s">
        <v>624</v>
      </c>
      <c r="H1560" s="69"/>
      <c r="P1560" s="69">
        <f t="shared" si="24"/>
        <v>0</v>
      </c>
      <c r="Q1560" s="69" cm="1">
        <f t="array" ref="Q1560">IF(P1560=1,IF(SUMPRODUCT(($P$2:P1560)*(--($G$2:G1560=$G1560)))=1,1,0),0)</f>
        <v>0</v>
      </c>
      <c r="R1560" s="69" t="str">
        <f>IF(Q1560=1,SUM($Q$2:Q1560),"")</f>
        <v/>
      </c>
    </row>
    <row r="1561" spans="1:18" ht="16" x14ac:dyDescent="0.2">
      <c r="A1561" s="72"/>
      <c r="B1561" s="76"/>
      <c r="C1561" s="73"/>
      <c r="D1561" s="73" t="s">
        <v>983</v>
      </c>
      <c r="E1561" s="77" t="s">
        <v>94</v>
      </c>
      <c r="F1561" s="75" t="s">
        <v>1291</v>
      </c>
      <c r="G1561" s="74" t="s">
        <v>624</v>
      </c>
      <c r="H1561" s="69"/>
      <c r="P1561" s="69">
        <f t="shared" si="24"/>
        <v>0</v>
      </c>
      <c r="Q1561" s="69" cm="1">
        <f t="array" ref="Q1561">IF(P1561=1,IF(SUMPRODUCT(($P$2:P1561)*(--($G$2:G1561=$G1561)))=1,1,0),0)</f>
        <v>0</v>
      </c>
      <c r="R1561" s="69" t="str">
        <f>IF(Q1561=1,SUM($Q$2:Q1561),"")</f>
        <v/>
      </c>
    </row>
    <row r="1562" spans="1:18" ht="16" x14ac:dyDescent="0.2">
      <c r="A1562" s="72"/>
      <c r="B1562" s="84"/>
      <c r="C1562" s="73"/>
      <c r="D1562" s="73" t="s">
        <v>964</v>
      </c>
      <c r="E1562" s="77" t="s">
        <v>94</v>
      </c>
      <c r="F1562" s="75" t="s">
        <v>403</v>
      </c>
      <c r="G1562" s="74" t="s">
        <v>488</v>
      </c>
      <c r="H1562" s="69"/>
      <c r="P1562" s="69">
        <f t="shared" si="24"/>
        <v>0</v>
      </c>
      <c r="Q1562" s="69" cm="1">
        <f t="array" ref="Q1562">IF(P1562=1,IF(SUMPRODUCT(($P$2:P1562)*(--($G$2:G1562=$G1562)))=1,1,0),0)</f>
        <v>0</v>
      </c>
      <c r="R1562" s="69" t="str">
        <f>IF(Q1562=1,SUM($Q$2:Q1562),"")</f>
        <v/>
      </c>
    </row>
    <row r="1563" spans="1:18" ht="16" x14ac:dyDescent="0.2">
      <c r="A1563" s="72"/>
      <c r="B1563" s="84"/>
      <c r="C1563" s="73"/>
      <c r="D1563" s="73" t="s">
        <v>964</v>
      </c>
      <c r="E1563" s="77" t="s">
        <v>94</v>
      </c>
      <c r="F1563" s="75" t="s">
        <v>1622</v>
      </c>
      <c r="G1563" s="74" t="s">
        <v>488</v>
      </c>
      <c r="H1563" s="69"/>
      <c r="P1563" s="69">
        <f t="shared" si="24"/>
        <v>0</v>
      </c>
      <c r="Q1563" s="69" cm="1">
        <f t="array" ref="Q1563">IF(P1563=1,IF(SUMPRODUCT(($P$2:P1563)*(--($G$2:G1563=$G1563)))=1,1,0),0)</f>
        <v>0</v>
      </c>
      <c r="R1563" s="69" t="str">
        <f>IF(Q1563=1,SUM($Q$2:Q1563),"")</f>
        <v/>
      </c>
    </row>
    <row r="1564" spans="1:18" ht="16" x14ac:dyDescent="0.2">
      <c r="A1564" s="72"/>
      <c r="B1564" s="84"/>
      <c r="C1564" s="73"/>
      <c r="D1564" s="73" t="s">
        <v>964</v>
      </c>
      <c r="E1564" s="77" t="s">
        <v>94</v>
      </c>
      <c r="F1564" s="75" t="s">
        <v>1673</v>
      </c>
      <c r="G1564" s="74" t="s">
        <v>488</v>
      </c>
      <c r="H1564" s="69"/>
      <c r="P1564" s="69">
        <f t="shared" si="24"/>
        <v>0</v>
      </c>
      <c r="Q1564" s="69" cm="1">
        <f t="array" ref="Q1564">IF(P1564=1,IF(SUMPRODUCT(($P$2:P1564)*(--($G$2:G1564=$G1564)))=1,1,0),0)</f>
        <v>0</v>
      </c>
      <c r="R1564" s="69" t="str">
        <f>IF(Q1564=1,SUM($Q$2:Q1564),"")</f>
        <v/>
      </c>
    </row>
    <row r="1565" spans="1:18" ht="16" x14ac:dyDescent="0.2">
      <c r="A1565" s="72"/>
      <c r="B1565" s="84"/>
      <c r="C1565" s="73"/>
      <c r="D1565" s="73" t="s">
        <v>964</v>
      </c>
      <c r="E1565" s="77" t="s">
        <v>94</v>
      </c>
      <c r="F1565" s="75" t="s">
        <v>1623</v>
      </c>
      <c r="G1565" s="74" t="s">
        <v>488</v>
      </c>
      <c r="H1565" s="69"/>
      <c r="P1565" s="69">
        <f t="shared" si="24"/>
        <v>0</v>
      </c>
      <c r="Q1565" s="69" cm="1">
        <f t="array" ref="Q1565">IF(P1565=1,IF(SUMPRODUCT(($P$2:P1565)*(--($G$2:G1565=$G1565)))=1,1,0),0)</f>
        <v>0</v>
      </c>
      <c r="R1565" s="69" t="str">
        <f>IF(Q1565=1,SUM($Q$2:Q1565),"")</f>
        <v/>
      </c>
    </row>
    <row r="1566" spans="1:18" ht="16" x14ac:dyDescent="0.2">
      <c r="A1566" s="72"/>
      <c r="B1566" s="84"/>
      <c r="C1566" s="73"/>
      <c r="D1566" s="73" t="s">
        <v>964</v>
      </c>
      <c r="E1566" s="77" t="s">
        <v>94</v>
      </c>
      <c r="F1566" s="75" t="s">
        <v>1625</v>
      </c>
      <c r="G1566" s="74" t="s">
        <v>488</v>
      </c>
      <c r="H1566" s="69"/>
      <c r="P1566" s="69">
        <f t="shared" si="24"/>
        <v>0</v>
      </c>
      <c r="Q1566" s="69" cm="1">
        <f t="array" ref="Q1566">IF(P1566=1,IF(SUMPRODUCT(($P$2:P1566)*(--($G$2:G1566=$G1566)))=1,1,0),0)</f>
        <v>0</v>
      </c>
      <c r="R1566" s="69" t="str">
        <f>IF(Q1566=1,SUM($Q$2:Q1566),"")</f>
        <v/>
      </c>
    </row>
    <row r="1567" spans="1:18" ht="16" x14ac:dyDescent="0.2">
      <c r="A1567" s="72"/>
      <c r="B1567" s="84"/>
      <c r="C1567" s="73"/>
      <c r="D1567" s="73" t="s">
        <v>964</v>
      </c>
      <c r="E1567" s="77" t="s">
        <v>94</v>
      </c>
      <c r="F1567" s="75" t="s">
        <v>1626</v>
      </c>
      <c r="G1567" s="74" t="s">
        <v>488</v>
      </c>
      <c r="H1567" s="69"/>
      <c r="P1567" s="69">
        <f t="shared" si="24"/>
        <v>0</v>
      </c>
      <c r="Q1567" s="69" cm="1">
        <f t="array" ref="Q1567">IF(P1567=1,IF(SUMPRODUCT(($P$2:P1567)*(--($G$2:G1567=$G1567)))=1,1,0),0)</f>
        <v>0</v>
      </c>
      <c r="R1567" s="69" t="str">
        <f>IF(Q1567=1,SUM($Q$2:Q1567),"")</f>
        <v/>
      </c>
    </row>
    <row r="1568" spans="1:18" ht="16" x14ac:dyDescent="0.2">
      <c r="A1568" s="72"/>
      <c r="B1568" s="84"/>
      <c r="C1568" s="73"/>
      <c r="D1568" s="73" t="s">
        <v>964</v>
      </c>
      <c r="E1568" s="77" t="s">
        <v>94</v>
      </c>
      <c r="F1568" s="75" t="s">
        <v>1671</v>
      </c>
      <c r="G1568" s="74" t="s">
        <v>488</v>
      </c>
      <c r="H1568" s="69"/>
      <c r="P1568" s="69">
        <f t="shared" si="24"/>
        <v>0</v>
      </c>
      <c r="Q1568" s="69" cm="1">
        <f t="array" ref="Q1568">IF(P1568=1,IF(SUMPRODUCT(($P$2:P1568)*(--($G$2:G1568=$G1568)))=1,1,0),0)</f>
        <v>0</v>
      </c>
      <c r="R1568" s="69" t="str">
        <f>IF(Q1568=1,SUM($Q$2:Q1568),"")</f>
        <v/>
      </c>
    </row>
    <row r="1569" spans="1:18" ht="16" x14ac:dyDescent="0.2">
      <c r="A1569" s="72"/>
      <c r="B1569" s="84"/>
      <c r="C1569" s="73"/>
      <c r="D1569" s="73" t="s">
        <v>964</v>
      </c>
      <c r="E1569" s="77" t="s">
        <v>94</v>
      </c>
      <c r="F1569" s="75" t="s">
        <v>1672</v>
      </c>
      <c r="G1569" s="74" t="s">
        <v>488</v>
      </c>
      <c r="H1569" s="69"/>
      <c r="P1569" s="69">
        <f t="shared" si="24"/>
        <v>0</v>
      </c>
      <c r="Q1569" s="69" cm="1">
        <f t="array" ref="Q1569">IF(P1569=1,IF(SUMPRODUCT(($P$2:P1569)*(--($G$2:G1569=$G1569)))=1,1,0),0)</f>
        <v>0</v>
      </c>
      <c r="R1569" s="69" t="str">
        <f>IF(Q1569=1,SUM($Q$2:Q1569),"")</f>
        <v/>
      </c>
    </row>
    <row r="1570" spans="1:18" ht="16" x14ac:dyDescent="0.2">
      <c r="A1570" s="72"/>
      <c r="B1570" s="84"/>
      <c r="C1570" s="73"/>
      <c r="D1570" s="73" t="s">
        <v>964</v>
      </c>
      <c r="E1570" s="77" t="s">
        <v>94</v>
      </c>
      <c r="F1570" s="75" t="s">
        <v>1707</v>
      </c>
      <c r="G1570" s="74" t="s">
        <v>488</v>
      </c>
      <c r="H1570" s="69"/>
      <c r="P1570" s="69">
        <f t="shared" si="24"/>
        <v>0</v>
      </c>
      <c r="Q1570" s="69" cm="1">
        <f t="array" ref="Q1570">IF(P1570=1,IF(SUMPRODUCT(($P$2:P1570)*(--($G$2:G1570=$G1570)))=1,1,0),0)</f>
        <v>0</v>
      </c>
      <c r="R1570" s="69" t="str">
        <f>IF(Q1570=1,SUM($Q$2:Q1570),"")</f>
        <v/>
      </c>
    </row>
    <row r="1571" spans="1:18" ht="16" x14ac:dyDescent="0.2">
      <c r="A1571" s="72"/>
      <c r="B1571" s="84"/>
      <c r="C1571" s="73"/>
      <c r="D1571" s="73" t="s">
        <v>964</v>
      </c>
      <c r="E1571" s="77" t="s">
        <v>94</v>
      </c>
      <c r="F1571" s="75" t="s">
        <v>1708</v>
      </c>
      <c r="G1571" s="74" t="s">
        <v>176</v>
      </c>
      <c r="H1571" s="69"/>
      <c r="P1571" s="69">
        <f t="shared" si="24"/>
        <v>0</v>
      </c>
      <c r="Q1571" s="69" cm="1">
        <f t="array" ref="Q1571">IF(P1571=1,IF(SUMPRODUCT(($P$2:P1571)*(--($G$2:G1571=$G1571)))=1,1,0),0)</f>
        <v>0</v>
      </c>
      <c r="R1571" s="69" t="str">
        <f>IF(Q1571=1,SUM($Q$2:Q1571),"")</f>
        <v/>
      </c>
    </row>
    <row r="1572" spans="1:18" ht="16" x14ac:dyDescent="0.2">
      <c r="A1572" s="72"/>
      <c r="B1572" s="84"/>
      <c r="C1572" s="90"/>
      <c r="D1572" s="90" t="s">
        <v>964</v>
      </c>
      <c r="E1572" s="77" t="s">
        <v>94</v>
      </c>
      <c r="F1572" s="75" t="s">
        <v>1709</v>
      </c>
      <c r="G1572" s="74" t="s">
        <v>176</v>
      </c>
      <c r="H1572" s="69"/>
      <c r="P1572" s="69">
        <f t="shared" si="24"/>
        <v>0</v>
      </c>
      <c r="Q1572" s="69" cm="1">
        <f t="array" ref="Q1572">IF(P1572=1,IF(SUMPRODUCT(($P$2:P1572)*(--($G$2:G1572=$G1572)))=1,1,0),0)</f>
        <v>0</v>
      </c>
      <c r="R1572" s="69" t="str">
        <f>IF(Q1572=1,SUM($Q$2:Q1572),"")</f>
        <v/>
      </c>
    </row>
    <row r="1573" spans="1:18" ht="16" x14ac:dyDescent="0.2">
      <c r="A1573" s="72"/>
      <c r="B1573" s="84"/>
      <c r="C1573" s="73"/>
      <c r="D1573" s="73" t="s">
        <v>964</v>
      </c>
      <c r="E1573" s="77" t="s">
        <v>94</v>
      </c>
      <c r="F1573" s="75" t="s">
        <v>1710</v>
      </c>
      <c r="G1573" s="74" t="s">
        <v>176</v>
      </c>
      <c r="H1573" s="69"/>
      <c r="P1573" s="69">
        <f t="shared" si="24"/>
        <v>0</v>
      </c>
      <c r="Q1573" s="69" cm="1">
        <f t="array" ref="Q1573">IF(P1573=1,IF(SUMPRODUCT(($P$2:P1573)*(--($G$2:G1573=$G1573)))=1,1,0),0)</f>
        <v>0</v>
      </c>
      <c r="R1573" s="69" t="str">
        <f>IF(Q1573=1,SUM($Q$2:Q1573),"")</f>
        <v/>
      </c>
    </row>
    <row r="1574" spans="1:18" ht="16" x14ac:dyDescent="0.2">
      <c r="A1574" s="72"/>
      <c r="B1574" s="84"/>
      <c r="C1574" s="90"/>
      <c r="D1574" s="90" t="s">
        <v>964</v>
      </c>
      <c r="E1574" s="77" t="s">
        <v>94</v>
      </c>
      <c r="F1574" s="75" t="s">
        <v>1711</v>
      </c>
      <c r="G1574" s="74" t="s">
        <v>176</v>
      </c>
      <c r="H1574" s="69"/>
      <c r="P1574" s="69">
        <f t="shared" si="24"/>
        <v>0</v>
      </c>
      <c r="Q1574" s="69" cm="1">
        <f t="array" ref="Q1574">IF(P1574=1,IF(SUMPRODUCT(($P$2:P1574)*(--($G$2:G1574=$G1574)))=1,1,0),0)</f>
        <v>0</v>
      </c>
      <c r="R1574" s="69" t="str">
        <f>IF(Q1574=1,SUM($Q$2:Q1574),"")</f>
        <v/>
      </c>
    </row>
    <row r="1575" spans="1:18" ht="16" x14ac:dyDescent="0.2">
      <c r="A1575" s="72"/>
      <c r="B1575" s="76"/>
      <c r="C1575" s="90"/>
      <c r="D1575" s="90" t="s">
        <v>1712</v>
      </c>
      <c r="E1575" s="77" t="s">
        <v>94</v>
      </c>
      <c r="F1575" s="75" t="s">
        <v>131</v>
      </c>
      <c r="G1575" s="74" t="s">
        <v>1271</v>
      </c>
      <c r="H1575" s="69"/>
      <c r="P1575" s="69">
        <f t="shared" si="24"/>
        <v>0</v>
      </c>
      <c r="Q1575" s="69" cm="1">
        <f t="array" ref="Q1575">IF(P1575=1,IF(SUMPRODUCT(($P$2:P1575)*(--($G$2:G1575=$G1575)))=1,1,0),0)</f>
        <v>0</v>
      </c>
      <c r="R1575" s="69" t="str">
        <f>IF(Q1575=1,SUM($Q$2:Q1575),"")</f>
        <v/>
      </c>
    </row>
    <row r="1576" spans="1:18" ht="16" x14ac:dyDescent="0.2">
      <c r="A1576" s="72"/>
      <c r="B1576" s="76"/>
      <c r="C1576" s="90"/>
      <c r="D1576" s="90" t="s">
        <v>1713</v>
      </c>
      <c r="E1576" s="77" t="s">
        <v>110</v>
      </c>
      <c r="F1576" s="75" t="s">
        <v>340</v>
      </c>
      <c r="G1576" s="74" t="s">
        <v>1287</v>
      </c>
      <c r="H1576" s="69"/>
      <c r="P1576" s="69">
        <f t="shared" si="24"/>
        <v>0</v>
      </c>
      <c r="Q1576" s="69" cm="1">
        <f t="array" ref="Q1576">IF(P1576=1,IF(SUMPRODUCT(($P$2:P1576)*(--($G$2:G1576=$G1576)))=1,1,0),0)</f>
        <v>0</v>
      </c>
      <c r="R1576" s="69" t="str">
        <f>IF(Q1576=1,SUM($Q$2:Q1576),"")</f>
        <v/>
      </c>
    </row>
    <row r="1577" spans="1:18" ht="16" x14ac:dyDescent="0.2">
      <c r="A1577" s="72"/>
      <c r="B1577" s="76"/>
      <c r="C1577" s="90"/>
      <c r="D1577" s="90" t="s">
        <v>1713</v>
      </c>
      <c r="E1577" s="77" t="s">
        <v>990</v>
      </c>
      <c r="F1577" s="75" t="s">
        <v>340</v>
      </c>
      <c r="G1577" s="74" t="s">
        <v>1287</v>
      </c>
      <c r="H1577" s="69"/>
      <c r="P1577" s="69">
        <f t="shared" si="24"/>
        <v>0</v>
      </c>
      <c r="Q1577" s="69" cm="1">
        <f t="array" ref="Q1577">IF(P1577=1,IF(SUMPRODUCT(($P$2:P1577)*(--($G$2:G1577=$G1577)))=1,1,0),0)</f>
        <v>0</v>
      </c>
      <c r="R1577" s="69" t="str">
        <f>IF(Q1577=1,SUM($Q$2:Q1577),"")</f>
        <v/>
      </c>
    </row>
    <row r="1578" spans="1:18" ht="16" x14ac:dyDescent="0.2">
      <c r="A1578" s="72"/>
      <c r="B1578" s="76"/>
      <c r="C1578" s="90"/>
      <c r="D1578" s="90" t="s">
        <v>1713</v>
      </c>
      <c r="E1578" s="77" t="s">
        <v>94</v>
      </c>
      <c r="F1578" s="75" t="s">
        <v>340</v>
      </c>
      <c r="G1578" s="74" t="s">
        <v>1287</v>
      </c>
      <c r="H1578" s="69"/>
      <c r="P1578" s="69">
        <f t="shared" si="24"/>
        <v>0</v>
      </c>
      <c r="Q1578" s="69" cm="1">
        <f t="array" ref="Q1578">IF(P1578=1,IF(SUMPRODUCT(($P$2:P1578)*(--($G$2:G1578=$G1578)))=1,1,0),0)</f>
        <v>0</v>
      </c>
      <c r="R1578" s="69" t="str">
        <f>IF(Q1578=1,SUM($Q$2:Q1578),"")</f>
        <v/>
      </c>
    </row>
    <row r="1579" spans="1:18" ht="16" x14ac:dyDescent="0.2">
      <c r="A1579" s="72"/>
      <c r="B1579" s="76"/>
      <c r="C1579" s="90"/>
      <c r="D1579" s="90" t="s">
        <v>1713</v>
      </c>
      <c r="E1579" s="77" t="s">
        <v>110</v>
      </c>
      <c r="F1579" s="75" t="s">
        <v>253</v>
      </c>
      <c r="G1579" s="74" t="s">
        <v>1287</v>
      </c>
      <c r="H1579" s="69"/>
      <c r="P1579" s="69">
        <f t="shared" si="24"/>
        <v>0</v>
      </c>
      <c r="Q1579" s="69" cm="1">
        <f t="array" ref="Q1579">IF(P1579=1,IF(SUMPRODUCT(($P$2:P1579)*(--($G$2:G1579=$G1579)))=1,1,0),0)</f>
        <v>0</v>
      </c>
      <c r="R1579" s="69" t="str">
        <f>IF(Q1579=1,SUM($Q$2:Q1579),"")</f>
        <v/>
      </c>
    </row>
    <row r="1580" spans="1:18" ht="16" x14ac:dyDescent="0.2">
      <c r="A1580" s="72"/>
      <c r="B1580" s="76"/>
      <c r="C1580" s="90"/>
      <c r="D1580" s="90" t="s">
        <v>1713</v>
      </c>
      <c r="E1580" s="77" t="s">
        <v>990</v>
      </c>
      <c r="F1580" s="75" t="s">
        <v>253</v>
      </c>
      <c r="G1580" s="74" t="s">
        <v>1287</v>
      </c>
      <c r="H1580" s="69"/>
      <c r="P1580" s="69">
        <f t="shared" si="24"/>
        <v>0</v>
      </c>
      <c r="Q1580" s="69" cm="1">
        <f t="array" ref="Q1580">IF(P1580=1,IF(SUMPRODUCT(($P$2:P1580)*(--($G$2:G1580=$G1580)))=1,1,0),0)</f>
        <v>0</v>
      </c>
      <c r="R1580" s="69" t="str">
        <f>IF(Q1580=1,SUM($Q$2:Q1580),"")</f>
        <v/>
      </c>
    </row>
    <row r="1581" spans="1:18" ht="16" x14ac:dyDescent="0.2">
      <c r="A1581" s="91"/>
      <c r="B1581" s="94"/>
      <c r="C1581" s="73"/>
      <c r="D1581" s="73" t="s">
        <v>1713</v>
      </c>
      <c r="E1581" s="95" t="s">
        <v>94</v>
      </c>
      <c r="F1581" s="93" t="s">
        <v>253</v>
      </c>
      <c r="G1581" s="92" t="s">
        <v>1287</v>
      </c>
      <c r="H1581" s="69"/>
      <c r="P1581" s="69">
        <f t="shared" si="24"/>
        <v>0</v>
      </c>
      <c r="Q1581" s="69" cm="1">
        <f t="array" ref="Q1581">IF(P1581=1,IF(SUMPRODUCT(($P$2:P1581)*(--($G$2:G1581=$G1581)))=1,1,0),0)</f>
        <v>0</v>
      </c>
      <c r="R1581" s="69" t="str">
        <f>IF(Q1581=1,SUM($Q$2:Q1581),"")</f>
        <v/>
      </c>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I700"/>
  <sheetViews>
    <sheetView topLeftCell="A683" workbookViewId="0">
      <selection activeCell="E696" sqref="E696"/>
    </sheetView>
  </sheetViews>
  <sheetFormatPr baseColWidth="10" defaultRowHeight="15" x14ac:dyDescent="0.2"/>
  <cols>
    <col min="1" max="1" width="43.5" style="69" bestFit="1" customWidth="1"/>
    <col min="2" max="2" width="22" style="69" bestFit="1" customWidth="1"/>
    <col min="3" max="4" width="10.83203125" style="69"/>
    <col min="5" max="5" width="16.33203125" style="69" customWidth="1"/>
    <col min="6" max="16384" width="10.83203125" style="69"/>
  </cols>
  <sheetData>
    <row r="1" spans="1:9" x14ac:dyDescent="0.2">
      <c r="A1" s="96" t="s">
        <v>1714</v>
      </c>
      <c r="B1" s="96" t="s">
        <v>1715</v>
      </c>
      <c r="C1" s="131" t="s">
        <v>2044</v>
      </c>
      <c r="D1" s="107" t="s">
        <v>1421</v>
      </c>
      <c r="E1" s="97" t="s">
        <v>1830</v>
      </c>
      <c r="F1" s="97" t="s">
        <v>1831</v>
      </c>
      <c r="G1" s="97" t="s">
        <v>1832</v>
      </c>
    </row>
    <row r="2" spans="1:9" ht="16" x14ac:dyDescent="0.25">
      <c r="A2" s="120" t="s">
        <v>993</v>
      </c>
      <c r="B2" s="69" t="s">
        <v>486</v>
      </c>
      <c r="C2" s="69" t="str">
        <f>IF($A2="","",IF(AND($B2&lt;&gt;"",IF($F$2="Otros",$B2="Otros",ISNUMBER(SEARCH($B2,$F$2)))),COUNT($C1:C$2)+1,""))</f>
        <v/>
      </c>
      <c r="D2" s="108">
        <v>6</v>
      </c>
      <c r="E2" s="69"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
      </c>
      <c r="F2" s="69" t="str">
        <f>IF(_xlfn.TEXTJOIN("+",TRUE,IF(ISNUMBER(SEARCH("Plata",E2)),"Plata",""),IF(ISNUMBER(SEARCH("Níquel",E2)),"Níquel",""),IF(ISNUMBER(SEARCH("Estaño",E2)),"Estaño",""),IF(ISNUMBER(SEARCH("Zinc",E2)),"Zinc",""),IF(ISNUMBER(SEARCH("Epóxico",E2)),"Epóxico",""))="","Otros",_xlfn.TEXTJOIN("+",TRUE,IF(ISNUMBER(SEARCH("Plata",E2)),"Plata",""),IF(ISNUMBER(SEARCH("Níquel",E2)),"Níquel",""),IF(ISNUMBER(SEARCH("Estaño",E2)),"Estaño",""),IF(ISNUMBER(SEARCH("Zinc",E2)),"Zinc",""),IF(ISNUMBER(SEARCH("Epóxico",E2)),"Epóxico","")))</f>
        <v>Otros</v>
      </c>
      <c r="G2" s="132" t="str">
        <f>IFERROR(INDEX($A$2:$A$507,MATCH(ROWS($G$2:G2),$C$2:$C$507,0)),IF(ROWS($G$2:G2)=1,"(sin matches)",""))</f>
        <v>-</v>
      </c>
    </row>
    <row r="3" spans="1:9" ht="16" x14ac:dyDescent="0.25">
      <c r="A3" s="120" t="s">
        <v>993</v>
      </c>
      <c r="B3" s="69" t="s">
        <v>1852</v>
      </c>
      <c r="C3" s="69">
        <f>IF($A3="","",IF(AND($B3&lt;&gt;"",IF($F$2="Otros",$B3="Otros",ISNUMBER(SEARCH($B3,$F$2)))),COUNT($C2:C$2)+1,""))</f>
        <v>1</v>
      </c>
      <c r="G3" s="132" t="str">
        <f>IFERROR(INDEX($A$2:$A$507,MATCH(ROWS($G$2:G3),$C$2:$C$507,0)),IF(ROWS($G$2:G3)=1,"(sin matches)",""))</f>
        <v>1.28.003 (Pavonado)</v>
      </c>
    </row>
    <row r="4" spans="1:9" ht="16" x14ac:dyDescent="0.25">
      <c r="A4" s="120" t="s">
        <v>993</v>
      </c>
      <c r="B4" s="69" t="s">
        <v>757</v>
      </c>
      <c r="C4" s="69" t="str">
        <f>IF($A4="","",IF(AND($B4&lt;&gt;"",IF($F$2="Otros",$B4="Otros",ISNUMBER(SEARCH($B4,$F$2)))),COUNT($C$2:C3)+1,""))</f>
        <v/>
      </c>
      <c r="G4" s="132" t="str">
        <f>IFERROR(INDEX($A$2:$A$507,MATCH(ROWS($G$2:G4),$C$2:$C$507,0)),IF(ROWS($G$2:G4)=1,"(sin matches)",""))</f>
        <v>48053-001-01 (Deshidrogenado / Endurecido) | 176 - 204 °C (375 ± 25 °F) | 302 - 329 °C (600 ± 25 °F) | &gt;= 0.5 hrs.</v>
      </c>
    </row>
    <row r="5" spans="1:9" ht="16" x14ac:dyDescent="0.25">
      <c r="A5" s="120" t="s">
        <v>993</v>
      </c>
      <c r="B5" s="69" t="s">
        <v>403</v>
      </c>
      <c r="C5" s="69" t="str">
        <f>IF($A5="","",IF(AND($B5&lt;&gt;"",IF($F$2="Otros",$B5="Otros",ISNUMBER(SEARCH($B5,$F$2)))),COUNT($C$2:C4)+1,""))</f>
        <v/>
      </c>
      <c r="G5" s="132" t="str">
        <f>IFERROR(INDEX($A$2:$A$507,MATCH(ROWS($G$2:G5),$C$2:$C$507,0)),IF(ROWS($G$2:G5)=1,"(sin matches)",""))</f>
        <v>48053-001-01 (Deshidrogenado / Endurecido) | 176 - 204 °C (375 ± 25 °F) | 302 - 329 °C (600 ± 25 °F) | &gt;= 1 hrs.</v>
      </c>
    </row>
    <row r="6" spans="1:9" ht="16" x14ac:dyDescent="0.25">
      <c r="A6" s="120" t="s">
        <v>993</v>
      </c>
      <c r="B6" s="69" t="s">
        <v>282</v>
      </c>
      <c r="C6" s="69" t="str">
        <f>IF($A6="","",IF(AND($B6&lt;&gt;"",IF($F$2="Otros",$B6="Otros",ISNUMBER(SEARCH($B6,$F$2)))),COUNT($C$2:C5)+1,""))</f>
        <v/>
      </c>
      <c r="G6" s="132" t="str">
        <f>IFERROR(INDEX($A$2:$A$507,MATCH(ROWS($G$2:G6),$C$2:$C$507,0)),IF(ROWS($G$2:G6)=1,"(sin matches)",""))</f>
        <v>48053-001-01 (Deshidrogenado / Endurecido) | 176 - 204 °C (375 ± 25 °F) | 302 - 329 °C (600 ± 25 °F) | &gt;= 10 hrs.</v>
      </c>
      <c r="I6" s="131" t="s">
        <v>2048</v>
      </c>
    </row>
    <row r="7" spans="1:9" ht="16" x14ac:dyDescent="0.25">
      <c r="A7" s="120" t="s">
        <v>993</v>
      </c>
      <c r="B7" s="69" t="s">
        <v>1706</v>
      </c>
      <c r="C7" s="69" t="str">
        <f>IF($A7="","",IF(AND($B7&lt;&gt;"",IF($F$2="Otros",$B7="Otros",ISNUMBER(SEARCH($B7,$F$2)))),COUNT($C$2:C6)+1,""))</f>
        <v/>
      </c>
      <c r="G7" s="132" t="str">
        <f>IFERROR(INDEX($A$2:$A$507,MATCH(ROWS($G$2:G7),$C$2:$C$507,0)),IF(ROWS($G$2:G7)=1,"(sin matches)",""))</f>
        <v>48053-001-01 (Deshidrogenado / Endurecido) | 176 - 204 °C (375 ± 25 °F) | 302 - 329 °C (600 ± 25 °F) | &gt;= 14 hrs.</v>
      </c>
      <c r="I7" s="69" t="str">
        <f>IF(CAT_Procesos!$N$2="Otros","Otros",IF(ISNUMBER(SEARCH("+",CAT_Procesos!$N$2)),"|",CAT_Procesos!$N$2))</f>
        <v>Otros</v>
      </c>
    </row>
    <row r="8" spans="1:9" ht="16" x14ac:dyDescent="0.25">
      <c r="A8" s="120" t="s">
        <v>993</v>
      </c>
      <c r="B8" s="69" t="s">
        <v>1853</v>
      </c>
      <c r="C8" s="69" t="str">
        <f>IF($A8="","",IF(AND($B8&lt;&gt;"",IF($F$2="Otros",$B8="Otros",ISNUMBER(SEARCH($B8,$F$2)))),COUNT($C$2:C7)+1,""))</f>
        <v/>
      </c>
      <c r="G8" s="132" t="str">
        <f>IFERROR(INDEX($A$2:$A$507,MATCH(ROWS($G$2:G8),$C$2:$C$507,0)),IF(ROWS($G$2:G8)=1,"(sin matches)",""))</f>
        <v>48053-001-01 (Deshidrogenado / Endurecido) | 176 - 204 °C (375 ± 25 °F) | 302 - 329 °C (600 ± 25 °F) | &gt;= 2 hrs.</v>
      </c>
      <c r="I8" s="131" t="s">
        <v>2049</v>
      </c>
    </row>
    <row r="9" spans="1:9" ht="16" x14ac:dyDescent="0.25">
      <c r="A9" s="69" t="str">
        <f>Listas!E4</f>
        <v>1.28.001 (Zinc Negro Azul) | 3.81 - 11.43 µm</v>
      </c>
      <c r="B9" s="69" t="str">
        <f>IF(OR(A9="",A9=0),"",IF(_xlfn.TEXTJOIN("+",TRUE,IF(ISNUMBER(SEARCH("Plata",A9&amp;"")),"Plata",""),IF(ISNUMBER(SEARCH("Níquel",A9&amp;"")),"Níquel",""),IF(ISNUMBER(SEARCH("Estaño",A9&amp;"")),"Estaño",""),IF(ISNUMBER(SEARCH("Zinc",A9&amp;"")),"Zinc",""),IF(ISNUMBER(SEARCH("Epóxico",A9&amp;"")),"Epóxico",""))="","Otros",_xlfn.TEXTJOIN("+",TRUE,IF(ISNUMBER(SEARCH("Plata",A9&amp;"")),"Plata",""),IF(ISNUMBER(SEARCH("Níquel",A9&amp;"")),"Níquel",""),IF(ISNUMBER(SEARCH("Estaño",A9&amp;"")),"Estaño",""),IF(ISNUMBER(SEARCH("Zinc",A9&amp;"")),"Zinc",""),IF(ISNUMBER(SEARCH("Epóxico",A9&amp;"")),"Epóxico",""))))</f>
        <v>Zinc</v>
      </c>
      <c r="C9" s="69" t="str">
        <f>IF($A9="","",IF(AND($B9&lt;&gt;"",IF($F$2="Otros",$B9="Otros",ISNUMBER(SEARCH($B9,$F$2)))),COUNT($C$2:C8)+1,""))</f>
        <v/>
      </c>
      <c r="G9" s="132" t="str">
        <f>IFERROR(INDEX($A$2:$A$507,MATCH(ROWS($G$2:G9),$C$2:$C$507,0)),IF(ROWS($G$2:G9)=1,"(sin matches)",""))</f>
        <v>48053-001-01 (Deshidrogenado / Endurecido) | 176 - 204 °C (375 ± 25 °F) | 302 - 329 °C (600 ± 25 °F) | &gt;= 20 hrs.</v>
      </c>
      <c r="I9" s="69" t="str">
        <f>IF($A9="","",IF(AND($B9&lt;&gt;"",ISNUMBER(SEARCH($I$7,$B9))),COUNT($I8:I$9)+1,""))</f>
        <v/>
      </c>
    </row>
    <row r="10" spans="1:9" ht="16" x14ac:dyDescent="0.25">
      <c r="A10" s="69" t="str">
        <f>Listas!E5</f>
        <v>1.28.003 (Pavonado)</v>
      </c>
      <c r="B10" s="69" t="str">
        <f t="shared" ref="B10:B73" si="0">IF(OR(A10="",A10=0),"",IF(_xlfn.TEXTJOIN("+",TRUE,IF(ISNUMBER(SEARCH("Plata",A10&amp;"")),"Plata",""),IF(ISNUMBER(SEARCH("Níquel",A10&amp;"")),"Níquel",""),IF(ISNUMBER(SEARCH("Estaño",A10&amp;"")),"Estaño",""),IF(ISNUMBER(SEARCH("Zinc",A10&amp;"")),"Zinc",""),IF(ISNUMBER(SEARCH("Epóxico",A10&amp;"")),"Epóxico",""))="","Otros",_xlfn.TEXTJOIN("+",TRUE,IF(ISNUMBER(SEARCH("Plata",A10&amp;"")),"Plata",""),IF(ISNUMBER(SEARCH("Níquel",A10&amp;"")),"Níquel",""),IF(ISNUMBER(SEARCH("Estaño",A10&amp;"")),"Estaño",""),IF(ISNUMBER(SEARCH("Zinc",A10&amp;"")),"Zinc",""),IF(ISNUMBER(SEARCH("Epóxico",A10&amp;"")),"Epóxico",""))))</f>
        <v>Otros</v>
      </c>
      <c r="C10" s="69">
        <f>IF($A10="","",IF(AND($B10&lt;&gt;"",IF($F$2="Otros",$B10="Otros",ISNUMBER(SEARCH($B10,$F$2)))),COUNT($C$2:C9)+1,""))</f>
        <v>2</v>
      </c>
      <c r="G10" s="132" t="str">
        <f>IFERROR(INDEX($A$2:$A$507,MATCH(ROWS($G$2:G10),$C$2:$C$507,0)),IF(ROWS($G$2:G10)=1,"(sin matches)",""))</f>
        <v>48053-001-01 (Deshidrogenado / Endurecido) | 176 - 204 °C (375 ± 25 °F) | 302 - 329 °C (600 ± 25 °F) | &gt;= 24 hrs.</v>
      </c>
      <c r="I10" s="69">
        <f>IF($A10="","",IF(AND($B10&lt;&gt;"",ISNUMBER(SEARCH($I$7,$B10))),COUNT($I9:I$9)+1,""))</f>
        <v>1</v>
      </c>
    </row>
    <row r="11" spans="1:9" ht="16" x14ac:dyDescent="0.25">
      <c r="A11" s="69" t="str">
        <f>Listas!E6</f>
        <v>1.28.031 (Zinc) | 3.81 - 11.43 µm</v>
      </c>
      <c r="B11" s="69" t="str">
        <f t="shared" si="0"/>
        <v>Zinc</v>
      </c>
      <c r="C11" s="69" t="str">
        <f>IF($A11="","",IF(AND($B11&lt;&gt;"",IF($F$2="Otros",$B11="Otros",ISNUMBER(SEARCH($B11,$F$2)))),COUNT($C$2:C10)+1,""))</f>
        <v/>
      </c>
      <c r="G11" s="132" t="str">
        <f>IFERROR(INDEX($A$2:$A$507,MATCH(ROWS($G$2:G11),$C$2:$C$507,0)),IF(ROWS($G$2:G11)=1,"(sin matches)",""))</f>
        <v>48053-001-01 (Deshidrogenado / Endurecido) | 176 - 204 °C (375 ± 25 °F) | 302 - 329 °C (600 ± 25 °F) | &gt;= 3 hrs.</v>
      </c>
      <c r="I11" s="69" t="str">
        <f>IF($A11="","",IF(AND($B11&lt;&gt;"",ISNUMBER(SEARCH($I$7,$B11))),COUNT($I$9:I10)+1,""))</f>
        <v/>
      </c>
    </row>
    <row r="12" spans="1:9" ht="16" x14ac:dyDescent="0.25">
      <c r="A12" s="69" t="str">
        <f>Listas!E7</f>
        <v>1.28.032 (Níquel) | 2.54 - 7.62 µm</v>
      </c>
      <c r="B12" s="69" t="str">
        <f t="shared" si="0"/>
        <v>Níquel</v>
      </c>
      <c r="C12" s="69" t="str">
        <f>IF($A12="","",IF(AND($B12&lt;&gt;"",IF($F$2="Otros",$B12="Otros",ISNUMBER(SEARCH($B12,$F$2)))),COUNT($C$2:C11)+1,""))</f>
        <v/>
      </c>
      <c r="G12" s="132" t="str">
        <f>IFERROR(INDEX($A$2:$A$507,MATCH(ROWS($G$2:G12),$C$2:$C$507,0)),IF(ROWS($G$2:G12)=1,"(sin matches)",""))</f>
        <v>48053-001-01 (Deshidrogenado / Endurecido) | 176 - 204 °C (375 ± 25 °F) | 302 - 329 °C (600 ± 25 °F) | &gt;= 4 hrs.</v>
      </c>
      <c r="I12" s="69" t="str">
        <f>IF($A12="","",IF(AND($B12&lt;&gt;"",ISNUMBER(SEARCH($I$7,$B12))),COUNT($I$9:I11)+1,""))</f>
        <v/>
      </c>
    </row>
    <row r="13" spans="1:9" ht="16" x14ac:dyDescent="0.25">
      <c r="A13" s="69" t="str">
        <f>Listas!E8</f>
        <v>1.28.032 (Níquel) | 5.08 - 8.89 µm</v>
      </c>
      <c r="B13" s="69" t="str">
        <f t="shared" si="0"/>
        <v>Níquel</v>
      </c>
      <c r="C13" s="69" t="str">
        <f>IF($A13="","",IF(AND($B13&lt;&gt;"",IF($F$2="Otros",$B13="Otros",ISNUMBER(SEARCH($B13,$F$2)))),COUNT($C$2:C12)+1,""))</f>
        <v/>
      </c>
      <c r="G13" s="132" t="str">
        <f>IFERROR(INDEX($A$2:$A$507,MATCH(ROWS($G$2:G13),$C$2:$C$507,0)),IF(ROWS($G$2:G13)=1,"(sin matches)",""))</f>
        <v>48053-001-01 (Deshidrogenado / Endurecido) | 176 - 204 °C (375 ± 25 °F) | 302 - 329 °C (600 ± 25 °F) | &gt;= 5 hrs.</v>
      </c>
      <c r="I13" s="69" t="str">
        <f>IF($A13="","",IF(AND($B13&lt;&gt;"",ISNUMBER(SEARCH($I$7,$B13))),COUNT($I$9:I12)+1,""))</f>
        <v/>
      </c>
    </row>
    <row r="14" spans="1:9" ht="16" x14ac:dyDescent="0.25">
      <c r="A14" s="69" t="str">
        <f>Listas!E9</f>
        <v>1.28.032 (Níquel) | 7.62 - 15.24 µm</v>
      </c>
      <c r="B14" s="69" t="str">
        <f t="shared" si="0"/>
        <v>Níquel</v>
      </c>
      <c r="C14" s="69" t="str">
        <f>IF($A14="","",IF(AND($B14&lt;&gt;"",IF($F$2="Otros",$B14="Otros",ISNUMBER(SEARCH($B14,$F$2)))),COUNT($C$2:C13)+1,""))</f>
        <v/>
      </c>
      <c r="G14" s="132" t="str">
        <f>IFERROR(INDEX($A$2:$A$507,MATCH(ROWS($G$2:G14),$C$2:$C$507,0)),IF(ROWS($G$2:G14)=1,"(sin matches)",""))</f>
        <v>48053-001-01 (Deshidrogenado / Endurecido) | 176 - 204 °C (375 ± 25 °F) | 302 - 329 °C (600 ± 25 °F) | &gt;= 6 hrs.</v>
      </c>
      <c r="I14" s="69" t="str">
        <f>IF($A14="","",IF(AND($B14&lt;&gt;"",ISNUMBER(SEARCH($I$7,$B14))),COUNT($I$9:I13)+1,""))</f>
        <v/>
      </c>
    </row>
    <row r="15" spans="1:9" ht="16" x14ac:dyDescent="0.25">
      <c r="A15" s="69" t="str">
        <f>Listas!E10</f>
        <v>1.28.037 (Zinc Cromato Tropicalizado) | 3.81 - 5.08 µm</v>
      </c>
      <c r="B15" s="69" t="str">
        <f t="shared" si="0"/>
        <v>Zinc</v>
      </c>
      <c r="C15" s="69" t="str">
        <f>IF($A15="","",IF(AND($B15&lt;&gt;"",IF($F$2="Otros",$B15="Otros",ISNUMBER(SEARCH($B15,$F$2)))),COUNT($C$2:C14)+1,""))</f>
        <v/>
      </c>
      <c r="G15" s="132" t="str">
        <f>IFERROR(INDEX($A$2:$A$507,MATCH(ROWS($G$2:G15),$C$2:$C$507,0)),IF(ROWS($G$2:G15)=1,"(sin matches)",""))</f>
        <v>48053-001-01 (Deshidrogenado / Endurecido) | 176 - 204 °C (375 ± 25 °F) | 302 - 329 °C (600 ± 25 °F) | &gt;= 8 hrs.</v>
      </c>
      <c r="I15" s="69" t="str">
        <f>IF($A15="","",IF(AND($B15&lt;&gt;"",ISNUMBER(SEARCH($I$7,$B15))),COUNT($I$9:I14)+1,""))</f>
        <v/>
      </c>
    </row>
    <row r="16" spans="1:9" ht="16" x14ac:dyDescent="0.25">
      <c r="A16" s="69" t="str">
        <f>Listas!E11</f>
        <v>1.28.037 (Zinc Cromato Tropicalizado) | 5.08 - 10.16 µm</v>
      </c>
      <c r="B16" s="69" t="str">
        <f t="shared" si="0"/>
        <v>Zinc</v>
      </c>
      <c r="C16" s="69" t="str">
        <f>IF($A16="","",IF(AND($B16&lt;&gt;"",IF($F$2="Otros",$B16="Otros",ISNUMBER(SEARCH($B16,$F$2)))),COUNT($C$2:C15)+1,""))</f>
        <v/>
      </c>
      <c r="G16" s="132" t="str">
        <f>IFERROR(INDEX($A$2:$A$507,MATCH(ROWS($G$2:G16),$C$2:$C$507,0)),IF(ROWS($G$2:G16)=1,"(sin matches)",""))</f>
        <v>48053-001-01 (Deshidrogenado / Endurecido) | 176 - 204 °C (375 ± 25 °F) | No aplica | &gt;= 0.5 hrs.</v>
      </c>
      <c r="I16" s="69" t="str">
        <f>IF($A16="","",IF(AND($B16&lt;&gt;"",ISNUMBER(SEARCH($I$7,$B16))),COUNT($I$9:I15)+1,""))</f>
        <v/>
      </c>
    </row>
    <row r="17" spans="1:9" ht="16" x14ac:dyDescent="0.25">
      <c r="A17" s="69" t="str">
        <f>Listas!E12</f>
        <v>1.28.037 (Zinc Cromato Tropicalizado) | 5.08 - 8.89 µm</v>
      </c>
      <c r="B17" s="69" t="str">
        <f t="shared" si="0"/>
        <v>Zinc</v>
      </c>
      <c r="C17" s="69" t="str">
        <f>IF($A17="","",IF(AND($B17&lt;&gt;"",IF($F$2="Otros",$B17="Otros",ISNUMBER(SEARCH($B17,$F$2)))),COUNT($C$2:C16)+1,""))</f>
        <v/>
      </c>
      <c r="G17" s="132" t="str">
        <f>IFERROR(INDEX($A$2:$A$507,MATCH(ROWS($G$2:G17),$C$2:$C$507,0)),IF(ROWS($G$2:G17)=1,"(sin matches)",""))</f>
        <v>48053-001-01 (Deshidrogenado / Endurecido) | 176 - 204 °C (375 ± 25 °F) | No aplica | &gt;= 1 hrs.</v>
      </c>
      <c r="I17" s="69" t="str">
        <f>IF($A17="","",IF(AND($B17&lt;&gt;"",ISNUMBER(SEARCH($I$7,$B17))),COUNT($I$9:I16)+1,""))</f>
        <v/>
      </c>
    </row>
    <row r="18" spans="1:9" ht="16" x14ac:dyDescent="0.25">
      <c r="A18" s="69" t="str">
        <f>Listas!E13</f>
        <v>1.28.041 (Níquel Electroless) | 5 - 10 µm</v>
      </c>
      <c r="B18" s="69" t="str">
        <f t="shared" si="0"/>
        <v>Níquel</v>
      </c>
      <c r="C18" s="69" t="str">
        <f>IF($A18="","",IF(AND($B18&lt;&gt;"",IF($F$2="Otros",$B18="Otros",ISNUMBER(SEARCH($B18,$F$2)))),COUNT($C$2:C17)+1,""))</f>
        <v/>
      </c>
      <c r="G18" s="132" t="str">
        <f>IFERROR(INDEX($A$2:$A$507,MATCH(ROWS($G$2:G18),$C$2:$C$507,0)),IF(ROWS($G$2:G18)=1,"(sin matches)",""))</f>
        <v>48053-001-01 (Deshidrogenado / Endurecido) | 176 - 204 °C (375 ± 25 °F) | No aplica | &gt;= 10 hrs.</v>
      </c>
      <c r="I18" s="69" t="str">
        <f>IF($A18="","",IF(AND($B18&lt;&gt;"",ISNUMBER(SEARCH($I$7,$B18))),COUNT($I$9:I17)+1,""))</f>
        <v/>
      </c>
    </row>
    <row r="19" spans="1:9" ht="16" x14ac:dyDescent="0.25">
      <c r="A19" s="69" t="str">
        <f>Listas!E14</f>
        <v>40001-050-01 (Plata Flash) | 0.508 - 0.762 µm</v>
      </c>
      <c r="B19" s="69" t="str">
        <f t="shared" si="0"/>
        <v>Plata</v>
      </c>
      <c r="C19" s="69" t="str">
        <f>IF($A19="","",IF(AND($B19&lt;&gt;"",IF($F$2="Otros",$B19="Otros",ISNUMBER(SEARCH($B19,$F$2)))),COUNT($C$2:C18)+1,""))</f>
        <v/>
      </c>
      <c r="G19" s="132" t="str">
        <f>IFERROR(INDEX($A$2:$A$507,MATCH(ROWS($G$2:G19),$C$2:$C$507,0)),IF(ROWS($G$2:G19)=1,"(sin matches)",""))</f>
        <v>48053-001-01 (Deshidrogenado / Endurecido) | 176 - 204 °C (375 ± 25 °F) | No aplica | &gt;= 14 hrs.</v>
      </c>
      <c r="I19" s="69" t="str">
        <f>IF($A19="","",IF(AND($B19&lt;&gt;"",ISNUMBER(SEARCH($I$7,$B19))),COUNT($I$9:I18)+1,""))</f>
        <v/>
      </c>
    </row>
    <row r="20" spans="1:9" ht="16" x14ac:dyDescent="0.25">
      <c r="A20" s="69" t="str">
        <f>Listas!E15</f>
        <v>40001-050-01 (Plata Flash) | 0.508 - 1.016 µm</v>
      </c>
      <c r="B20" s="69" t="str">
        <f t="shared" si="0"/>
        <v>Plata</v>
      </c>
      <c r="C20" s="69" t="str">
        <f>IF($A20="","",IF(AND($B20&lt;&gt;"",IF($F$2="Otros",$B20="Otros",ISNUMBER(SEARCH($B20,$F$2)))),COUNT($C$2:C19)+1,""))</f>
        <v/>
      </c>
      <c r="G20" s="132" t="str">
        <f>IFERROR(INDEX($A$2:$A$507,MATCH(ROWS($G$2:G20),$C$2:$C$507,0)),IF(ROWS($G$2:G20)=1,"(sin matches)",""))</f>
        <v>48053-001-01 (Deshidrogenado / Endurecido) | 176 - 204 °C (375 ± 25 °F) | No aplica | &gt;= 2 hrs.</v>
      </c>
      <c r="I20" s="69" t="str">
        <f>IF($A20="","",IF(AND($B20&lt;&gt;"",ISNUMBER(SEARCH($I$7,$B20))),COUNT($I$9:I19)+1,""))</f>
        <v/>
      </c>
    </row>
    <row r="21" spans="1:9" ht="16" x14ac:dyDescent="0.25">
      <c r="A21" s="69" t="str">
        <f>Listas!E16</f>
        <v>40001-053-02 (Estaño) | 5.08 - 10.16 µm</v>
      </c>
      <c r="B21" s="69" t="str">
        <f t="shared" si="0"/>
        <v>Estaño</v>
      </c>
      <c r="C21" s="69" t="str">
        <f>IF($A21="","",IF(AND($B21&lt;&gt;"",IF($F$2="Otros",$B21="Otros",ISNUMBER(SEARCH($B21,$F$2)))),COUNT($C$2:C20)+1,""))</f>
        <v/>
      </c>
      <c r="G21" s="132" t="str">
        <f>IFERROR(INDEX($A$2:$A$507,MATCH(ROWS($G$2:G21),$C$2:$C$507,0)),IF(ROWS($G$2:G21)=1,"(sin matches)",""))</f>
        <v>48053-001-01 (Deshidrogenado / Endurecido) | 176 - 204 °C (375 ± 25 °F) | No aplica | &gt;= 20 hrs.</v>
      </c>
      <c r="I21" s="69" t="str">
        <f>IF($A21="","",IF(AND($B21&lt;&gt;"",ISNUMBER(SEARCH($I$7,$B21))),COUNT($I$9:I20)+1,""))</f>
        <v/>
      </c>
    </row>
    <row r="22" spans="1:9" ht="16" x14ac:dyDescent="0.25">
      <c r="A22" s="69" t="str">
        <f>Listas!E17</f>
        <v>40004-014-01 (Estaño) | 5 - 10 µm | 0.5 - 1.0 µm</v>
      </c>
      <c r="B22" s="69" t="str">
        <f t="shared" si="0"/>
        <v>Estaño</v>
      </c>
      <c r="C22" s="69" t="str">
        <f>IF($A22="","",IF(AND($B22&lt;&gt;"",IF($F$2="Otros",$B22="Otros",ISNUMBER(SEARCH($B22,$F$2)))),COUNT($C$2:C21)+1,""))</f>
        <v/>
      </c>
      <c r="G22" s="132" t="str">
        <f>IFERROR(INDEX($A$2:$A$507,MATCH(ROWS($G$2:G22),$C$2:$C$507,0)),IF(ROWS($G$2:G22)=1,"(sin matches)",""))</f>
        <v>48053-001-01 (Deshidrogenado / Endurecido) | 176 - 204 °C (375 ± 25 °F) | No aplica | &gt;= 24 hrs.</v>
      </c>
      <c r="I22" s="69" t="str">
        <f>IF($A22="","",IF(AND($B22&lt;&gt;"",ISNUMBER(SEARCH($I$7,$B22))),COUNT($I$9:I21)+1,""))</f>
        <v/>
      </c>
    </row>
    <row r="23" spans="1:9" ht="16" x14ac:dyDescent="0.25">
      <c r="A23" s="69" t="str">
        <f>Listas!E18</f>
        <v>40004-014-01 (Estaño) | 5 - 10 µm | No aplica</v>
      </c>
      <c r="B23" s="69" t="str">
        <f t="shared" si="0"/>
        <v>Estaño</v>
      </c>
      <c r="C23" s="69" t="str">
        <f>IF($A23="","",IF(AND($B23&lt;&gt;"",IF($F$2="Otros",$B23="Otros",ISNUMBER(SEARCH($B23,$F$2)))),COUNT($C$2:C22)+1,""))</f>
        <v/>
      </c>
      <c r="G23" s="132" t="str">
        <f>IFERROR(INDEX($A$2:$A$507,MATCH(ROWS($G$2:G23),$C$2:$C$507,0)),IF(ROWS($G$2:G23)=1,"(sin matches)",""))</f>
        <v>48053-001-01 (Deshidrogenado / Endurecido) | 176 - 204 °C (375 ± 25 °F) | No aplica | &gt;= 3 hrs.</v>
      </c>
      <c r="I23" s="69" t="str">
        <f>IF($A23="","",IF(AND($B23&lt;&gt;"",ISNUMBER(SEARCH($I$7,$B23))),COUNT($I$9:I22)+1,""))</f>
        <v/>
      </c>
    </row>
    <row r="24" spans="1:9" ht="16" x14ac:dyDescent="0.25">
      <c r="A24" s="69" t="str">
        <f>Listas!E19</f>
        <v>40004-014-01 (Estaño) | 5 - 8 µm | 0.5 - 1.0 µm</v>
      </c>
      <c r="B24" s="69" t="str">
        <f t="shared" si="0"/>
        <v>Estaño</v>
      </c>
      <c r="C24" s="69" t="str">
        <f>IF($A24="","",IF(AND($B24&lt;&gt;"",IF($F$2="Otros",$B24="Otros",ISNUMBER(SEARCH($B24,$F$2)))),COUNT($C$2:C23)+1,""))</f>
        <v/>
      </c>
      <c r="G24" s="132" t="str">
        <f>IFERROR(INDEX($A$2:$A$507,MATCH(ROWS($G$2:G24),$C$2:$C$507,0)),IF(ROWS($G$2:G24)=1,"(sin matches)",""))</f>
        <v>48053-001-01 (Deshidrogenado / Endurecido) | 176 - 204 °C (375 ± 25 °F) | No aplica | &gt;= 4 hrs.</v>
      </c>
      <c r="I24" s="69" t="str">
        <f>IF($A24="","",IF(AND($B24&lt;&gt;"",ISNUMBER(SEARCH($I$7,$B24))),COUNT($I$9:I23)+1,""))</f>
        <v/>
      </c>
    </row>
    <row r="25" spans="1:9" ht="16" x14ac:dyDescent="0.25">
      <c r="A25" s="69" t="str">
        <f>Listas!E20</f>
        <v>40004-014-01 (Estaño) | 5 - 8 µm | No aplica</v>
      </c>
      <c r="B25" s="69" t="str">
        <f t="shared" si="0"/>
        <v>Estaño</v>
      </c>
      <c r="C25" s="69" t="str">
        <f>IF($A25="","",IF(AND($B25&lt;&gt;"",IF($F$2="Otros",$B25="Otros",ISNUMBER(SEARCH($B25,$F$2)))),COUNT($C$2:C24)+1,""))</f>
        <v/>
      </c>
      <c r="G25" s="132" t="str">
        <f>IFERROR(INDEX($A$2:$A$507,MATCH(ROWS($G$2:G25),$C$2:$C$507,0)),IF(ROWS($G$2:G25)=1,"(sin matches)",""))</f>
        <v>48053-001-01 (Deshidrogenado / Endurecido) | 176 - 204 °C (375 ± 25 °F) | No aplica | &gt;= 5 hrs.</v>
      </c>
      <c r="I25" s="69" t="str">
        <f>IF($A25="","",IF(AND($B25&lt;&gt;"",ISNUMBER(SEARCH($I$7,$B25))),COUNT($I$9:I24)+1,""))</f>
        <v/>
      </c>
    </row>
    <row r="26" spans="1:9" ht="16" x14ac:dyDescent="0.25">
      <c r="A26" s="69" t="str">
        <f>Listas!E21</f>
        <v>40004-015-01 (Estaño) | 5 - 10 µm | 0.5 - 1.0 µm</v>
      </c>
      <c r="B26" s="69" t="str">
        <f t="shared" si="0"/>
        <v>Estaño</v>
      </c>
      <c r="C26" s="69" t="str">
        <f>IF($A26="","",IF(AND($B26&lt;&gt;"",IF($F$2="Otros",$B26="Otros",ISNUMBER(SEARCH($B26,$F$2)))),COUNT($C$2:C25)+1,""))</f>
        <v/>
      </c>
      <c r="G26" s="132" t="str">
        <f>IFERROR(INDEX($A$2:$A$507,MATCH(ROWS($G$2:G26),$C$2:$C$507,0)),IF(ROWS($G$2:G26)=1,"(sin matches)",""))</f>
        <v>48053-001-01 (Deshidrogenado / Endurecido) | 176 - 204 °C (375 ± 25 °F) | No aplica | &gt;= 6 hrs.</v>
      </c>
      <c r="I26" s="69" t="str">
        <f>IF($A26="","",IF(AND($B26&lt;&gt;"",ISNUMBER(SEARCH($I$7,$B26))),COUNT($I$9:I25)+1,""))</f>
        <v/>
      </c>
    </row>
    <row r="27" spans="1:9" ht="16" x14ac:dyDescent="0.25">
      <c r="A27" s="69" t="str">
        <f>Listas!E22</f>
        <v>40004-015-01 (Estaño) | 5 - 10 µm | No aplica</v>
      </c>
      <c r="B27" s="69" t="str">
        <f t="shared" si="0"/>
        <v>Estaño</v>
      </c>
      <c r="C27" s="69" t="str">
        <f>IF($A27="","",IF(AND($B27&lt;&gt;"",IF($F$2="Otros",$B27="Otros",ISNUMBER(SEARCH($B27,$F$2)))),COUNT($C$2:C26)+1,""))</f>
        <v/>
      </c>
      <c r="G27" s="132" t="str">
        <f>IFERROR(INDEX($A$2:$A$507,MATCH(ROWS($G$2:G27),$C$2:$C$507,0)),IF(ROWS($G$2:G27)=1,"(sin matches)",""))</f>
        <v>48053-001-01 (Deshidrogenado / Endurecido) | 176 - 204 °C (375 ± 25 °F) | No aplica | &gt;= 8 hrs.</v>
      </c>
      <c r="I27" s="69" t="str">
        <f>IF($A27="","",IF(AND($B27&lt;&gt;"",ISNUMBER(SEARCH($I$7,$B27))),COUNT($I$9:I26)+1,""))</f>
        <v/>
      </c>
    </row>
    <row r="28" spans="1:9" ht="16" x14ac:dyDescent="0.25">
      <c r="A28" s="69" t="str">
        <f>Listas!E23</f>
        <v>40004-015-01 (Estaño) | 5 - 8 µm | 0.5 - 1.0 µm</v>
      </c>
      <c r="B28" s="69" t="str">
        <f t="shared" si="0"/>
        <v>Estaño</v>
      </c>
      <c r="C28" s="69" t="str">
        <f>IF($A28="","",IF(AND($B28&lt;&gt;"",IF($F$2="Otros",$B28="Otros",ISNUMBER(SEARCH($B28,$F$2)))),COUNT($C$2:C27)+1,""))</f>
        <v/>
      </c>
      <c r="G28" s="132" t="str">
        <f>IFERROR(INDEX($A$2:$A$507,MATCH(ROWS($G$2:G28),$C$2:$C$507,0)),IF(ROWS($G$2:G28)=1,"(sin matches)",""))</f>
        <v>48053-001-01 (Deshidrogenado / Endurecido) | No aplica | 302 - 329 °C (600 ± 25 °F) | &gt;= 0.5 hrs.</v>
      </c>
      <c r="I28" s="69" t="str">
        <f>IF($A28="","",IF(AND($B28&lt;&gt;"",ISNUMBER(SEARCH($I$7,$B28))),COUNT($I$9:I27)+1,""))</f>
        <v/>
      </c>
    </row>
    <row r="29" spans="1:9" ht="16" x14ac:dyDescent="0.25">
      <c r="A29" s="69" t="str">
        <f>Listas!E24</f>
        <v>40004-015-01 (Estaño) | 5 - 8 µm | No aplica</v>
      </c>
      <c r="B29" s="69" t="str">
        <f t="shared" si="0"/>
        <v>Estaño</v>
      </c>
      <c r="C29" s="69" t="str">
        <f>IF($A29="","",IF(AND($B29&lt;&gt;"",IF($F$2="Otros",$B29="Otros",ISNUMBER(SEARCH($B29,$F$2)))),COUNT($C$2:C28)+1,""))</f>
        <v/>
      </c>
      <c r="G29" s="132" t="str">
        <f>IFERROR(INDEX($A$2:$A$507,MATCH(ROWS($G$2:G29),$C$2:$C$507,0)),IF(ROWS($G$2:G29)=1,"(sin matches)",""))</f>
        <v>48053-001-01 (Deshidrogenado / Endurecido) | No aplica | 302 - 329 °C (600 ± 25 °F) | &gt;= 1 hrs.</v>
      </c>
      <c r="I29" s="69" t="str">
        <f>IF($A29="","",IF(AND($B29&lt;&gt;"",ISNUMBER(SEARCH($I$7,$B29))),COUNT($I$9:I28)+1,""))</f>
        <v/>
      </c>
    </row>
    <row r="30" spans="1:9" ht="16" x14ac:dyDescent="0.25">
      <c r="A30" s="69" t="str">
        <f>Listas!E25</f>
        <v>40004-017-01 (Zinc) | 12.19 - 15.49 µm</v>
      </c>
      <c r="B30" s="69" t="str">
        <f t="shared" si="0"/>
        <v>Zinc</v>
      </c>
      <c r="C30" s="69" t="str">
        <f>IF($A30="","",IF(AND($B30&lt;&gt;"",IF($F$2="Otros",$B30="Otros",ISNUMBER(SEARCH($B30,$F$2)))),COUNT($C$2:C29)+1,""))</f>
        <v/>
      </c>
      <c r="G30" s="132" t="str">
        <f>IFERROR(INDEX($A$2:$A$507,MATCH(ROWS($G$2:G30),$C$2:$C$507,0)),IF(ROWS($G$2:G30)=1,"(sin matches)",""))</f>
        <v>48053-001-01 (Deshidrogenado / Endurecido) | No aplica | 302 - 329 °C (600 ± 25 °F) | &gt;= 10 hrs.</v>
      </c>
      <c r="I30" s="69" t="str">
        <f>IF($A30="","",IF(AND($B30&lt;&gt;"",ISNUMBER(SEARCH($I$7,$B30))),COUNT($I$9:I29)+1,""))</f>
        <v/>
      </c>
    </row>
    <row r="31" spans="1:9" ht="16" x14ac:dyDescent="0.25">
      <c r="A31" s="69" t="str">
        <f>Listas!E26</f>
        <v>40004-017-01 (Zinc) | 15.49 - 20 µm</v>
      </c>
      <c r="B31" s="69" t="str">
        <f t="shared" si="0"/>
        <v>Zinc</v>
      </c>
      <c r="C31" s="69" t="str">
        <f>IF($A31="","",IF(AND($B31&lt;&gt;"",IF($F$2="Otros",$B31="Otros",ISNUMBER(SEARCH($B31,$F$2)))),COUNT($C$2:C30)+1,""))</f>
        <v/>
      </c>
      <c r="G31" s="132" t="str">
        <f>IFERROR(INDEX($A$2:$A$507,MATCH(ROWS($G$2:G31),$C$2:$C$507,0)),IF(ROWS($G$2:G31)=1,"(sin matches)",""))</f>
        <v>48053-001-01 (Deshidrogenado / Endurecido) | No aplica | 302 - 329 °C (600 ± 25 °F) | &gt;= 14 hrs.</v>
      </c>
      <c r="I31" s="69" t="str">
        <f>IF($A31="","",IF(AND($B31&lt;&gt;"",ISNUMBER(SEARCH($I$7,$B31))),COUNT($I$9:I30)+1,""))</f>
        <v/>
      </c>
    </row>
    <row r="32" spans="1:9" ht="16" x14ac:dyDescent="0.25">
      <c r="A32" s="69" t="str">
        <f>Listas!E27</f>
        <v>40004-017-01 (Zinc) | 2.54 - 4.44 µm</v>
      </c>
      <c r="B32" s="69" t="str">
        <f t="shared" si="0"/>
        <v>Zinc</v>
      </c>
      <c r="C32" s="69" t="str">
        <f>IF($A32="","",IF(AND($B32&lt;&gt;"",IF($F$2="Otros",$B32="Otros",ISNUMBER(SEARCH($B32,$F$2)))),COUNT($C$2:C31)+1,""))</f>
        <v/>
      </c>
      <c r="G32" s="132" t="str">
        <f>IFERROR(INDEX($A$2:$A$507,MATCH(ROWS($G$2:G32),$C$2:$C$507,0)),IF(ROWS($G$2:G32)=1,"(sin matches)",""))</f>
        <v>48053-001-01 (Deshidrogenado / Endurecido) | No aplica | 302 - 329 °C (600 ± 25 °F) | &gt;= 2 hrs.</v>
      </c>
      <c r="I32" s="69" t="str">
        <f>IF($A32="","",IF(AND($B32&lt;&gt;"",ISNUMBER(SEARCH($I$7,$B32))),COUNT($I$9:I31)+1,""))</f>
        <v/>
      </c>
    </row>
    <row r="33" spans="1:9" ht="16" x14ac:dyDescent="0.25">
      <c r="A33" s="69" t="str">
        <f>Listas!E28</f>
        <v>40004-017-01 (Zinc) | 2.54 - 6.35 µm</v>
      </c>
      <c r="B33" s="69" t="str">
        <f t="shared" si="0"/>
        <v>Zinc</v>
      </c>
      <c r="C33" s="69" t="str">
        <f>IF($A33="","",IF(AND($B33&lt;&gt;"",IF($F$2="Otros",$B33="Otros",ISNUMBER(SEARCH($B33,$F$2)))),COUNT($C$2:C32)+1,""))</f>
        <v/>
      </c>
      <c r="G33" s="132" t="str">
        <f>IFERROR(INDEX($A$2:$A$507,MATCH(ROWS($G$2:G33),$C$2:$C$507,0)),IF(ROWS($G$2:G33)=1,"(sin matches)",""))</f>
        <v>48053-001-01 (Deshidrogenado / Endurecido) | No aplica | 302 - 329 °C (600 ± 25 °F) | &gt;= 20 hrs.</v>
      </c>
      <c r="I33" s="69" t="str">
        <f>IF($A33="","",IF(AND($B33&lt;&gt;"",ISNUMBER(SEARCH($I$7,$B33))),COUNT($I$9:I32)+1,""))</f>
        <v/>
      </c>
    </row>
    <row r="34" spans="1:9" ht="16" x14ac:dyDescent="0.25">
      <c r="A34" s="69" t="str">
        <f>Listas!E29</f>
        <v>40004-017-01 (Zinc) | 4.44 - 6.35 µm</v>
      </c>
      <c r="B34" s="69" t="str">
        <f t="shared" si="0"/>
        <v>Zinc</v>
      </c>
      <c r="C34" s="69" t="str">
        <f>IF($A34="","",IF(AND($B34&lt;&gt;"",IF($F$2="Otros",$B34="Otros",ISNUMBER(SEARCH($B34,$F$2)))),COUNT($C$2:C33)+1,""))</f>
        <v/>
      </c>
      <c r="G34" s="132" t="str">
        <f>IFERROR(INDEX($A$2:$A$507,MATCH(ROWS($G$2:G34),$C$2:$C$507,0)),IF(ROWS($G$2:G34)=1,"(sin matches)",""))</f>
        <v>48053-001-01 (Deshidrogenado / Endurecido) | No aplica | 302 - 329 °C (600 ± 25 °F) | &gt;= 24 hrs.</v>
      </c>
      <c r="I34" s="69" t="str">
        <f>IF($A34="","",IF(AND($B34&lt;&gt;"",ISNUMBER(SEARCH($I$7,$B34))),COUNT($I$9:I33)+1,""))</f>
        <v/>
      </c>
    </row>
    <row r="35" spans="1:9" ht="16" x14ac:dyDescent="0.25">
      <c r="A35" s="69" t="str">
        <f>Listas!E30</f>
        <v>40004-017-01 (Zinc) | 5 - 8 µm</v>
      </c>
      <c r="B35" s="69" t="str">
        <f t="shared" si="0"/>
        <v>Zinc</v>
      </c>
      <c r="C35" s="69" t="str">
        <f>IF($A35="","",IF(AND($B35&lt;&gt;"",IF($F$2="Otros",$B35="Otros",ISNUMBER(SEARCH($B35,$F$2)))),COUNT($C$2:C34)+1,""))</f>
        <v/>
      </c>
      <c r="G35" s="132" t="str">
        <f>IFERROR(INDEX($A$2:$A$507,MATCH(ROWS($G$2:G35),$C$2:$C$507,0)),IF(ROWS($G$2:G35)=1,"(sin matches)",""))</f>
        <v>48053-001-01 (Deshidrogenado / Endurecido) | No aplica | 302 - 329 °C (600 ± 25 °F) | &gt;= 3 hrs.</v>
      </c>
      <c r="I35" s="69" t="str">
        <f>IF($A35="","",IF(AND($B35&lt;&gt;"",ISNUMBER(SEARCH($I$7,$B35))),COUNT($I$9:I34)+1,""))</f>
        <v/>
      </c>
    </row>
    <row r="36" spans="1:9" ht="16" x14ac:dyDescent="0.25">
      <c r="A36" s="69" t="str">
        <f>Listas!E31</f>
        <v>40004-017-01 (Zinc) | 6.35 - 10.16 µm</v>
      </c>
      <c r="B36" s="69" t="str">
        <f t="shared" si="0"/>
        <v>Zinc</v>
      </c>
      <c r="C36" s="69" t="str">
        <f>IF($A36="","",IF(AND($B36&lt;&gt;"",IF($F$2="Otros",$B36="Otros",ISNUMBER(SEARCH($B36,$F$2)))),COUNT($C$2:C35)+1,""))</f>
        <v/>
      </c>
      <c r="G36" s="132" t="str">
        <f>IFERROR(INDEX($A$2:$A$507,MATCH(ROWS($G$2:G36),$C$2:$C$507,0)),IF(ROWS($G$2:G36)=1,"(sin matches)",""))</f>
        <v>48053-001-01 (Deshidrogenado / Endurecido) | No aplica | 302 - 329 °C (600 ± 25 °F) | &gt;= 4 hrs.</v>
      </c>
      <c r="I36" s="69" t="str">
        <f>IF($A36="","",IF(AND($B36&lt;&gt;"",ISNUMBER(SEARCH($I$7,$B36))),COUNT($I$9:I35)+1,""))</f>
        <v/>
      </c>
    </row>
    <row r="37" spans="1:9" ht="16" x14ac:dyDescent="0.25">
      <c r="A37" s="69" t="str">
        <f>Listas!E32</f>
        <v>40004-017-01 (Zinc) | 8- 12.19 µm</v>
      </c>
      <c r="B37" s="69" t="str">
        <f t="shared" si="0"/>
        <v>Zinc</v>
      </c>
      <c r="C37" s="69" t="str">
        <f>IF($A37="","",IF(AND($B37&lt;&gt;"",IF($F$2="Otros",$B37="Otros",ISNUMBER(SEARCH($B37,$F$2)))),COUNT($C$2:C36)+1,""))</f>
        <v/>
      </c>
      <c r="G37" s="132" t="str">
        <f>IFERROR(INDEX($A$2:$A$507,MATCH(ROWS($G$2:G37),$C$2:$C$507,0)),IF(ROWS($G$2:G37)=1,"(sin matches)",""))</f>
        <v>48053-001-01 (Deshidrogenado / Endurecido) | No aplica | 302 - 329 °C (600 ± 25 °F) | &gt;= 5 hrs.</v>
      </c>
      <c r="I37" s="69" t="str">
        <f>IF($A37="","",IF(AND($B37&lt;&gt;"",ISNUMBER(SEARCH($I$7,$B37))),COUNT($I$9:I36)+1,""))</f>
        <v/>
      </c>
    </row>
    <row r="38" spans="1:9" ht="16" x14ac:dyDescent="0.25">
      <c r="A38" s="69" t="str">
        <f>Listas!E33</f>
        <v>40004-022-01 (Estaño) | 5 - 10 µm | 0.5 - 1.0 µm</v>
      </c>
      <c r="B38" s="69" t="str">
        <f t="shared" si="0"/>
        <v>Estaño</v>
      </c>
      <c r="C38" s="69" t="str">
        <f>IF($A38="","",IF(AND($B38&lt;&gt;"",IF($F$2="Otros",$B38="Otros",ISNUMBER(SEARCH($B38,$F$2)))),COUNT($C$2:C37)+1,""))</f>
        <v/>
      </c>
      <c r="G38" s="132" t="str">
        <f>IFERROR(INDEX($A$2:$A$507,MATCH(ROWS($G$2:G38),$C$2:$C$507,0)),IF(ROWS($G$2:G38)=1,"(sin matches)",""))</f>
        <v>48053-001-01 (Deshidrogenado / Endurecido) | No aplica | 302 - 329 °C (600 ± 25 °F) | &gt;= 6 hrs.</v>
      </c>
      <c r="I38" s="69" t="str">
        <f>IF($A38="","",IF(AND($B38&lt;&gt;"",ISNUMBER(SEARCH($I$7,$B38))),COUNT($I$9:I37)+1,""))</f>
        <v/>
      </c>
    </row>
    <row r="39" spans="1:9" ht="16" x14ac:dyDescent="0.25">
      <c r="A39" s="69" t="str">
        <f>Listas!E34</f>
        <v>40004-022-01 (Estaño) | 5 - 10 µm | No aplica</v>
      </c>
      <c r="B39" s="69" t="str">
        <f t="shared" si="0"/>
        <v>Estaño</v>
      </c>
      <c r="C39" s="69" t="str">
        <f>IF($A39="","",IF(AND($B39&lt;&gt;"",IF($F$2="Otros",$B39="Otros",ISNUMBER(SEARCH($B39,$F$2)))),COUNT($C$2:C38)+1,""))</f>
        <v/>
      </c>
      <c r="G39" s="132" t="str">
        <f>IFERROR(INDEX($A$2:$A$507,MATCH(ROWS($G$2:G39),$C$2:$C$507,0)),IF(ROWS($G$2:G39)=1,"(sin matches)",""))</f>
        <v>48053-001-01 (Deshidrogenado / Endurecido) | No aplica | 302 - 329 °C (600 ± 25 °F) | &gt;= 8 hrs.</v>
      </c>
      <c r="I39" s="69" t="str">
        <f>IF($A39="","",IF(AND($B39&lt;&gt;"",ISNUMBER(SEARCH($I$7,$B39))),COUNT($I$9:I38)+1,""))</f>
        <v/>
      </c>
    </row>
    <row r="40" spans="1:9" ht="16" x14ac:dyDescent="0.25">
      <c r="A40" s="69" t="str">
        <f>Listas!E35</f>
        <v>40004-022-01 (Estaño) | 5 - 8 µm | 0.5 - 1.0 µm</v>
      </c>
      <c r="B40" s="69" t="str">
        <f t="shared" si="0"/>
        <v>Estaño</v>
      </c>
      <c r="C40" s="69" t="str">
        <f>IF($A40="","",IF(AND($B40&lt;&gt;"",IF($F$2="Otros",$B40="Otros",ISNUMBER(SEARCH($B40,$F$2)))),COUNT($C$2:C39)+1,""))</f>
        <v/>
      </c>
      <c r="G40" s="132" t="str">
        <f>IFERROR(INDEX($A$2:$A$507,MATCH(ROWS($G$2:G40),$C$2:$C$507,0)),IF(ROWS($G$2:G40)=1,"(sin matches)",""))</f>
        <v>48053-001-01 (Deshidrogenado / Endurecido) | No aplica | No aplica | &gt;= 0.5 hrs.</v>
      </c>
      <c r="I40" s="69" t="str">
        <f>IF($A40="","",IF(AND($B40&lt;&gt;"",ISNUMBER(SEARCH($I$7,$B40))),COUNT($I$9:I39)+1,""))</f>
        <v/>
      </c>
    </row>
    <row r="41" spans="1:9" ht="16" x14ac:dyDescent="0.25">
      <c r="A41" s="69" t="str">
        <f>Listas!E36</f>
        <v>40004-022-01 (Estaño) | 5 - 8 µm | No aplica</v>
      </c>
      <c r="B41" s="69" t="str">
        <f t="shared" si="0"/>
        <v>Estaño</v>
      </c>
      <c r="C41" s="69" t="str">
        <f>IF($A41="","",IF(AND($B41&lt;&gt;"",IF($F$2="Otros",$B41="Otros",ISNUMBER(SEARCH($B41,$F$2)))),COUNT($C$2:C40)+1,""))</f>
        <v/>
      </c>
      <c r="G41" s="132" t="str">
        <f>IFERROR(INDEX($A$2:$A$507,MATCH(ROWS($G$2:G41),$C$2:$C$507,0)),IF(ROWS($G$2:G41)=1,"(sin matches)",""))</f>
        <v>48053-001-01 (Deshidrogenado / Endurecido) | No aplica | No aplica | &gt;= 1 hrs.</v>
      </c>
      <c r="I41" s="69" t="str">
        <f>IF($A41="","",IF(AND($B41&lt;&gt;"",ISNUMBER(SEARCH($I$7,$B41))),COUNT($I$9:I40)+1,""))</f>
        <v/>
      </c>
    </row>
    <row r="42" spans="1:9" ht="16" x14ac:dyDescent="0.25">
      <c r="A42" s="69" t="str">
        <f>Listas!E37</f>
        <v>40004-055-01 (Plata) | 5 - 8 µm</v>
      </c>
      <c r="B42" s="69" t="str">
        <f t="shared" si="0"/>
        <v>Plata</v>
      </c>
      <c r="C42" s="69" t="str">
        <f>IF($A42="","",IF(AND($B42&lt;&gt;"",IF($F$2="Otros",$B42="Otros",ISNUMBER(SEARCH($B42,$F$2)))),COUNT($C$2:C41)+1,""))</f>
        <v/>
      </c>
      <c r="G42" s="132" t="str">
        <f>IFERROR(INDEX($A$2:$A$507,MATCH(ROWS($G$2:G42),$C$2:$C$507,0)),IF(ROWS($G$2:G42)=1,"(sin matches)",""))</f>
        <v>48053-001-01 (Deshidrogenado / Endurecido) | No aplica | No aplica | &gt;= 10 hrs.</v>
      </c>
      <c r="I42" s="69" t="str">
        <f>IF($A42="","",IF(AND($B42&lt;&gt;"",ISNUMBER(SEARCH($I$7,$B42))),COUNT($I$9:I41)+1,""))</f>
        <v/>
      </c>
    </row>
    <row r="43" spans="1:9" ht="16" x14ac:dyDescent="0.25">
      <c r="A43" s="69" t="str">
        <f>Listas!E38</f>
        <v>40004-086-01 (Plata Flash) | 1.27 - 2.54 µm</v>
      </c>
      <c r="B43" s="69" t="str">
        <f t="shared" si="0"/>
        <v>Plata</v>
      </c>
      <c r="C43" s="69" t="str">
        <f>IF($A43="","",IF(AND($B43&lt;&gt;"",IF($F$2="Otros",$B43="Otros",ISNUMBER(SEARCH($B43,$F$2)))),COUNT($C$2:C42)+1,""))</f>
        <v/>
      </c>
      <c r="G43" s="132" t="str">
        <f>IFERROR(INDEX($A$2:$A$507,MATCH(ROWS($G$2:G43),$C$2:$C$507,0)),IF(ROWS($G$2:G43)=1,"(sin matches)",""))</f>
        <v>48053-001-01 (Deshidrogenado / Endurecido) | No aplica | No aplica | &gt;= 14 hrs.</v>
      </c>
      <c r="I43" s="69" t="str">
        <f>IF($A43="","",IF(AND($B43&lt;&gt;"",ISNUMBER(SEARCH($I$7,$B43))),COUNT($I$9:I42)+1,""))</f>
        <v/>
      </c>
    </row>
    <row r="44" spans="1:9" ht="16" x14ac:dyDescent="0.25">
      <c r="A44" s="69" t="str">
        <f>Listas!E39</f>
        <v>40004-086-01 (Plata Flash) | 1.27 - 3 µm</v>
      </c>
      <c r="B44" s="69" t="str">
        <f t="shared" si="0"/>
        <v>Plata</v>
      </c>
      <c r="C44" s="69" t="str">
        <f>IF($A44="","",IF(AND($B44&lt;&gt;"",IF($F$2="Otros",$B44="Otros",ISNUMBER(SEARCH($B44,$F$2)))),COUNT($C$2:C43)+1,""))</f>
        <v/>
      </c>
      <c r="G44" s="132" t="str">
        <f>IFERROR(INDEX($A$2:$A$507,MATCH(ROWS($G$2:G44),$C$2:$C$507,0)),IF(ROWS($G$2:G44)=1,"(sin matches)",""))</f>
        <v>48053-001-01 (Deshidrogenado / Endurecido) | No aplica | No aplica | &gt;= 2 hrs.</v>
      </c>
      <c r="I44" s="69" t="str">
        <f>IF($A44="","",IF(AND($B44&lt;&gt;"",ISNUMBER(SEARCH($I$7,$B44))),COUNT($I$9:I43)+1,""))</f>
        <v/>
      </c>
    </row>
    <row r="45" spans="1:9" ht="16" x14ac:dyDescent="0.25">
      <c r="A45" s="69" t="str">
        <f>Listas!E40</f>
        <v>40004-086-01 (Plata Flash) | 1.27 - 3.5 µm</v>
      </c>
      <c r="B45" s="69" t="str">
        <f t="shared" si="0"/>
        <v>Plata</v>
      </c>
      <c r="C45" s="69" t="str">
        <f>IF($A45="","",IF(AND($B45&lt;&gt;"",IF($F$2="Otros",$B45="Otros",ISNUMBER(SEARCH($B45,$F$2)))),COUNT($C$2:C44)+1,""))</f>
        <v/>
      </c>
      <c r="G45" s="132" t="str">
        <f>IFERROR(INDEX($A$2:$A$507,MATCH(ROWS($G$2:G45),$C$2:$C$507,0)),IF(ROWS($G$2:G45)=1,"(sin matches)",""))</f>
        <v>48053-001-01 (Deshidrogenado / Endurecido) | No aplica | No aplica | &gt;= 20 hrs.</v>
      </c>
      <c r="I45" s="69" t="str">
        <f>IF($A45="","",IF(AND($B45&lt;&gt;"",ISNUMBER(SEARCH($I$7,$B45))),COUNT($I$9:I44)+1,""))</f>
        <v/>
      </c>
    </row>
    <row r="46" spans="1:9" ht="16" x14ac:dyDescent="0.25">
      <c r="A46" s="69" t="str">
        <f>Listas!E41</f>
        <v>48053-001-01 (Deshidrogenado / Endurecido) | 176 - 204 °C (375 ± 25 °F) | 302 - 329 °C (600 ± 25 °F) | &gt;= 0.5 hrs.</v>
      </c>
      <c r="B46" s="69" t="str">
        <f t="shared" si="0"/>
        <v>Otros</v>
      </c>
      <c r="C46" s="69">
        <f>IF($A46="","",IF(AND($B46&lt;&gt;"",IF($F$2="Otros",$B46="Otros",ISNUMBER(SEARCH($B46,$F$2)))),COUNT($C$2:C45)+1,""))</f>
        <v>3</v>
      </c>
      <c r="G46" s="132" t="str">
        <f>IFERROR(INDEX($A$2:$A$507,MATCH(ROWS($G$2:G46),$C$2:$C$507,0)),IF(ROWS($G$2:G46)=1,"(sin matches)",""))</f>
        <v>48053-001-01 (Deshidrogenado / Endurecido) | No aplica | No aplica | &gt;= 24 hrs.</v>
      </c>
      <c r="I46" s="69">
        <f>IF($A46="","",IF(AND($B46&lt;&gt;"",ISNUMBER(SEARCH($I$7,$B46))),COUNT($I$9:I45)+1,""))</f>
        <v>2</v>
      </c>
    </row>
    <row r="47" spans="1:9" ht="16" x14ac:dyDescent="0.25">
      <c r="A47" s="69" t="str">
        <f>Listas!E42</f>
        <v>48053-001-01 (Deshidrogenado / Endurecido) | 176 - 204 °C (375 ± 25 °F) | 302 - 329 °C (600 ± 25 °F) | &gt;= 1 hrs.</v>
      </c>
      <c r="B47" s="69" t="str">
        <f t="shared" si="0"/>
        <v>Otros</v>
      </c>
      <c r="C47" s="69">
        <f>IF($A47="","",IF(AND($B47&lt;&gt;"",IF($F$2="Otros",$B47="Otros",ISNUMBER(SEARCH($B47,$F$2)))),COUNT($C$2:C46)+1,""))</f>
        <v>4</v>
      </c>
      <c r="G47" s="132" t="str">
        <f>IFERROR(INDEX($A$2:$A$507,MATCH(ROWS($G$2:G47),$C$2:$C$507,0)),IF(ROWS($G$2:G47)=1,"(sin matches)",""))</f>
        <v>48053-001-01 (Deshidrogenado / Endurecido) | No aplica | No aplica | &gt;= 3 hrs.</v>
      </c>
      <c r="I47" s="69">
        <f>IF($A47="","",IF(AND($B47&lt;&gt;"",ISNUMBER(SEARCH($I$7,$B47))),COUNT($I$9:I46)+1,""))</f>
        <v>3</v>
      </c>
    </row>
    <row r="48" spans="1:9" ht="16" x14ac:dyDescent="0.25">
      <c r="A48" s="69" t="str">
        <f>Listas!E43</f>
        <v>48053-001-01 (Deshidrogenado / Endurecido) | 176 - 204 °C (375 ± 25 °F) | 302 - 329 °C (600 ± 25 °F) | &gt;= 10 hrs.</v>
      </c>
      <c r="B48" s="69" t="str">
        <f t="shared" si="0"/>
        <v>Otros</v>
      </c>
      <c r="C48" s="69">
        <f>IF($A48="","",IF(AND($B48&lt;&gt;"",IF($F$2="Otros",$B48="Otros",ISNUMBER(SEARCH($B48,$F$2)))),COUNT($C$2:C47)+1,""))</f>
        <v>5</v>
      </c>
      <c r="G48" s="132" t="str">
        <f>IFERROR(INDEX($A$2:$A$507,MATCH(ROWS($G$2:G48),$C$2:$C$507,0)),IF(ROWS($G$2:G48)=1,"(sin matches)",""))</f>
        <v>48053-001-01 (Deshidrogenado / Endurecido) | No aplica | No aplica | &gt;= 4 hrs.</v>
      </c>
      <c r="I48" s="69">
        <f>IF($A48="","",IF(AND($B48&lt;&gt;"",ISNUMBER(SEARCH($I$7,$B48))),COUNT($I$9:I47)+1,""))</f>
        <v>4</v>
      </c>
    </row>
    <row r="49" spans="1:9" ht="16" x14ac:dyDescent="0.25">
      <c r="A49" s="69" t="str">
        <f>Listas!E44</f>
        <v>48053-001-01 (Deshidrogenado / Endurecido) | 176 - 204 °C (375 ± 25 °F) | 302 - 329 °C (600 ± 25 °F) | &gt;= 14 hrs.</v>
      </c>
      <c r="B49" s="69" t="str">
        <f t="shared" si="0"/>
        <v>Otros</v>
      </c>
      <c r="C49" s="69">
        <f>IF($A49="","",IF(AND($B49&lt;&gt;"",IF($F$2="Otros",$B49="Otros",ISNUMBER(SEARCH($B49,$F$2)))),COUNT($C$2:C48)+1,""))</f>
        <v>6</v>
      </c>
      <c r="G49" s="132" t="str">
        <f>IFERROR(INDEX($A$2:$A$507,MATCH(ROWS($G$2:G49),$C$2:$C$507,0)),IF(ROWS($G$2:G49)=1,"(sin matches)",""))</f>
        <v>48053-001-01 (Deshidrogenado / Endurecido) | No aplica | No aplica | &gt;= 5 hrs.</v>
      </c>
      <c r="I49" s="69">
        <f>IF($A49="","",IF(AND($B49&lt;&gt;"",ISNUMBER(SEARCH($I$7,$B49))),COUNT($I$9:I48)+1,""))</f>
        <v>5</v>
      </c>
    </row>
    <row r="50" spans="1:9" ht="16" x14ac:dyDescent="0.25">
      <c r="A50" s="69" t="str">
        <f>Listas!E45</f>
        <v>48053-001-01 (Deshidrogenado / Endurecido) | 176 - 204 °C (375 ± 25 °F) | 302 - 329 °C (600 ± 25 °F) | &gt;= 2 hrs.</v>
      </c>
      <c r="B50" s="69" t="str">
        <f t="shared" si="0"/>
        <v>Otros</v>
      </c>
      <c r="C50" s="69">
        <f>IF($A50="","",IF(AND($B50&lt;&gt;"",IF($F$2="Otros",$B50="Otros",ISNUMBER(SEARCH($B50,$F$2)))),COUNT($C$2:C49)+1,""))</f>
        <v>7</v>
      </c>
      <c r="G50" s="132" t="str">
        <f>IFERROR(INDEX($A$2:$A$507,MATCH(ROWS($G$2:G50),$C$2:$C$507,0)),IF(ROWS($G$2:G50)=1,"(sin matches)",""))</f>
        <v>48053-001-01 (Deshidrogenado / Endurecido) | No aplica | No aplica | &gt;= 6 hrs.</v>
      </c>
      <c r="I50" s="69">
        <f>IF($A50="","",IF(AND($B50&lt;&gt;"",ISNUMBER(SEARCH($I$7,$B50))),COUNT($I$9:I49)+1,""))</f>
        <v>6</v>
      </c>
    </row>
    <row r="51" spans="1:9" ht="16" x14ac:dyDescent="0.25">
      <c r="A51" s="69" t="str">
        <f>Listas!E46</f>
        <v>48053-001-01 (Deshidrogenado / Endurecido) | 176 - 204 °C (375 ± 25 °F) | 302 - 329 °C (600 ± 25 °F) | &gt;= 20 hrs.</v>
      </c>
      <c r="B51" s="69" t="str">
        <f t="shared" si="0"/>
        <v>Otros</v>
      </c>
      <c r="C51" s="69">
        <f>IF($A51="","",IF(AND($B51&lt;&gt;"",IF($F$2="Otros",$B51="Otros",ISNUMBER(SEARCH($B51,$F$2)))),COUNT($C$2:C50)+1,""))</f>
        <v>8</v>
      </c>
      <c r="G51" s="132" t="str">
        <f>IFERROR(INDEX($A$2:$A$507,MATCH(ROWS($G$2:G51),$C$2:$C$507,0)),IF(ROWS($G$2:G51)=1,"(sin matches)",""))</f>
        <v>48053-001-01 (Deshidrogenado / Endurecido) | No aplica | No aplica | &gt;= 8 hrs.</v>
      </c>
      <c r="I51" s="69">
        <f>IF($A51="","",IF(AND($B51&lt;&gt;"",ISNUMBER(SEARCH($I$7,$B51))),COUNT($I$9:I50)+1,""))</f>
        <v>7</v>
      </c>
    </row>
    <row r="52" spans="1:9" ht="16" x14ac:dyDescent="0.25">
      <c r="A52" s="69" t="str">
        <f>Listas!E47</f>
        <v>48053-001-01 (Deshidrogenado / Endurecido) | 176 - 204 °C (375 ± 25 °F) | 302 - 329 °C (600 ± 25 °F) | &gt;= 24 hrs.</v>
      </c>
      <c r="B52" s="69" t="str">
        <f t="shared" si="0"/>
        <v>Otros</v>
      </c>
      <c r="C52" s="69">
        <f>IF($A52="","",IF(AND($B52&lt;&gt;"",IF($F$2="Otros",$B52="Otros",ISNUMBER(SEARCH($B52,$F$2)))),COUNT($C$2:C51)+1,""))</f>
        <v>9</v>
      </c>
      <c r="G52" s="132" t="str">
        <f>IFERROR(INDEX($A$2:$A$507,MATCH(ROWS($G$2:G52),$C$2:$C$507,0)),IF(ROWS($G$2:G52)=1,"(sin matches)",""))</f>
        <v>48053-005-01 (Lavado - Tratamiento Térmico - Bimetales)</v>
      </c>
      <c r="I52" s="69">
        <f>IF($A52="","",IF(AND($B52&lt;&gt;"",ISNUMBER(SEARCH($I$7,$B52))),COUNT($I$9:I51)+1,""))</f>
        <v>8</v>
      </c>
    </row>
    <row r="53" spans="1:9" ht="16" x14ac:dyDescent="0.25">
      <c r="A53" s="69" t="str">
        <f>Listas!E48</f>
        <v>48053-001-01 (Deshidrogenado / Endurecido) | 176 - 204 °C (375 ± 25 °F) | 302 - 329 °C (600 ± 25 °F) | &gt;= 3 hrs.</v>
      </c>
      <c r="B53" s="69" t="str">
        <f t="shared" si="0"/>
        <v>Otros</v>
      </c>
      <c r="C53" s="69">
        <f>IF($A53="","",IF(AND($B53&lt;&gt;"",IF($F$2="Otros",$B53="Otros",ISNUMBER(SEARCH($B53,$F$2)))),COUNT($C$2:C52)+1,""))</f>
        <v>10</v>
      </c>
      <c r="G53" s="132" t="str">
        <f>IFERROR(INDEX($A$2:$A$507,MATCH(ROWS($G$2:G53),$C$2:$C$507,0)),IF(ROWS($G$2:G53)=1,"(sin matches)",""))</f>
        <v>48057-004-01 (Bright Dip)</v>
      </c>
      <c r="I53" s="69">
        <f>IF($A53="","",IF(AND($B53&lt;&gt;"",ISNUMBER(SEARCH($I$7,$B53))),COUNT($I$9:I52)+1,""))</f>
        <v>9</v>
      </c>
    </row>
    <row r="54" spans="1:9" ht="16" x14ac:dyDescent="0.25">
      <c r="A54" s="69" t="str">
        <f>Listas!E49</f>
        <v>48053-001-01 (Deshidrogenado / Endurecido) | 176 - 204 °C (375 ± 25 °F) | 302 - 329 °C (600 ± 25 °F) | &gt;= 4 hrs.</v>
      </c>
      <c r="B54" s="69" t="str">
        <f t="shared" si="0"/>
        <v>Otros</v>
      </c>
      <c r="C54" s="69">
        <f>IF($A54="","",IF(AND($B54&lt;&gt;"",IF($F$2="Otros",$B54="Otros",ISNUMBER(SEARCH($B54,$F$2)))),COUNT($C$2:C53)+1,""))</f>
        <v>11</v>
      </c>
      <c r="G54" s="132" t="str">
        <f>IFERROR(INDEX($A$2:$A$507,MATCH(ROWS($G$2:G54),$C$2:$C$507,0)),IF(ROWS($G$2:G54)=1,"(sin matches)",""))</f>
        <v>48860-031-01 (Lavado)</v>
      </c>
      <c r="I54" s="69">
        <f>IF($A54="","",IF(AND($B54&lt;&gt;"",ISNUMBER(SEARCH($I$7,$B54))),COUNT($I$9:I53)+1,""))</f>
        <v>10</v>
      </c>
    </row>
    <row r="55" spans="1:9" ht="16" x14ac:dyDescent="0.25">
      <c r="A55" s="69" t="str">
        <f>Listas!E50</f>
        <v>48053-001-01 (Deshidrogenado / Endurecido) | 176 - 204 °C (375 ± 25 °F) | 302 - 329 °C (600 ± 25 °F) | &gt;= 5 hrs.</v>
      </c>
      <c r="B55" s="69" t="str">
        <f t="shared" si="0"/>
        <v>Otros</v>
      </c>
      <c r="C55" s="69">
        <f>IF($A55="","",IF(AND($B55&lt;&gt;"",IF($F$2="Otros",$B55="Otros",ISNUMBER(SEARCH($B55,$F$2)))),COUNT($C$2:C54)+1,""))</f>
        <v>12</v>
      </c>
      <c r="G55" s="132" t="str">
        <f>IFERROR(INDEX($A$2:$A$507,MATCH(ROWS($G$2:G55),$C$2:$C$507,0)),IF(ROWS($G$2:G55)=1,"(sin matches)",""))</f>
        <v>48951-001-01 (Rebabeo)</v>
      </c>
      <c r="I55" s="69">
        <f>IF($A55="","",IF(AND($B55&lt;&gt;"",ISNUMBER(SEARCH($I$7,$B55))),COUNT($I$9:I54)+1,""))</f>
        <v>11</v>
      </c>
    </row>
    <row r="56" spans="1:9" ht="16" x14ac:dyDescent="0.25">
      <c r="A56" s="69" t="str">
        <f>Listas!E51</f>
        <v>48053-001-01 (Deshidrogenado / Endurecido) | 176 - 204 °C (375 ± 25 °F) | 302 - 329 °C (600 ± 25 °F) | &gt;= 6 hrs.</v>
      </c>
      <c r="B56" s="69" t="str">
        <f t="shared" si="0"/>
        <v>Otros</v>
      </c>
      <c r="C56" s="69">
        <f>IF($A56="","",IF(AND($B56&lt;&gt;"",IF($F$2="Otros",$B56="Otros",ISNUMBER(SEARCH($B56,$F$2)))),COUNT($C$2:C55)+1,""))</f>
        <v>13</v>
      </c>
      <c r="G56" s="132" t="str">
        <f>IFERROR(INDEX($A$2:$A$507,MATCH(ROWS($G$2:G56),$C$2:$C$507,0)),IF(ROWS($G$2:G56)=1,"(sin matches)",""))</f>
        <v>48951-001-02 (Rebabeo)</v>
      </c>
      <c r="I56" s="69">
        <f>IF($A56="","",IF(AND($B56&lt;&gt;"",ISNUMBER(SEARCH($I$7,$B56))),COUNT($I$9:I55)+1,""))</f>
        <v>12</v>
      </c>
    </row>
    <row r="57" spans="1:9" ht="16" x14ac:dyDescent="0.25">
      <c r="A57" s="69" t="str">
        <f>Listas!E52</f>
        <v>48053-001-01 (Deshidrogenado / Endurecido) | 176 - 204 °C (375 ± 25 °F) | 302 - 329 °C (600 ± 25 °F) | &gt;= 8 hrs.</v>
      </c>
      <c r="B57" s="69" t="str">
        <f t="shared" si="0"/>
        <v>Otros</v>
      </c>
      <c r="C57" s="69">
        <f>IF($A57="","",IF(AND($B57&lt;&gt;"",IF($F$2="Otros",$B57="Otros",ISNUMBER(SEARCH($B57,$F$2)))),COUNT($C$2:C56)+1,""))</f>
        <v>14</v>
      </c>
      <c r="G57" s="132" t="str">
        <f>IFERROR(INDEX($A$2:$A$507,MATCH(ROWS($G$2:G57),$C$2:$C$507,0)),IF(ROWS($G$2:G57)=1,"(sin matches)",""))</f>
        <v>48951-008-01 (Desengrase)</v>
      </c>
      <c r="I57" s="69">
        <f>IF($A57="","",IF(AND($B57&lt;&gt;"",ISNUMBER(SEARCH($I$7,$B57))),COUNT($I$9:I56)+1,""))</f>
        <v>13</v>
      </c>
    </row>
    <row r="58" spans="1:9" ht="16" x14ac:dyDescent="0.25">
      <c r="A58" s="69" t="str">
        <f>Listas!E53</f>
        <v>48053-001-01 (Deshidrogenado / Endurecido) | 176 - 204 °C (375 ± 25 °F) | No aplica | &gt;= 0.5 hrs.</v>
      </c>
      <c r="B58" s="69" t="str">
        <f t="shared" si="0"/>
        <v>Otros</v>
      </c>
      <c r="C58" s="69">
        <f>IF($A58="","",IF(AND($B58&lt;&gt;"",IF($F$2="Otros",$B58="Otros",ISNUMBER(SEARCH($B58,$F$2)))),COUNT($C$2:C57)+1,""))</f>
        <v>15</v>
      </c>
      <c r="G58" s="132" t="str">
        <f>IFERROR(INDEX($A$2:$A$507,MATCH(ROWS($G$2:G58),$C$2:$C$507,0)),IF(ROWS($G$2:G58)=1,"(sin matches)",""))</f>
        <v>7706XXX | 5.0 - 10.0 µm</v>
      </c>
      <c r="I58" s="69">
        <f>IF($A58="","",IF(AND($B58&lt;&gt;"",ISNUMBER(SEARCH($I$7,$B58))),COUNT($I$9:I57)+1,""))</f>
        <v>14</v>
      </c>
    </row>
    <row r="59" spans="1:9" ht="16" x14ac:dyDescent="0.25">
      <c r="A59" s="69" t="str">
        <f>Listas!E54</f>
        <v>48053-001-01 (Deshidrogenado / Endurecido) | 176 - 204 °C (375 ± 25 °F) | No aplica | &gt;= 1 hrs.</v>
      </c>
      <c r="B59" s="69" t="str">
        <f t="shared" si="0"/>
        <v>Otros</v>
      </c>
      <c r="C59" s="69">
        <f>IF($A59="","",IF(AND($B59&lt;&gt;"",IF($F$2="Otros",$B59="Otros",ISNUMBER(SEARCH($B59,$F$2)))),COUNT($C$2:C58)+1,""))</f>
        <v>16</v>
      </c>
      <c r="G59" s="132" t="str">
        <f>IFERROR(INDEX($A$2:$A$507,MATCH(ROWS($G$2:G59),$C$2:$C$507,0)),IF(ROWS($G$2:G59)=1,"(sin matches)",""))</f>
        <v>DIN 50967 | 5 - 8 µm</v>
      </c>
      <c r="I59" s="69">
        <f>IF($A59="","",IF(AND($B59&lt;&gt;"",ISNUMBER(SEARCH($I$7,$B59))),COUNT($I$9:I58)+1,""))</f>
        <v>15</v>
      </c>
    </row>
    <row r="60" spans="1:9" ht="16" x14ac:dyDescent="0.25">
      <c r="A60" s="69" t="str">
        <f>Listas!E55</f>
        <v>48053-001-01 (Deshidrogenado / Endurecido) | 176 - 204 °C (375 ± 25 °F) | No aplica | &gt;= 10 hrs.</v>
      </c>
      <c r="B60" s="69" t="str">
        <f t="shared" si="0"/>
        <v>Otros</v>
      </c>
      <c r="C60" s="69">
        <f>IF($A60="","",IF(AND($B60&lt;&gt;"",IF($F$2="Otros",$B60="Otros",ISNUMBER(SEARCH($B60,$F$2)))),COUNT($C$2:C59)+1,""))</f>
        <v>17</v>
      </c>
      <c r="G60" s="132" t="str">
        <f>IFERROR(INDEX($A$2:$A$507,MATCH(ROWS($G$2:G60),$C$2:$C$507,0)),IF(ROWS($G$2:G60)=1,"(sin matches)",""))</f>
        <v>DYM Pendiente (Deshidrogenado) | 130 - 150 °C | &gt;= 5 hrs.</v>
      </c>
      <c r="I60" s="69">
        <f>IF($A60="","",IF(AND($B60&lt;&gt;"",ISNUMBER(SEARCH($I$7,$B60))),COUNT($I$9:I59)+1,""))</f>
        <v>16</v>
      </c>
    </row>
    <row r="61" spans="1:9" ht="16" x14ac:dyDescent="0.25">
      <c r="A61" s="69" t="str">
        <f>Listas!E56</f>
        <v>48053-001-01 (Deshidrogenado / Endurecido) | 176 - 204 °C (375 ± 25 °F) | No aplica | &gt;= 14 hrs.</v>
      </c>
      <c r="B61" s="69" t="str">
        <f t="shared" si="0"/>
        <v>Otros</v>
      </c>
      <c r="C61" s="69">
        <f>IF($A61="","",IF(AND($B61&lt;&gt;"",IF($F$2="Otros",$B61="Otros",ISNUMBER(SEARCH($B61,$F$2)))),COUNT($C$2:C60)+1,""))</f>
        <v>18</v>
      </c>
      <c r="G61" s="132" t="str">
        <f>IFERROR(INDEX($A$2:$A$507,MATCH(ROWS($G$2:G61),$C$2:$C$507,0)),IF(ROWS($G$2:G61)=1,"(sin matches)",""))</f>
        <v>F50HD3S (Deshidrogenado) | 115 - 121 °C | &gt;= 6 hrs.</v>
      </c>
      <c r="I61" s="69">
        <f>IF($A61="","",IF(AND($B61&lt;&gt;"",ISNUMBER(SEARCH($I$7,$B61))),COUNT($I$9:I60)+1,""))</f>
        <v>17</v>
      </c>
    </row>
    <row r="62" spans="1:9" ht="16" x14ac:dyDescent="0.25">
      <c r="A62" s="69" t="str">
        <f>Listas!E57</f>
        <v>48053-001-01 (Deshidrogenado / Endurecido) | 176 - 204 °C (375 ± 25 °F) | No aplica | &gt;= 2 hrs.</v>
      </c>
      <c r="B62" s="69" t="str">
        <f t="shared" si="0"/>
        <v>Otros</v>
      </c>
      <c r="C62" s="69">
        <f>IF($A62="","",IF(AND($B62&lt;&gt;"",IF($F$2="Otros",$B62="Otros",ISNUMBER(SEARCH($B62,$F$2)))),COUNT($C$2:C61)+1,""))</f>
        <v>19</v>
      </c>
      <c r="G62" s="132" t="str">
        <f>IFERROR(INDEX($A$2:$A$507,MATCH(ROWS($G$2:G62),$C$2:$C$507,0)),IF(ROWS($G$2:G62)=1,"(sin matches)",""))</f>
        <v>FC-F01 | 8.0 - 12.5 µm</v>
      </c>
      <c r="I62" s="69">
        <f>IF($A62="","",IF(AND($B62&lt;&gt;"",ISNUMBER(SEARCH($I$7,$B62))),COUNT($I$9:I61)+1,""))</f>
        <v>18</v>
      </c>
    </row>
    <row r="63" spans="1:9" ht="16" x14ac:dyDescent="0.25">
      <c r="A63" s="69" t="str">
        <f>Listas!E58</f>
        <v>48053-001-01 (Deshidrogenado / Endurecido) | 176 - 204 °C (375 ± 25 °F) | No aplica | &gt;= 20 hrs.</v>
      </c>
      <c r="B63" s="69" t="str">
        <f t="shared" si="0"/>
        <v>Otros</v>
      </c>
      <c r="C63" s="69">
        <f>IF($A63="","",IF(AND($B63&lt;&gt;"",IF($F$2="Otros",$B63="Otros",ISNUMBER(SEARCH($B63,$F$2)))),COUNT($C$2:C62)+1,""))</f>
        <v>20</v>
      </c>
      <c r="G63" s="132" t="str">
        <f>IFERROR(INDEX($A$2:$A$507,MATCH(ROWS($G$2:G63),$C$2:$C$507,0)),IF(ROWS($G$2:G63)=1,"(sin matches)",""))</f>
        <v>FFS-2E3 (Cromo Duro) | 12.7 - 17.78 µm</v>
      </c>
      <c r="I63" s="69">
        <f>IF($A63="","",IF(AND($B63&lt;&gt;"",ISNUMBER(SEARCH($I$7,$B63))),COUNT($I$9:I62)+1,""))</f>
        <v>19</v>
      </c>
    </row>
    <row r="64" spans="1:9" ht="16" x14ac:dyDescent="0.25">
      <c r="A64" s="69" t="str">
        <f>Listas!E59</f>
        <v>48053-001-01 (Deshidrogenado / Endurecido) | 176 - 204 °C (375 ± 25 °F) | No aplica | &gt;= 24 hrs.</v>
      </c>
      <c r="B64" s="69" t="str">
        <f t="shared" si="0"/>
        <v>Otros</v>
      </c>
      <c r="C64" s="69">
        <f>IF($A64="","",IF(AND($B64&lt;&gt;"",IF($F$2="Otros",$B64="Otros",ISNUMBER(SEARCH($B64,$F$2)))),COUNT($C$2:C63)+1,""))</f>
        <v>21</v>
      </c>
      <c r="G64" s="132" t="str">
        <f>IFERROR(INDEX($A$2:$A$507,MATCH(ROWS($G$2:G64),$C$2:$C$507,0)),IF(ROWS($G$2:G64)=1,"(sin matches)",""))</f>
        <v>FFS-2E3 (Cromo Duro) | 19.05 - 31.75 µm</v>
      </c>
      <c r="I64" s="69">
        <f>IF($A64="","",IF(AND($B64&lt;&gt;"",ISNUMBER(SEARCH($I$7,$B64))),COUNT($I$9:I63)+1,""))</f>
        <v>20</v>
      </c>
    </row>
    <row r="65" spans="1:9" ht="16" x14ac:dyDescent="0.25">
      <c r="A65" s="69" t="str">
        <f>Listas!E60</f>
        <v>48053-001-01 (Deshidrogenado / Endurecido) | 176 - 204 °C (375 ± 25 °F) | No aplica | &gt;= 3 hrs.</v>
      </c>
      <c r="B65" s="69" t="str">
        <f t="shared" si="0"/>
        <v>Otros</v>
      </c>
      <c r="C65" s="69">
        <f>IF($A65="","",IF(AND($B65&lt;&gt;"",IF($F$2="Otros",$B65="Otros",ISNUMBER(SEARCH($B65,$F$2)))),COUNT($C$2:C64)+1,""))</f>
        <v>22</v>
      </c>
      <c r="G65" s="132" t="str">
        <f>IFERROR(INDEX($A$2:$A$507,MATCH(ROWS($G$2:G65),$C$2:$C$507,0)),IF(ROWS($G$2:G65)=1,"(sin matches)",""))</f>
        <v>FFS-2E3 (Cromo Duro) | 25 - 38 µm</v>
      </c>
      <c r="I65" s="69">
        <f>IF($A65="","",IF(AND($B65&lt;&gt;"",ISNUMBER(SEARCH($I$7,$B65))),COUNT($I$9:I64)+1,""))</f>
        <v>21</v>
      </c>
    </row>
    <row r="66" spans="1:9" ht="16" x14ac:dyDescent="0.25">
      <c r="A66" s="69" t="str">
        <f>Listas!E61</f>
        <v>48053-001-01 (Deshidrogenado / Endurecido) | 176 - 204 °C (375 ± 25 °F) | No aplica | &gt;= 4 hrs.</v>
      </c>
      <c r="B66" s="69" t="str">
        <f t="shared" si="0"/>
        <v>Otros</v>
      </c>
      <c r="C66" s="69">
        <f>IF($A66="","",IF(AND($B66&lt;&gt;"",IF($F$2="Otros",$B66="Otros",ISNUMBER(SEARCH($B66,$F$2)))),COUNT($C$2:C65)+1,""))</f>
        <v>23</v>
      </c>
      <c r="G66" s="132" t="str">
        <f>IFERROR(INDEX($A$2:$A$507,MATCH(ROWS($G$2:G66),$C$2:$C$507,0)),IF(ROWS($G$2:G66)=1,"(sin matches)",""))</f>
        <v>FFS-2E3 (Cromo Duro) | 38.5 - 63.5 µm</v>
      </c>
      <c r="I66" s="69">
        <f>IF($A66="","",IF(AND($B66&lt;&gt;"",ISNUMBER(SEARCH($I$7,$B66))),COUNT($I$9:I65)+1,""))</f>
        <v>22</v>
      </c>
    </row>
    <row r="67" spans="1:9" ht="16" x14ac:dyDescent="0.25">
      <c r="A67" s="69" t="str">
        <f>Listas!E62</f>
        <v>48053-001-01 (Deshidrogenado / Endurecido) | 176 - 204 °C (375 ± 25 °F) | No aplica | &gt;= 5 hrs.</v>
      </c>
      <c r="B67" s="69" t="str">
        <f t="shared" si="0"/>
        <v>Otros</v>
      </c>
      <c r="C67" s="69">
        <f>IF($A67="","",IF(AND($B67&lt;&gt;"",IF($F$2="Otros",$B67="Otros",ISNUMBER(SEARCH($B67,$F$2)))),COUNT($C$2:C66)+1,""))</f>
        <v>24</v>
      </c>
      <c r="G67" s="132" t="str">
        <f>IFERROR(INDEX($A$2:$A$507,MATCH(ROWS($G$2:G67),$C$2:$C$507,0)),IF(ROWS($G$2:G67)=1,"(sin matches)",""))</f>
        <v>FFS-2E3 (Cromo Duro) | 5.08 - 7.62 µm</v>
      </c>
      <c r="I67" s="69">
        <f>IF($A67="","",IF(AND($B67&lt;&gt;"",ISNUMBER(SEARCH($I$7,$B67))),COUNT($I$9:I66)+1,""))</f>
        <v>23</v>
      </c>
    </row>
    <row r="68" spans="1:9" ht="16" x14ac:dyDescent="0.25">
      <c r="A68" s="69" t="str">
        <f>Listas!E63</f>
        <v>48053-001-01 (Deshidrogenado / Endurecido) | 176 - 204 °C (375 ± 25 °F) | No aplica | &gt;= 6 hrs.</v>
      </c>
      <c r="B68" s="69" t="str">
        <f t="shared" si="0"/>
        <v>Otros</v>
      </c>
      <c r="C68" s="69">
        <f>IF($A68="","",IF(AND($B68&lt;&gt;"",IF($F$2="Otros",$B68="Otros",ISNUMBER(SEARCH($B68,$F$2)))),COUNT($C$2:C67)+1,""))</f>
        <v>25</v>
      </c>
      <c r="G68" s="132" t="str">
        <f>IFERROR(INDEX($A$2:$A$507,MATCH(ROWS($G$2:G68),$C$2:$C$507,0)),IF(ROWS($G$2:G68)=1,"(sin matches)",""))</f>
        <v>FFS-2E3 (Cromo Duro) | 50.8 - 63.5 µm</v>
      </c>
      <c r="I68" s="69">
        <f>IF($A68="","",IF(AND($B68&lt;&gt;"",ISNUMBER(SEARCH($I$7,$B68))),COUNT($I$9:I67)+1,""))</f>
        <v>24</v>
      </c>
    </row>
    <row r="69" spans="1:9" ht="16" x14ac:dyDescent="0.25">
      <c r="A69" s="69" t="str">
        <f>Listas!E64</f>
        <v>48053-001-01 (Deshidrogenado / Endurecido) | 176 - 204 °C (375 ± 25 °F) | No aplica | &gt;= 8 hrs.</v>
      </c>
      <c r="B69" s="69" t="str">
        <f t="shared" si="0"/>
        <v>Otros</v>
      </c>
      <c r="C69" s="69">
        <f>IF($A69="","",IF(AND($B69&lt;&gt;"",IF($F$2="Otros",$B69="Otros",ISNUMBER(SEARCH($B69,$F$2)))),COUNT($C$2:C68)+1,""))</f>
        <v>26</v>
      </c>
      <c r="G69" s="132" t="str">
        <f>IFERROR(INDEX($A$2:$A$507,MATCH(ROWS($G$2:G69),$C$2:$C$507,0)),IF(ROWS($G$2:G69)=1,"(sin matches)",""))</f>
        <v>FFS-2E3 (Cromo Duro) | 63.5 - 88.9 µm</v>
      </c>
      <c r="I69" s="69">
        <f>IF($A69="","",IF(AND($B69&lt;&gt;"",ISNUMBER(SEARCH($I$7,$B69))),COUNT($I$9:I68)+1,""))</f>
        <v>25</v>
      </c>
    </row>
    <row r="70" spans="1:9" ht="16" x14ac:dyDescent="0.25">
      <c r="A70" s="69" t="str">
        <f>Listas!E65</f>
        <v>48053-001-01 (Deshidrogenado / Endurecido) | No aplica | 302 - 329 °C (600 ± 25 °F) | &gt;= 0.5 hrs.</v>
      </c>
      <c r="B70" s="69" t="str">
        <f t="shared" si="0"/>
        <v>Otros</v>
      </c>
      <c r="C70" s="69">
        <f>IF($A70="","",IF(AND($B70&lt;&gt;"",IF($F$2="Otros",$B70="Otros",ISNUMBER(SEARCH($B70,$F$2)))),COUNT($C$2:C69)+1,""))</f>
        <v>27</v>
      </c>
      <c r="G70" s="132" t="str">
        <f>IFERROR(INDEX($A$2:$A$507,MATCH(ROWS($G$2:G70),$C$2:$C$507,0)),IF(ROWS($G$2:G70)=1,"(sin matches)",""))</f>
        <v>FFS-2E3 (Cromo Duro) | 7.62 - 12.7 µm</v>
      </c>
      <c r="I70" s="69">
        <f>IF($A70="","",IF(AND($B70&lt;&gt;"",ISNUMBER(SEARCH($I$7,$B70))),COUNT($I$9:I69)+1,""))</f>
        <v>26</v>
      </c>
    </row>
    <row r="71" spans="1:9" ht="16" x14ac:dyDescent="0.25">
      <c r="A71" s="69" t="str">
        <f>Listas!E66</f>
        <v>48053-001-01 (Deshidrogenado / Endurecido) | No aplica | 302 - 329 °C (600 ± 25 °F) | &gt;= 1 hrs.</v>
      </c>
      <c r="B71" s="69" t="str">
        <f t="shared" si="0"/>
        <v>Otros</v>
      </c>
      <c r="C71" s="69">
        <f>IF($A71="","",IF(AND($B71&lt;&gt;"",IF($F$2="Otros",$B71="Otros",ISNUMBER(SEARCH($B71,$F$2)))),COUNT($C$2:C70)+1,""))</f>
        <v>28</v>
      </c>
      <c r="G71" s="132" t="str">
        <f>IFERROR(INDEX($A$2:$A$507,MATCH(ROWS($G$2:G71),$C$2:$C$507,0)),IF(ROWS($G$2:G71)=1,"(sin matches)",""))</f>
        <v>FFS-3A9 (Iridizado)</v>
      </c>
      <c r="I71" s="69">
        <f>IF($A71="","",IF(AND($B71&lt;&gt;"",ISNUMBER(SEARCH($I$7,$B71))),COUNT($I$9:I70)+1,""))</f>
        <v>27</v>
      </c>
    </row>
    <row r="72" spans="1:9" ht="16" x14ac:dyDescent="0.25">
      <c r="A72" s="69" t="str">
        <f>Listas!E67</f>
        <v>48053-001-01 (Deshidrogenado / Endurecido) | No aplica | 302 - 329 °C (600 ± 25 °F) | &gt;= 10 hrs.</v>
      </c>
      <c r="B72" s="69" t="str">
        <f t="shared" si="0"/>
        <v>Otros</v>
      </c>
      <c r="C72" s="69">
        <f>IF($A72="","",IF(AND($B72&lt;&gt;"",IF($F$2="Otros",$B72="Otros",ISNUMBER(SEARCH($B72,$F$2)))),COUNT($C$2:C71)+1,""))</f>
        <v>29</v>
      </c>
      <c r="G72" s="132" t="str">
        <f>IFERROR(INDEX($A$2:$A$507,MATCH(ROWS($G$2:G72),$C$2:$C$507,0)),IF(ROWS($G$2:G72)=1,"(sin matches)",""))</f>
        <v>FGS-8B7 (Deshidrogenado / Horneado) | 190 - 204 °C (375 - 400 °F) | 337 - 349 (650 ± 10 °F) | &gt;= 0.5 hrs.</v>
      </c>
      <c r="I72" s="69">
        <f>IF($A72="","",IF(AND($B72&lt;&gt;"",ISNUMBER(SEARCH($I$7,$B72))),COUNT($I$9:I71)+1,""))</f>
        <v>28</v>
      </c>
    </row>
    <row r="73" spans="1:9" ht="16" x14ac:dyDescent="0.25">
      <c r="A73" s="69" t="str">
        <f>Listas!E68</f>
        <v>48053-001-01 (Deshidrogenado / Endurecido) | No aplica | 302 - 329 °C (600 ± 25 °F) | &gt;= 14 hrs.</v>
      </c>
      <c r="B73" s="69" t="str">
        <f t="shared" si="0"/>
        <v>Otros</v>
      </c>
      <c r="C73" s="69">
        <f>IF($A73="","",IF(AND($B73&lt;&gt;"",IF($F$2="Otros",$B73="Otros",ISNUMBER(SEARCH($B73,$F$2)))),COUNT($C$2:C72)+1,""))</f>
        <v>30</v>
      </c>
      <c r="G73" s="132" t="str">
        <f>IFERROR(INDEX($A$2:$A$507,MATCH(ROWS($G$2:G73),$C$2:$C$507,0)),IF(ROWS($G$2:G73)=1,"(sin matches)",""))</f>
        <v>FGS-8B7 (Deshidrogenado / Horneado) | 190 - 204 °C (375 - 400 °F) | 337 - 349 (650 ± 10 °F) | &gt;= 1 hrs.</v>
      </c>
      <c r="I73" s="69">
        <f>IF($A73="","",IF(AND($B73&lt;&gt;"",ISNUMBER(SEARCH($I$7,$B73))),COUNT($I$9:I72)+1,""))</f>
        <v>29</v>
      </c>
    </row>
    <row r="74" spans="1:9" ht="16" x14ac:dyDescent="0.25">
      <c r="A74" s="69" t="str">
        <f>Listas!E69</f>
        <v>48053-001-01 (Deshidrogenado / Endurecido) | No aplica | 302 - 329 °C (600 ± 25 °F) | &gt;= 2 hrs.</v>
      </c>
      <c r="B74" s="69" t="str">
        <f t="shared" ref="B74:B137" si="1">IF(OR(A74="",A74=0),"",IF(_xlfn.TEXTJOIN("+",TRUE,IF(ISNUMBER(SEARCH("Plata",A74&amp;"")),"Plata",""),IF(ISNUMBER(SEARCH("Níquel",A74&amp;"")),"Níquel",""),IF(ISNUMBER(SEARCH("Estaño",A74&amp;"")),"Estaño",""),IF(ISNUMBER(SEARCH("Zinc",A74&amp;"")),"Zinc",""),IF(ISNUMBER(SEARCH("Epóxico",A74&amp;"")),"Epóxico",""))="","Otros",_xlfn.TEXTJOIN("+",TRUE,IF(ISNUMBER(SEARCH("Plata",A74&amp;"")),"Plata",""),IF(ISNUMBER(SEARCH("Níquel",A74&amp;"")),"Níquel",""),IF(ISNUMBER(SEARCH("Estaño",A74&amp;"")),"Estaño",""),IF(ISNUMBER(SEARCH("Zinc",A74&amp;"")),"Zinc",""),IF(ISNUMBER(SEARCH("Epóxico",A74&amp;"")),"Epóxico",""))))</f>
        <v>Otros</v>
      </c>
      <c r="C74" s="69">
        <f>IF($A74="","",IF(AND($B74&lt;&gt;"",IF($F$2="Otros",$B74="Otros",ISNUMBER(SEARCH($B74,$F$2)))),COUNT($C$2:C73)+1,""))</f>
        <v>31</v>
      </c>
      <c r="G74" s="132" t="str">
        <f>IFERROR(INDEX($A$2:$A$507,MATCH(ROWS($G$2:G74),$C$2:$C$507,0)),IF(ROWS($G$2:G74)=1,"(sin matches)",""))</f>
        <v>FGS-8B7 (Deshidrogenado / Horneado) | 190 - 204 °C (375 - 400 °F) | 337 - 349 (650 ± 10 °F) | &gt;= 10 hrs.</v>
      </c>
      <c r="I74" s="69">
        <f>IF($A74="","",IF(AND($B74&lt;&gt;"",ISNUMBER(SEARCH($I$7,$B74))),COUNT($I$9:I73)+1,""))</f>
        <v>30</v>
      </c>
    </row>
    <row r="75" spans="1:9" ht="16" x14ac:dyDescent="0.25">
      <c r="A75" s="69" t="str">
        <f>Listas!E70</f>
        <v>48053-001-01 (Deshidrogenado / Endurecido) | No aplica | 302 - 329 °C (600 ± 25 °F) | &gt;= 20 hrs.</v>
      </c>
      <c r="B75" s="69" t="str">
        <f t="shared" si="1"/>
        <v>Otros</v>
      </c>
      <c r="C75" s="69">
        <f>IF($A75="","",IF(AND($B75&lt;&gt;"",IF($F$2="Otros",$B75="Otros",ISNUMBER(SEARCH($B75,$F$2)))),COUNT($C$2:C74)+1,""))</f>
        <v>32</v>
      </c>
      <c r="G75" s="132" t="str">
        <f>IFERROR(INDEX($A$2:$A$507,MATCH(ROWS($G$2:G75),$C$2:$C$507,0)),IF(ROWS($G$2:G75)=1,"(sin matches)",""))</f>
        <v>FGS-8B7 (Deshidrogenado / Horneado) | 190 - 204 °C (375 - 400 °F) | 337 - 349 (650 ± 10 °F) | &gt;= 14 hrs.</v>
      </c>
      <c r="I75" s="69">
        <f>IF($A75="","",IF(AND($B75&lt;&gt;"",ISNUMBER(SEARCH($I$7,$B75))),COUNT($I$9:I74)+1,""))</f>
        <v>31</v>
      </c>
    </row>
    <row r="76" spans="1:9" ht="16" x14ac:dyDescent="0.25">
      <c r="A76" s="69" t="str">
        <f>Listas!E71</f>
        <v>48053-001-01 (Deshidrogenado / Endurecido) | No aplica | 302 - 329 °C (600 ± 25 °F) | &gt;= 24 hrs.</v>
      </c>
      <c r="B76" s="69" t="str">
        <f t="shared" si="1"/>
        <v>Otros</v>
      </c>
      <c r="C76" s="69">
        <f>IF($A76="","",IF(AND($B76&lt;&gt;"",IF($F$2="Otros",$B76="Otros",ISNUMBER(SEARCH($B76,$F$2)))),COUNT($C$2:C75)+1,""))</f>
        <v>33</v>
      </c>
      <c r="G76" s="132" t="str">
        <f>IFERROR(INDEX($A$2:$A$507,MATCH(ROWS($G$2:G76),$C$2:$C$507,0)),IF(ROWS($G$2:G76)=1,"(sin matches)",""))</f>
        <v>FGS-8B7 (Deshidrogenado / Horneado) | 190 - 204 °C (375 - 400 °F) | 337 - 349 (650 ± 10 °F) | &gt;= 2 hrs.</v>
      </c>
      <c r="I76" s="69">
        <f>IF($A76="","",IF(AND($B76&lt;&gt;"",ISNUMBER(SEARCH($I$7,$B76))),COUNT($I$9:I75)+1,""))</f>
        <v>32</v>
      </c>
    </row>
    <row r="77" spans="1:9" ht="16" x14ac:dyDescent="0.25">
      <c r="A77" s="69" t="str">
        <f>Listas!E72</f>
        <v>48053-001-01 (Deshidrogenado / Endurecido) | No aplica | 302 - 329 °C (600 ± 25 °F) | &gt;= 3 hrs.</v>
      </c>
      <c r="B77" s="69" t="str">
        <f t="shared" si="1"/>
        <v>Otros</v>
      </c>
      <c r="C77" s="69">
        <f>IF($A77="","",IF(AND($B77&lt;&gt;"",IF($F$2="Otros",$B77="Otros",ISNUMBER(SEARCH($B77,$F$2)))),COUNT($C$2:C76)+1,""))</f>
        <v>34</v>
      </c>
      <c r="G77" s="132" t="str">
        <f>IFERROR(INDEX($A$2:$A$507,MATCH(ROWS($G$2:G77),$C$2:$C$507,0)),IF(ROWS($G$2:G77)=1,"(sin matches)",""))</f>
        <v>FGS-8B7 (Deshidrogenado / Horneado) | 190 - 204 °C (375 - 400 °F) | 337 - 349 (650 ± 10 °F) | &gt;= 24 hrs.</v>
      </c>
      <c r="I77" s="69">
        <f>IF($A77="","",IF(AND($B77&lt;&gt;"",ISNUMBER(SEARCH($I$7,$B77))),COUNT($I$9:I76)+1,""))</f>
        <v>33</v>
      </c>
    </row>
    <row r="78" spans="1:9" ht="16" x14ac:dyDescent="0.25">
      <c r="A78" s="69" t="str">
        <f>Listas!E73</f>
        <v>48053-001-01 (Deshidrogenado / Endurecido) | No aplica | 302 - 329 °C (600 ± 25 °F) | &gt;= 4 hrs.</v>
      </c>
      <c r="B78" s="69" t="str">
        <f t="shared" si="1"/>
        <v>Otros</v>
      </c>
      <c r="C78" s="69">
        <f>IF($A78="","",IF(AND($B78&lt;&gt;"",IF($F$2="Otros",$B78="Otros",ISNUMBER(SEARCH($B78,$F$2)))),COUNT($C$2:C77)+1,""))</f>
        <v>35</v>
      </c>
      <c r="G78" s="132" t="str">
        <f>IFERROR(INDEX($A$2:$A$507,MATCH(ROWS($G$2:G78),$C$2:$C$507,0)),IF(ROWS($G$2:G78)=1,"(sin matches)",""))</f>
        <v>FGS-8B7 (Deshidrogenado / Horneado) | 190 - 204 °C (375 - 400 °F) | 337 - 349 (650 ± 10 °F) | &gt;= 3 hrs.</v>
      </c>
      <c r="I78" s="69">
        <f>IF($A78="","",IF(AND($B78&lt;&gt;"",ISNUMBER(SEARCH($I$7,$B78))),COUNT($I$9:I77)+1,""))</f>
        <v>34</v>
      </c>
    </row>
    <row r="79" spans="1:9" ht="16" x14ac:dyDescent="0.25">
      <c r="A79" s="69" t="str">
        <f>Listas!E74</f>
        <v>48053-001-01 (Deshidrogenado / Endurecido) | No aplica | 302 - 329 °C (600 ± 25 °F) | &gt;= 5 hrs.</v>
      </c>
      <c r="B79" s="69" t="str">
        <f t="shared" si="1"/>
        <v>Otros</v>
      </c>
      <c r="C79" s="69">
        <f>IF($A79="","",IF(AND($B79&lt;&gt;"",IF($F$2="Otros",$B79="Otros",ISNUMBER(SEARCH($B79,$F$2)))),COUNT($C$2:C78)+1,""))</f>
        <v>36</v>
      </c>
      <c r="G79" s="132" t="str">
        <f>IFERROR(INDEX($A$2:$A$507,MATCH(ROWS($G$2:G79),$C$2:$C$507,0)),IF(ROWS($G$2:G79)=1,"(sin matches)",""))</f>
        <v>FGS-8B7 (Deshidrogenado / Horneado) | 190 - 204 °C (375 - 400 °F) | 337 - 349 (650 ± 10 °F) | &gt;= 4 hrs.</v>
      </c>
      <c r="I79" s="69">
        <f>IF($A79="","",IF(AND($B79&lt;&gt;"",ISNUMBER(SEARCH($I$7,$B79))),COUNT($I$9:I78)+1,""))</f>
        <v>35</v>
      </c>
    </row>
    <row r="80" spans="1:9" ht="16" x14ac:dyDescent="0.25">
      <c r="A80" s="69" t="str">
        <f>Listas!E75</f>
        <v>48053-001-01 (Deshidrogenado / Endurecido) | No aplica | 302 - 329 °C (600 ± 25 °F) | &gt;= 6 hrs.</v>
      </c>
      <c r="B80" s="69" t="str">
        <f t="shared" si="1"/>
        <v>Otros</v>
      </c>
      <c r="C80" s="69">
        <f>IF($A80="","",IF(AND($B80&lt;&gt;"",IF($F$2="Otros",$B80="Otros",ISNUMBER(SEARCH($B80,$F$2)))),COUNT($C$2:C79)+1,""))</f>
        <v>37</v>
      </c>
      <c r="G80" s="132" t="str">
        <f>IFERROR(INDEX($A$2:$A$507,MATCH(ROWS($G$2:G80),$C$2:$C$507,0)),IF(ROWS($G$2:G80)=1,"(sin matches)",""))</f>
        <v>FGS-8B7 (Deshidrogenado / Horneado) | 190 - 204 °C (375 - 400 °F) | 337 - 349 (650 ± 10 °F) | &gt;= 5 hrs.</v>
      </c>
      <c r="I80" s="69">
        <f>IF($A80="","",IF(AND($B80&lt;&gt;"",ISNUMBER(SEARCH($I$7,$B80))),COUNT($I$9:I79)+1,""))</f>
        <v>36</v>
      </c>
    </row>
    <row r="81" spans="1:9" ht="16" x14ac:dyDescent="0.25">
      <c r="A81" s="69" t="str">
        <f>Listas!E76</f>
        <v>48053-001-01 (Deshidrogenado / Endurecido) | No aplica | 302 - 329 °C (600 ± 25 °F) | &gt;= 8 hrs.</v>
      </c>
      <c r="B81" s="69" t="str">
        <f t="shared" si="1"/>
        <v>Otros</v>
      </c>
      <c r="C81" s="69">
        <f>IF($A81="","",IF(AND($B81&lt;&gt;"",IF($F$2="Otros",$B81="Otros",ISNUMBER(SEARCH($B81,$F$2)))),COUNT($C$2:C80)+1,""))</f>
        <v>38</v>
      </c>
      <c r="G81" s="132" t="str">
        <f>IFERROR(INDEX($A$2:$A$507,MATCH(ROWS($G$2:G81),$C$2:$C$507,0)),IF(ROWS($G$2:G81)=1,"(sin matches)",""))</f>
        <v>FGS-8B7 (Deshidrogenado / Horneado) | 190 - 204 °C (375 - 400 °F) | 337 - 349 (650 ± 10 °F) | &gt;= 6 hrs.</v>
      </c>
      <c r="I81" s="69">
        <f>IF($A81="","",IF(AND($B81&lt;&gt;"",ISNUMBER(SEARCH($I$7,$B81))),COUNT($I$9:I80)+1,""))</f>
        <v>37</v>
      </c>
    </row>
    <row r="82" spans="1:9" ht="16" x14ac:dyDescent="0.25">
      <c r="A82" s="69" t="str">
        <f>Listas!E77</f>
        <v>48053-001-01 (Deshidrogenado / Endurecido) | No aplica | No aplica | &gt;= 0.5 hrs.</v>
      </c>
      <c r="B82" s="69" t="str">
        <f t="shared" si="1"/>
        <v>Otros</v>
      </c>
      <c r="C82" s="69">
        <f>IF($A82="","",IF(AND($B82&lt;&gt;"",IF($F$2="Otros",$B82="Otros",ISNUMBER(SEARCH($B82,$F$2)))),COUNT($C$2:C81)+1,""))</f>
        <v>39</v>
      </c>
      <c r="G82" s="132" t="str">
        <f>IFERROR(INDEX($A$2:$A$507,MATCH(ROWS($G$2:G82),$C$2:$C$507,0)),IF(ROWS($G$2:G82)=1,"(sin matches)",""))</f>
        <v>FGS-8B7 (Deshidrogenado / Horneado) | 190 - 204 °C (375 - 400 °F) | 337 - 349 (650 ± 10 °F) | &gt;= 8 hrs.</v>
      </c>
      <c r="I82" s="69">
        <f>IF($A82="","",IF(AND($B82&lt;&gt;"",ISNUMBER(SEARCH($I$7,$B82))),COUNT($I$9:I81)+1,""))</f>
        <v>38</v>
      </c>
    </row>
    <row r="83" spans="1:9" ht="16" x14ac:dyDescent="0.25">
      <c r="A83" s="69" t="str">
        <f>Listas!E78</f>
        <v>48053-001-01 (Deshidrogenado / Endurecido) | No aplica | No aplica | &gt;= 1 hrs.</v>
      </c>
      <c r="B83" s="69" t="str">
        <f t="shared" si="1"/>
        <v>Otros</v>
      </c>
      <c r="C83" s="69">
        <f>IF($A83="","",IF(AND($B83&lt;&gt;"",IF($F$2="Otros",$B83="Otros",ISNUMBER(SEARCH($B83,$F$2)))),COUNT($C$2:C82)+1,""))</f>
        <v>40</v>
      </c>
      <c r="G83" s="132" t="str">
        <f>IFERROR(INDEX($A$2:$A$507,MATCH(ROWS($G$2:G83),$C$2:$C$507,0)),IF(ROWS($G$2:G83)=1,"(sin matches)",""))</f>
        <v>FGS-8B7 (Deshidrogenado / Horneado) | 190 - 204 °C (375 - 400 °F) | No aplica | &gt;= 0.5 hrs.</v>
      </c>
      <c r="I83" s="69">
        <f>IF($A83="","",IF(AND($B83&lt;&gt;"",ISNUMBER(SEARCH($I$7,$B83))),COUNT($I$9:I82)+1,""))</f>
        <v>39</v>
      </c>
    </row>
    <row r="84" spans="1:9" ht="16" x14ac:dyDescent="0.25">
      <c r="A84" s="69" t="str">
        <f>Listas!E79</f>
        <v>48053-001-01 (Deshidrogenado / Endurecido) | No aplica | No aplica | &gt;= 10 hrs.</v>
      </c>
      <c r="B84" s="69" t="str">
        <f t="shared" si="1"/>
        <v>Otros</v>
      </c>
      <c r="C84" s="69">
        <f>IF($A84="","",IF(AND($B84&lt;&gt;"",IF($F$2="Otros",$B84="Otros",ISNUMBER(SEARCH($B84,$F$2)))),COUNT($C$2:C83)+1,""))</f>
        <v>41</v>
      </c>
      <c r="G84" s="132" t="str">
        <f>IFERROR(INDEX($A$2:$A$507,MATCH(ROWS($G$2:G84),$C$2:$C$507,0)),IF(ROWS($G$2:G84)=1,"(sin matches)",""))</f>
        <v>FGS-8B7 (Deshidrogenado / Horneado) | 190 - 204 °C (375 - 400 °F) | No aplica | &gt;= 1 hrs.</v>
      </c>
      <c r="I84" s="69">
        <f>IF($A84="","",IF(AND($B84&lt;&gt;"",ISNUMBER(SEARCH($I$7,$B84))),COUNT($I$9:I83)+1,""))</f>
        <v>40</v>
      </c>
    </row>
    <row r="85" spans="1:9" ht="16" x14ac:dyDescent="0.25">
      <c r="A85" s="69" t="str">
        <f>Listas!E80</f>
        <v>48053-001-01 (Deshidrogenado / Endurecido) | No aplica | No aplica | &gt;= 14 hrs.</v>
      </c>
      <c r="B85" s="69" t="str">
        <f t="shared" si="1"/>
        <v>Otros</v>
      </c>
      <c r="C85" s="69">
        <f>IF($A85="","",IF(AND($B85&lt;&gt;"",IF($F$2="Otros",$B85="Otros",ISNUMBER(SEARCH($B85,$F$2)))),COUNT($C$2:C84)+1,""))</f>
        <v>42</v>
      </c>
      <c r="G85" s="132" t="str">
        <f>IFERROR(INDEX($A$2:$A$507,MATCH(ROWS($G$2:G85),$C$2:$C$507,0)),IF(ROWS($G$2:G85)=1,"(sin matches)",""))</f>
        <v>FGS-8B7 (Deshidrogenado / Horneado) | 190 - 204 °C (375 - 400 °F) | No aplica | &gt;= 10 hrs.</v>
      </c>
      <c r="I85" s="69">
        <f>IF($A85="","",IF(AND($B85&lt;&gt;"",ISNUMBER(SEARCH($I$7,$B85))),COUNT($I$9:I84)+1,""))</f>
        <v>41</v>
      </c>
    </row>
    <row r="86" spans="1:9" ht="16" x14ac:dyDescent="0.25">
      <c r="A86" s="69" t="str">
        <f>Listas!E81</f>
        <v>48053-001-01 (Deshidrogenado / Endurecido) | No aplica | No aplica | &gt;= 2 hrs.</v>
      </c>
      <c r="B86" s="69" t="str">
        <f t="shared" si="1"/>
        <v>Otros</v>
      </c>
      <c r="C86" s="69">
        <f>IF($A86="","",IF(AND($B86&lt;&gt;"",IF($F$2="Otros",$B86="Otros",ISNUMBER(SEARCH($B86,$F$2)))),COUNT($C$2:C85)+1,""))</f>
        <v>43</v>
      </c>
      <c r="G86" s="132" t="str">
        <f>IFERROR(INDEX($A$2:$A$507,MATCH(ROWS($G$2:G86),$C$2:$C$507,0)),IF(ROWS($G$2:G86)=1,"(sin matches)",""))</f>
        <v>FGS-8B7 (Deshidrogenado / Horneado) | 190 - 204 °C (375 - 400 °F) | No aplica | &gt;= 14 hrs.</v>
      </c>
      <c r="I86" s="69">
        <f>IF($A86="","",IF(AND($B86&lt;&gt;"",ISNUMBER(SEARCH($I$7,$B86))),COUNT($I$9:I85)+1,""))</f>
        <v>42</v>
      </c>
    </row>
    <row r="87" spans="1:9" ht="16" x14ac:dyDescent="0.25">
      <c r="A87" s="69" t="str">
        <f>Listas!E82</f>
        <v>48053-001-01 (Deshidrogenado / Endurecido) | No aplica | No aplica | &gt;= 20 hrs.</v>
      </c>
      <c r="B87" s="69" t="str">
        <f t="shared" si="1"/>
        <v>Otros</v>
      </c>
      <c r="C87" s="69">
        <f>IF($A87="","",IF(AND($B87&lt;&gt;"",IF($F$2="Otros",$B87="Otros",ISNUMBER(SEARCH($B87,$F$2)))),COUNT($C$2:C86)+1,""))</f>
        <v>44</v>
      </c>
      <c r="G87" s="132" t="str">
        <f>IFERROR(INDEX($A$2:$A$507,MATCH(ROWS($G$2:G87),$C$2:$C$507,0)),IF(ROWS($G$2:G87)=1,"(sin matches)",""))</f>
        <v>FGS-8B7 (Deshidrogenado / Horneado) | 190 - 204 °C (375 - 400 °F) | No aplica | &gt;= 2 hrs.</v>
      </c>
      <c r="I87" s="69">
        <f>IF($A87="","",IF(AND($B87&lt;&gt;"",ISNUMBER(SEARCH($I$7,$B87))),COUNT($I$9:I86)+1,""))</f>
        <v>43</v>
      </c>
    </row>
    <row r="88" spans="1:9" ht="16" x14ac:dyDescent="0.25">
      <c r="A88" s="69" t="str">
        <f>Listas!E83</f>
        <v>48053-001-01 (Deshidrogenado / Endurecido) | No aplica | No aplica | &gt;= 24 hrs.</v>
      </c>
      <c r="B88" s="69" t="str">
        <f t="shared" si="1"/>
        <v>Otros</v>
      </c>
      <c r="C88" s="69">
        <f>IF($A88="","",IF(AND($B88&lt;&gt;"",IF($F$2="Otros",$B88="Otros",ISNUMBER(SEARCH($B88,$F$2)))),COUNT($C$2:C87)+1,""))</f>
        <v>45</v>
      </c>
      <c r="G88" s="132" t="str">
        <f>IFERROR(INDEX($A$2:$A$507,MATCH(ROWS($G$2:G88),$C$2:$C$507,0)),IF(ROWS($G$2:G88)=1,"(sin matches)",""))</f>
        <v>FGS-8B7 (Deshidrogenado / Horneado) | 190 - 204 °C (375 - 400 °F) | No aplica | &gt;= 24 hrs.</v>
      </c>
      <c r="I88" s="69">
        <f>IF($A88="","",IF(AND($B88&lt;&gt;"",ISNUMBER(SEARCH($I$7,$B88))),COUNT($I$9:I87)+1,""))</f>
        <v>44</v>
      </c>
    </row>
    <row r="89" spans="1:9" ht="16" x14ac:dyDescent="0.25">
      <c r="A89" s="69" t="str">
        <f>Listas!E84</f>
        <v>48053-001-01 (Deshidrogenado / Endurecido) | No aplica | No aplica | &gt;= 3 hrs.</v>
      </c>
      <c r="B89" s="69" t="str">
        <f t="shared" si="1"/>
        <v>Otros</v>
      </c>
      <c r="C89" s="69">
        <f>IF($A89="","",IF(AND($B89&lt;&gt;"",IF($F$2="Otros",$B89="Otros",ISNUMBER(SEARCH($B89,$F$2)))),COUNT($C$2:C88)+1,""))</f>
        <v>46</v>
      </c>
      <c r="G89" s="132" t="str">
        <f>IFERROR(INDEX($A$2:$A$507,MATCH(ROWS($G$2:G89),$C$2:$C$507,0)),IF(ROWS($G$2:G89)=1,"(sin matches)",""))</f>
        <v>FGS-8B7 (Deshidrogenado / Horneado) | 190 - 204 °C (375 - 400 °F) | No aplica | &gt;= 3 hrs.</v>
      </c>
      <c r="I89" s="69">
        <f>IF($A89="","",IF(AND($B89&lt;&gt;"",ISNUMBER(SEARCH($I$7,$B89))),COUNT($I$9:I88)+1,""))</f>
        <v>45</v>
      </c>
    </row>
    <row r="90" spans="1:9" ht="16" x14ac:dyDescent="0.25">
      <c r="A90" s="69" t="str">
        <f>Listas!E85</f>
        <v>48053-001-01 (Deshidrogenado / Endurecido) | No aplica | No aplica | &gt;= 4 hrs.</v>
      </c>
      <c r="B90" s="69" t="str">
        <f t="shared" si="1"/>
        <v>Otros</v>
      </c>
      <c r="C90" s="69">
        <f>IF($A90="","",IF(AND($B90&lt;&gt;"",IF($F$2="Otros",$B90="Otros",ISNUMBER(SEARCH($B90,$F$2)))),COUNT($C$2:C89)+1,""))</f>
        <v>47</v>
      </c>
      <c r="G90" s="132" t="str">
        <f>IFERROR(INDEX($A$2:$A$507,MATCH(ROWS($G$2:G90),$C$2:$C$507,0)),IF(ROWS($G$2:G90)=1,"(sin matches)",""))</f>
        <v>FGS-8B7 (Deshidrogenado / Horneado) | 190 - 204 °C (375 - 400 °F) | No aplica | &gt;= 4 hrs.</v>
      </c>
      <c r="I90" s="69">
        <f>IF($A90="","",IF(AND($B90&lt;&gt;"",ISNUMBER(SEARCH($I$7,$B90))),COUNT($I$9:I89)+1,""))</f>
        <v>46</v>
      </c>
    </row>
    <row r="91" spans="1:9" ht="16" x14ac:dyDescent="0.25">
      <c r="A91" s="69" t="str">
        <f>Listas!E86</f>
        <v>48053-001-01 (Deshidrogenado / Endurecido) | No aplica | No aplica | &gt;= 5 hrs.</v>
      </c>
      <c r="B91" s="69" t="str">
        <f t="shared" si="1"/>
        <v>Otros</v>
      </c>
      <c r="C91" s="69">
        <f>IF($A91="","",IF(AND($B91&lt;&gt;"",IF($F$2="Otros",$B91="Otros",ISNUMBER(SEARCH($B91,$F$2)))),COUNT($C$2:C90)+1,""))</f>
        <v>48</v>
      </c>
      <c r="G91" s="132" t="str">
        <f>IFERROR(INDEX($A$2:$A$507,MATCH(ROWS($G$2:G91),$C$2:$C$507,0)),IF(ROWS($G$2:G91)=1,"(sin matches)",""))</f>
        <v>FGS-8B7 (Deshidrogenado / Horneado) | 190 - 204 °C (375 - 400 °F) | No aplica | &gt;= 5 hrs.</v>
      </c>
      <c r="I91" s="69">
        <f>IF($A91="","",IF(AND($B91&lt;&gt;"",ISNUMBER(SEARCH($I$7,$B91))),COUNT($I$9:I90)+1,""))</f>
        <v>47</v>
      </c>
    </row>
    <row r="92" spans="1:9" ht="16" x14ac:dyDescent="0.25">
      <c r="A92" s="69" t="str">
        <f>Listas!E87</f>
        <v>48053-001-01 (Deshidrogenado / Endurecido) | No aplica | No aplica | &gt;= 6 hrs.</v>
      </c>
      <c r="B92" s="69" t="str">
        <f t="shared" si="1"/>
        <v>Otros</v>
      </c>
      <c r="C92" s="69">
        <f>IF($A92="","",IF(AND($B92&lt;&gt;"",IF($F$2="Otros",$B92="Otros",ISNUMBER(SEARCH($B92,$F$2)))),COUNT($C$2:C91)+1,""))</f>
        <v>49</v>
      </c>
      <c r="G92" s="132" t="str">
        <f>IFERROR(INDEX($A$2:$A$507,MATCH(ROWS($G$2:G92),$C$2:$C$507,0)),IF(ROWS($G$2:G92)=1,"(sin matches)",""))</f>
        <v>FGS-8B7 (Deshidrogenado / Horneado) | 190 - 204 °C (375 - 400 °F) | No aplica | &gt;= 6 hrs.</v>
      </c>
      <c r="I92" s="69">
        <f>IF($A92="","",IF(AND($B92&lt;&gt;"",ISNUMBER(SEARCH($I$7,$B92))),COUNT($I$9:I91)+1,""))</f>
        <v>48</v>
      </c>
    </row>
    <row r="93" spans="1:9" ht="16" x14ac:dyDescent="0.25">
      <c r="A93" s="69" t="str">
        <f>Listas!E88</f>
        <v>48053-001-01 (Deshidrogenado / Endurecido) | No aplica | No aplica | &gt;= 8 hrs.</v>
      </c>
      <c r="B93" s="69" t="str">
        <f t="shared" si="1"/>
        <v>Otros</v>
      </c>
      <c r="C93" s="69">
        <f>IF($A93="","",IF(AND($B93&lt;&gt;"",IF($F$2="Otros",$B93="Otros",ISNUMBER(SEARCH($B93,$F$2)))),COUNT($C$2:C92)+1,""))</f>
        <v>50</v>
      </c>
      <c r="G93" s="132" t="str">
        <f>IFERROR(INDEX($A$2:$A$507,MATCH(ROWS($G$2:G93),$C$2:$C$507,0)),IF(ROWS($G$2:G93)=1,"(sin matches)",""))</f>
        <v>FGS-8B7 (Deshidrogenado / Horneado) | 190 - 204 °C (375 - 400 °F) | No aplica | &gt;= 8 hrs.</v>
      </c>
      <c r="I93" s="69">
        <f>IF($A93="","",IF(AND($B93&lt;&gt;"",ISNUMBER(SEARCH($I$7,$B93))),COUNT($I$9:I92)+1,""))</f>
        <v>49</v>
      </c>
    </row>
    <row r="94" spans="1:9" ht="16" x14ac:dyDescent="0.25">
      <c r="A94" s="69" t="str">
        <f>Listas!E89</f>
        <v>48053-005-01 (Lavado - Tratamiento Térmico - Bimetales)</v>
      </c>
      <c r="B94" s="69" t="str">
        <f t="shared" si="1"/>
        <v>Otros</v>
      </c>
      <c r="C94" s="69">
        <f>IF($A94="","",IF(AND($B94&lt;&gt;"",IF($F$2="Otros",$B94="Otros",ISNUMBER(SEARCH($B94,$F$2)))),COUNT($C$2:C93)+1,""))</f>
        <v>51</v>
      </c>
      <c r="G94" s="132" t="str">
        <f>IFERROR(INDEX($A$2:$A$507,MATCH(ROWS($G$2:G94),$C$2:$C$507,0)),IF(ROWS($G$2:G94)=1,"(sin matches)",""))</f>
        <v>FGS-8B7 (Deshidrogenado / Horneado) | No aplica | 337 - 349 (650 ± 10 °F) | &gt;= 0.5 hrs.</v>
      </c>
      <c r="I94" s="69">
        <f>IF($A94="","",IF(AND($B94&lt;&gt;"",ISNUMBER(SEARCH($I$7,$B94))),COUNT($I$9:I93)+1,""))</f>
        <v>50</v>
      </c>
    </row>
    <row r="95" spans="1:9" ht="16" x14ac:dyDescent="0.25">
      <c r="A95" s="69" t="str">
        <f>Listas!E90</f>
        <v>48057-002-01 (Níquel) | 2.54 - 5.08 µm</v>
      </c>
      <c r="B95" s="69" t="str">
        <f t="shared" si="1"/>
        <v>Níquel</v>
      </c>
      <c r="C95" s="69" t="str">
        <f>IF($A95="","",IF(AND($B95&lt;&gt;"",IF($F$2="Otros",$B95="Otros",ISNUMBER(SEARCH($B95,$F$2)))),COUNT($C$2:C94)+1,""))</f>
        <v/>
      </c>
      <c r="G95" s="132" t="str">
        <f>IFERROR(INDEX($A$2:$A$507,MATCH(ROWS($G$2:G95),$C$2:$C$507,0)),IF(ROWS($G$2:G95)=1,"(sin matches)",""))</f>
        <v>FGS-8B7 (Deshidrogenado / Horneado) | No aplica | 337 - 349 (650 ± 10 °F) | &gt;= 1 hrs.</v>
      </c>
      <c r="I95" s="69" t="str">
        <f>IF($A95="","",IF(AND($B95&lt;&gt;"",ISNUMBER(SEARCH($I$7,$B95))),COUNT($I$9:I94)+1,""))</f>
        <v/>
      </c>
    </row>
    <row r="96" spans="1:9" ht="16" x14ac:dyDescent="0.25">
      <c r="A96" s="69" t="str">
        <f>Listas!E91</f>
        <v>48057-002-02 (Níquel Bimetales) | 0.5 - 2.0 µm</v>
      </c>
      <c r="B96" s="69" t="str">
        <f t="shared" si="1"/>
        <v>Níquel</v>
      </c>
      <c r="C96" s="69" t="str">
        <f>IF($A96="","",IF(AND($B96&lt;&gt;"",IF($F$2="Otros",$B96="Otros",ISNUMBER(SEARCH($B96,$F$2)))),COUNT($C$2:C95)+1,""))</f>
        <v/>
      </c>
      <c r="G96" s="132" t="str">
        <f>IFERROR(INDEX($A$2:$A$507,MATCH(ROWS($G$2:G96),$C$2:$C$507,0)),IF(ROWS($G$2:G96)=1,"(sin matches)",""))</f>
        <v>FGS-8B7 (Deshidrogenado / Horneado) | No aplica | 337 - 349 (650 ± 10 °F) | &gt;= 10 hrs.</v>
      </c>
      <c r="I96" s="69" t="str">
        <f>IF($A96="","",IF(AND($B96&lt;&gt;"",ISNUMBER(SEARCH($I$7,$B96))),COUNT($I$9:I95)+1,""))</f>
        <v/>
      </c>
    </row>
    <row r="97" spans="1:9" ht="16" x14ac:dyDescent="0.25">
      <c r="A97" s="69" t="str">
        <f>Listas!E92</f>
        <v>48057-002-02 (Níquel Bimetales) | 2.5- 5.0 µm</v>
      </c>
      <c r="B97" s="69" t="str">
        <f t="shared" si="1"/>
        <v>Níquel</v>
      </c>
      <c r="C97" s="69" t="str">
        <f>IF($A97="","",IF(AND($B97&lt;&gt;"",IF($F$2="Otros",$B97="Otros",ISNUMBER(SEARCH($B97,$F$2)))),COUNT($C$2:C96)+1,""))</f>
        <v/>
      </c>
      <c r="G97" s="132" t="str">
        <f>IFERROR(INDEX($A$2:$A$507,MATCH(ROWS($G$2:G97),$C$2:$C$507,0)),IF(ROWS($G$2:G97)=1,"(sin matches)",""))</f>
        <v>FGS-8B7 (Deshidrogenado / Horneado) | No aplica | 337 - 349 (650 ± 10 °F) | &gt;= 14 hrs.</v>
      </c>
      <c r="I97" s="69" t="str">
        <f>IF($A97="","",IF(AND($B97&lt;&gt;"",ISNUMBER(SEARCH($I$7,$B97))),COUNT($I$9:I96)+1,""))</f>
        <v/>
      </c>
    </row>
    <row r="98" spans="1:9" ht="16" x14ac:dyDescent="0.25">
      <c r="A98" s="69" t="str">
        <f>Listas!E93</f>
        <v>48057-003-01 (Zinc) | 3.8 - 6.0 µm</v>
      </c>
      <c r="B98" s="69" t="str">
        <f t="shared" si="1"/>
        <v>Zinc</v>
      </c>
      <c r="C98" s="69" t="str">
        <f>IF($A98="","",IF(AND($B98&lt;&gt;"",IF($F$2="Otros",$B98="Otros",ISNUMBER(SEARCH($B98,$F$2)))),COUNT($C$2:C97)+1,""))</f>
        <v/>
      </c>
      <c r="G98" s="132" t="str">
        <f>IFERROR(INDEX($A$2:$A$507,MATCH(ROWS($G$2:G98),$C$2:$C$507,0)),IF(ROWS($G$2:G98)=1,"(sin matches)",""))</f>
        <v>FGS-8B7 (Deshidrogenado / Horneado) | No aplica | 337 - 349 (650 ± 10 °F) | &gt;= 2 hrs.</v>
      </c>
      <c r="I98" s="69" t="str">
        <f>IF($A98="","",IF(AND($B98&lt;&gt;"",ISNUMBER(SEARCH($I$7,$B98))),COUNT($I$9:I97)+1,""))</f>
        <v/>
      </c>
    </row>
    <row r="99" spans="1:9" ht="16" x14ac:dyDescent="0.25">
      <c r="A99" s="69" t="str">
        <f>Listas!E94</f>
        <v>48057-003-01 (Zinc) | 6.0 - 10.0 µm</v>
      </c>
      <c r="B99" s="69" t="str">
        <f t="shared" si="1"/>
        <v>Zinc</v>
      </c>
      <c r="C99" s="69" t="str">
        <f>IF($A99="","",IF(AND($B99&lt;&gt;"",IF($F$2="Otros",$B99="Otros",ISNUMBER(SEARCH($B99,$F$2)))),COUNT($C$2:C98)+1,""))</f>
        <v/>
      </c>
      <c r="G99" s="132" t="str">
        <f>IFERROR(INDEX($A$2:$A$507,MATCH(ROWS($G$2:G99),$C$2:$C$507,0)),IF(ROWS($G$2:G99)=1,"(sin matches)",""))</f>
        <v>FGS-8B7 (Deshidrogenado / Horneado) | No aplica | 337 - 349 (650 ± 10 °F) | &gt;= 24 hrs.</v>
      </c>
      <c r="I99" s="69" t="str">
        <f>IF($A99="","",IF(AND($B99&lt;&gt;"",ISNUMBER(SEARCH($I$7,$B99))),COUNT($I$9:I98)+1,""))</f>
        <v/>
      </c>
    </row>
    <row r="100" spans="1:9" ht="16" x14ac:dyDescent="0.25">
      <c r="A100" s="69" t="str">
        <f>Listas!E95</f>
        <v>48057-004-01 (Bright Dip)</v>
      </c>
      <c r="B100" s="69" t="str">
        <f t="shared" si="1"/>
        <v>Otros</v>
      </c>
      <c r="C100" s="69">
        <f>IF($A100="","",IF(AND($B100&lt;&gt;"",IF($F$2="Otros",$B100="Otros",ISNUMBER(SEARCH($B100,$F$2)))),COUNT($C$2:C99)+1,""))</f>
        <v>52</v>
      </c>
      <c r="G100" s="132" t="str">
        <f>IFERROR(INDEX($A$2:$A$507,MATCH(ROWS($G$2:G100),$C$2:$C$507,0)),IF(ROWS($G$2:G100)=1,"(sin matches)",""))</f>
        <v>FGS-8B7 (Deshidrogenado / Horneado) | No aplica | 337 - 349 (650 ± 10 °F) | &gt;= 3 hrs.</v>
      </c>
      <c r="I100" s="69">
        <f>IF($A100="","",IF(AND($B100&lt;&gt;"",ISNUMBER(SEARCH($I$7,$B100))),COUNT($I$9:I99)+1,""))</f>
        <v>51</v>
      </c>
    </row>
    <row r="101" spans="1:9" ht="16" x14ac:dyDescent="0.25">
      <c r="A101" s="69" t="str">
        <f>Listas!E96</f>
        <v>48057-006-01 (Plata) | 1.88- 2.56 µm</v>
      </c>
      <c r="B101" s="69" t="str">
        <f t="shared" si="1"/>
        <v>Plata</v>
      </c>
      <c r="C101" s="69" t="str">
        <f>IF($A101="","",IF(AND($B101&lt;&gt;"",IF($F$2="Otros",$B101="Otros",ISNUMBER(SEARCH($B101,$F$2)))),COUNT($C$2:C100)+1,""))</f>
        <v/>
      </c>
      <c r="G101" s="132" t="str">
        <f>IFERROR(INDEX($A$2:$A$507,MATCH(ROWS($G$2:G101),$C$2:$C$507,0)),IF(ROWS($G$2:G101)=1,"(sin matches)",""))</f>
        <v>FGS-8B7 (Deshidrogenado / Horneado) | No aplica | 337 - 349 (650 ± 10 °F) | &gt;= 4 hrs.</v>
      </c>
      <c r="I101" s="69" t="str">
        <f>IF($A101="","",IF(AND($B101&lt;&gt;"",ISNUMBER(SEARCH($I$7,$B101))),COUNT($I$9:I100)+1,""))</f>
        <v/>
      </c>
    </row>
    <row r="102" spans="1:9" ht="16" x14ac:dyDescent="0.25">
      <c r="A102" s="69" t="str">
        <f>Listas!E97</f>
        <v>48057-006-01 (Plata) | 2.54 - 3.81 µm</v>
      </c>
      <c r="B102" s="69" t="str">
        <f t="shared" si="1"/>
        <v>Plata</v>
      </c>
      <c r="C102" s="69" t="str">
        <f>IF($A102="","",IF(AND($B102&lt;&gt;"",IF($F$2="Otros",$B102="Otros",ISNUMBER(SEARCH($B102,$F$2)))),COUNT($C$2:C101)+1,""))</f>
        <v/>
      </c>
      <c r="G102" s="132" t="str">
        <f>IFERROR(INDEX($A$2:$A$507,MATCH(ROWS($G$2:G102),$C$2:$C$507,0)),IF(ROWS($G$2:G102)=1,"(sin matches)",""))</f>
        <v>FGS-8B7 (Deshidrogenado / Horneado) | No aplica | 337 - 349 (650 ± 10 °F) | &gt;= 5 hrs.</v>
      </c>
      <c r="I102" s="69" t="str">
        <f>IF($A102="","",IF(AND($B102&lt;&gt;"",ISNUMBER(SEARCH($I$7,$B102))),COUNT($I$9:I101)+1,""))</f>
        <v/>
      </c>
    </row>
    <row r="103" spans="1:9" ht="16" x14ac:dyDescent="0.25">
      <c r="A103" s="69" t="str">
        <f>Listas!E98</f>
        <v>48057-007-01 (Estaño Bimetales) | 1.9 - 5.0 µm</v>
      </c>
      <c r="B103" s="69" t="str">
        <f t="shared" si="1"/>
        <v>Estaño</v>
      </c>
      <c r="C103" s="69" t="str">
        <f>IF($A103="","",IF(AND($B103&lt;&gt;"",IF($F$2="Otros",$B103="Otros",ISNUMBER(SEARCH($B103,$F$2)))),COUNT($C$2:C102)+1,""))</f>
        <v/>
      </c>
      <c r="G103" s="132" t="str">
        <f>IFERROR(INDEX($A$2:$A$507,MATCH(ROWS($G$2:G103),$C$2:$C$507,0)),IF(ROWS($G$2:G103)=1,"(sin matches)",""))</f>
        <v>FGS-8B7 (Deshidrogenado / Horneado) | No aplica | 337 - 349 (650 ± 10 °F) | &gt;= 6 hrs.</v>
      </c>
      <c r="I103" s="69" t="str">
        <f>IF($A103="","",IF(AND($B103&lt;&gt;"",ISNUMBER(SEARCH($I$7,$B103))),COUNT($I$9:I102)+1,""))</f>
        <v/>
      </c>
    </row>
    <row r="104" spans="1:9" ht="16" x14ac:dyDescent="0.25">
      <c r="A104" s="69" t="str">
        <f>Listas!E99</f>
        <v>48057-007-03 (Estaño Bimetales) | 0.6 - 2.0 µm</v>
      </c>
      <c r="B104" s="69" t="str">
        <f t="shared" si="1"/>
        <v>Estaño</v>
      </c>
      <c r="C104" s="69" t="str">
        <f>IF($A104="","",IF(AND($B104&lt;&gt;"",IF($F$2="Otros",$B104="Otros",ISNUMBER(SEARCH($B104,$F$2)))),COUNT($C$2:C103)+1,""))</f>
        <v/>
      </c>
      <c r="G104" s="132" t="str">
        <f>IFERROR(INDEX($A$2:$A$507,MATCH(ROWS($G$2:G104),$C$2:$C$507,0)),IF(ROWS($G$2:G104)=1,"(sin matches)",""))</f>
        <v>FGS-8B7 (Deshidrogenado / Horneado) | No aplica | 337 - 349 (650 ± 10 °F) | &gt;= 8 hrs.</v>
      </c>
      <c r="I104" s="69" t="str">
        <f>IF($A104="","",IF(AND($B104&lt;&gt;"",ISNUMBER(SEARCH($I$7,$B104))),COUNT($I$9:I103)+1,""))</f>
        <v/>
      </c>
    </row>
    <row r="105" spans="1:9" ht="16" x14ac:dyDescent="0.25">
      <c r="A105" s="69" t="str">
        <f>Listas!E100</f>
        <v>48121-140-03 (Estaño) | 5 - 12 µm | No aplica</v>
      </c>
      <c r="B105" s="69" t="str">
        <f t="shared" si="1"/>
        <v>Estaño</v>
      </c>
      <c r="C105" s="69" t="str">
        <f>IF($A105="","",IF(AND($B105&lt;&gt;"",IF($F$2="Otros",$B105="Otros",ISNUMBER(SEARCH($B105,$F$2)))),COUNT($C$2:C104)+1,""))</f>
        <v/>
      </c>
      <c r="G105" s="132" t="str">
        <f>IFERROR(INDEX($A$2:$A$507,MATCH(ROWS($G$2:G105),$C$2:$C$507,0)),IF(ROWS($G$2:G105)=1,"(sin matches)",""))</f>
        <v>FGS-8B7 (Deshidrogenado / Horneado) | No aplica | No aplica | &gt;= 0.5 hrs.</v>
      </c>
      <c r="I105" s="69" t="str">
        <f>IF($A105="","",IF(AND($B105&lt;&gt;"",ISNUMBER(SEARCH($I$7,$B105))),COUNT($I$9:I104)+1,""))</f>
        <v/>
      </c>
    </row>
    <row r="106" spans="1:9" ht="16" x14ac:dyDescent="0.25">
      <c r="A106" s="69" t="str">
        <f>Listas!E101</f>
        <v>48860-031-01 (Lavado)</v>
      </c>
      <c r="B106" s="69" t="str">
        <f t="shared" si="1"/>
        <v>Otros</v>
      </c>
      <c r="C106" s="69">
        <f>IF($A106="","",IF(AND($B106&lt;&gt;"",IF($F$2="Otros",$B106="Otros",ISNUMBER(SEARCH($B106,$F$2)))),COUNT($C$2:C105)+1,""))</f>
        <v>53</v>
      </c>
      <c r="G106" s="132" t="str">
        <f>IFERROR(INDEX($A$2:$A$507,MATCH(ROWS($G$2:G106),$C$2:$C$507,0)),IF(ROWS($G$2:G106)=1,"(sin matches)",""))</f>
        <v>FGS-8B7 (Deshidrogenado / Horneado) | No aplica | No aplica | &gt;= 1 hrs.</v>
      </c>
      <c r="I106" s="69">
        <f>IF($A106="","",IF(AND($B106&lt;&gt;"",ISNUMBER(SEARCH($I$7,$B106))),COUNT($I$9:I105)+1,""))</f>
        <v>52</v>
      </c>
    </row>
    <row r="107" spans="1:9" ht="16" x14ac:dyDescent="0.25">
      <c r="A107" s="69" t="str">
        <f>Listas!E102</f>
        <v>48951-001-01 (Rebabeo)</v>
      </c>
      <c r="B107" s="69" t="str">
        <f t="shared" si="1"/>
        <v>Otros</v>
      </c>
      <c r="C107" s="69">
        <f>IF($A107="","",IF(AND($B107&lt;&gt;"",IF($F$2="Otros",$B107="Otros",ISNUMBER(SEARCH($B107,$F$2)))),COUNT($C$2:C106)+1,""))</f>
        <v>54</v>
      </c>
      <c r="G107" s="132" t="str">
        <f>IFERROR(INDEX($A$2:$A$507,MATCH(ROWS($G$2:G107),$C$2:$C$507,0)),IF(ROWS($G$2:G107)=1,"(sin matches)",""))</f>
        <v>FGS-8B7 (Deshidrogenado / Horneado) | No aplica | No aplica | &gt;= 10 hrs.</v>
      </c>
      <c r="I107" s="69">
        <f>IF($A107="","",IF(AND($B107&lt;&gt;"",ISNUMBER(SEARCH($I$7,$B107))),COUNT($I$9:I106)+1,""))</f>
        <v>53</v>
      </c>
    </row>
    <row r="108" spans="1:9" ht="16" x14ac:dyDescent="0.25">
      <c r="A108" s="69" t="str">
        <f>Listas!E103</f>
        <v>48951-001-02 (Rebabeo)</v>
      </c>
      <c r="B108" s="69" t="str">
        <f t="shared" si="1"/>
        <v>Otros</v>
      </c>
      <c r="C108" s="69">
        <f>IF($A108="","",IF(AND($B108&lt;&gt;"",IF($F$2="Otros",$B108="Otros",ISNUMBER(SEARCH($B108,$F$2)))),COUNT($C$2:C107)+1,""))</f>
        <v>55</v>
      </c>
      <c r="G108" s="132" t="str">
        <f>IFERROR(INDEX($A$2:$A$507,MATCH(ROWS($G$2:G108),$C$2:$C$507,0)),IF(ROWS($G$2:G108)=1,"(sin matches)",""))</f>
        <v>FGS-8B7 (Deshidrogenado / Horneado) | No aplica | No aplica | &gt;= 14 hrs.</v>
      </c>
      <c r="I108" s="69">
        <f>IF($A108="","",IF(AND($B108&lt;&gt;"",ISNUMBER(SEARCH($I$7,$B108))),COUNT($I$9:I107)+1,""))</f>
        <v>54</v>
      </c>
    </row>
    <row r="109" spans="1:9" ht="16" x14ac:dyDescent="0.25">
      <c r="A109" s="69" t="str">
        <f>Listas!E104</f>
        <v>48951-008-01 (Desengrase)</v>
      </c>
      <c r="B109" s="69" t="str">
        <f t="shared" si="1"/>
        <v>Otros</v>
      </c>
      <c r="C109" s="69">
        <f>IF($A109="","",IF(AND($B109&lt;&gt;"",IF($F$2="Otros",$B109="Otros",ISNUMBER(SEARCH($B109,$F$2)))),COUNT($C$2:C108)+1,""))</f>
        <v>56</v>
      </c>
      <c r="G109" s="132" t="str">
        <f>IFERROR(INDEX($A$2:$A$507,MATCH(ROWS($G$2:G109),$C$2:$C$507,0)),IF(ROWS($G$2:G109)=1,"(sin matches)",""))</f>
        <v>FGS-8B7 (Deshidrogenado / Horneado) | No aplica | No aplica | &gt;= 2 hrs.</v>
      </c>
      <c r="I109" s="69">
        <f>IF($A109="","",IF(AND($B109&lt;&gt;"",ISNUMBER(SEARCH($I$7,$B109))),COUNT($I$9:I108)+1,""))</f>
        <v>55</v>
      </c>
    </row>
    <row r="110" spans="1:9" ht="16" x14ac:dyDescent="0.25">
      <c r="A110" s="69" t="str">
        <f>Listas!E105</f>
        <v>48957-014-01 (Níquel Electroless) | 2.54 - 7.62 µm</v>
      </c>
      <c r="B110" s="69" t="str">
        <f t="shared" si="1"/>
        <v>Níquel</v>
      </c>
      <c r="C110" s="69" t="str">
        <f>IF($A110="","",IF(AND($B110&lt;&gt;"",IF($F$2="Otros",$B110="Otros",ISNUMBER(SEARCH($B110,$F$2)))),COUNT($C$2:C109)+1,""))</f>
        <v/>
      </c>
      <c r="G110" s="132" t="str">
        <f>IFERROR(INDEX($A$2:$A$507,MATCH(ROWS($G$2:G110),$C$2:$C$507,0)),IF(ROWS($G$2:G110)=1,"(sin matches)",""))</f>
        <v>FGS-8B7 (Deshidrogenado / Horneado) | No aplica | No aplica | &gt;= 24 hrs.</v>
      </c>
      <c r="I110" s="69" t="str">
        <f>IF($A110="","",IF(AND($B110&lt;&gt;"",ISNUMBER(SEARCH($I$7,$B110))),COUNT($I$9:I109)+1,""))</f>
        <v/>
      </c>
    </row>
    <row r="111" spans="1:9" ht="16" x14ac:dyDescent="0.25">
      <c r="A111" s="69" t="str">
        <f>Listas!E106</f>
        <v>48957-014-01 (Níquel Electroless) | 7.62 - 15.24 µm</v>
      </c>
      <c r="B111" s="69" t="str">
        <f t="shared" si="1"/>
        <v>Níquel</v>
      </c>
      <c r="C111" s="69" t="str">
        <f>IF($A111="","",IF(AND($B111&lt;&gt;"",IF($F$2="Otros",$B111="Otros",ISNUMBER(SEARCH($B111,$F$2)))),COUNT($C$2:C110)+1,""))</f>
        <v/>
      </c>
      <c r="G111" s="132" t="str">
        <f>IFERROR(INDEX($A$2:$A$507,MATCH(ROWS($G$2:G111),$C$2:$C$507,0)),IF(ROWS($G$2:G111)=1,"(sin matches)",""))</f>
        <v>FGS-8B7 (Deshidrogenado / Horneado) | No aplica | No aplica | &gt;= 3 hrs.</v>
      </c>
      <c r="I111" s="69" t="str">
        <f>IF($A111="","",IF(AND($B111&lt;&gt;"",ISNUMBER(SEARCH($I$7,$B111))),COUNT($I$9:I110)+1,""))</f>
        <v/>
      </c>
    </row>
    <row r="112" spans="1:9" ht="16" x14ac:dyDescent="0.25">
      <c r="A112" s="69" t="str">
        <f>Listas!E107</f>
        <v>7706XXX | 5.0 - 10.0 µm</v>
      </c>
      <c r="B112" s="69" t="str">
        <f t="shared" si="1"/>
        <v>Otros</v>
      </c>
      <c r="C112" s="69">
        <f>IF($A112="","",IF(AND($B112&lt;&gt;"",IF($F$2="Otros",$B112="Otros",ISNUMBER(SEARCH($B112,$F$2)))),COUNT($C$2:C111)+1,""))</f>
        <v>57</v>
      </c>
      <c r="G112" s="132" t="str">
        <f>IFERROR(INDEX($A$2:$A$507,MATCH(ROWS($G$2:G112),$C$2:$C$507,0)),IF(ROWS($G$2:G112)=1,"(sin matches)",""))</f>
        <v>FGS-8B7 (Deshidrogenado / Horneado) | No aplica | No aplica | &gt;= 4 hrs.</v>
      </c>
      <c r="I112" s="69">
        <f>IF($A112="","",IF(AND($B112&lt;&gt;"",ISNUMBER(SEARCH($I$7,$B112))),COUNT($I$9:I111)+1,""))</f>
        <v>56</v>
      </c>
    </row>
    <row r="113" spans="1:9" ht="16" x14ac:dyDescent="0.25">
      <c r="A113" s="69" t="str">
        <f>Listas!E108</f>
        <v>80040-DS-018 (Epóxico BT) | 14 - 22 mils</v>
      </c>
      <c r="B113" s="69" t="str">
        <f t="shared" si="1"/>
        <v>Epóxico</v>
      </c>
      <c r="C113" s="69" t="str">
        <f>IF($A113="","",IF(AND($B113&lt;&gt;"",IF($F$2="Otros",$B113="Otros",ISNUMBER(SEARCH($B113,$F$2)))),COUNT($C$2:C112)+1,""))</f>
        <v/>
      </c>
      <c r="G113" s="132" t="str">
        <f>IFERROR(INDEX($A$2:$A$507,MATCH(ROWS($G$2:G113),$C$2:$C$507,0)),IF(ROWS($G$2:G113)=1,"(sin matches)",""))</f>
        <v>FGS-8B7 (Deshidrogenado / Horneado) | No aplica | No aplica | &gt;= 5 hrs.</v>
      </c>
      <c r="I113" s="69" t="str">
        <f>IF($A113="","",IF(AND($B113&lt;&gt;"",ISNUMBER(SEARCH($I$7,$B113))),COUNT($I$9:I112)+1,""))</f>
        <v/>
      </c>
    </row>
    <row r="114" spans="1:9" ht="16" x14ac:dyDescent="0.25">
      <c r="A114" s="69" t="str">
        <f>Listas!E109</f>
        <v>80065-DS-001 (Estaño) | 5 - 10 µm | 0.5 - 1.0 µm</v>
      </c>
      <c r="B114" s="69" t="str">
        <f t="shared" si="1"/>
        <v>Estaño</v>
      </c>
      <c r="C114" s="69" t="str">
        <f>IF($A114="","",IF(AND($B114&lt;&gt;"",IF($F$2="Otros",$B114="Otros",ISNUMBER(SEARCH($B114,$F$2)))),COUNT($C$2:C113)+1,""))</f>
        <v/>
      </c>
      <c r="G114" s="132" t="str">
        <f>IFERROR(INDEX($A$2:$A$507,MATCH(ROWS($G$2:G114),$C$2:$C$507,0)),IF(ROWS($G$2:G114)=1,"(sin matches)",""))</f>
        <v>FGS-8B7 (Deshidrogenado / Horneado) | No aplica | No aplica | &gt;= 6 hrs.</v>
      </c>
      <c r="I114" s="69" t="str">
        <f>IF($A114="","",IF(AND($B114&lt;&gt;"",ISNUMBER(SEARCH($I$7,$B114))),COUNT($I$9:I113)+1,""))</f>
        <v/>
      </c>
    </row>
    <row r="115" spans="1:9" ht="16" x14ac:dyDescent="0.25">
      <c r="A115" s="69" t="str">
        <f>Listas!E110</f>
        <v>80065-DS-001 (Estaño) | 5 - 10 µm | No aplica</v>
      </c>
      <c r="B115" s="69" t="str">
        <f t="shared" si="1"/>
        <v>Estaño</v>
      </c>
      <c r="C115" s="69" t="str">
        <f>IF($A115="","",IF(AND($B115&lt;&gt;"",IF($F$2="Otros",$B115="Otros",ISNUMBER(SEARCH($B115,$F$2)))),COUNT($C$2:C114)+1,""))</f>
        <v/>
      </c>
      <c r="G115" s="132" t="str">
        <f>IFERROR(INDEX($A$2:$A$507,MATCH(ROWS($G$2:G115),$C$2:$C$507,0)),IF(ROWS($G$2:G115)=1,"(sin matches)",""))</f>
        <v>FGS-8B7 (Deshidrogenado / Horneado) | No aplica | No aplica | &gt;= 8 hrs.</v>
      </c>
      <c r="I115" s="69" t="str">
        <f>IF($A115="","",IF(AND($B115&lt;&gt;"",ISNUMBER(SEARCH($I$7,$B115))),COUNT($I$9:I114)+1,""))</f>
        <v/>
      </c>
    </row>
    <row r="116" spans="1:9" ht="16" x14ac:dyDescent="0.25">
      <c r="A116" s="69" t="str">
        <f>Listas!E111</f>
        <v>80065-DS-001 (Estaño) | 5 - 8 µm | 0.5 - 1.0 µm</v>
      </c>
      <c r="B116" s="69" t="str">
        <f t="shared" si="1"/>
        <v>Estaño</v>
      </c>
      <c r="C116" s="69" t="str">
        <f>IF($A116="","",IF(AND($B116&lt;&gt;"",IF($F$2="Otros",$B116="Otros",ISNUMBER(SEARCH($B116,$F$2)))),COUNT($C$2:C115)+1,""))</f>
        <v/>
      </c>
      <c r="G116" s="132" t="str">
        <f>IFERROR(INDEX($A$2:$A$507,MATCH(ROWS($G$2:G116),$C$2:$C$507,0)),IF(ROWS($G$2:G116)=1,"(sin matches)",""))</f>
        <v>GDE1214700 (Antitarnish)</v>
      </c>
      <c r="I116" s="69" t="str">
        <f>IF($A116="","",IF(AND($B116&lt;&gt;"",ISNUMBER(SEARCH($I$7,$B116))),COUNT($I$9:I115)+1,""))</f>
        <v/>
      </c>
    </row>
    <row r="117" spans="1:9" ht="16" x14ac:dyDescent="0.25">
      <c r="A117" s="69" t="str">
        <f>Listas!E112</f>
        <v>80065-DS-001 (Estaño) | 5 - 8 µm | No aplica</v>
      </c>
      <c r="B117" s="69" t="str">
        <f t="shared" si="1"/>
        <v>Estaño</v>
      </c>
      <c r="C117" s="69" t="str">
        <f>IF($A117="","",IF(AND($B117&lt;&gt;"",IF($F$2="Otros",$B117="Otros",ISNUMBER(SEARCH($B117,$F$2)))),COUNT($C$2:C116)+1,""))</f>
        <v/>
      </c>
      <c r="G117" s="132" t="str">
        <f>IFERROR(INDEX($A$2:$A$507,MATCH(ROWS($G$2:G117),$C$2:$C$507,0)),IF(ROWS($G$2:G117)=1,"(sin matches)",""))</f>
        <v>Hirschvogel (Cromo Duro) | 21 - 25 µm</v>
      </c>
      <c r="I117" s="69" t="str">
        <f>IF($A117="","",IF(AND($B117&lt;&gt;"",ISNUMBER(SEARCH($I$7,$B117))),COUNT($I$9:I116)+1,""))</f>
        <v/>
      </c>
    </row>
    <row r="118" spans="1:9" ht="16" x14ac:dyDescent="0.25">
      <c r="A118" s="69" t="str">
        <f>Listas!E113</f>
        <v>80065-DS-002 (Estaño) | 5 - 10 µm | 0.5 - 1.0 µm</v>
      </c>
      <c r="B118" s="69" t="str">
        <f t="shared" si="1"/>
        <v>Estaño</v>
      </c>
      <c r="C118" s="69" t="str">
        <f>IF($A118="","",IF(AND($B118&lt;&gt;"",IF($F$2="Otros",$B118="Otros",ISNUMBER(SEARCH($B118,$F$2)))),COUNT($C$2:C117)+1,""))</f>
        <v/>
      </c>
      <c r="G118" s="132" t="str">
        <f>IFERROR(INDEX($A$2:$A$507,MATCH(ROWS($G$2:G118),$C$2:$C$507,0)),IF(ROWS($G$2:G118)=1,"(sin matches)",""))</f>
        <v>MIL-DTL-16232G (Deshidrogenado) | 98 - 107 °C | &gt;= 8 hrs.</v>
      </c>
      <c r="I118" s="69" t="str">
        <f>IF($A118="","",IF(AND($B118&lt;&gt;"",ISNUMBER(SEARCH($I$7,$B118))),COUNT($I$9:I117)+1,""))</f>
        <v/>
      </c>
    </row>
    <row r="119" spans="1:9" ht="16" x14ac:dyDescent="0.25">
      <c r="A119" s="69" t="str">
        <f>Listas!E114</f>
        <v>80065-DS-002 (Estaño) | 5 - 10 µm | No aplica</v>
      </c>
      <c r="B119" s="69" t="str">
        <f t="shared" si="1"/>
        <v>Estaño</v>
      </c>
      <c r="C119" s="69" t="str">
        <f>IF($A119="","",IF(AND($B119&lt;&gt;"",IF($F$2="Otros",$B119="Otros",ISNUMBER(SEARCH($B119,$F$2)))),COUNT($C$2:C118)+1,""))</f>
        <v/>
      </c>
      <c r="G119" s="132" t="str">
        <f>IFERROR(INDEX($A$2:$A$507,MATCH(ROWS($G$2:G119),$C$2:$C$507,0)),IF(ROWS($G$2:G119)=1,"(sin matches)",""))</f>
        <v>MS-S1053 (Fosfato de Manganeso - Medición de Grano) | 5 - 11 µm</v>
      </c>
      <c r="I119" s="69" t="str">
        <f>IF($A119="","",IF(AND($B119&lt;&gt;"",ISNUMBER(SEARCH($I$7,$B119))),COUNT($I$9:I118)+1,""))</f>
        <v/>
      </c>
    </row>
    <row r="120" spans="1:9" ht="16" x14ac:dyDescent="0.25">
      <c r="A120" s="69" t="str">
        <f>Listas!E115</f>
        <v>80065-DS-002 (Estaño) | 5 - 8 µm | 0.5 - 1.0 µm</v>
      </c>
      <c r="B120" s="69" t="str">
        <f t="shared" si="1"/>
        <v>Estaño</v>
      </c>
      <c r="C120" s="69" t="str">
        <f>IF($A120="","",IF(AND($B120&lt;&gt;"",IF($F$2="Otros",$B120="Otros",ISNUMBER(SEARCH($B120,$F$2)))),COUNT($C$2:C119)+1,""))</f>
        <v/>
      </c>
      <c r="G120" s="132" t="str">
        <f>IFERROR(INDEX($A$2:$A$507,MATCH(ROWS($G$2:G120),$C$2:$C$507,0)),IF(ROWS($G$2:G120)=1,"(sin matches)",""))</f>
        <v>RC Anodizado Natural | 12 - 18 µm</v>
      </c>
      <c r="I120" s="69" t="str">
        <f>IF($A120="","",IF(AND($B120&lt;&gt;"",ISNUMBER(SEARCH($I$7,$B120))),COUNT($I$9:I119)+1,""))</f>
        <v/>
      </c>
    </row>
    <row r="121" spans="1:9" ht="16" x14ac:dyDescent="0.25">
      <c r="A121" s="69" t="str">
        <f>Listas!E116</f>
        <v>80065-DS-002 (Estaño) | 5 - 8 µm | No aplica</v>
      </c>
      <c r="B121" s="69" t="str">
        <f t="shared" si="1"/>
        <v>Estaño</v>
      </c>
      <c r="C121" s="69" t="str">
        <f>IF($A121="","",IF(AND($B121&lt;&gt;"",IF($F$2="Otros",$B121="Otros",ISNUMBER(SEARCH($B121,$F$2)))),COUNT($C$2:C120)+1,""))</f>
        <v/>
      </c>
      <c r="G121" s="132" t="str">
        <f>IFERROR(INDEX($A$2:$A$507,MATCH(ROWS($G$2:G121),$C$2:$C$507,0)),IF(ROWS($G$2:G121)=1,"(sin matches)",""))</f>
        <v>RC Anodizado Natural | 2 - 3 µm</v>
      </c>
      <c r="I121" s="69" t="str">
        <f>IF($A121="","",IF(AND($B121&lt;&gt;"",ISNUMBER(SEARCH($I$7,$B121))),COUNT($I$9:I120)+1,""))</f>
        <v/>
      </c>
    </row>
    <row r="122" spans="1:9" ht="16" x14ac:dyDescent="0.25">
      <c r="A122" s="69" t="str">
        <f>Listas!E117</f>
        <v>80065-DS-004 (Plata) | 1.27 - 2.54 µm</v>
      </c>
      <c r="B122" s="69" t="str">
        <f t="shared" si="1"/>
        <v>Plata</v>
      </c>
      <c r="C122" s="69" t="str">
        <f>IF($A122="","",IF(AND($B122&lt;&gt;"",IF($F$2="Otros",$B122="Otros",ISNUMBER(SEARCH($B122,$F$2)))),COUNT($C$2:C121)+1,""))</f>
        <v/>
      </c>
      <c r="G122" s="132" t="str">
        <f>IFERROR(INDEX($A$2:$A$507,MATCH(ROWS($G$2:G122),$C$2:$C$507,0)),IF(ROWS($G$2:G122)=1,"(sin matches)",""))</f>
        <v>RC Anodizado Natural | 8 - 13 µm</v>
      </c>
      <c r="I122" s="69" t="str">
        <f>IF($A122="","",IF(AND($B122&lt;&gt;"",ISNUMBER(SEARCH($I$7,$B122))),COUNT($I$9:I121)+1,""))</f>
        <v/>
      </c>
    </row>
    <row r="123" spans="1:9" ht="16" x14ac:dyDescent="0.25">
      <c r="A123" s="69" t="str">
        <f>Listas!E118</f>
        <v>80065-DS-004 (Plata) | 1.27 - 3 µm</v>
      </c>
      <c r="B123" s="69" t="str">
        <f t="shared" si="1"/>
        <v>Plata</v>
      </c>
      <c r="C123" s="69" t="str">
        <f>IF($A123="","",IF(AND($B123&lt;&gt;"",IF($F$2="Otros",$B123="Otros",ISNUMBER(SEARCH($B123,$F$2)))),COUNT($C$2:C122)+1,""))</f>
        <v/>
      </c>
      <c r="G123" s="132" t="str">
        <f>IFERROR(INDEX($A$2:$A$507,MATCH(ROWS($G$2:G123),$C$2:$C$507,0)),IF(ROWS($G$2:G123)=1,"(sin matches)",""))</f>
        <v>RC Anodizado Negro | 12 - 18 µm</v>
      </c>
      <c r="I123" s="69" t="str">
        <f>IF($A123="","",IF(AND($B123&lt;&gt;"",ISNUMBER(SEARCH($I$7,$B123))),COUNT($I$9:I122)+1,""))</f>
        <v/>
      </c>
    </row>
    <row r="124" spans="1:9" ht="16" x14ac:dyDescent="0.25">
      <c r="A124" s="69" t="str">
        <f>Listas!E119</f>
        <v>80065-DS-005 (Plata Flash) | 0.076 - 0.203 µm</v>
      </c>
      <c r="B124" s="69" t="str">
        <f t="shared" si="1"/>
        <v>Plata</v>
      </c>
      <c r="C124" s="69" t="str">
        <f>IF($A124="","",IF(AND($B124&lt;&gt;"",IF($F$2="Otros",$B124="Otros",ISNUMBER(SEARCH($B124,$F$2)))),COUNT($C$2:C123)+1,""))</f>
        <v/>
      </c>
      <c r="G124" s="132" t="str">
        <f>IFERROR(INDEX($A$2:$A$507,MATCH(ROWS($G$2:G124),$C$2:$C$507,0)),IF(ROWS($G$2:G124)=1,"(sin matches)",""))</f>
        <v>RC Anodizado Negro | 8 - 13 µm</v>
      </c>
      <c r="I124" s="69" t="str">
        <f>IF($A124="","",IF(AND($B124&lt;&gt;"",ISNUMBER(SEARCH($I$7,$B124))),COUNT($I$9:I123)+1,""))</f>
        <v/>
      </c>
    </row>
    <row r="125" spans="1:9" ht="16" x14ac:dyDescent="0.25">
      <c r="A125" s="69" t="str">
        <f>Listas!E120</f>
        <v>80065-DS-008 (Plata) | 7.62 - 9.52 µm</v>
      </c>
      <c r="B125" s="69" t="str">
        <f t="shared" si="1"/>
        <v>Plata</v>
      </c>
      <c r="C125" s="69" t="str">
        <f>IF($A125="","",IF(AND($B125&lt;&gt;"",IF($F$2="Otros",$B125="Otros",ISNUMBER(SEARCH($B125,$F$2)))),COUNT($C$2:C124)+1,""))</f>
        <v/>
      </c>
      <c r="G125" s="132" t="str">
        <f>IFERROR(INDEX($A$2:$A$507,MATCH(ROWS($G$2:G125),$C$2:$C$507,0)),IF(ROWS($G$2:G125)=1,"(sin matches)",""))</f>
        <v>RC Brill 61</v>
      </c>
      <c r="I125" s="69" t="str">
        <f>IF($A125="","",IF(AND($B125&lt;&gt;"",ISNUMBER(SEARCH($I$7,$B125))),COUNT($I$9:I124)+1,""))</f>
        <v/>
      </c>
    </row>
    <row r="126" spans="1:9" ht="16" x14ac:dyDescent="0.25">
      <c r="A126" s="69" t="str">
        <f>Listas!E121</f>
        <v>80282-DS-005 (Epóxico BT) | 4 - 11 mils</v>
      </c>
      <c r="B126" s="69" t="str">
        <f t="shared" si="1"/>
        <v>Epóxico</v>
      </c>
      <c r="C126" s="69" t="str">
        <f>IF($A126="","",IF(AND($B126&lt;&gt;"",IF($F$2="Otros",$B126="Otros",ISNUMBER(SEARCH($B126,$F$2)))),COUNT($C$2:C125)+1,""))</f>
        <v/>
      </c>
      <c r="G126" s="132" t="str">
        <f>IFERROR(INDEX($A$2:$A$507,MATCH(ROWS($G$2:G126),$C$2:$C$507,0)),IF(ROWS($G$2:G126)=1,"(sin matches)",""))</f>
        <v>RC Cámara Salina | 12 hrs. | 12 hrs.</v>
      </c>
      <c r="I126" s="69" t="str">
        <f>IF($A126="","",IF(AND($B126&lt;&gt;"",ISNUMBER(SEARCH($I$7,$B126))),COUNT($I$9:I125)+1,""))</f>
        <v/>
      </c>
    </row>
    <row r="127" spans="1:9" ht="16" x14ac:dyDescent="0.25">
      <c r="A127" s="69" t="str">
        <f>Listas!E122</f>
        <v>A48057-030-02 (Níquel Electroless) | 7 - 12 µm</v>
      </c>
      <c r="B127" s="69" t="str">
        <f t="shared" si="1"/>
        <v>Níquel</v>
      </c>
      <c r="C127" s="69" t="str">
        <f>IF($A127="","",IF(AND($B127&lt;&gt;"",IF($F$2="Otros",$B127="Otros",ISNUMBER(SEARCH($B127,$F$2)))),COUNT($C$2:C126)+1,""))</f>
        <v/>
      </c>
      <c r="G127" s="132" t="str">
        <f>IFERROR(INDEX($A$2:$A$507,MATCH(ROWS($G$2:G127),$C$2:$C$507,0)),IF(ROWS($G$2:G127)=1,"(sin matches)",""))</f>
        <v>RC Cámara Salina | 12 hrs. | 120 hrs.</v>
      </c>
      <c r="I127" s="69" t="str">
        <f>IF($A127="","",IF(AND($B127&lt;&gt;"",ISNUMBER(SEARCH($I$7,$B127))),COUNT($I$9:I126)+1,""))</f>
        <v/>
      </c>
    </row>
    <row r="128" spans="1:9" ht="16" x14ac:dyDescent="0.25">
      <c r="A128" s="69" t="str">
        <f>Listas!E123</f>
        <v>ABD01030 (Plata Semibrillante) | 2 - 5 µm</v>
      </c>
      <c r="B128" s="69" t="str">
        <f t="shared" si="1"/>
        <v>Plata</v>
      </c>
      <c r="C128" s="69" t="str">
        <f>IF($A128="","",IF(AND($B128&lt;&gt;"",IF($F$2="Otros",$B128="Otros",ISNUMBER(SEARCH($B128,$F$2)))),COUNT($C$2:C127)+1,""))</f>
        <v/>
      </c>
      <c r="G128" s="132" t="str">
        <f>IFERROR(INDEX($A$2:$A$507,MATCH(ROWS($G$2:G128),$C$2:$C$507,0)),IF(ROWS($G$2:G128)=1,"(sin matches)",""))</f>
        <v>RC Cámara Salina | 12 hrs. | 144 hrs.</v>
      </c>
      <c r="I128" s="69" t="str">
        <f>IF($A128="","",IF(AND($B128&lt;&gt;"",ISNUMBER(SEARCH($I$7,$B128))),COUNT($I$9:I127)+1,""))</f>
        <v/>
      </c>
    </row>
    <row r="129" spans="1:9" ht="16" x14ac:dyDescent="0.25">
      <c r="A129" s="69" t="str">
        <f>Listas!E124</f>
        <v>ACP5-618 (Plata) | 0.076 - 2.54 µm</v>
      </c>
      <c r="B129" s="69" t="str">
        <f t="shared" si="1"/>
        <v>Plata</v>
      </c>
      <c r="C129" s="69" t="str">
        <f>IF($A129="","",IF(AND($B129&lt;&gt;"",IF($F$2="Otros",$B129="Otros",ISNUMBER(SEARCH($B129,$F$2)))),COUNT($C$2:C128)+1,""))</f>
        <v/>
      </c>
      <c r="G129" s="132" t="str">
        <f>IFERROR(INDEX($A$2:$A$507,MATCH(ROWS($G$2:G129),$C$2:$C$507,0)),IF(ROWS($G$2:G129)=1,"(sin matches)",""))</f>
        <v>RC Cámara Salina | 12 hrs. | 16 hrs.</v>
      </c>
      <c r="I129" s="69" t="str">
        <f>IF($A129="","",IF(AND($B129&lt;&gt;"",ISNUMBER(SEARCH($I$7,$B129))),COUNT($I$9:I128)+1,""))</f>
        <v/>
      </c>
    </row>
    <row r="130" spans="1:9" ht="16" x14ac:dyDescent="0.25">
      <c r="A130" s="69" t="str">
        <f>Listas!E125</f>
        <v>ACP5-618 (Plata) | 2.54 - 5.08 µm</v>
      </c>
      <c r="B130" s="69" t="str">
        <f t="shared" si="1"/>
        <v>Plata</v>
      </c>
      <c r="C130" s="69" t="str">
        <f>IF($A130="","",IF(AND($B130&lt;&gt;"",IF($F$2="Otros",$B130="Otros",ISNUMBER(SEARCH($B130,$F$2)))),COUNT($C$2:C129)+1,""))</f>
        <v/>
      </c>
      <c r="G130" s="132" t="str">
        <f>IFERROR(INDEX($A$2:$A$507,MATCH(ROWS($G$2:G130),$C$2:$C$507,0)),IF(ROWS($G$2:G130)=1,"(sin matches)",""))</f>
        <v>RC Cámara Salina | 12 hrs. | 172 hrs.</v>
      </c>
      <c r="I130" s="69" t="str">
        <f>IF($A130="","",IF(AND($B130&lt;&gt;"",ISNUMBER(SEARCH($I$7,$B130))),COUNT($I$9:I129)+1,""))</f>
        <v/>
      </c>
    </row>
    <row r="131" spans="1:9" ht="16" x14ac:dyDescent="0.25">
      <c r="A131" s="69" t="str">
        <f>Listas!E126</f>
        <v>ACP5-618 (Plata) | 5.08 - 12.7 µm</v>
      </c>
      <c r="B131" s="69" t="str">
        <f t="shared" si="1"/>
        <v>Plata</v>
      </c>
      <c r="C131" s="69" t="str">
        <f>IF($A131="","",IF(AND($B131&lt;&gt;"",IF($F$2="Otros",$B131="Otros",ISNUMBER(SEARCH($B131,$F$2)))),COUNT($C$2:C130)+1,""))</f>
        <v/>
      </c>
      <c r="G131" s="132" t="str">
        <f>IFERROR(INDEX($A$2:$A$507,MATCH(ROWS($G$2:G131),$C$2:$C$507,0)),IF(ROWS($G$2:G131)=1,"(sin matches)",""))</f>
        <v>RC Cámara Salina | 12 hrs. | 200 hrs.</v>
      </c>
      <c r="I131" s="69" t="str">
        <f>IF($A131="","",IF(AND($B131&lt;&gt;"",ISNUMBER(SEARCH($I$7,$B131))),COUNT($I$9:I130)+1,""))</f>
        <v/>
      </c>
    </row>
    <row r="132" spans="1:9" ht="16" x14ac:dyDescent="0.25">
      <c r="A132" s="69" t="str">
        <f>Listas!E127</f>
        <v>ASTM B545 (Estaño) | 1.5 - 2.5 µm | 0.5 - 1.0 µm</v>
      </c>
      <c r="B132" s="69" t="str">
        <f t="shared" si="1"/>
        <v>Estaño</v>
      </c>
      <c r="C132" s="69" t="str">
        <f>IF($A132="","",IF(AND($B132&lt;&gt;"",IF($F$2="Otros",$B132="Otros",ISNUMBER(SEARCH($B132,$F$2)))),COUNT($C$2:C131)+1,""))</f>
        <v/>
      </c>
      <c r="G132" s="132" t="str">
        <f>IFERROR(INDEX($A$2:$A$507,MATCH(ROWS($G$2:G132),$C$2:$C$507,0)),IF(ROWS($G$2:G132)=1,"(sin matches)",""))</f>
        <v>RC Cámara Salina | 12 hrs. | 24 hrs.</v>
      </c>
      <c r="I132" s="69" t="str">
        <f>IF($A132="","",IF(AND($B132&lt;&gt;"",ISNUMBER(SEARCH($I$7,$B132))),COUNT($I$9:I131)+1,""))</f>
        <v/>
      </c>
    </row>
    <row r="133" spans="1:9" ht="16" x14ac:dyDescent="0.25">
      <c r="A133" s="69" t="str">
        <f>Listas!E128</f>
        <v>ASTM B545 (Estaño) | 1.5 - 2.5 µm | 1.0 - 2.54 µm</v>
      </c>
      <c r="B133" s="69" t="str">
        <f t="shared" si="1"/>
        <v>Estaño</v>
      </c>
      <c r="C133" s="69" t="str">
        <f>IF($A133="","",IF(AND($B133&lt;&gt;"",IF($F$2="Otros",$B133="Otros",ISNUMBER(SEARCH($B133,$F$2)))),COUNT($C$2:C132)+1,""))</f>
        <v/>
      </c>
      <c r="G133" s="132" t="str">
        <f>IFERROR(INDEX($A$2:$A$507,MATCH(ROWS($G$2:G133),$C$2:$C$507,0)),IF(ROWS($G$2:G133)=1,"(sin matches)",""))</f>
        <v>RC Cámara Salina | 12 hrs. | 240 hrs.</v>
      </c>
      <c r="I133" s="69" t="str">
        <f>IF($A133="","",IF(AND($B133&lt;&gt;"",ISNUMBER(SEARCH($I$7,$B133))),COUNT($I$9:I132)+1,""))</f>
        <v/>
      </c>
    </row>
    <row r="134" spans="1:9" ht="16" x14ac:dyDescent="0.25">
      <c r="A134" s="69" t="str">
        <f>Listas!E129</f>
        <v>ASTM B545 (Estaño) | 1.5 - 2.5 µm | 2.54 - 5.08 µm</v>
      </c>
      <c r="B134" s="69" t="str">
        <f t="shared" si="1"/>
        <v>Estaño</v>
      </c>
      <c r="C134" s="69" t="str">
        <f>IF($A134="","",IF(AND($B134&lt;&gt;"",IF($F$2="Otros",$B134="Otros",ISNUMBER(SEARCH($B134,$F$2)))),COUNT($C$2:C133)+1,""))</f>
        <v/>
      </c>
      <c r="G134" s="132" t="str">
        <f>IFERROR(INDEX($A$2:$A$507,MATCH(ROWS($G$2:G134),$C$2:$C$507,0)),IF(ROWS($G$2:G134)=1,"(sin matches)",""))</f>
        <v>RC Cámara Salina | 12 hrs. | 36 hrs.</v>
      </c>
      <c r="I134" s="69" t="str">
        <f>IF($A134="","",IF(AND($B134&lt;&gt;"",ISNUMBER(SEARCH($I$7,$B134))),COUNT($I$9:I133)+1,""))</f>
        <v/>
      </c>
    </row>
    <row r="135" spans="1:9" ht="16" x14ac:dyDescent="0.25">
      <c r="A135" s="69" t="str">
        <f>Listas!E130</f>
        <v>ASTM B545 (Estaño) | 1.5 - 2.5 µm | 5.08 - 10.16 µm</v>
      </c>
      <c r="B135" s="69" t="str">
        <f t="shared" si="1"/>
        <v>Estaño</v>
      </c>
      <c r="C135" s="69" t="str">
        <f>IF($A135="","",IF(AND($B135&lt;&gt;"",IF($F$2="Otros",$B135="Otros",ISNUMBER(SEARCH($B135,$F$2)))),COUNT($C$2:C134)+1,""))</f>
        <v/>
      </c>
      <c r="G135" s="132" t="str">
        <f>IFERROR(INDEX($A$2:$A$507,MATCH(ROWS($G$2:G135),$C$2:$C$507,0)),IF(ROWS($G$2:G135)=1,"(sin matches)",""))</f>
        <v>RC Cámara Salina | 12 hrs. | 360 hrs.</v>
      </c>
      <c r="I135" s="69" t="str">
        <f>IF($A135="","",IF(AND($B135&lt;&gt;"",ISNUMBER(SEARCH($I$7,$B135))),COUNT($I$9:I134)+1,""))</f>
        <v/>
      </c>
    </row>
    <row r="136" spans="1:9" ht="16" x14ac:dyDescent="0.25">
      <c r="A136" s="69" t="str">
        <f>Listas!E131</f>
        <v>ASTM B545 (Estaño) | 1.5 - 2.5 µm | No aplica</v>
      </c>
      <c r="B136" s="69" t="str">
        <f t="shared" si="1"/>
        <v>Estaño</v>
      </c>
      <c r="C136" s="69" t="str">
        <f>IF($A136="","",IF(AND($B136&lt;&gt;"",IF($F$2="Otros",$B136="Otros",ISNUMBER(SEARCH($B136,$F$2)))),COUNT($C$2:C135)+1,""))</f>
        <v/>
      </c>
      <c r="G136" s="132" t="str">
        <f>IFERROR(INDEX($A$2:$A$507,MATCH(ROWS($G$2:G136),$C$2:$C$507,0)),IF(ROWS($G$2:G136)=1,"(sin matches)",""))</f>
        <v>RC Cámara Salina | 12 hrs. | 48 hrs.</v>
      </c>
      <c r="I136" s="69" t="str">
        <f>IF($A136="","",IF(AND($B136&lt;&gt;"",ISNUMBER(SEARCH($I$7,$B136))),COUNT($I$9:I135)+1,""))</f>
        <v/>
      </c>
    </row>
    <row r="137" spans="1:9" ht="16" x14ac:dyDescent="0.25">
      <c r="A137" s="69" t="str">
        <f>Listas!E132</f>
        <v>ASTM B545 (Estaño) | 15 - 30 µm | 0.5 - 1.0 µm</v>
      </c>
      <c r="B137" s="69" t="str">
        <f t="shared" si="1"/>
        <v>Estaño</v>
      </c>
      <c r="C137" s="69" t="str">
        <f>IF($A137="","",IF(AND($B137&lt;&gt;"",IF($F$2="Otros",$B137="Otros",ISNUMBER(SEARCH($B137,$F$2)))),COUNT($C$2:C136)+1,""))</f>
        <v/>
      </c>
      <c r="G137" s="132" t="str">
        <f>IFERROR(INDEX($A$2:$A$507,MATCH(ROWS($G$2:G137),$C$2:$C$507,0)),IF(ROWS($G$2:G137)=1,"(sin matches)",""))</f>
        <v>RC Cámara Salina | 12 hrs. | 480 hrs.</v>
      </c>
      <c r="I137" s="69" t="str">
        <f>IF($A137="","",IF(AND($B137&lt;&gt;"",ISNUMBER(SEARCH($I$7,$B137))),COUNT($I$9:I136)+1,""))</f>
        <v/>
      </c>
    </row>
    <row r="138" spans="1:9" ht="16" x14ac:dyDescent="0.25">
      <c r="A138" s="69" t="str">
        <f>Listas!E133</f>
        <v>ASTM B545 (Estaño) | 15 - 30 µm | 1.0 - 2.54 µm</v>
      </c>
      <c r="B138" s="69" t="str">
        <f t="shared" ref="B138:B201" si="2">IF(OR(A138="",A138=0),"",IF(_xlfn.TEXTJOIN("+",TRUE,IF(ISNUMBER(SEARCH("Plata",A138&amp;"")),"Plata",""),IF(ISNUMBER(SEARCH("Níquel",A138&amp;"")),"Níquel",""),IF(ISNUMBER(SEARCH("Estaño",A138&amp;"")),"Estaño",""),IF(ISNUMBER(SEARCH("Zinc",A138&amp;"")),"Zinc",""),IF(ISNUMBER(SEARCH("Epóxico",A138&amp;"")),"Epóxico",""))="","Otros",_xlfn.TEXTJOIN("+",TRUE,IF(ISNUMBER(SEARCH("Plata",A138&amp;"")),"Plata",""),IF(ISNUMBER(SEARCH("Níquel",A138&amp;"")),"Níquel",""),IF(ISNUMBER(SEARCH("Estaño",A138&amp;"")),"Estaño",""),IF(ISNUMBER(SEARCH("Zinc",A138&amp;"")),"Zinc",""),IF(ISNUMBER(SEARCH("Epóxico",A138&amp;"")),"Epóxico",""))))</f>
        <v>Estaño</v>
      </c>
      <c r="C138" s="69" t="str">
        <f>IF($A138="","",IF(AND($B138&lt;&gt;"",IF($F$2="Otros",$B138="Otros",ISNUMBER(SEARCH($B138,$F$2)))),COUNT($C$2:C137)+1,""))</f>
        <v/>
      </c>
      <c r="G138" s="132" t="str">
        <f>IFERROR(INDEX($A$2:$A$507,MATCH(ROWS($G$2:G138),$C$2:$C$507,0)),IF(ROWS($G$2:G138)=1,"(sin matches)",""))</f>
        <v>RC Cámara Salina | 12 hrs. | 500 hrs.</v>
      </c>
      <c r="I138" s="69" t="str">
        <f>IF($A138="","",IF(AND($B138&lt;&gt;"",ISNUMBER(SEARCH($I$7,$B138))),COUNT($I$9:I137)+1,""))</f>
        <v/>
      </c>
    </row>
    <row r="139" spans="1:9" ht="16" x14ac:dyDescent="0.25">
      <c r="A139" s="69" t="str">
        <f>Listas!E134</f>
        <v>ASTM B545 (Estaño) | 15 - 30 µm | 2.54 - 5.08 µm</v>
      </c>
      <c r="B139" s="69" t="str">
        <f t="shared" si="2"/>
        <v>Estaño</v>
      </c>
      <c r="C139" s="69" t="str">
        <f>IF($A139="","",IF(AND($B139&lt;&gt;"",IF($F$2="Otros",$B139="Otros",ISNUMBER(SEARCH($B139,$F$2)))),COUNT($C$2:C138)+1,""))</f>
        <v/>
      </c>
      <c r="G139" s="132" t="str">
        <f>IFERROR(INDEX($A$2:$A$507,MATCH(ROWS($G$2:G139),$C$2:$C$507,0)),IF(ROWS($G$2:G139)=1,"(sin matches)",""))</f>
        <v>RC Cámara Salina | 12 hrs. | 72 hrs.</v>
      </c>
      <c r="I139" s="69" t="str">
        <f>IF($A139="","",IF(AND($B139&lt;&gt;"",ISNUMBER(SEARCH($I$7,$B139))),COUNT($I$9:I138)+1,""))</f>
        <v/>
      </c>
    </row>
    <row r="140" spans="1:9" ht="16" x14ac:dyDescent="0.25">
      <c r="A140" s="69" t="str">
        <f>Listas!E135</f>
        <v>ASTM B545 (Estaño) | 15 - 30 µm | 5.08 - 10.16 µm</v>
      </c>
      <c r="B140" s="69" t="str">
        <f t="shared" si="2"/>
        <v>Estaño</v>
      </c>
      <c r="C140" s="69" t="str">
        <f>IF($A140="","",IF(AND($B140&lt;&gt;"",IF($F$2="Otros",$B140="Otros",ISNUMBER(SEARCH($B140,$F$2)))),COUNT($C$2:C139)+1,""))</f>
        <v/>
      </c>
      <c r="G140" s="132" t="str">
        <f>IFERROR(INDEX($A$2:$A$507,MATCH(ROWS($G$2:G140),$C$2:$C$507,0)),IF(ROWS($G$2:G140)=1,"(sin matches)",""))</f>
        <v>RC Cámara Salina | 12 hrs. | 720 hrs.</v>
      </c>
      <c r="I140" s="69" t="str">
        <f>IF($A140="","",IF(AND($B140&lt;&gt;"",ISNUMBER(SEARCH($I$7,$B140))),COUNT($I$9:I139)+1,""))</f>
        <v/>
      </c>
    </row>
    <row r="141" spans="1:9" ht="16" x14ac:dyDescent="0.25">
      <c r="A141" s="69" t="str">
        <f>Listas!E136</f>
        <v>ASTM B545 (Estaño) | 15 - 30 µm | No aplica</v>
      </c>
      <c r="B141" s="69" t="str">
        <f t="shared" si="2"/>
        <v>Estaño</v>
      </c>
      <c r="C141" s="69" t="str">
        <f>IF($A141="","",IF(AND($B141&lt;&gt;"",IF($F$2="Otros",$B141="Otros",ISNUMBER(SEARCH($B141,$F$2)))),COUNT($C$2:C140)+1,""))</f>
        <v/>
      </c>
      <c r="G141" s="132" t="str">
        <f>IFERROR(INDEX($A$2:$A$507,MATCH(ROWS($G$2:G141),$C$2:$C$507,0)),IF(ROWS($G$2:G141)=1,"(sin matches)",""))</f>
        <v>RC Cámara Salina | 12 hrs. | 96 hrs.</v>
      </c>
      <c r="I141" s="69" t="str">
        <f>IF($A141="","",IF(AND($B141&lt;&gt;"",ISNUMBER(SEARCH($I$7,$B141))),COUNT($I$9:I140)+1,""))</f>
        <v/>
      </c>
    </row>
    <row r="142" spans="1:9" ht="16" x14ac:dyDescent="0.25">
      <c r="A142" s="69" t="str">
        <f>Listas!E137</f>
        <v>ASTM B545 (Estaño) | 2.5 - 5 µm | 0.5 - 1.0 µm</v>
      </c>
      <c r="B142" s="69" t="str">
        <f t="shared" si="2"/>
        <v>Estaño</v>
      </c>
      <c r="C142" s="69" t="str">
        <f>IF($A142="","",IF(AND($B142&lt;&gt;"",IF($F$2="Otros",$B142="Otros",ISNUMBER(SEARCH($B142,$F$2)))),COUNT($C$2:C141)+1,""))</f>
        <v/>
      </c>
      <c r="G142" s="132" t="str">
        <f>IFERROR(INDEX($A$2:$A$507,MATCH(ROWS($G$2:G142),$C$2:$C$507,0)),IF(ROWS($G$2:G142)=1,"(sin matches)",""))</f>
        <v>RC Cámara Salina | 12 hrs. | 960 hrs.</v>
      </c>
      <c r="I142" s="69" t="str">
        <f>IF($A142="","",IF(AND($B142&lt;&gt;"",ISNUMBER(SEARCH($I$7,$B142))),COUNT($I$9:I141)+1,""))</f>
        <v/>
      </c>
    </row>
    <row r="143" spans="1:9" ht="16" x14ac:dyDescent="0.25">
      <c r="A143" s="69" t="str">
        <f>Listas!E138</f>
        <v>ASTM B545 (Estaño) | 2.5 - 5 µm | 1.0 - 2.54 µm</v>
      </c>
      <c r="B143" s="69" t="str">
        <f t="shared" si="2"/>
        <v>Estaño</v>
      </c>
      <c r="C143" s="69" t="str">
        <f>IF($A143="","",IF(AND($B143&lt;&gt;"",IF($F$2="Otros",$B143="Otros",ISNUMBER(SEARCH($B143,$F$2)))),COUNT($C$2:C142)+1,""))</f>
        <v/>
      </c>
      <c r="G143" s="132" t="str">
        <f>IFERROR(INDEX($A$2:$A$507,MATCH(ROWS($G$2:G143),$C$2:$C$507,0)),IF(ROWS($G$2:G143)=1,"(sin matches)",""))</f>
        <v>RC Cámara Salina | 12 hrs. | No aplica</v>
      </c>
      <c r="I143" s="69" t="str">
        <f>IF($A143="","",IF(AND($B143&lt;&gt;"",ISNUMBER(SEARCH($I$7,$B143))),COUNT($I$9:I142)+1,""))</f>
        <v/>
      </c>
    </row>
    <row r="144" spans="1:9" ht="16" x14ac:dyDescent="0.25">
      <c r="A144" s="69" t="str">
        <f>Listas!E139</f>
        <v>ASTM B545 (Estaño) | 2.5 - 5 µm | 2.54 - 5.08 µm</v>
      </c>
      <c r="B144" s="69" t="str">
        <f t="shared" si="2"/>
        <v>Estaño</v>
      </c>
      <c r="C144" s="69" t="str">
        <f>IF($A144="","",IF(AND($B144&lt;&gt;"",IF($F$2="Otros",$B144="Otros",ISNUMBER(SEARCH($B144,$F$2)))),COUNT($C$2:C143)+1,""))</f>
        <v/>
      </c>
      <c r="G144" s="132" t="str">
        <f>IFERROR(INDEX($A$2:$A$507,MATCH(ROWS($G$2:G144),$C$2:$C$507,0)),IF(ROWS($G$2:G144)=1,"(sin matches)",""))</f>
        <v>RC Cámara Salina | 120 hrs. | 12 hrs.</v>
      </c>
      <c r="I144" s="69" t="str">
        <f>IF($A144="","",IF(AND($B144&lt;&gt;"",ISNUMBER(SEARCH($I$7,$B144))),COUNT($I$9:I143)+1,""))</f>
        <v/>
      </c>
    </row>
    <row r="145" spans="1:9" ht="16" x14ac:dyDescent="0.25">
      <c r="A145" s="69" t="str">
        <f>Listas!E140</f>
        <v>ASTM B545 (Estaño) | 2.5 - 5 µm | 5.08 - 10.16 µm</v>
      </c>
      <c r="B145" s="69" t="str">
        <f t="shared" si="2"/>
        <v>Estaño</v>
      </c>
      <c r="C145" s="69" t="str">
        <f>IF($A145="","",IF(AND($B145&lt;&gt;"",IF($F$2="Otros",$B145="Otros",ISNUMBER(SEARCH($B145,$F$2)))),COUNT($C$2:C144)+1,""))</f>
        <v/>
      </c>
      <c r="G145" s="132" t="str">
        <f>IFERROR(INDEX($A$2:$A$507,MATCH(ROWS($G$2:G145),$C$2:$C$507,0)),IF(ROWS($G$2:G145)=1,"(sin matches)",""))</f>
        <v>RC Cámara Salina | 120 hrs. | 120 hrs.</v>
      </c>
      <c r="I145" s="69" t="str">
        <f>IF($A145="","",IF(AND($B145&lt;&gt;"",ISNUMBER(SEARCH($I$7,$B145))),COUNT($I$9:I144)+1,""))</f>
        <v/>
      </c>
    </row>
    <row r="146" spans="1:9" ht="16" x14ac:dyDescent="0.25">
      <c r="A146" s="69" t="str">
        <f>Listas!E141</f>
        <v>ASTM B545 (Estaño) | 2.5 - 5 µm | No aplica</v>
      </c>
      <c r="B146" s="69" t="str">
        <f t="shared" si="2"/>
        <v>Estaño</v>
      </c>
      <c r="C146" s="69" t="str">
        <f>IF($A146="","",IF(AND($B146&lt;&gt;"",IF($F$2="Otros",$B146="Otros",ISNUMBER(SEARCH($B146,$F$2)))),COUNT($C$2:C145)+1,""))</f>
        <v/>
      </c>
      <c r="G146" s="132" t="str">
        <f>IFERROR(INDEX($A$2:$A$507,MATCH(ROWS($G$2:G146),$C$2:$C$507,0)),IF(ROWS($G$2:G146)=1,"(sin matches)",""))</f>
        <v>RC Cámara Salina | 120 hrs. | 144 hrs.</v>
      </c>
      <c r="I146" s="69" t="str">
        <f>IF($A146="","",IF(AND($B146&lt;&gt;"",ISNUMBER(SEARCH($I$7,$B146))),COUNT($I$9:I145)+1,""))</f>
        <v/>
      </c>
    </row>
    <row r="147" spans="1:9" ht="16" x14ac:dyDescent="0.25">
      <c r="A147" s="69" t="str">
        <f>Listas!E142</f>
        <v>ASTM B545 (Estaño) | 30 - 50 µm | 0.5 - 1.0 µm</v>
      </c>
      <c r="B147" s="69" t="str">
        <f t="shared" si="2"/>
        <v>Estaño</v>
      </c>
      <c r="C147" s="69" t="str">
        <f>IF($A147="","",IF(AND($B147&lt;&gt;"",IF($F$2="Otros",$B147="Otros",ISNUMBER(SEARCH($B147,$F$2)))),COUNT($C$2:C146)+1,""))</f>
        <v/>
      </c>
      <c r="G147" s="132" t="str">
        <f>IFERROR(INDEX($A$2:$A$507,MATCH(ROWS($G$2:G147),$C$2:$C$507,0)),IF(ROWS($G$2:G147)=1,"(sin matches)",""))</f>
        <v>RC Cámara Salina | 120 hrs. | 16 hrs.</v>
      </c>
      <c r="I147" s="69" t="str">
        <f>IF($A147="","",IF(AND($B147&lt;&gt;"",ISNUMBER(SEARCH($I$7,$B147))),COUNT($I$9:I146)+1,""))</f>
        <v/>
      </c>
    </row>
    <row r="148" spans="1:9" ht="16" x14ac:dyDescent="0.25">
      <c r="A148" s="69" t="str">
        <f>Listas!E143</f>
        <v>ASTM B545 (Estaño) | 30 - 50 µm | 1.0 - 2.54 µm</v>
      </c>
      <c r="B148" s="69" t="str">
        <f t="shared" si="2"/>
        <v>Estaño</v>
      </c>
      <c r="C148" s="69" t="str">
        <f>IF($A148="","",IF(AND($B148&lt;&gt;"",IF($F$2="Otros",$B148="Otros",ISNUMBER(SEARCH($B148,$F$2)))),COUNT($C$2:C147)+1,""))</f>
        <v/>
      </c>
      <c r="G148" s="132" t="str">
        <f>IFERROR(INDEX($A$2:$A$507,MATCH(ROWS($G$2:G148),$C$2:$C$507,0)),IF(ROWS($G$2:G148)=1,"(sin matches)",""))</f>
        <v>RC Cámara Salina | 120 hrs. | 172 hrs.</v>
      </c>
      <c r="I148" s="69" t="str">
        <f>IF($A148="","",IF(AND($B148&lt;&gt;"",ISNUMBER(SEARCH($I$7,$B148))),COUNT($I$9:I147)+1,""))</f>
        <v/>
      </c>
    </row>
    <row r="149" spans="1:9" ht="16" x14ac:dyDescent="0.25">
      <c r="A149" s="69" t="str">
        <f>Listas!E144</f>
        <v>ASTM B545 (Estaño) | 30 - 50 µm | 2.54 - 5.08 µm</v>
      </c>
      <c r="B149" s="69" t="str">
        <f t="shared" si="2"/>
        <v>Estaño</v>
      </c>
      <c r="C149" s="69" t="str">
        <f>IF($A149="","",IF(AND($B149&lt;&gt;"",IF($F$2="Otros",$B149="Otros",ISNUMBER(SEARCH($B149,$F$2)))),COUNT($C$2:C148)+1,""))</f>
        <v/>
      </c>
      <c r="G149" s="132" t="str">
        <f>IFERROR(INDEX($A$2:$A$507,MATCH(ROWS($G$2:G149),$C$2:$C$507,0)),IF(ROWS($G$2:G149)=1,"(sin matches)",""))</f>
        <v>RC Cámara Salina | 120 hrs. | 200 hrs.</v>
      </c>
      <c r="I149" s="69" t="str">
        <f>IF($A149="","",IF(AND($B149&lt;&gt;"",ISNUMBER(SEARCH($I$7,$B149))),COUNT($I$9:I148)+1,""))</f>
        <v/>
      </c>
    </row>
    <row r="150" spans="1:9" ht="16" x14ac:dyDescent="0.25">
      <c r="A150" s="69" t="str">
        <f>Listas!E145</f>
        <v>ASTM B545 (Estaño) | 30 - 50 µm | 5.08 - 10.16 µm</v>
      </c>
      <c r="B150" s="69" t="str">
        <f t="shared" si="2"/>
        <v>Estaño</v>
      </c>
      <c r="C150" s="69" t="str">
        <f>IF($A150="","",IF(AND($B150&lt;&gt;"",IF($F$2="Otros",$B150="Otros",ISNUMBER(SEARCH($B150,$F$2)))),COUNT($C$2:C149)+1,""))</f>
        <v/>
      </c>
      <c r="G150" s="132" t="str">
        <f>IFERROR(INDEX($A$2:$A$507,MATCH(ROWS($G$2:G150),$C$2:$C$507,0)),IF(ROWS($G$2:G150)=1,"(sin matches)",""))</f>
        <v>RC Cámara Salina | 120 hrs. | 24 hrs.</v>
      </c>
      <c r="I150" s="69" t="str">
        <f>IF($A150="","",IF(AND($B150&lt;&gt;"",ISNUMBER(SEARCH($I$7,$B150))),COUNT($I$9:I149)+1,""))</f>
        <v/>
      </c>
    </row>
    <row r="151" spans="1:9" ht="16" x14ac:dyDescent="0.25">
      <c r="A151" s="69" t="str">
        <f>Listas!E146</f>
        <v>ASTM B545 (Estaño) | 30 - 50 µm | No aplica</v>
      </c>
      <c r="B151" s="69" t="str">
        <f t="shared" si="2"/>
        <v>Estaño</v>
      </c>
      <c r="C151" s="69" t="str">
        <f>IF($A151="","",IF(AND($B151&lt;&gt;"",IF($F$2="Otros",$B151="Otros",ISNUMBER(SEARCH($B151,$F$2)))),COUNT($C$2:C150)+1,""))</f>
        <v/>
      </c>
      <c r="G151" s="132" t="str">
        <f>IFERROR(INDEX($A$2:$A$507,MATCH(ROWS($G$2:G151),$C$2:$C$507,0)),IF(ROWS($G$2:G151)=1,"(sin matches)",""))</f>
        <v>RC Cámara Salina | 120 hrs. | 240 hrs.</v>
      </c>
      <c r="I151" s="69" t="str">
        <f>IF($A151="","",IF(AND($B151&lt;&gt;"",ISNUMBER(SEARCH($I$7,$B151))),COUNT($I$9:I150)+1,""))</f>
        <v/>
      </c>
    </row>
    <row r="152" spans="1:9" ht="16" x14ac:dyDescent="0.25">
      <c r="A152" s="69" t="str">
        <f>Listas!E147</f>
        <v>ASTM B545 (Estaño) | 5 - 8 µm | 0.5 - 1.0 µm</v>
      </c>
      <c r="B152" s="69" t="str">
        <f t="shared" si="2"/>
        <v>Estaño</v>
      </c>
      <c r="C152" s="69" t="str">
        <f>IF($A152="","",IF(AND($B152&lt;&gt;"",IF($F$2="Otros",$B152="Otros",ISNUMBER(SEARCH($B152,$F$2)))),COUNT($C$2:C151)+1,""))</f>
        <v/>
      </c>
      <c r="G152" s="132" t="str">
        <f>IFERROR(INDEX($A$2:$A$507,MATCH(ROWS($G$2:G152),$C$2:$C$507,0)),IF(ROWS($G$2:G152)=1,"(sin matches)",""))</f>
        <v>RC Cámara Salina | 120 hrs. | 36 hrs.</v>
      </c>
      <c r="I152" s="69" t="str">
        <f>IF($A152="","",IF(AND($B152&lt;&gt;"",ISNUMBER(SEARCH($I$7,$B152))),COUNT($I$9:I151)+1,""))</f>
        <v/>
      </c>
    </row>
    <row r="153" spans="1:9" ht="16" x14ac:dyDescent="0.25">
      <c r="A153" s="69" t="str">
        <f>Listas!E148</f>
        <v>ASTM B545 (Estaño) | 5 - 8 µm | 1.0 - 2.54 µm</v>
      </c>
      <c r="B153" s="69" t="str">
        <f t="shared" si="2"/>
        <v>Estaño</v>
      </c>
      <c r="C153" s="69" t="str">
        <f>IF($A153="","",IF(AND($B153&lt;&gt;"",IF($F$2="Otros",$B153="Otros",ISNUMBER(SEARCH($B153,$F$2)))),COUNT($C$2:C152)+1,""))</f>
        <v/>
      </c>
      <c r="G153" s="132" t="str">
        <f>IFERROR(INDEX($A$2:$A$507,MATCH(ROWS($G$2:G153),$C$2:$C$507,0)),IF(ROWS($G$2:G153)=1,"(sin matches)",""))</f>
        <v>RC Cámara Salina | 120 hrs. | 360 hrs.</v>
      </c>
      <c r="I153" s="69" t="str">
        <f>IF($A153="","",IF(AND($B153&lt;&gt;"",ISNUMBER(SEARCH($I$7,$B153))),COUNT($I$9:I152)+1,""))</f>
        <v/>
      </c>
    </row>
    <row r="154" spans="1:9" ht="16" x14ac:dyDescent="0.25">
      <c r="A154" s="69" t="str">
        <f>Listas!E149</f>
        <v>ASTM B545 (Estaño) | 5 - 8 µm | 2.54 - 5.08 µm</v>
      </c>
      <c r="B154" s="69" t="str">
        <f t="shared" si="2"/>
        <v>Estaño</v>
      </c>
      <c r="C154" s="69" t="str">
        <f>IF($A154="","",IF(AND($B154&lt;&gt;"",IF($F$2="Otros",$B154="Otros",ISNUMBER(SEARCH($B154,$F$2)))),COUNT($C$2:C153)+1,""))</f>
        <v/>
      </c>
      <c r="G154" s="132" t="str">
        <f>IFERROR(INDEX($A$2:$A$507,MATCH(ROWS($G$2:G154),$C$2:$C$507,0)),IF(ROWS($G$2:G154)=1,"(sin matches)",""))</f>
        <v>RC Cámara Salina | 120 hrs. | 48 hrs.</v>
      </c>
      <c r="I154" s="69" t="str">
        <f>IF($A154="","",IF(AND($B154&lt;&gt;"",ISNUMBER(SEARCH($I$7,$B154))),COUNT($I$9:I153)+1,""))</f>
        <v/>
      </c>
    </row>
    <row r="155" spans="1:9" ht="16" x14ac:dyDescent="0.25">
      <c r="A155" s="69" t="str">
        <f>Listas!E150</f>
        <v>ASTM B545 (Estaño) | 5 - 8 µm | 5.08 - 10.16 µm</v>
      </c>
      <c r="B155" s="69" t="str">
        <f t="shared" si="2"/>
        <v>Estaño</v>
      </c>
      <c r="C155" s="69" t="str">
        <f>IF($A155="","",IF(AND($B155&lt;&gt;"",IF($F$2="Otros",$B155="Otros",ISNUMBER(SEARCH($B155,$F$2)))),COUNT($C$2:C154)+1,""))</f>
        <v/>
      </c>
      <c r="G155" s="132" t="str">
        <f>IFERROR(INDEX($A$2:$A$507,MATCH(ROWS($G$2:G155),$C$2:$C$507,0)),IF(ROWS($G$2:G155)=1,"(sin matches)",""))</f>
        <v>RC Cámara Salina | 120 hrs. | 480 hrs.</v>
      </c>
      <c r="I155" s="69" t="str">
        <f>IF($A155="","",IF(AND($B155&lt;&gt;"",ISNUMBER(SEARCH($I$7,$B155))),COUNT($I$9:I154)+1,""))</f>
        <v/>
      </c>
    </row>
    <row r="156" spans="1:9" ht="16" x14ac:dyDescent="0.25">
      <c r="A156" s="69" t="str">
        <f>Listas!E151</f>
        <v>ASTM B545 (Estaño) | 5 - 8 µm | No aplica</v>
      </c>
      <c r="B156" s="69" t="str">
        <f t="shared" si="2"/>
        <v>Estaño</v>
      </c>
      <c r="C156" s="69" t="str">
        <f>IF($A156="","",IF(AND($B156&lt;&gt;"",IF($F$2="Otros",$B156="Otros",ISNUMBER(SEARCH($B156,$F$2)))),COUNT($C$2:C155)+1,""))</f>
        <v/>
      </c>
      <c r="G156" s="132" t="str">
        <f>IFERROR(INDEX($A$2:$A$507,MATCH(ROWS($G$2:G156),$C$2:$C$507,0)),IF(ROWS($G$2:G156)=1,"(sin matches)",""))</f>
        <v>RC Cámara Salina | 120 hrs. | 500 hrs.</v>
      </c>
      <c r="I156" s="69" t="str">
        <f>IF($A156="","",IF(AND($B156&lt;&gt;"",ISNUMBER(SEARCH($I$7,$B156))),COUNT($I$9:I155)+1,""))</f>
        <v/>
      </c>
    </row>
    <row r="157" spans="1:9" ht="16" x14ac:dyDescent="0.25">
      <c r="A157" s="69" t="str">
        <f>Listas!E152</f>
        <v>ASTM B545 (Estaño) | 8 - 15 µm | 0.5 - 1.0 µm</v>
      </c>
      <c r="B157" s="69" t="str">
        <f t="shared" si="2"/>
        <v>Estaño</v>
      </c>
      <c r="C157" s="69" t="str">
        <f>IF($A157="","",IF(AND($B157&lt;&gt;"",IF($F$2="Otros",$B157="Otros",ISNUMBER(SEARCH($B157,$F$2)))),COUNT($C$2:C156)+1,""))</f>
        <v/>
      </c>
      <c r="G157" s="132" t="str">
        <f>IFERROR(INDEX($A$2:$A$507,MATCH(ROWS($G$2:G157),$C$2:$C$507,0)),IF(ROWS($G$2:G157)=1,"(sin matches)",""))</f>
        <v>RC Cámara Salina | 120 hrs. | 72 hrs.</v>
      </c>
      <c r="I157" s="69" t="str">
        <f>IF($A157="","",IF(AND($B157&lt;&gt;"",ISNUMBER(SEARCH($I$7,$B157))),COUNT($I$9:I156)+1,""))</f>
        <v/>
      </c>
    </row>
    <row r="158" spans="1:9" ht="16" x14ac:dyDescent="0.25">
      <c r="A158" s="69" t="str">
        <f>Listas!E153</f>
        <v>ASTM B545 (Estaño) | 8 - 15 µm | 1.0 - 2.54 µm</v>
      </c>
      <c r="B158" s="69" t="str">
        <f t="shared" si="2"/>
        <v>Estaño</v>
      </c>
      <c r="C158" s="69" t="str">
        <f>IF($A158="","",IF(AND($B158&lt;&gt;"",IF($F$2="Otros",$B158="Otros",ISNUMBER(SEARCH($B158,$F$2)))),COUNT($C$2:C157)+1,""))</f>
        <v/>
      </c>
      <c r="G158" s="132" t="str">
        <f>IFERROR(INDEX($A$2:$A$507,MATCH(ROWS($G$2:G158),$C$2:$C$507,0)),IF(ROWS($G$2:G158)=1,"(sin matches)",""))</f>
        <v>RC Cámara Salina | 120 hrs. | 720 hrs.</v>
      </c>
      <c r="I158" s="69" t="str">
        <f>IF($A158="","",IF(AND($B158&lt;&gt;"",ISNUMBER(SEARCH($I$7,$B158))),COUNT($I$9:I157)+1,""))</f>
        <v/>
      </c>
    </row>
    <row r="159" spans="1:9" ht="16" x14ac:dyDescent="0.25">
      <c r="A159" s="69" t="str">
        <f>Listas!E154</f>
        <v>ASTM B545 (Estaño) | 8 - 15 µm | 2.54 - 5.08 µm</v>
      </c>
      <c r="B159" s="69" t="str">
        <f t="shared" si="2"/>
        <v>Estaño</v>
      </c>
      <c r="C159" s="69" t="str">
        <f>IF($A159="","",IF(AND($B159&lt;&gt;"",IF($F$2="Otros",$B159="Otros",ISNUMBER(SEARCH($B159,$F$2)))),COUNT($C$2:C158)+1,""))</f>
        <v/>
      </c>
      <c r="G159" s="132" t="str">
        <f>IFERROR(INDEX($A$2:$A$507,MATCH(ROWS($G$2:G159),$C$2:$C$507,0)),IF(ROWS($G$2:G159)=1,"(sin matches)",""))</f>
        <v>RC Cámara Salina | 120 hrs. | 96 hrs.</v>
      </c>
      <c r="I159" s="69" t="str">
        <f>IF($A159="","",IF(AND($B159&lt;&gt;"",ISNUMBER(SEARCH($I$7,$B159))),COUNT($I$9:I158)+1,""))</f>
        <v/>
      </c>
    </row>
    <row r="160" spans="1:9" ht="16" x14ac:dyDescent="0.25">
      <c r="A160" s="69" t="str">
        <f>Listas!E155</f>
        <v>ASTM B545 (Estaño) | 8 - 15 µm | 5.08 - 10.16 µm</v>
      </c>
      <c r="B160" s="69" t="str">
        <f t="shared" si="2"/>
        <v>Estaño</v>
      </c>
      <c r="C160" s="69" t="str">
        <f>IF($A160="","",IF(AND($B160&lt;&gt;"",IF($F$2="Otros",$B160="Otros",ISNUMBER(SEARCH($B160,$F$2)))),COUNT($C$2:C159)+1,""))</f>
        <v/>
      </c>
      <c r="G160" s="132" t="str">
        <f>IFERROR(INDEX($A$2:$A$507,MATCH(ROWS($G$2:G160),$C$2:$C$507,0)),IF(ROWS($G$2:G160)=1,"(sin matches)",""))</f>
        <v>RC Cámara Salina | 120 hrs. | 960 hrs.</v>
      </c>
      <c r="I160" s="69" t="str">
        <f>IF($A160="","",IF(AND($B160&lt;&gt;"",ISNUMBER(SEARCH($I$7,$B160))),COUNT($I$9:I159)+1,""))</f>
        <v/>
      </c>
    </row>
    <row r="161" spans="1:9" ht="16" x14ac:dyDescent="0.25">
      <c r="A161" s="69" t="str">
        <f>Listas!E156</f>
        <v>ASTM B545 (Estaño) | 8 - 15 µm | No aplica</v>
      </c>
      <c r="B161" s="69" t="str">
        <f t="shared" si="2"/>
        <v>Estaño</v>
      </c>
      <c r="C161" s="69" t="str">
        <f>IF($A161="","",IF(AND($B161&lt;&gt;"",IF($F$2="Otros",$B161="Otros",ISNUMBER(SEARCH($B161,$F$2)))),COUNT($C$2:C160)+1,""))</f>
        <v/>
      </c>
      <c r="G161" s="132" t="str">
        <f>IFERROR(INDEX($A$2:$A$507,MATCH(ROWS($G$2:G161),$C$2:$C$507,0)),IF(ROWS($G$2:G161)=1,"(sin matches)",""))</f>
        <v>RC Cámara Salina | 120 hrs. | No aplica</v>
      </c>
      <c r="I161" s="69" t="str">
        <f>IF($A161="","",IF(AND($B161&lt;&gt;"",ISNUMBER(SEARCH($I$7,$B161))),COUNT($I$9:I160)+1,""))</f>
        <v/>
      </c>
    </row>
    <row r="162" spans="1:9" ht="16" x14ac:dyDescent="0.25">
      <c r="A162" s="69" t="str">
        <f>Listas!E157</f>
        <v>ASTM B633 (Zinc) | 12 - 25 µm</v>
      </c>
      <c r="B162" s="69" t="str">
        <f t="shared" si="2"/>
        <v>Zinc</v>
      </c>
      <c r="C162" s="69" t="str">
        <f>IF($A162="","",IF(AND($B162&lt;&gt;"",IF($F$2="Otros",$B162="Otros",ISNUMBER(SEARCH($B162,$F$2)))),COUNT($C$2:C161)+1,""))</f>
        <v/>
      </c>
      <c r="G162" s="132" t="str">
        <f>IFERROR(INDEX($A$2:$A$507,MATCH(ROWS($G$2:G162),$C$2:$C$507,0)),IF(ROWS($G$2:G162)=1,"(sin matches)",""))</f>
        <v>RC Cámara Salina | 144 hrs. | 12 hrs.</v>
      </c>
      <c r="I162" s="69" t="str">
        <f>IF($A162="","",IF(AND($B162&lt;&gt;"",ISNUMBER(SEARCH($I$7,$B162))),COUNT($I$9:I161)+1,""))</f>
        <v/>
      </c>
    </row>
    <row r="163" spans="1:9" ht="16" x14ac:dyDescent="0.25">
      <c r="A163" s="69" t="str">
        <f>Listas!E158</f>
        <v>ASTM B633 (Zinc) | 25 - 40 µm</v>
      </c>
      <c r="B163" s="69" t="str">
        <f t="shared" si="2"/>
        <v>Zinc</v>
      </c>
      <c r="C163" s="69" t="str">
        <f>IF($A163="","",IF(AND($B163&lt;&gt;"",IF($F$2="Otros",$B163="Otros",ISNUMBER(SEARCH($B163,$F$2)))),COUNT($C$2:C162)+1,""))</f>
        <v/>
      </c>
      <c r="G163" s="132" t="str">
        <f>IFERROR(INDEX($A$2:$A$507,MATCH(ROWS($G$2:G163),$C$2:$C$507,0)),IF(ROWS($G$2:G163)=1,"(sin matches)",""))</f>
        <v>RC Cámara Salina | 144 hrs. | 120 hrs.</v>
      </c>
      <c r="I163" s="69" t="str">
        <f>IF($A163="","",IF(AND($B163&lt;&gt;"",ISNUMBER(SEARCH($I$7,$B163))),COUNT($I$9:I162)+1,""))</f>
        <v/>
      </c>
    </row>
    <row r="164" spans="1:9" ht="16" x14ac:dyDescent="0.25">
      <c r="A164" s="69" t="str">
        <f>Listas!E159</f>
        <v>ASTM B633 (Zinc) | 5 - 8 µm</v>
      </c>
      <c r="B164" s="69" t="str">
        <f t="shared" si="2"/>
        <v>Zinc</v>
      </c>
      <c r="C164" s="69" t="str">
        <f>IF($A164="","",IF(AND($B164&lt;&gt;"",IF($F$2="Otros",$B164="Otros",ISNUMBER(SEARCH($B164,$F$2)))),COUNT($C$2:C163)+1,""))</f>
        <v/>
      </c>
      <c r="G164" s="132" t="str">
        <f>IFERROR(INDEX($A$2:$A$507,MATCH(ROWS($G$2:G164),$C$2:$C$507,0)),IF(ROWS($G$2:G164)=1,"(sin matches)",""))</f>
        <v>RC Cámara Salina | 144 hrs. | 144 hrs.</v>
      </c>
      <c r="I164" s="69" t="str">
        <f>IF($A164="","",IF(AND($B164&lt;&gt;"",ISNUMBER(SEARCH($I$7,$B164))),COUNT($I$9:I163)+1,""))</f>
        <v/>
      </c>
    </row>
    <row r="165" spans="1:9" ht="16" x14ac:dyDescent="0.25">
      <c r="A165" s="69" t="str">
        <f>Listas!E160</f>
        <v>ASTM B633 (Zinc) | 8 - 12 µm</v>
      </c>
      <c r="B165" s="69" t="str">
        <f t="shared" si="2"/>
        <v>Zinc</v>
      </c>
      <c r="C165" s="69" t="str">
        <f>IF($A165="","",IF(AND($B165&lt;&gt;"",IF($F$2="Otros",$B165="Otros",ISNUMBER(SEARCH($B165,$F$2)))),COUNT($C$2:C164)+1,""))</f>
        <v/>
      </c>
      <c r="G165" s="132" t="str">
        <f>IFERROR(INDEX($A$2:$A$507,MATCH(ROWS($G$2:G165),$C$2:$C$507,0)),IF(ROWS($G$2:G165)=1,"(sin matches)",""))</f>
        <v>RC Cámara Salina | 144 hrs. | 16 hrs.</v>
      </c>
      <c r="I165" s="69" t="str">
        <f>IF($A165="","",IF(AND($B165&lt;&gt;"",ISNUMBER(SEARCH($I$7,$B165))),COUNT($I$9:I164)+1,""))</f>
        <v/>
      </c>
    </row>
    <row r="166" spans="1:9" ht="16" x14ac:dyDescent="0.25">
      <c r="A166" s="69" t="str">
        <f>Listas!E161</f>
        <v>ASTM B689 (Níquel) | 100 - 150 µm</v>
      </c>
      <c r="B166" s="69" t="str">
        <f t="shared" si="2"/>
        <v>Níquel</v>
      </c>
      <c r="C166" s="69" t="str">
        <f>IF($A166="","",IF(AND($B166&lt;&gt;"",IF($F$2="Otros",$B166="Otros",ISNUMBER(SEARCH($B166,$F$2)))),COUNT($C$2:C165)+1,""))</f>
        <v/>
      </c>
      <c r="G166" s="132" t="str">
        <f>IFERROR(INDEX($A$2:$A$507,MATCH(ROWS($G$2:G166),$C$2:$C$507,0)),IF(ROWS($G$2:G166)=1,"(sin matches)",""))</f>
        <v>RC Cámara Salina | 144 hrs. | 172 hrs.</v>
      </c>
      <c r="I166" s="69" t="str">
        <f>IF($A166="","",IF(AND($B166&lt;&gt;"",ISNUMBER(SEARCH($I$7,$B166))),COUNT($I$9:I165)+1,""))</f>
        <v/>
      </c>
    </row>
    <row r="167" spans="1:9" ht="16" x14ac:dyDescent="0.25">
      <c r="A167" s="69" t="str">
        <f>Listas!E162</f>
        <v>ASTM B689 (Níquel) | 200 - 225 µm</v>
      </c>
      <c r="B167" s="69" t="str">
        <f t="shared" si="2"/>
        <v>Níquel</v>
      </c>
      <c r="C167" s="69" t="str">
        <f>IF($A167="","",IF(AND($B167&lt;&gt;"",IF($F$2="Otros",$B167="Otros",ISNUMBER(SEARCH($B167,$F$2)))),COUNT($C$2:C166)+1,""))</f>
        <v/>
      </c>
      <c r="G167" s="132" t="str">
        <f>IFERROR(INDEX($A$2:$A$507,MATCH(ROWS($G$2:G167),$C$2:$C$507,0)),IF(ROWS($G$2:G167)=1,"(sin matches)",""))</f>
        <v>RC Cámara Salina | 144 hrs. | 200 hrs.</v>
      </c>
      <c r="I167" s="69" t="str">
        <f>IF($A167="","",IF(AND($B167&lt;&gt;"",ISNUMBER(SEARCH($I$7,$B167))),COUNT($I$9:I166)+1,""))</f>
        <v/>
      </c>
    </row>
    <row r="168" spans="1:9" ht="16" x14ac:dyDescent="0.25">
      <c r="A168" s="69" t="str">
        <f>Listas!E163</f>
        <v>ASTM B689 (Níquel) | 25 - 30 µm</v>
      </c>
      <c r="B168" s="69" t="str">
        <f t="shared" si="2"/>
        <v>Níquel</v>
      </c>
      <c r="C168" s="69" t="str">
        <f>IF($A168="","",IF(AND($B168&lt;&gt;"",IF($F$2="Otros",$B168="Otros",ISNUMBER(SEARCH($B168,$F$2)))),COUNT($C$2:C167)+1,""))</f>
        <v/>
      </c>
      <c r="G168" s="132" t="str">
        <f>IFERROR(INDEX($A$2:$A$507,MATCH(ROWS($G$2:G168),$C$2:$C$507,0)),IF(ROWS($G$2:G168)=1,"(sin matches)",""))</f>
        <v>RC Cámara Salina | 144 hrs. | 24 hrs.</v>
      </c>
      <c r="I168" s="69" t="str">
        <f>IF($A168="","",IF(AND($B168&lt;&gt;"",ISNUMBER(SEARCH($I$7,$B168))),COUNT($I$9:I167)+1,""))</f>
        <v/>
      </c>
    </row>
    <row r="169" spans="1:9" ht="16" x14ac:dyDescent="0.25">
      <c r="A169" s="69" t="str">
        <f>Listas!E164</f>
        <v>ASTM B689 (Níquel) | 5 - 12 µm</v>
      </c>
      <c r="B169" s="69" t="str">
        <f t="shared" si="2"/>
        <v>Níquel</v>
      </c>
      <c r="C169" s="69" t="str">
        <f>IF($A169="","",IF(AND($B169&lt;&gt;"",IF($F$2="Otros",$B169="Otros",ISNUMBER(SEARCH($B169,$F$2)))),COUNT($C$2:C168)+1,""))</f>
        <v/>
      </c>
      <c r="G169" s="132" t="str">
        <f>IFERROR(INDEX($A$2:$A$507,MATCH(ROWS($G$2:G169),$C$2:$C$507,0)),IF(ROWS($G$2:G169)=1,"(sin matches)",""))</f>
        <v>RC Cámara Salina | 144 hrs. | 240 hrs.</v>
      </c>
      <c r="I169" s="69" t="str">
        <f>IF($A169="","",IF(AND($B169&lt;&gt;"",ISNUMBER(SEARCH($I$7,$B169))),COUNT($I$9:I168)+1,""))</f>
        <v/>
      </c>
    </row>
    <row r="170" spans="1:9" ht="16" x14ac:dyDescent="0.25">
      <c r="A170" s="69" t="str">
        <f>Listas!E165</f>
        <v>ASTM B689 (Níquel) | 50 - 60 µm</v>
      </c>
      <c r="B170" s="69" t="str">
        <f t="shared" si="2"/>
        <v>Níquel</v>
      </c>
      <c r="C170" s="69" t="str">
        <f>IF($A170="","",IF(AND($B170&lt;&gt;"",IF($F$2="Otros",$B170="Otros",ISNUMBER(SEARCH($B170,$F$2)))),COUNT($C$2:C169)+1,""))</f>
        <v/>
      </c>
      <c r="G170" s="132" t="str">
        <f>IFERROR(INDEX($A$2:$A$507,MATCH(ROWS($G$2:G170),$C$2:$C$507,0)),IF(ROWS($G$2:G170)=1,"(sin matches)",""))</f>
        <v>RC Cámara Salina | 144 hrs. | 36 hrs.</v>
      </c>
      <c r="I170" s="69" t="str">
        <f>IF($A170="","",IF(AND($B170&lt;&gt;"",ISNUMBER(SEARCH($I$7,$B170))),COUNT($I$9:I169)+1,""))</f>
        <v/>
      </c>
    </row>
    <row r="171" spans="1:9" ht="16" x14ac:dyDescent="0.25">
      <c r="A171" s="69" t="str">
        <f>Listas!E166</f>
        <v>ASTM B700 (Plata) | .41 - 2.5 µm</v>
      </c>
      <c r="B171" s="69" t="str">
        <f t="shared" si="2"/>
        <v>Plata</v>
      </c>
      <c r="C171" s="69" t="str">
        <f>IF($A171="","",IF(AND($B171&lt;&gt;"",IF($F$2="Otros",$B171="Otros",ISNUMBER(SEARCH($B171,$F$2)))),COUNT($C$2:C170)+1,""))</f>
        <v/>
      </c>
      <c r="G171" s="132" t="str">
        <f>IFERROR(INDEX($A$2:$A$507,MATCH(ROWS($G$2:G171),$C$2:$C$507,0)),IF(ROWS($G$2:G171)=1,"(sin matches)",""))</f>
        <v>RC Cámara Salina | 144 hrs. | 360 hrs.</v>
      </c>
      <c r="I171" s="69" t="str">
        <f>IF($A171="","",IF(AND($B171&lt;&gt;"",ISNUMBER(SEARCH($I$7,$B171))),COUNT($I$9:I170)+1,""))</f>
        <v/>
      </c>
    </row>
    <row r="172" spans="1:9" ht="16" x14ac:dyDescent="0.25">
      <c r="A172" s="69" t="str">
        <f>Listas!E167</f>
        <v>ASTM B700 (Plata) | 10 - 20 µm</v>
      </c>
      <c r="B172" s="69" t="str">
        <f t="shared" si="2"/>
        <v>Plata</v>
      </c>
      <c r="C172" s="69" t="str">
        <f>IF($A172="","",IF(AND($B172&lt;&gt;"",IF($F$2="Otros",$B172="Otros",ISNUMBER(SEARCH($B172,$F$2)))),COUNT($C$2:C171)+1,""))</f>
        <v/>
      </c>
      <c r="G172" s="132" t="str">
        <f>IFERROR(INDEX($A$2:$A$507,MATCH(ROWS($G$2:G172),$C$2:$C$507,0)),IF(ROWS($G$2:G172)=1,"(sin matches)",""))</f>
        <v>RC Cámara Salina | 144 hrs. | 48 hrs.</v>
      </c>
      <c r="I172" s="69" t="str">
        <f>IF($A172="","",IF(AND($B172&lt;&gt;"",ISNUMBER(SEARCH($I$7,$B172))),COUNT($I$9:I171)+1,""))</f>
        <v/>
      </c>
    </row>
    <row r="173" spans="1:9" ht="16" x14ac:dyDescent="0.25">
      <c r="A173" s="69" t="str">
        <f>Listas!E168</f>
        <v>ASTM B700 (Plata) | 2.5 - 5 µm</v>
      </c>
      <c r="B173" s="69" t="str">
        <f t="shared" si="2"/>
        <v>Plata</v>
      </c>
      <c r="C173" s="69" t="str">
        <f>IF($A173="","",IF(AND($B173&lt;&gt;"",IF($F$2="Otros",$B173="Otros",ISNUMBER(SEARCH($B173,$F$2)))),COUNT($C$2:C172)+1,""))</f>
        <v/>
      </c>
      <c r="G173" s="132" t="str">
        <f>IFERROR(INDEX($A$2:$A$507,MATCH(ROWS($G$2:G173),$C$2:$C$507,0)),IF(ROWS($G$2:G173)=1,"(sin matches)",""))</f>
        <v>RC Cámara Salina | 144 hrs. | 480 hrs.</v>
      </c>
      <c r="I173" s="69" t="str">
        <f>IF($A173="","",IF(AND($B173&lt;&gt;"",ISNUMBER(SEARCH($I$7,$B173))),COUNT($I$9:I172)+1,""))</f>
        <v/>
      </c>
    </row>
    <row r="174" spans="1:9" ht="16" x14ac:dyDescent="0.25">
      <c r="A174" s="69" t="str">
        <f>Listas!E169</f>
        <v>ASTM B700 (Plata) | 20 - 30 µm</v>
      </c>
      <c r="B174" s="69" t="str">
        <f t="shared" si="2"/>
        <v>Plata</v>
      </c>
      <c r="C174" s="69" t="str">
        <f>IF($A174="","",IF(AND($B174&lt;&gt;"",IF($F$2="Otros",$B174="Otros",ISNUMBER(SEARCH($B174,$F$2)))),COUNT($C$2:C173)+1,""))</f>
        <v/>
      </c>
      <c r="G174" s="132" t="str">
        <f>IFERROR(INDEX($A$2:$A$507,MATCH(ROWS($G$2:G174),$C$2:$C$507,0)),IF(ROWS($G$2:G174)=1,"(sin matches)",""))</f>
        <v>RC Cámara Salina | 144 hrs. | 500 hrs.</v>
      </c>
      <c r="I174" s="69" t="str">
        <f>IF($A174="","",IF(AND($B174&lt;&gt;"",ISNUMBER(SEARCH($I$7,$B174))),COUNT($I$9:I173)+1,""))</f>
        <v/>
      </c>
    </row>
    <row r="175" spans="1:9" ht="16" x14ac:dyDescent="0.25">
      <c r="A175" s="69" t="str">
        <f>Listas!E170</f>
        <v>ASTM B700 (Plata) | 40 - 50 µm</v>
      </c>
      <c r="B175" s="69" t="str">
        <f t="shared" si="2"/>
        <v>Plata</v>
      </c>
      <c r="C175" s="69" t="str">
        <f>IF($A175="","",IF(AND($B175&lt;&gt;"",IF($F$2="Otros",$B175="Otros",ISNUMBER(SEARCH($B175,$F$2)))),COUNT($C$2:C174)+1,""))</f>
        <v/>
      </c>
      <c r="G175" s="132" t="str">
        <f>IFERROR(INDEX($A$2:$A$507,MATCH(ROWS($G$2:G175),$C$2:$C$507,0)),IF(ROWS($G$2:G175)=1,"(sin matches)",""))</f>
        <v>RC Cámara Salina | 144 hrs. | 72 hrs.</v>
      </c>
      <c r="I175" s="69" t="str">
        <f>IF($A175="","",IF(AND($B175&lt;&gt;"",ISNUMBER(SEARCH($I$7,$B175))),COUNT($I$9:I174)+1,""))</f>
        <v/>
      </c>
    </row>
    <row r="176" spans="1:9" ht="16" x14ac:dyDescent="0.25">
      <c r="A176" s="69" t="str">
        <f>Listas!E171</f>
        <v>ASTM B700 (Plata) | 5 - 10 µm</v>
      </c>
      <c r="B176" s="69" t="str">
        <f t="shared" si="2"/>
        <v>Plata</v>
      </c>
      <c r="C176" s="69" t="str">
        <f>IF($A176="","",IF(AND($B176&lt;&gt;"",IF($F$2="Otros",$B176="Otros",ISNUMBER(SEARCH($B176,$F$2)))),COUNT($C$2:C175)+1,""))</f>
        <v/>
      </c>
      <c r="G176" s="132" t="str">
        <f>IFERROR(INDEX($A$2:$A$507,MATCH(ROWS($G$2:G176),$C$2:$C$507,0)),IF(ROWS($G$2:G176)=1,"(sin matches)",""))</f>
        <v>RC Cámara Salina | 144 hrs. | 720 hrs.</v>
      </c>
      <c r="I176" s="69" t="str">
        <f>IF($A176="","",IF(AND($B176&lt;&gt;"",ISNUMBER(SEARCH($I$7,$B176))),COUNT($I$9:I175)+1,""))</f>
        <v/>
      </c>
    </row>
    <row r="177" spans="1:9" ht="16" x14ac:dyDescent="0.25">
      <c r="A177" s="69" t="str">
        <f>Listas!E172</f>
        <v>BURNDY DI-EI-01/81 (Estaño) | 5 - 12 µm | No aplica</v>
      </c>
      <c r="B177" s="69" t="str">
        <f t="shared" si="2"/>
        <v>Estaño</v>
      </c>
      <c r="C177" s="69" t="str">
        <f>IF($A177="","",IF(AND($B177&lt;&gt;"",IF($F$2="Otros",$B177="Otros",ISNUMBER(SEARCH($B177,$F$2)))),COUNT($C$2:C176)+1,""))</f>
        <v/>
      </c>
      <c r="G177" s="132" t="str">
        <f>IFERROR(INDEX($A$2:$A$507,MATCH(ROWS($G$2:G177),$C$2:$C$507,0)),IF(ROWS($G$2:G177)=1,"(sin matches)",""))</f>
        <v>RC Cámara Salina | 144 hrs. | 96 hrs.</v>
      </c>
      <c r="I177" s="69" t="str">
        <f>IF($A177="","",IF(AND($B177&lt;&gt;"",ISNUMBER(SEARCH($I$7,$B177))),COUNT($I$9:I176)+1,""))</f>
        <v/>
      </c>
    </row>
    <row r="178" spans="1:9" ht="16" x14ac:dyDescent="0.25">
      <c r="A178" s="69" t="str">
        <f>Listas!E173</f>
        <v>BURNDY DI-EI-01/81 (Estaño) | 5 - 8 µm | No aplica</v>
      </c>
      <c r="B178" s="69" t="str">
        <f t="shared" si="2"/>
        <v>Estaño</v>
      </c>
      <c r="C178" s="69" t="str">
        <f>IF($A178="","",IF(AND($B178&lt;&gt;"",IF($F$2="Otros",$B178="Otros",ISNUMBER(SEARCH($B178,$F$2)))),COUNT($C$2:C177)+1,""))</f>
        <v/>
      </c>
      <c r="G178" s="132" t="str">
        <f>IFERROR(INDEX($A$2:$A$507,MATCH(ROWS($G$2:G178),$C$2:$C$507,0)),IF(ROWS($G$2:G178)=1,"(sin matches)",""))</f>
        <v>RC Cámara Salina | 144 hrs. | 960 hrs.</v>
      </c>
      <c r="I178" s="69" t="str">
        <f>IF($A178="","",IF(AND($B178&lt;&gt;"",ISNUMBER(SEARCH($I$7,$B178))),COUNT($I$9:I177)+1,""))</f>
        <v/>
      </c>
    </row>
    <row r="179" spans="1:9" ht="16" x14ac:dyDescent="0.25">
      <c r="A179" s="69" t="str">
        <f>Listas!E174</f>
        <v>BURNDY DI-EI-01/81 (Estaño) | 8 - 12 µm | No aplica</v>
      </c>
      <c r="B179" s="69" t="str">
        <f t="shared" si="2"/>
        <v>Estaño</v>
      </c>
      <c r="C179" s="69" t="str">
        <f>IF($A179="","",IF(AND($B179&lt;&gt;"",IF($F$2="Otros",$B179="Otros",ISNUMBER(SEARCH($B179,$F$2)))),COUNT($C$2:C178)+1,""))</f>
        <v/>
      </c>
      <c r="G179" s="132" t="str">
        <f>IFERROR(INDEX($A$2:$A$507,MATCH(ROWS($G$2:G179),$C$2:$C$507,0)),IF(ROWS($G$2:G179)=1,"(sin matches)",""))</f>
        <v>RC Cámara Salina | 144 hrs. | No aplica</v>
      </c>
      <c r="I179" s="69" t="str">
        <f>IF($A179="","",IF(AND($B179&lt;&gt;"",ISNUMBER(SEARCH($I$7,$B179))),COUNT($I$9:I178)+1,""))</f>
        <v/>
      </c>
    </row>
    <row r="180" spans="1:9" ht="16" x14ac:dyDescent="0.25">
      <c r="A180" s="69" t="str">
        <f>Listas!E175</f>
        <v>DIN 50967 | 5 - 8 µm</v>
      </c>
      <c r="B180" s="69" t="str">
        <f t="shared" si="2"/>
        <v>Otros</v>
      </c>
      <c r="C180" s="69">
        <f>IF($A180="","",IF(AND($B180&lt;&gt;"",IF($F$2="Otros",$B180="Otros",ISNUMBER(SEARCH($B180,$F$2)))),COUNT($C$2:C179)+1,""))</f>
        <v>58</v>
      </c>
      <c r="G180" s="132" t="str">
        <f>IFERROR(INDEX($A$2:$A$507,MATCH(ROWS($G$2:G180),$C$2:$C$507,0)),IF(ROWS($G$2:G180)=1,"(sin matches)",""))</f>
        <v>RC Cámara Salina | 200 hrs. | 12 hrs.</v>
      </c>
      <c r="I180" s="69">
        <f>IF($A180="","",IF(AND($B180&lt;&gt;"",ISNUMBER(SEARCH($I$7,$B180))),COUNT($I$9:I179)+1,""))</f>
        <v>57</v>
      </c>
    </row>
    <row r="181" spans="1:9" ht="16" x14ac:dyDescent="0.25">
      <c r="A181" s="69" t="str">
        <f>Listas!E176</f>
        <v>DS258-103-00 (Estaño) | 5.08 - 10.16 µm | No aplica</v>
      </c>
      <c r="B181" s="69" t="str">
        <f t="shared" si="2"/>
        <v>Estaño</v>
      </c>
      <c r="C181" s="69" t="str">
        <f>IF($A181="","",IF(AND($B181&lt;&gt;"",IF($F$2="Otros",$B181="Otros",ISNUMBER(SEARCH($B181,$F$2)))),COUNT($C$2:C180)+1,""))</f>
        <v/>
      </c>
      <c r="G181" s="132" t="str">
        <f>IFERROR(INDEX($A$2:$A$507,MATCH(ROWS($G$2:G181),$C$2:$C$507,0)),IF(ROWS($G$2:G181)=1,"(sin matches)",""))</f>
        <v>RC Cámara Salina | 200 hrs. | 120 hrs.</v>
      </c>
      <c r="I181" s="69" t="str">
        <f>IF($A181="","",IF(AND($B181&lt;&gt;"",ISNUMBER(SEARCH($I$7,$B181))),COUNT($I$9:I180)+1,""))</f>
        <v/>
      </c>
    </row>
    <row r="182" spans="1:9" ht="16" x14ac:dyDescent="0.25">
      <c r="A182" s="69" t="str">
        <f>Listas!E177</f>
        <v>DYM Pendiente (Deshidrogenado) | 130 - 150 °C | &gt;= 5 hrs.</v>
      </c>
      <c r="B182" s="69" t="str">
        <f t="shared" si="2"/>
        <v>Otros</v>
      </c>
      <c r="C182" s="69">
        <f>IF($A182="","",IF(AND($B182&lt;&gt;"",IF($F$2="Otros",$B182="Otros",ISNUMBER(SEARCH($B182,$F$2)))),COUNT($C$2:C181)+1,""))</f>
        <v>59</v>
      </c>
      <c r="G182" s="132" t="str">
        <f>IFERROR(INDEX($A$2:$A$507,MATCH(ROWS($G$2:G182),$C$2:$C$507,0)),IF(ROWS($G$2:G182)=1,"(sin matches)",""))</f>
        <v>RC Cámara Salina | 200 hrs. | 144 hrs.</v>
      </c>
      <c r="I182" s="69">
        <f>IF($A182="","",IF(AND($B182&lt;&gt;"",ISNUMBER(SEARCH($I$7,$B182))),COUNT($I$9:I181)+1,""))</f>
        <v>58</v>
      </c>
    </row>
    <row r="183" spans="1:9" ht="16" x14ac:dyDescent="0.25">
      <c r="A183" s="69" t="str">
        <f>Listas!E178</f>
        <v>E27550 (Plata) | 1.27 - 2.54 µm</v>
      </c>
      <c r="B183" s="69" t="str">
        <f t="shared" si="2"/>
        <v>Plata</v>
      </c>
      <c r="C183" s="69" t="str">
        <f>IF($A183="","",IF(AND($B183&lt;&gt;"",IF($F$2="Otros",$B183="Otros",ISNUMBER(SEARCH($B183,$F$2)))),COUNT($C$2:C182)+1,""))</f>
        <v/>
      </c>
      <c r="G183" s="132" t="str">
        <f>IFERROR(INDEX($A$2:$A$507,MATCH(ROWS($G$2:G183),$C$2:$C$507,0)),IF(ROWS($G$2:G183)=1,"(sin matches)",""))</f>
        <v>RC Cámara Salina | 200 hrs. | 16 hrs.</v>
      </c>
      <c r="I183" s="69" t="str">
        <f>IF($A183="","",IF(AND($B183&lt;&gt;"",ISNUMBER(SEARCH($I$7,$B183))),COUNT($I$9:I182)+1,""))</f>
        <v/>
      </c>
    </row>
    <row r="184" spans="1:9" ht="16" x14ac:dyDescent="0.25">
      <c r="A184" s="69" t="str">
        <f>Listas!E179</f>
        <v>E27550 (Plata) | 1.27 - 3 µm</v>
      </c>
      <c r="B184" s="69" t="str">
        <f t="shared" si="2"/>
        <v>Plata</v>
      </c>
      <c r="C184" s="69" t="str">
        <f>IF($A184="","",IF(AND($B184&lt;&gt;"",IF($F$2="Otros",$B184="Otros",ISNUMBER(SEARCH($B184,$F$2)))),COUNT($C$2:C183)+1,""))</f>
        <v/>
      </c>
      <c r="G184" s="132" t="str">
        <f>IFERROR(INDEX($A$2:$A$507,MATCH(ROWS($G$2:G184),$C$2:$C$507,0)),IF(ROWS($G$2:G184)=1,"(sin matches)",""))</f>
        <v>RC Cámara Salina | 200 hrs. | 172 hrs.</v>
      </c>
      <c r="I184" s="69" t="str">
        <f>IF($A184="","",IF(AND($B184&lt;&gt;"",ISNUMBER(SEARCH($I$7,$B184))),COUNT($I$9:I183)+1,""))</f>
        <v/>
      </c>
    </row>
    <row r="185" spans="1:9" ht="16" x14ac:dyDescent="0.25">
      <c r="A185" s="69" t="str">
        <f>Listas!E180</f>
        <v>E27550 (Plata) | 1.27 - 3.81 µm</v>
      </c>
      <c r="B185" s="69" t="str">
        <f t="shared" si="2"/>
        <v>Plata</v>
      </c>
      <c r="C185" s="69" t="str">
        <f>IF($A185="","",IF(AND($B185&lt;&gt;"",IF($F$2="Otros",$B185="Otros",ISNUMBER(SEARCH($B185,$F$2)))),COUNT($C$2:C184)+1,""))</f>
        <v/>
      </c>
      <c r="G185" s="132" t="str">
        <f>IFERROR(INDEX($A$2:$A$507,MATCH(ROWS($G$2:G185),$C$2:$C$507,0)),IF(ROWS($G$2:G185)=1,"(sin matches)",""))</f>
        <v>RC Cámara Salina | 200 hrs. | 200 hrs.</v>
      </c>
      <c r="I185" s="69" t="str">
        <f>IF($A185="","",IF(AND($B185&lt;&gt;"",ISNUMBER(SEARCH($I$7,$B185))),COUNT($I$9:I184)+1,""))</f>
        <v/>
      </c>
    </row>
    <row r="186" spans="1:9" ht="16" x14ac:dyDescent="0.25">
      <c r="A186" s="69" t="str">
        <f>Listas!E181</f>
        <v>E27551 (Plata) | 5 - 12 µm</v>
      </c>
      <c r="B186" s="69" t="str">
        <f t="shared" si="2"/>
        <v>Plata</v>
      </c>
      <c r="C186" s="69" t="str">
        <f>IF($A186="","",IF(AND($B186&lt;&gt;"",IF($F$2="Otros",$B186="Otros",ISNUMBER(SEARCH($B186,$F$2)))),COUNT($C$2:C185)+1,""))</f>
        <v/>
      </c>
      <c r="G186" s="132" t="str">
        <f>IFERROR(INDEX($A$2:$A$507,MATCH(ROWS($G$2:G186),$C$2:$C$507,0)),IF(ROWS($G$2:G186)=1,"(sin matches)",""))</f>
        <v>RC Cámara Salina | 200 hrs. | 24 hrs.</v>
      </c>
      <c r="I186" s="69" t="str">
        <f>IF($A186="","",IF(AND($B186&lt;&gt;"",ISNUMBER(SEARCH($I$7,$B186))),COUNT($I$9:I185)+1,""))</f>
        <v/>
      </c>
    </row>
    <row r="187" spans="1:9" ht="16" x14ac:dyDescent="0.25">
      <c r="A187" s="69" t="str">
        <f>Listas!E182</f>
        <v>E27551 (Plata) | 5 - 8 µm</v>
      </c>
      <c r="B187" s="69" t="str">
        <f t="shared" si="2"/>
        <v>Plata</v>
      </c>
      <c r="C187" s="69" t="str">
        <f>IF($A187="","",IF(AND($B187&lt;&gt;"",IF($F$2="Otros",$B187="Otros",ISNUMBER(SEARCH($B187,$F$2)))),COUNT($C$2:C186)+1,""))</f>
        <v/>
      </c>
      <c r="G187" s="132" t="str">
        <f>IFERROR(INDEX($A$2:$A$507,MATCH(ROWS($G$2:G187),$C$2:$C$507,0)),IF(ROWS($G$2:G187)=1,"(sin matches)",""))</f>
        <v>RC Cámara Salina | 200 hrs. | 240 hrs.</v>
      </c>
      <c r="I187" s="69" t="str">
        <f>IF($A187="","",IF(AND($B187&lt;&gt;"",ISNUMBER(SEARCH($I$7,$B187))),COUNT($I$9:I186)+1,""))</f>
        <v/>
      </c>
    </row>
    <row r="188" spans="1:9" ht="16" x14ac:dyDescent="0.25">
      <c r="A188" s="69" t="str">
        <f>Listas!E183</f>
        <v>E27551 (Plata) | 8 - 12 µm</v>
      </c>
      <c r="B188" s="69" t="str">
        <f t="shared" si="2"/>
        <v>Plata</v>
      </c>
      <c r="C188" s="69" t="str">
        <f>IF($A188="","",IF(AND($B188&lt;&gt;"",IF($F$2="Otros",$B188="Otros",ISNUMBER(SEARCH($B188,$F$2)))),COUNT($C$2:C187)+1,""))</f>
        <v/>
      </c>
      <c r="G188" s="132" t="str">
        <f>IFERROR(INDEX($A$2:$A$507,MATCH(ROWS($G$2:G188),$C$2:$C$507,0)),IF(ROWS($G$2:G188)=1,"(sin matches)",""))</f>
        <v>RC Cámara Salina | 200 hrs. | 36 hrs.</v>
      </c>
      <c r="I188" s="69" t="str">
        <f>IF($A188="","",IF(AND($B188&lt;&gt;"",ISNUMBER(SEARCH($I$7,$B188))),COUNT($I$9:I187)+1,""))</f>
        <v/>
      </c>
    </row>
    <row r="189" spans="1:9" ht="16" x14ac:dyDescent="0.25">
      <c r="A189" s="69" t="str">
        <f>Listas!E184</f>
        <v>E27600 (Zinc) | 8 - 12 µm</v>
      </c>
      <c r="B189" s="69" t="str">
        <f t="shared" si="2"/>
        <v>Zinc</v>
      </c>
      <c r="C189" s="69" t="str">
        <f>IF($A189="","",IF(AND($B189&lt;&gt;"",IF($F$2="Otros",$B189="Otros",ISNUMBER(SEARCH($B189,$F$2)))),COUNT($C$2:C188)+1,""))</f>
        <v/>
      </c>
      <c r="G189" s="132" t="str">
        <f>IFERROR(INDEX($A$2:$A$507,MATCH(ROWS($G$2:G189),$C$2:$C$507,0)),IF(ROWS($G$2:G189)=1,"(sin matches)",""))</f>
        <v>RC Cámara Salina | 200 hrs. | 360 hrs.</v>
      </c>
      <c r="I189" s="69" t="str">
        <f>IF($A189="","",IF(AND($B189&lt;&gt;"",ISNUMBER(SEARCH($I$7,$B189))),COUNT($I$9:I188)+1,""))</f>
        <v/>
      </c>
    </row>
    <row r="190" spans="1:9" ht="16" x14ac:dyDescent="0.25">
      <c r="A190" s="69" t="str">
        <f>Listas!E185</f>
        <v>E27780 (Epóxico MT) | 50 - 100 mils</v>
      </c>
      <c r="B190" s="69" t="str">
        <f t="shared" si="2"/>
        <v>Epóxico</v>
      </c>
      <c r="C190" s="69" t="str">
        <f>IF($A190="","",IF(AND($B190&lt;&gt;"",IF($F$2="Otros",$B190="Otros",ISNUMBER(SEARCH($B190,$F$2)))),COUNT($C$2:C189)+1,""))</f>
        <v/>
      </c>
      <c r="G190" s="132" t="str">
        <f>IFERROR(INDEX($A$2:$A$507,MATCH(ROWS($G$2:G190),$C$2:$C$507,0)),IF(ROWS($G$2:G190)=1,"(sin matches)",""))</f>
        <v>RC Cámara Salina | 200 hrs. | 48 hrs.</v>
      </c>
      <c r="I190" s="69" t="str">
        <f>IF($A190="","",IF(AND($B190&lt;&gt;"",ISNUMBER(SEARCH($I$7,$B190))),COUNT($I$9:I189)+1,""))</f>
        <v/>
      </c>
    </row>
    <row r="191" spans="1:9" ht="16" x14ac:dyDescent="0.25">
      <c r="A191" s="69" t="str">
        <f>Listas!E186</f>
        <v>E27780 (Epóxico MT) | 80 - 100 mils</v>
      </c>
      <c r="B191" s="69" t="str">
        <f t="shared" si="2"/>
        <v>Epóxico</v>
      </c>
      <c r="C191" s="69" t="str">
        <f>IF($A191="","",IF(AND($B191&lt;&gt;"",IF($F$2="Otros",$B191="Otros",ISNUMBER(SEARCH($B191,$F$2)))),COUNT($C$2:C190)+1,""))</f>
        <v/>
      </c>
      <c r="G191" s="132" t="str">
        <f>IFERROR(INDEX($A$2:$A$507,MATCH(ROWS($G$2:G191),$C$2:$C$507,0)),IF(ROWS($G$2:G191)=1,"(sin matches)",""))</f>
        <v>RC Cámara Salina | 200 hrs. | 480 hrs.</v>
      </c>
      <c r="I191" s="69" t="str">
        <f>IF($A191="","",IF(AND($B191&lt;&gt;"",ISNUMBER(SEARCH($I$7,$B191))),COUNT($I$9:I190)+1,""))</f>
        <v/>
      </c>
    </row>
    <row r="192" spans="1:9" ht="16" x14ac:dyDescent="0.25">
      <c r="A192" s="69" t="str">
        <f>Listas!E187</f>
        <v>EIPS (Zinc - Niquel) | 8 - 12 µm</v>
      </c>
      <c r="B192" s="69" t="str">
        <f t="shared" si="2"/>
        <v>Zinc</v>
      </c>
      <c r="C192" s="69" t="str">
        <f>IF($A192="","",IF(AND($B192&lt;&gt;"",IF($F$2="Otros",$B192="Otros",ISNUMBER(SEARCH($B192,$F$2)))),COUNT($C$2:C191)+1,""))</f>
        <v/>
      </c>
      <c r="G192" s="132" t="str">
        <f>IFERROR(INDEX($A$2:$A$507,MATCH(ROWS($G$2:G192),$C$2:$C$507,0)),IF(ROWS($G$2:G192)=1,"(sin matches)",""))</f>
        <v>RC Cámara Salina | 200 hrs. | 500 hrs.</v>
      </c>
      <c r="I192" s="69" t="str">
        <f>IF($A192="","",IF(AND($B192&lt;&gt;"",ISNUMBER(SEARCH($I$7,$B192))),COUNT($I$9:I191)+1,""))</f>
        <v/>
      </c>
    </row>
    <row r="193" spans="1:9" ht="16" x14ac:dyDescent="0.25">
      <c r="A193" s="69" t="str">
        <f>Listas!E188</f>
        <v>ES-000101 (Epóxico MT Rojo) | 20 - 60 mils</v>
      </c>
      <c r="B193" s="69" t="str">
        <f t="shared" si="2"/>
        <v>Epóxico</v>
      </c>
      <c r="C193" s="69" t="str">
        <f>IF($A193="","",IF(AND($B193&lt;&gt;"",IF($F$2="Otros",$B193="Otros",ISNUMBER(SEARCH($B193,$F$2)))),COUNT($C$2:C192)+1,""))</f>
        <v/>
      </c>
      <c r="G193" s="132" t="str">
        <f>IFERROR(INDEX($A$2:$A$507,MATCH(ROWS($G$2:G193),$C$2:$C$507,0)),IF(ROWS($G$2:G193)=1,"(sin matches)",""))</f>
        <v>RC Cámara Salina | 200 hrs. | 72 hrs.</v>
      </c>
      <c r="I193" s="69" t="str">
        <f>IF($A193="","",IF(AND($B193&lt;&gt;"",ISNUMBER(SEARCH($I$7,$B193))),COUNT($I$9:I192)+1,""))</f>
        <v/>
      </c>
    </row>
    <row r="194" spans="1:9" ht="16" x14ac:dyDescent="0.25">
      <c r="A194" s="69" t="str">
        <f>Listas!E189</f>
        <v>ES-000101 (Epóxico MT Rojo) | 30 - 40 mils</v>
      </c>
      <c r="B194" s="69" t="str">
        <f t="shared" si="2"/>
        <v>Epóxico</v>
      </c>
      <c r="C194" s="69" t="str">
        <f>IF($A194="","",IF(AND($B194&lt;&gt;"",IF($F$2="Otros",$B194="Otros",ISNUMBER(SEARCH($B194,$F$2)))),COUNT($C$2:C193)+1,""))</f>
        <v/>
      </c>
      <c r="G194" s="132" t="str">
        <f>IFERROR(INDEX($A$2:$A$507,MATCH(ROWS($G$2:G194),$C$2:$C$507,0)),IF(ROWS($G$2:G194)=1,"(sin matches)",""))</f>
        <v>RC Cámara Salina | 200 hrs. | 720 hrs.</v>
      </c>
      <c r="I194" s="69" t="str">
        <f>IF($A194="","",IF(AND($B194&lt;&gt;"",ISNUMBER(SEARCH($I$7,$B194))),COUNT($I$9:I193)+1,""))</f>
        <v/>
      </c>
    </row>
    <row r="195" spans="1:9" ht="16" x14ac:dyDescent="0.25">
      <c r="A195" s="69" t="str">
        <f>Listas!E190</f>
        <v>F4383 (Estaño) | 7.62 - 25.4 µm</v>
      </c>
      <c r="B195" s="69" t="str">
        <f t="shared" si="2"/>
        <v>Estaño</v>
      </c>
      <c r="C195" s="69" t="str">
        <f>IF($A195="","",IF(AND($B195&lt;&gt;"",IF($F$2="Otros",$B195="Otros",ISNUMBER(SEARCH($B195,$F$2)))),COUNT($C$2:C194)+1,""))</f>
        <v/>
      </c>
      <c r="G195" s="132" t="str">
        <f>IFERROR(INDEX($A$2:$A$507,MATCH(ROWS($G$2:G195),$C$2:$C$507,0)),IF(ROWS($G$2:G195)=1,"(sin matches)",""))</f>
        <v>RC Cámara Salina | 200 hrs. | 96 hrs.</v>
      </c>
      <c r="I195" s="69" t="str">
        <f>IF($A195="","",IF(AND($B195&lt;&gt;"",ISNUMBER(SEARCH($I$7,$B195))),COUNT($I$9:I194)+1,""))</f>
        <v/>
      </c>
    </row>
    <row r="196" spans="1:9" ht="16" x14ac:dyDescent="0.25">
      <c r="A196" s="69" t="str">
        <f>Listas!E191</f>
        <v>F50HD3S (Deshidrogenado) | 115 - 121 °C | &gt;= 6 hrs.</v>
      </c>
      <c r="B196" s="69" t="str">
        <f t="shared" si="2"/>
        <v>Otros</v>
      </c>
      <c r="C196" s="69">
        <f>IF($A196="","",IF(AND($B196&lt;&gt;"",IF($F$2="Otros",$B196="Otros",ISNUMBER(SEARCH($B196,$F$2)))),COUNT($C$2:C195)+1,""))</f>
        <v>60</v>
      </c>
      <c r="G196" s="132" t="str">
        <f>IFERROR(INDEX($A$2:$A$507,MATCH(ROWS($G$2:G196),$C$2:$C$507,0)),IF(ROWS($G$2:G196)=1,"(sin matches)",""))</f>
        <v>RC Cámara Salina | 200 hrs. | 960 hrs.</v>
      </c>
      <c r="I196" s="69">
        <f>IF($A196="","",IF(AND($B196&lt;&gt;"",ISNUMBER(SEARCH($I$7,$B196))),COUNT($I$9:I195)+1,""))</f>
        <v>59</v>
      </c>
    </row>
    <row r="197" spans="1:9" ht="16" x14ac:dyDescent="0.25">
      <c r="A197" s="69" t="str">
        <f>Listas!E192</f>
        <v>F50KD12 (Estaño) | 0.254 - 1.5 µm | No aplica</v>
      </c>
      <c r="B197" s="69" t="str">
        <f t="shared" si="2"/>
        <v>Estaño</v>
      </c>
      <c r="C197" s="69" t="str">
        <f>IF($A197="","",IF(AND($B197&lt;&gt;"",IF($F$2="Otros",$B197="Otros",ISNUMBER(SEARCH($B197,$F$2)))),COUNT($C$2:C196)+1,""))</f>
        <v/>
      </c>
      <c r="G197" s="132" t="str">
        <f>IFERROR(INDEX($A$2:$A$507,MATCH(ROWS($G$2:G197),$C$2:$C$507,0)),IF(ROWS($G$2:G197)=1,"(sin matches)",""))</f>
        <v>RC Cámara Salina | 200 hrs. | No aplica</v>
      </c>
      <c r="I197" s="69" t="str">
        <f>IF($A197="","",IF(AND($B197&lt;&gt;"",ISNUMBER(SEARCH($I$7,$B197))),COUNT($I$9:I196)+1,""))</f>
        <v/>
      </c>
    </row>
    <row r="198" spans="1:9" ht="16" x14ac:dyDescent="0.25">
      <c r="A198" s="69" t="str">
        <f>Listas!E193</f>
        <v>F70F2 (Estaño Mate) | 0.508 - 1.016 µm | 0.762 - 1.27 µm</v>
      </c>
      <c r="B198" s="69" t="str">
        <f t="shared" si="2"/>
        <v>Estaño</v>
      </c>
      <c r="C198" s="69" t="str">
        <f>IF($A198="","",IF(AND($B198&lt;&gt;"",IF($F$2="Otros",$B198="Otros",ISNUMBER(SEARCH($B198,$F$2)))),COUNT($C$2:C197)+1,""))</f>
        <v/>
      </c>
      <c r="G198" s="132" t="str">
        <f>IFERROR(INDEX($A$2:$A$507,MATCH(ROWS($G$2:G198),$C$2:$C$507,0)),IF(ROWS($G$2:G198)=1,"(sin matches)",""))</f>
        <v>RC Cámara Salina | 24 hrs. | 12 hrs.</v>
      </c>
      <c r="I198" s="69" t="str">
        <f>IF($A198="","",IF(AND($B198&lt;&gt;"",ISNUMBER(SEARCH($I$7,$B198))),COUNT($I$9:I197)+1,""))</f>
        <v/>
      </c>
    </row>
    <row r="199" spans="1:9" ht="16" x14ac:dyDescent="0.25">
      <c r="A199" s="69" t="str">
        <f>Listas!E194</f>
        <v>F70F2 (Estaño Mate) | 0.508 - 1.016 µm | 2.54 - 5.08 µm</v>
      </c>
      <c r="B199" s="69" t="str">
        <f t="shared" si="2"/>
        <v>Estaño</v>
      </c>
      <c r="C199" s="69" t="str">
        <f>IF($A199="","",IF(AND($B199&lt;&gt;"",IF($F$2="Otros",$B199="Otros",ISNUMBER(SEARCH($B199,$F$2)))),COUNT($C$2:C198)+1,""))</f>
        <v/>
      </c>
      <c r="G199" s="132" t="str">
        <f>IFERROR(INDEX($A$2:$A$507,MATCH(ROWS($G$2:G199),$C$2:$C$507,0)),IF(ROWS($G$2:G199)=1,"(sin matches)",""))</f>
        <v>RC Cámara Salina | 24 hrs. | 120 hrs.</v>
      </c>
      <c r="I199" s="69" t="str">
        <f>IF($A199="","",IF(AND($B199&lt;&gt;"",ISNUMBER(SEARCH($I$7,$B199))),COUNT($I$9:I198)+1,""))</f>
        <v/>
      </c>
    </row>
    <row r="200" spans="1:9" ht="16" x14ac:dyDescent="0.25">
      <c r="A200" s="69" t="str">
        <f>Listas!E195</f>
        <v>F70F2 (Estaño Mate) | 0.508 - 1.016 µm | 5.08 - 10.16 µm</v>
      </c>
      <c r="B200" s="69" t="str">
        <f t="shared" si="2"/>
        <v>Estaño</v>
      </c>
      <c r="C200" s="69" t="str">
        <f>IF($A200="","",IF(AND($B200&lt;&gt;"",IF($F$2="Otros",$B200="Otros",ISNUMBER(SEARCH($B200,$F$2)))),COUNT($C$2:C199)+1,""))</f>
        <v/>
      </c>
      <c r="G200" s="132" t="str">
        <f>IFERROR(INDEX($A$2:$A$507,MATCH(ROWS($G$2:G200),$C$2:$C$507,0)),IF(ROWS($G$2:G200)=1,"(sin matches)",""))</f>
        <v>RC Cámara Salina | 24 hrs. | 144 hrs.</v>
      </c>
      <c r="I200" s="69" t="str">
        <f>IF($A200="","",IF(AND($B200&lt;&gt;"",ISNUMBER(SEARCH($I$7,$B200))),COUNT($I$9:I199)+1,""))</f>
        <v/>
      </c>
    </row>
    <row r="201" spans="1:9" ht="16" x14ac:dyDescent="0.25">
      <c r="A201" s="69" t="str">
        <f>Listas!E196</f>
        <v>F70F2 (Estaño Mate) | 0.508 - 1.016 µm | No aplica</v>
      </c>
      <c r="B201" s="69" t="str">
        <f t="shared" si="2"/>
        <v>Estaño</v>
      </c>
      <c r="C201" s="69" t="str">
        <f>IF($A201="","",IF(AND($B201&lt;&gt;"",IF($F$2="Otros",$B201="Otros",ISNUMBER(SEARCH($B201,$F$2)))),COUNT($C$2:C200)+1,""))</f>
        <v/>
      </c>
      <c r="G201" s="132" t="str">
        <f>IFERROR(INDEX($A$2:$A$507,MATCH(ROWS($G$2:G201),$C$2:$C$507,0)),IF(ROWS($G$2:G201)=1,"(sin matches)",""))</f>
        <v>RC Cámara Salina | 24 hrs. | 16 hrs.</v>
      </c>
      <c r="I201" s="69" t="str">
        <f>IF($A201="","",IF(AND($B201&lt;&gt;"",ISNUMBER(SEARCH($I$7,$B201))),COUNT($I$9:I200)+1,""))</f>
        <v/>
      </c>
    </row>
    <row r="202" spans="1:9" ht="16" x14ac:dyDescent="0.25">
      <c r="A202" s="69" t="str">
        <f>Listas!E197</f>
        <v>F70F2 (Estaño Mate) | 12.7 - 19.05 µm | 0.762 - 1.27 µm</v>
      </c>
      <c r="B202" s="69" t="str">
        <f t="shared" ref="B202:B265" si="3">IF(OR(A202="",A202=0),"",IF(_xlfn.TEXTJOIN("+",TRUE,IF(ISNUMBER(SEARCH("Plata",A202&amp;"")),"Plata",""),IF(ISNUMBER(SEARCH("Níquel",A202&amp;"")),"Níquel",""),IF(ISNUMBER(SEARCH("Estaño",A202&amp;"")),"Estaño",""),IF(ISNUMBER(SEARCH("Zinc",A202&amp;"")),"Zinc",""),IF(ISNUMBER(SEARCH("Epóxico",A202&amp;"")),"Epóxico",""))="","Otros",_xlfn.TEXTJOIN("+",TRUE,IF(ISNUMBER(SEARCH("Plata",A202&amp;"")),"Plata",""),IF(ISNUMBER(SEARCH("Níquel",A202&amp;"")),"Níquel",""),IF(ISNUMBER(SEARCH("Estaño",A202&amp;"")),"Estaño",""),IF(ISNUMBER(SEARCH("Zinc",A202&amp;"")),"Zinc",""),IF(ISNUMBER(SEARCH("Epóxico",A202&amp;"")),"Epóxico",""))))</f>
        <v>Estaño</v>
      </c>
      <c r="C202" s="69" t="str">
        <f>IF($A202="","",IF(AND($B202&lt;&gt;"",IF($F$2="Otros",$B202="Otros",ISNUMBER(SEARCH($B202,$F$2)))),COUNT($C$2:C201)+1,""))</f>
        <v/>
      </c>
      <c r="G202" s="132" t="str">
        <f>IFERROR(INDEX($A$2:$A$507,MATCH(ROWS($G$2:G202),$C$2:$C$507,0)),IF(ROWS($G$2:G202)=1,"(sin matches)",""))</f>
        <v>RC Cámara Salina | 24 hrs. | 172 hrs.</v>
      </c>
      <c r="I202" s="69" t="str">
        <f>IF($A202="","",IF(AND($B202&lt;&gt;"",ISNUMBER(SEARCH($I$7,$B202))),COUNT($I$9:I201)+1,""))</f>
        <v/>
      </c>
    </row>
    <row r="203" spans="1:9" ht="16" x14ac:dyDescent="0.25">
      <c r="A203" s="69" t="str">
        <f>Listas!E198</f>
        <v>F70F2 (Estaño Mate) | 12.7 - 19.05 µm | 2.54 - 5.08 µm</v>
      </c>
      <c r="B203" s="69" t="str">
        <f t="shared" si="3"/>
        <v>Estaño</v>
      </c>
      <c r="C203" s="69" t="str">
        <f>IF($A203="","",IF(AND($B203&lt;&gt;"",IF($F$2="Otros",$B203="Otros",ISNUMBER(SEARCH($B203,$F$2)))),COUNT($C$2:C202)+1,""))</f>
        <v/>
      </c>
      <c r="G203" s="132" t="str">
        <f>IFERROR(INDEX($A$2:$A$507,MATCH(ROWS($G$2:G203),$C$2:$C$507,0)),IF(ROWS($G$2:G203)=1,"(sin matches)",""))</f>
        <v>RC Cámara Salina | 24 hrs. | 200 hrs.</v>
      </c>
      <c r="I203" s="69" t="str">
        <f>IF($A203="","",IF(AND($B203&lt;&gt;"",ISNUMBER(SEARCH($I$7,$B203))),COUNT($I$9:I202)+1,""))</f>
        <v/>
      </c>
    </row>
    <row r="204" spans="1:9" ht="16" x14ac:dyDescent="0.25">
      <c r="A204" s="69" t="str">
        <f>Listas!E199</f>
        <v>F70F2 (Estaño Mate) | 12.7 - 19.05 µm | 5.08 - 10.16 µm</v>
      </c>
      <c r="B204" s="69" t="str">
        <f t="shared" si="3"/>
        <v>Estaño</v>
      </c>
      <c r="C204" s="69" t="str">
        <f>IF($A204="","",IF(AND($B204&lt;&gt;"",IF($F$2="Otros",$B204="Otros",ISNUMBER(SEARCH($B204,$F$2)))),COUNT($C$2:C203)+1,""))</f>
        <v/>
      </c>
      <c r="G204" s="132" t="str">
        <f>IFERROR(INDEX($A$2:$A$507,MATCH(ROWS($G$2:G204),$C$2:$C$507,0)),IF(ROWS($G$2:G204)=1,"(sin matches)",""))</f>
        <v>RC Cámara Salina | 24 hrs. | 24 hrs.</v>
      </c>
      <c r="I204" s="69" t="str">
        <f>IF($A204="","",IF(AND($B204&lt;&gt;"",ISNUMBER(SEARCH($I$7,$B204))),COUNT($I$9:I203)+1,""))</f>
        <v/>
      </c>
    </row>
    <row r="205" spans="1:9" ht="16" x14ac:dyDescent="0.25">
      <c r="A205" s="69" t="str">
        <f>Listas!E200</f>
        <v>F70F2 (Estaño Mate) | 12.7 - 19.05 µm | No aplica</v>
      </c>
      <c r="B205" s="69" t="str">
        <f t="shared" si="3"/>
        <v>Estaño</v>
      </c>
      <c r="C205" s="69" t="str">
        <f>IF($A205="","",IF(AND($B205&lt;&gt;"",IF($F$2="Otros",$B205="Otros",ISNUMBER(SEARCH($B205,$F$2)))),COUNT($C$2:C204)+1,""))</f>
        <v/>
      </c>
      <c r="G205" s="132" t="str">
        <f>IFERROR(INDEX($A$2:$A$507,MATCH(ROWS($G$2:G205),$C$2:$C$507,0)),IF(ROWS($G$2:G205)=1,"(sin matches)",""))</f>
        <v>RC Cámara Salina | 24 hrs. | 240 hrs.</v>
      </c>
      <c r="I205" s="69" t="str">
        <f>IF($A205="","",IF(AND($B205&lt;&gt;"",ISNUMBER(SEARCH($I$7,$B205))),COUNT($I$9:I204)+1,""))</f>
        <v/>
      </c>
    </row>
    <row r="206" spans="1:9" ht="16" x14ac:dyDescent="0.25">
      <c r="A206" s="69" t="str">
        <f>Listas!E201</f>
        <v>F70F2 (Estaño Mate) | 2.54 - 5.08 µm | 0.762 - 1.27 µm</v>
      </c>
      <c r="B206" s="69" t="str">
        <f t="shared" si="3"/>
        <v>Estaño</v>
      </c>
      <c r="C206" s="69" t="str">
        <f>IF($A206="","",IF(AND($B206&lt;&gt;"",IF($F$2="Otros",$B206="Otros",ISNUMBER(SEARCH($B206,$F$2)))),COUNT($C$2:C205)+1,""))</f>
        <v/>
      </c>
      <c r="G206" s="132" t="str">
        <f>IFERROR(INDEX($A$2:$A$507,MATCH(ROWS($G$2:G206),$C$2:$C$507,0)),IF(ROWS($G$2:G206)=1,"(sin matches)",""))</f>
        <v>RC Cámara Salina | 24 hrs. | 36 hrs.</v>
      </c>
      <c r="I206" s="69" t="str">
        <f>IF($A206="","",IF(AND($B206&lt;&gt;"",ISNUMBER(SEARCH($I$7,$B206))),COUNT($I$9:I205)+1,""))</f>
        <v/>
      </c>
    </row>
    <row r="207" spans="1:9" ht="16" x14ac:dyDescent="0.25">
      <c r="A207" s="69" t="str">
        <f>Listas!E202</f>
        <v>F70F2 (Estaño Mate) | 2.54 - 5.08 µm | 2.54 - 5.08 µm</v>
      </c>
      <c r="B207" s="69" t="str">
        <f t="shared" si="3"/>
        <v>Estaño</v>
      </c>
      <c r="C207" s="69" t="str">
        <f>IF($A207="","",IF(AND($B207&lt;&gt;"",IF($F$2="Otros",$B207="Otros",ISNUMBER(SEARCH($B207,$F$2)))),COUNT($C$2:C206)+1,""))</f>
        <v/>
      </c>
      <c r="G207" s="132" t="str">
        <f>IFERROR(INDEX($A$2:$A$507,MATCH(ROWS($G$2:G207),$C$2:$C$507,0)),IF(ROWS($G$2:G207)=1,"(sin matches)",""))</f>
        <v>RC Cámara Salina | 24 hrs. | 360 hrs.</v>
      </c>
      <c r="I207" s="69" t="str">
        <f>IF($A207="","",IF(AND($B207&lt;&gt;"",ISNUMBER(SEARCH($I$7,$B207))),COUNT($I$9:I206)+1,""))</f>
        <v/>
      </c>
    </row>
    <row r="208" spans="1:9" ht="16" x14ac:dyDescent="0.25">
      <c r="A208" s="69" t="str">
        <f>Listas!E203</f>
        <v>F70F2 (Estaño Mate) | 2.54 - 5.08 µm | 5.08 - 10.16 µm</v>
      </c>
      <c r="B208" s="69" t="str">
        <f t="shared" si="3"/>
        <v>Estaño</v>
      </c>
      <c r="C208" s="69" t="str">
        <f>IF($A208="","",IF(AND($B208&lt;&gt;"",IF($F$2="Otros",$B208="Otros",ISNUMBER(SEARCH($B208,$F$2)))),COUNT($C$2:C207)+1,""))</f>
        <v/>
      </c>
      <c r="G208" s="132" t="str">
        <f>IFERROR(INDEX($A$2:$A$507,MATCH(ROWS($G$2:G208),$C$2:$C$507,0)),IF(ROWS($G$2:G208)=1,"(sin matches)",""))</f>
        <v>RC Cámara Salina | 24 hrs. | 48 hrs.</v>
      </c>
      <c r="I208" s="69" t="str">
        <f>IF($A208="","",IF(AND($B208&lt;&gt;"",ISNUMBER(SEARCH($I$7,$B208))),COUNT($I$9:I207)+1,""))</f>
        <v/>
      </c>
    </row>
    <row r="209" spans="1:9" ht="16" x14ac:dyDescent="0.25">
      <c r="A209" s="69" t="str">
        <f>Listas!E204</f>
        <v>F70F2 (Estaño Mate) | 2.54 - 5.08 µm | No aplica</v>
      </c>
      <c r="B209" s="69" t="str">
        <f t="shared" si="3"/>
        <v>Estaño</v>
      </c>
      <c r="C209" s="69" t="str">
        <f>IF($A209="","",IF(AND($B209&lt;&gt;"",IF($F$2="Otros",$B209="Otros",ISNUMBER(SEARCH($B209,$F$2)))),COUNT($C$2:C208)+1,""))</f>
        <v/>
      </c>
      <c r="G209" s="132" t="str">
        <f>IFERROR(INDEX($A$2:$A$507,MATCH(ROWS($G$2:G209),$C$2:$C$507,0)),IF(ROWS($G$2:G209)=1,"(sin matches)",""))</f>
        <v>RC Cámara Salina | 24 hrs. | 480 hrs.</v>
      </c>
      <c r="I209" s="69" t="str">
        <f>IF($A209="","",IF(AND($B209&lt;&gt;"",ISNUMBER(SEARCH($I$7,$B209))),COUNT($I$9:I208)+1,""))</f>
        <v/>
      </c>
    </row>
    <row r="210" spans="1:9" ht="16" x14ac:dyDescent="0.25">
      <c r="A210" s="69" t="str">
        <f>Listas!E205</f>
        <v>F70F2 (Estaño Mate) | 25.4 - 38.1 µm | 0.762 - 1.27 µm</v>
      </c>
      <c r="B210" s="69" t="str">
        <f t="shared" si="3"/>
        <v>Estaño</v>
      </c>
      <c r="C210" s="69" t="str">
        <f>IF($A210="","",IF(AND($B210&lt;&gt;"",IF($F$2="Otros",$B210="Otros",ISNUMBER(SEARCH($B210,$F$2)))),COUNT($C$2:C209)+1,""))</f>
        <v/>
      </c>
      <c r="G210" s="132" t="str">
        <f>IFERROR(INDEX($A$2:$A$507,MATCH(ROWS($G$2:G210),$C$2:$C$507,0)),IF(ROWS($G$2:G210)=1,"(sin matches)",""))</f>
        <v>RC Cámara Salina | 24 hrs. | 500 hrs.</v>
      </c>
      <c r="I210" s="69" t="str">
        <f>IF($A210="","",IF(AND($B210&lt;&gt;"",ISNUMBER(SEARCH($I$7,$B210))),COUNT($I$9:I209)+1,""))</f>
        <v/>
      </c>
    </row>
    <row r="211" spans="1:9" ht="16" x14ac:dyDescent="0.25">
      <c r="A211" s="69" t="str">
        <f>Listas!E206</f>
        <v>F70F2 (Estaño Mate) | 25.4 - 38.1 µm | 2.54 - 5.08 µm</v>
      </c>
      <c r="B211" s="69" t="str">
        <f t="shared" si="3"/>
        <v>Estaño</v>
      </c>
      <c r="C211" s="69" t="str">
        <f>IF($A211="","",IF(AND($B211&lt;&gt;"",IF($F$2="Otros",$B211="Otros",ISNUMBER(SEARCH($B211,$F$2)))),COUNT($C$2:C210)+1,""))</f>
        <v/>
      </c>
      <c r="G211" s="132" t="str">
        <f>IFERROR(INDEX($A$2:$A$507,MATCH(ROWS($G$2:G211),$C$2:$C$507,0)),IF(ROWS($G$2:G211)=1,"(sin matches)",""))</f>
        <v>RC Cámara Salina | 24 hrs. | 72 hrs.</v>
      </c>
      <c r="I211" s="69" t="str">
        <f>IF($A211="","",IF(AND($B211&lt;&gt;"",ISNUMBER(SEARCH($I$7,$B211))),COUNT($I$9:I210)+1,""))</f>
        <v/>
      </c>
    </row>
    <row r="212" spans="1:9" ht="16" x14ac:dyDescent="0.25">
      <c r="A212" s="69" t="str">
        <f>Listas!E207</f>
        <v>F70F2 (Estaño Mate) | 25.4 - 38.1 µm | 5.08 - 10.16 µm</v>
      </c>
      <c r="B212" s="69" t="str">
        <f t="shared" si="3"/>
        <v>Estaño</v>
      </c>
      <c r="C212" s="69" t="str">
        <f>IF($A212="","",IF(AND($B212&lt;&gt;"",IF($F$2="Otros",$B212="Otros",ISNUMBER(SEARCH($B212,$F$2)))),COUNT($C$2:C211)+1,""))</f>
        <v/>
      </c>
      <c r="G212" s="132" t="str">
        <f>IFERROR(INDEX($A$2:$A$507,MATCH(ROWS($G$2:G212),$C$2:$C$507,0)),IF(ROWS($G$2:G212)=1,"(sin matches)",""))</f>
        <v>RC Cámara Salina | 24 hrs. | 720 hrs.</v>
      </c>
      <c r="I212" s="69" t="str">
        <f>IF($A212="","",IF(AND($B212&lt;&gt;"",ISNUMBER(SEARCH($I$7,$B212))),COUNT($I$9:I211)+1,""))</f>
        <v/>
      </c>
    </row>
    <row r="213" spans="1:9" ht="16" x14ac:dyDescent="0.25">
      <c r="A213" s="69" t="str">
        <f>Listas!E208</f>
        <v>F70F2 (Estaño Mate) | 25.4 - 38.1 µm | No aplica</v>
      </c>
      <c r="B213" s="69" t="str">
        <f t="shared" si="3"/>
        <v>Estaño</v>
      </c>
      <c r="C213" s="69" t="str">
        <f>IF($A213="","",IF(AND($B213&lt;&gt;"",IF($F$2="Otros",$B213="Otros",ISNUMBER(SEARCH($B213,$F$2)))),COUNT($C$2:C212)+1,""))</f>
        <v/>
      </c>
      <c r="G213" s="132" t="str">
        <f>IFERROR(INDEX($A$2:$A$507,MATCH(ROWS($G$2:G213),$C$2:$C$507,0)),IF(ROWS($G$2:G213)=1,"(sin matches)",""))</f>
        <v>RC Cámara Salina | 24 hrs. | 96 hrs.</v>
      </c>
      <c r="I213" s="69" t="str">
        <f>IF($A213="","",IF(AND($B213&lt;&gt;"",ISNUMBER(SEARCH($I$7,$B213))),COUNT($I$9:I212)+1,""))</f>
        <v/>
      </c>
    </row>
    <row r="214" spans="1:9" ht="16" x14ac:dyDescent="0.25">
      <c r="A214" s="69" t="str">
        <f>Listas!E209</f>
        <v>F70F2 (Estaño Mate) | 3.81 - 7.62 µm | 0.762 - 1.27 µm</v>
      </c>
      <c r="B214" s="69" t="str">
        <f t="shared" si="3"/>
        <v>Estaño</v>
      </c>
      <c r="C214" s="69" t="str">
        <f>IF($A214="","",IF(AND($B214&lt;&gt;"",IF($F$2="Otros",$B214="Otros",ISNUMBER(SEARCH($B214,$F$2)))),COUNT($C$2:C213)+1,""))</f>
        <v/>
      </c>
      <c r="G214" s="132" t="str">
        <f>IFERROR(INDEX($A$2:$A$507,MATCH(ROWS($G$2:G214),$C$2:$C$507,0)),IF(ROWS($G$2:G214)=1,"(sin matches)",""))</f>
        <v>RC Cámara Salina | 24 hrs. | 960 hrs.</v>
      </c>
      <c r="I214" s="69" t="str">
        <f>IF($A214="","",IF(AND($B214&lt;&gt;"",ISNUMBER(SEARCH($I$7,$B214))),COUNT($I$9:I213)+1,""))</f>
        <v/>
      </c>
    </row>
    <row r="215" spans="1:9" ht="16" x14ac:dyDescent="0.25">
      <c r="A215" s="69" t="str">
        <f>Listas!E210</f>
        <v>F70F2 (Estaño Mate) | 3.81 - 7.62 µm | 2.54 - 5.08 µm</v>
      </c>
      <c r="B215" s="69" t="str">
        <f t="shared" si="3"/>
        <v>Estaño</v>
      </c>
      <c r="C215" s="69" t="str">
        <f>IF($A215="","",IF(AND($B215&lt;&gt;"",IF($F$2="Otros",$B215="Otros",ISNUMBER(SEARCH($B215,$F$2)))),COUNT($C$2:C214)+1,""))</f>
        <v/>
      </c>
      <c r="G215" s="132" t="str">
        <f>IFERROR(INDEX($A$2:$A$507,MATCH(ROWS($G$2:G215),$C$2:$C$507,0)),IF(ROWS($G$2:G215)=1,"(sin matches)",""))</f>
        <v>RC Cámara Salina | 24 hrs. | No aplica</v>
      </c>
      <c r="I215" s="69" t="str">
        <f>IF($A215="","",IF(AND($B215&lt;&gt;"",ISNUMBER(SEARCH($I$7,$B215))),COUNT($I$9:I214)+1,""))</f>
        <v/>
      </c>
    </row>
    <row r="216" spans="1:9" ht="16" x14ac:dyDescent="0.25">
      <c r="A216" s="69" t="str">
        <f>Listas!E211</f>
        <v>F70F2 (Estaño Mate) | 3.81 - 7.62 µm | 5.08 - 10.16 µm</v>
      </c>
      <c r="B216" s="69" t="str">
        <f t="shared" si="3"/>
        <v>Estaño</v>
      </c>
      <c r="C216" s="69" t="str">
        <f>IF($A216="","",IF(AND($B216&lt;&gt;"",IF($F$2="Otros",$B216="Otros",ISNUMBER(SEARCH($B216,$F$2)))),COUNT($C$2:C215)+1,""))</f>
        <v/>
      </c>
      <c r="G216" s="132" t="str">
        <f>IFERROR(INDEX($A$2:$A$507,MATCH(ROWS($G$2:G216),$C$2:$C$507,0)),IF(ROWS($G$2:G216)=1,"(sin matches)",""))</f>
        <v>RC Cámara Salina | 240 hrs. | 12 hrs.</v>
      </c>
      <c r="I216" s="69" t="str">
        <f>IF($A216="","",IF(AND($B216&lt;&gt;"",ISNUMBER(SEARCH($I$7,$B216))),COUNT($I$9:I215)+1,""))</f>
        <v/>
      </c>
    </row>
    <row r="217" spans="1:9" ht="16" x14ac:dyDescent="0.25">
      <c r="A217" s="69" t="str">
        <f>Listas!E212</f>
        <v>F70F2 (Estaño Mate) | 3.81 - 7.62 µm | No aplica</v>
      </c>
      <c r="B217" s="69" t="str">
        <f t="shared" si="3"/>
        <v>Estaño</v>
      </c>
      <c r="C217" s="69" t="str">
        <f>IF($A217="","",IF(AND($B217&lt;&gt;"",IF($F$2="Otros",$B217="Otros",ISNUMBER(SEARCH($B217,$F$2)))),COUNT($C$2:C216)+1,""))</f>
        <v/>
      </c>
      <c r="G217" s="132" t="str">
        <f>IFERROR(INDEX($A$2:$A$507,MATCH(ROWS($G$2:G217),$C$2:$C$507,0)),IF(ROWS($G$2:G217)=1,"(sin matches)",""))</f>
        <v>RC Cámara Salina | 240 hrs. | 120 hrs.</v>
      </c>
      <c r="I217" s="69" t="str">
        <f>IF($A217="","",IF(AND($B217&lt;&gt;"",ISNUMBER(SEARCH($I$7,$B217))),COUNT($I$9:I216)+1,""))</f>
        <v/>
      </c>
    </row>
    <row r="218" spans="1:9" ht="16" x14ac:dyDescent="0.25">
      <c r="A218" s="69" t="str">
        <f>Listas!E213</f>
        <v>F70F2 (Estaño Mate) | 5.08 - 10.16 µm | 0.762 - 1.27 µm</v>
      </c>
      <c r="B218" s="69" t="str">
        <f t="shared" si="3"/>
        <v>Estaño</v>
      </c>
      <c r="C218" s="69" t="str">
        <f>IF($A218="","",IF(AND($B218&lt;&gt;"",IF($F$2="Otros",$B218="Otros",ISNUMBER(SEARCH($B218,$F$2)))),COUNT($C$2:C217)+1,""))</f>
        <v/>
      </c>
      <c r="G218" s="132" t="str">
        <f>IFERROR(INDEX($A$2:$A$507,MATCH(ROWS($G$2:G218),$C$2:$C$507,0)),IF(ROWS($G$2:G218)=1,"(sin matches)",""))</f>
        <v>RC Cámara Salina | 240 hrs. | 144 hrs.</v>
      </c>
      <c r="I218" s="69" t="str">
        <f>IF($A218="","",IF(AND($B218&lt;&gt;"",ISNUMBER(SEARCH($I$7,$B218))),COUNT($I$9:I217)+1,""))</f>
        <v/>
      </c>
    </row>
    <row r="219" spans="1:9" ht="16" x14ac:dyDescent="0.25">
      <c r="A219" s="69" t="str">
        <f>Listas!E214</f>
        <v>F70F2 (Estaño Mate) | 5.08 - 10.16 µm | 2.54 - 5.08 µm</v>
      </c>
      <c r="B219" s="69" t="str">
        <f t="shared" si="3"/>
        <v>Estaño</v>
      </c>
      <c r="C219" s="69" t="str">
        <f>IF($A219="","",IF(AND($B219&lt;&gt;"",IF($F$2="Otros",$B219="Otros",ISNUMBER(SEARCH($B219,$F$2)))),COUNT($C$2:C218)+1,""))</f>
        <v/>
      </c>
      <c r="G219" s="132" t="str">
        <f>IFERROR(INDEX($A$2:$A$507,MATCH(ROWS($G$2:G219),$C$2:$C$507,0)),IF(ROWS($G$2:G219)=1,"(sin matches)",""))</f>
        <v>RC Cámara Salina | 240 hrs. | 16 hrs.</v>
      </c>
      <c r="I219" s="69" t="str">
        <f>IF($A219="","",IF(AND($B219&lt;&gt;"",ISNUMBER(SEARCH($I$7,$B219))),COUNT($I$9:I218)+1,""))</f>
        <v/>
      </c>
    </row>
    <row r="220" spans="1:9" ht="16" x14ac:dyDescent="0.25">
      <c r="A220" s="69" t="str">
        <f>Listas!E215</f>
        <v>F70F2 (Estaño Mate) | 5.08 - 10.16 µm | 5.08 - 10.16 µm</v>
      </c>
      <c r="B220" s="69" t="str">
        <f t="shared" si="3"/>
        <v>Estaño</v>
      </c>
      <c r="C220" s="69" t="str">
        <f>IF($A220="","",IF(AND($B220&lt;&gt;"",IF($F$2="Otros",$B220="Otros",ISNUMBER(SEARCH($B220,$F$2)))),COUNT($C$2:C219)+1,""))</f>
        <v/>
      </c>
      <c r="G220" s="132" t="str">
        <f>IFERROR(INDEX($A$2:$A$507,MATCH(ROWS($G$2:G220),$C$2:$C$507,0)),IF(ROWS($G$2:G220)=1,"(sin matches)",""))</f>
        <v>RC Cámara Salina | 240 hrs. | 172 hrs.</v>
      </c>
      <c r="I220" s="69" t="str">
        <f>IF($A220="","",IF(AND($B220&lt;&gt;"",ISNUMBER(SEARCH($I$7,$B220))),COUNT($I$9:I219)+1,""))</f>
        <v/>
      </c>
    </row>
    <row r="221" spans="1:9" ht="16" x14ac:dyDescent="0.25">
      <c r="A221" s="69" t="str">
        <f>Listas!E216</f>
        <v>F70F2 (Estaño Mate) | 5.08 - 10.16 µm | No aplica</v>
      </c>
      <c r="B221" s="69" t="str">
        <f t="shared" si="3"/>
        <v>Estaño</v>
      </c>
      <c r="C221" s="69" t="str">
        <f>IF($A221="","",IF(AND($B221&lt;&gt;"",IF($F$2="Otros",$B221="Otros",ISNUMBER(SEARCH($B221,$F$2)))),COUNT($C$2:C220)+1,""))</f>
        <v/>
      </c>
      <c r="G221" s="132" t="str">
        <f>IFERROR(INDEX($A$2:$A$507,MATCH(ROWS($G$2:G221),$C$2:$C$507,0)),IF(ROWS($G$2:G221)=1,"(sin matches)",""))</f>
        <v>RC Cámara Salina | 240 hrs. | 200 hrs.</v>
      </c>
      <c r="I221" s="69" t="str">
        <f>IF($A221="","",IF(AND($B221&lt;&gt;"",ISNUMBER(SEARCH($I$7,$B221))),COUNT($I$9:I220)+1,""))</f>
        <v/>
      </c>
    </row>
    <row r="222" spans="1:9" ht="16" x14ac:dyDescent="0.25">
      <c r="A222" s="69" t="str">
        <f>Listas!E217</f>
        <v>F70H2 (Plata Mate) | 0.3 - 0.6 µm</v>
      </c>
      <c r="B222" s="69" t="str">
        <f t="shared" si="3"/>
        <v>Plata</v>
      </c>
      <c r="C222" s="69" t="str">
        <f>IF($A222="","",IF(AND($B222&lt;&gt;"",IF($F$2="Otros",$B222="Otros",ISNUMBER(SEARCH($B222,$F$2)))),COUNT($C$2:C221)+1,""))</f>
        <v/>
      </c>
      <c r="G222" s="132" t="str">
        <f>IFERROR(INDEX($A$2:$A$507,MATCH(ROWS($G$2:G222),$C$2:$C$507,0)),IF(ROWS($G$2:G222)=1,"(sin matches)",""))</f>
        <v>RC Cámara Salina | 240 hrs. | 24 hrs.</v>
      </c>
      <c r="I222" s="69" t="str">
        <f>IF($A222="","",IF(AND($B222&lt;&gt;"",ISNUMBER(SEARCH($I$7,$B222))),COUNT($I$9:I221)+1,""))</f>
        <v/>
      </c>
    </row>
    <row r="223" spans="1:9" ht="16" x14ac:dyDescent="0.25">
      <c r="A223" s="69" t="str">
        <f>Listas!E218</f>
        <v>F70H2 (Plata Mate) | 0.508 - 1.016 µm</v>
      </c>
      <c r="B223" s="69" t="str">
        <f t="shared" si="3"/>
        <v>Plata</v>
      </c>
      <c r="C223" s="69" t="str">
        <f>IF($A223="","",IF(AND($B223&lt;&gt;"",IF($F$2="Otros",$B223="Otros",ISNUMBER(SEARCH($B223,$F$2)))),COUNT($C$2:C222)+1,""))</f>
        <v/>
      </c>
      <c r="G223" s="132" t="str">
        <f>IFERROR(INDEX($A$2:$A$507,MATCH(ROWS($G$2:G223),$C$2:$C$507,0)),IF(ROWS($G$2:G223)=1,"(sin matches)",""))</f>
        <v>RC Cámara Salina | 240 hrs. | 240 hrs.</v>
      </c>
      <c r="I223" s="69" t="str">
        <f>IF($A223="","",IF(AND($B223&lt;&gt;"",ISNUMBER(SEARCH($I$7,$B223))),COUNT($I$9:I222)+1,""))</f>
        <v/>
      </c>
    </row>
    <row r="224" spans="1:9" ht="16" x14ac:dyDescent="0.25">
      <c r="A224" s="69" t="str">
        <f>Listas!E219</f>
        <v>F70H2 (Plata Mate) | 10.16 - 15.24 µm</v>
      </c>
      <c r="B224" s="69" t="str">
        <f t="shared" si="3"/>
        <v>Plata</v>
      </c>
      <c r="C224" s="69" t="str">
        <f>IF($A224="","",IF(AND($B224&lt;&gt;"",IF($F$2="Otros",$B224="Otros",ISNUMBER(SEARCH($B224,$F$2)))),COUNT($C$2:C223)+1,""))</f>
        <v/>
      </c>
      <c r="G224" s="132" t="str">
        <f>IFERROR(INDEX($A$2:$A$507,MATCH(ROWS($G$2:G224),$C$2:$C$507,0)),IF(ROWS($G$2:G224)=1,"(sin matches)",""))</f>
        <v>RC Cámara Salina | 240 hrs. | 36 hrs.</v>
      </c>
      <c r="I224" s="69" t="str">
        <f>IF($A224="","",IF(AND($B224&lt;&gt;"",ISNUMBER(SEARCH($I$7,$B224))),COUNT($I$9:I223)+1,""))</f>
        <v/>
      </c>
    </row>
    <row r="225" spans="1:9" ht="16" x14ac:dyDescent="0.25">
      <c r="A225" s="69" t="str">
        <f>Listas!E220</f>
        <v>F70H2 (Plata Mate) | 12.7 - 19.05 µm</v>
      </c>
      <c r="B225" s="69" t="str">
        <f t="shared" si="3"/>
        <v>Plata</v>
      </c>
      <c r="C225" s="69" t="str">
        <f>IF($A225="","",IF(AND($B225&lt;&gt;"",IF($F$2="Otros",$B225="Otros",ISNUMBER(SEARCH($B225,$F$2)))),COUNT($C$2:C224)+1,""))</f>
        <v/>
      </c>
      <c r="G225" s="132" t="str">
        <f>IFERROR(INDEX($A$2:$A$507,MATCH(ROWS($G$2:G225),$C$2:$C$507,0)),IF(ROWS($G$2:G225)=1,"(sin matches)",""))</f>
        <v>RC Cámara Salina | 240 hrs. | 360 hrs.</v>
      </c>
      <c r="I225" s="69" t="str">
        <f>IF($A225="","",IF(AND($B225&lt;&gt;"",ISNUMBER(SEARCH($I$7,$B225))),COUNT($I$9:I224)+1,""))</f>
        <v/>
      </c>
    </row>
    <row r="226" spans="1:9" ht="16" x14ac:dyDescent="0.25">
      <c r="A226" s="69" t="str">
        <f>Listas!E221</f>
        <v>F70H2 (Plata Mate) | 2.54 - 7.62 µm</v>
      </c>
      <c r="B226" s="69" t="str">
        <f t="shared" si="3"/>
        <v>Plata</v>
      </c>
      <c r="C226" s="69" t="str">
        <f>IF($A226="","",IF(AND($B226&lt;&gt;"",IF($F$2="Otros",$B226="Otros",ISNUMBER(SEARCH($B226,$F$2)))),COUNT($C$2:C225)+1,""))</f>
        <v/>
      </c>
      <c r="G226" s="132" t="str">
        <f>IFERROR(INDEX($A$2:$A$507,MATCH(ROWS($G$2:G226),$C$2:$C$507,0)),IF(ROWS($G$2:G226)=1,"(sin matches)",""))</f>
        <v>RC Cámara Salina | 240 hrs. | 48 hrs.</v>
      </c>
      <c r="I226" s="69" t="str">
        <f>IF($A226="","",IF(AND($B226&lt;&gt;"",ISNUMBER(SEARCH($I$7,$B226))),COUNT($I$9:I225)+1,""))</f>
        <v/>
      </c>
    </row>
    <row r="227" spans="1:9" ht="16" x14ac:dyDescent="0.25">
      <c r="A227" s="69" t="str">
        <f>Listas!E222</f>
        <v>F70H2 (Plata Mate) | 25.4 - 38.1 µm</v>
      </c>
      <c r="B227" s="69" t="str">
        <f t="shared" si="3"/>
        <v>Plata</v>
      </c>
      <c r="C227" s="69" t="str">
        <f>IF($A227="","",IF(AND($B227&lt;&gt;"",IF($F$2="Otros",$B227="Otros",ISNUMBER(SEARCH($B227,$F$2)))),COUNT($C$2:C226)+1,""))</f>
        <v/>
      </c>
      <c r="G227" s="132" t="str">
        <f>IFERROR(INDEX($A$2:$A$507,MATCH(ROWS($G$2:G227),$C$2:$C$507,0)),IF(ROWS($G$2:G227)=1,"(sin matches)",""))</f>
        <v>RC Cámara Salina | 240 hrs. | 480 hrs.</v>
      </c>
      <c r="I227" s="69" t="str">
        <f>IF($A227="","",IF(AND($B227&lt;&gt;"",ISNUMBER(SEARCH($I$7,$B227))),COUNT($I$9:I226)+1,""))</f>
        <v/>
      </c>
    </row>
    <row r="228" spans="1:9" ht="16" x14ac:dyDescent="0.25">
      <c r="A228" s="69" t="str">
        <f>Listas!E223</f>
        <v>F70H2 (Plata Mate) | 5.08 - 10.16 µm</v>
      </c>
      <c r="B228" s="69" t="str">
        <f t="shared" si="3"/>
        <v>Plata</v>
      </c>
      <c r="C228" s="69" t="str">
        <f>IF($A228="","",IF(AND($B228&lt;&gt;"",IF($F$2="Otros",$B228="Otros",ISNUMBER(SEARCH($B228,$F$2)))),COUNT($C$2:C227)+1,""))</f>
        <v/>
      </c>
      <c r="G228" s="132" t="str">
        <f>IFERROR(INDEX($A$2:$A$507,MATCH(ROWS($G$2:G228),$C$2:$C$507,0)),IF(ROWS($G$2:G228)=1,"(sin matches)",""))</f>
        <v>RC Cámara Salina | 240 hrs. | 500 hrs.</v>
      </c>
      <c r="I228" s="69" t="str">
        <f>IF($A228="","",IF(AND($B228&lt;&gt;"",ISNUMBER(SEARCH($I$7,$B228))),COUNT($I$9:I227)+1,""))</f>
        <v/>
      </c>
    </row>
    <row r="229" spans="1:9" ht="16" x14ac:dyDescent="0.25">
      <c r="A229" s="69" t="str">
        <f>Listas!E224</f>
        <v>F70H3 (Plata Semibrillante) | 12.7 - 19.05 µm</v>
      </c>
      <c r="B229" s="69" t="str">
        <f t="shared" si="3"/>
        <v>Plata</v>
      </c>
      <c r="C229" s="69" t="str">
        <f>IF($A229="","",IF(AND($B229&lt;&gt;"",IF($F$2="Otros",$B229="Otros",ISNUMBER(SEARCH($B229,$F$2)))),COUNT($C$2:C228)+1,""))</f>
        <v/>
      </c>
      <c r="G229" s="132" t="str">
        <f>IFERROR(INDEX($A$2:$A$507,MATCH(ROWS($G$2:G229),$C$2:$C$507,0)),IF(ROWS($G$2:G229)=1,"(sin matches)",""))</f>
        <v>RC Cámara Salina | 240 hrs. | 72 hrs.</v>
      </c>
      <c r="I229" s="69" t="str">
        <f>IF($A229="","",IF(AND($B229&lt;&gt;"",ISNUMBER(SEARCH($I$7,$B229))),COUNT($I$9:I228)+1,""))</f>
        <v/>
      </c>
    </row>
    <row r="230" spans="1:9" ht="16" x14ac:dyDescent="0.25">
      <c r="A230" s="69" t="str">
        <f>Listas!E225</f>
        <v>F70H3 (Plata Semibrillante) | 2.54 - 5.08 µm</v>
      </c>
      <c r="B230" s="69" t="str">
        <f t="shared" si="3"/>
        <v>Plata</v>
      </c>
      <c r="C230" s="69" t="str">
        <f>IF($A230="","",IF(AND($B230&lt;&gt;"",IF($F$2="Otros",$B230="Otros",ISNUMBER(SEARCH($B230,$F$2)))),COUNT($C$2:C229)+1,""))</f>
        <v/>
      </c>
      <c r="G230" s="132" t="str">
        <f>IFERROR(INDEX($A$2:$A$507,MATCH(ROWS($G$2:G230),$C$2:$C$507,0)),IF(ROWS($G$2:G230)=1,"(sin matches)",""))</f>
        <v>RC Cámara Salina | 240 hrs. | 720 hrs.</v>
      </c>
      <c r="I230" s="69" t="str">
        <f>IF($A230="","",IF(AND($B230&lt;&gt;"",ISNUMBER(SEARCH($I$7,$B230))),COUNT($I$9:I229)+1,""))</f>
        <v/>
      </c>
    </row>
    <row r="231" spans="1:9" ht="16" x14ac:dyDescent="0.25">
      <c r="A231" s="69" t="str">
        <f>Listas!E226</f>
        <v>F70H3 (Plata Semibrillante) | 5.08 - 10.16 µm</v>
      </c>
      <c r="B231" s="69" t="str">
        <f t="shared" si="3"/>
        <v>Plata</v>
      </c>
      <c r="C231" s="69" t="str">
        <f>IF($A231="","",IF(AND($B231&lt;&gt;"",IF($F$2="Otros",$B231="Otros",ISNUMBER(SEARCH($B231,$F$2)))),COUNT($C$2:C230)+1,""))</f>
        <v/>
      </c>
      <c r="G231" s="132" t="str">
        <f>IFERROR(INDEX($A$2:$A$507,MATCH(ROWS($G$2:G231),$C$2:$C$507,0)),IF(ROWS($G$2:G231)=1,"(sin matches)",""))</f>
        <v>RC Cámara Salina | 240 hrs. | 96 hrs.</v>
      </c>
      <c r="I231" s="69" t="str">
        <f>IF($A231="","",IF(AND($B231&lt;&gt;"",ISNUMBER(SEARCH($I$7,$B231))),COUNT($I$9:I230)+1,""))</f>
        <v/>
      </c>
    </row>
    <row r="232" spans="1:9" ht="16" x14ac:dyDescent="0.25">
      <c r="A232" s="69" t="str">
        <f>Listas!E227</f>
        <v>F71B1 (Estaño) | 0.762 - 1.27 µm | 0.5 - 1.0 µm</v>
      </c>
      <c r="B232" s="69" t="str">
        <f t="shared" si="3"/>
        <v>Estaño</v>
      </c>
      <c r="C232" s="69" t="str">
        <f>IF($A232="","",IF(AND($B232&lt;&gt;"",IF($F$2="Otros",$B232="Otros",ISNUMBER(SEARCH($B232,$F$2)))),COUNT($C$2:C231)+1,""))</f>
        <v/>
      </c>
      <c r="G232" s="132" t="str">
        <f>IFERROR(INDEX($A$2:$A$507,MATCH(ROWS($G$2:G232),$C$2:$C$507,0)),IF(ROWS($G$2:G232)=1,"(sin matches)",""))</f>
        <v>RC Cámara Salina | 240 hrs. | 960 hrs.</v>
      </c>
      <c r="I232" s="69" t="str">
        <f>IF($A232="","",IF(AND($B232&lt;&gt;"",ISNUMBER(SEARCH($I$7,$B232))),COUNT($I$9:I231)+1,""))</f>
        <v/>
      </c>
    </row>
    <row r="233" spans="1:9" ht="16" x14ac:dyDescent="0.25">
      <c r="A233" s="69" t="str">
        <f>Listas!E228</f>
        <v>F71B1 (Estaño) | 0.762 - 1.27 µm | No aplica</v>
      </c>
      <c r="B233" s="69" t="str">
        <f t="shared" si="3"/>
        <v>Estaño</v>
      </c>
      <c r="C233" s="69" t="str">
        <f>IF($A233="","",IF(AND($B233&lt;&gt;"",IF($F$2="Otros",$B233="Otros",ISNUMBER(SEARCH($B233,$F$2)))),COUNT($C$2:C232)+1,""))</f>
        <v/>
      </c>
      <c r="G233" s="132" t="str">
        <f>IFERROR(INDEX($A$2:$A$507,MATCH(ROWS($G$2:G233),$C$2:$C$507,0)),IF(ROWS($G$2:G233)=1,"(sin matches)",""))</f>
        <v>RC Cámara Salina | 240 hrs. | No aplica</v>
      </c>
      <c r="I233" s="69" t="str">
        <f>IF($A233="","",IF(AND($B233&lt;&gt;"",ISNUMBER(SEARCH($I$7,$B233))),COUNT($I$9:I232)+1,""))</f>
        <v/>
      </c>
    </row>
    <row r="234" spans="1:9" ht="16" x14ac:dyDescent="0.25">
      <c r="A234" s="69" t="str">
        <f>Listas!E229</f>
        <v>F71D1 (Plata) | 0.076 - 0.152 µm</v>
      </c>
      <c r="B234" s="69" t="str">
        <f t="shared" si="3"/>
        <v>Plata</v>
      </c>
      <c r="C234" s="69" t="str">
        <f>IF($A234="","",IF(AND($B234&lt;&gt;"",IF($F$2="Otros",$B234="Otros",ISNUMBER(SEARCH($B234,$F$2)))),COUNT($C$2:C233)+1,""))</f>
        <v/>
      </c>
      <c r="G234" s="132" t="str">
        <f>IFERROR(INDEX($A$2:$A$507,MATCH(ROWS($G$2:G234),$C$2:$C$507,0)),IF(ROWS($G$2:G234)=1,"(sin matches)",""))</f>
        <v>RC Cámara Salina | 3 hrs. | 12 hrs.</v>
      </c>
      <c r="I234" s="69" t="str">
        <f>IF($A234="","",IF(AND($B234&lt;&gt;"",ISNUMBER(SEARCH($I$7,$B234))),COUNT($I$9:I233)+1,""))</f>
        <v/>
      </c>
    </row>
    <row r="235" spans="1:9" ht="16" x14ac:dyDescent="0.25">
      <c r="A235" s="69" t="str">
        <f>Listas!E230</f>
        <v>F71D1 (Plata) | 0.508 - 1.016 µm</v>
      </c>
      <c r="B235" s="69" t="str">
        <f t="shared" si="3"/>
        <v>Plata</v>
      </c>
      <c r="C235" s="69" t="str">
        <f>IF($A235="","",IF(AND($B235&lt;&gt;"",IF($F$2="Otros",$B235="Otros",ISNUMBER(SEARCH($B235,$F$2)))),COUNT($C$2:C234)+1,""))</f>
        <v/>
      </c>
      <c r="G235" s="132" t="str">
        <f>IFERROR(INDEX($A$2:$A$507,MATCH(ROWS($G$2:G235),$C$2:$C$507,0)),IF(ROWS($G$2:G235)=1,"(sin matches)",""))</f>
        <v>RC Cámara Salina | 3 hrs. | 120 hrs.</v>
      </c>
      <c r="I235" s="69" t="str">
        <f>IF($A235="","",IF(AND($B235&lt;&gt;"",ISNUMBER(SEARCH($I$7,$B235))),COUNT($I$9:I234)+1,""))</f>
        <v/>
      </c>
    </row>
    <row r="236" spans="1:9" ht="16" x14ac:dyDescent="0.25">
      <c r="A236" s="69" t="str">
        <f>Listas!E231</f>
        <v>FC-F01 | 8.0 - 12.5 µm</v>
      </c>
      <c r="B236" s="69" t="str">
        <f t="shared" si="3"/>
        <v>Otros</v>
      </c>
      <c r="C236" s="69">
        <f>IF($A236="","",IF(AND($B236&lt;&gt;"",IF($F$2="Otros",$B236="Otros",ISNUMBER(SEARCH($B236,$F$2)))),COUNT($C$2:C235)+1,""))</f>
        <v>61</v>
      </c>
      <c r="G236" s="132" t="str">
        <f>IFERROR(INDEX($A$2:$A$507,MATCH(ROWS($G$2:G236),$C$2:$C$507,0)),IF(ROWS($G$2:G236)=1,"(sin matches)",""))</f>
        <v>RC Cámara Salina | 3 hrs. | 144 hrs.</v>
      </c>
      <c r="I236" s="69">
        <f>IF($A236="","",IF(AND($B236&lt;&gt;"",ISNUMBER(SEARCH($I$7,$B236))),COUNT($I$9:I235)+1,""))</f>
        <v>60</v>
      </c>
    </row>
    <row r="237" spans="1:9" ht="16" x14ac:dyDescent="0.25">
      <c r="A237" s="69" t="str">
        <f>Listas!E232</f>
        <v>FFS 3A9 (Zinc) | 5 - 12 µm</v>
      </c>
      <c r="B237" s="69" t="str">
        <f t="shared" si="3"/>
        <v>Zinc</v>
      </c>
      <c r="C237" s="69" t="str">
        <f>IF($A237="","",IF(AND($B237&lt;&gt;"",IF($F$2="Otros",$B237="Otros",ISNUMBER(SEARCH($B237,$F$2)))),COUNT($C$2:C236)+1,""))</f>
        <v/>
      </c>
      <c r="G237" s="132" t="str">
        <f>IFERROR(INDEX($A$2:$A$507,MATCH(ROWS($G$2:G237),$C$2:$C$507,0)),IF(ROWS($G$2:G237)=1,"(sin matches)",""))</f>
        <v>RC Cámara Salina | 3 hrs. | 16 hrs.</v>
      </c>
      <c r="I237" s="69" t="str">
        <f>IF($A237="","",IF(AND($B237&lt;&gt;"",ISNUMBER(SEARCH($I$7,$B237))),COUNT($I$9:I236)+1,""))</f>
        <v/>
      </c>
    </row>
    <row r="238" spans="1:9" ht="16" x14ac:dyDescent="0.25">
      <c r="A238" s="69" t="str">
        <f>Listas!E233</f>
        <v>FFS-1A1 (Fosfato de Zinc) | 10 - 35 µm</v>
      </c>
      <c r="B238" s="69" t="str">
        <f t="shared" si="3"/>
        <v>Zinc</v>
      </c>
      <c r="C238" s="69" t="str">
        <f>IF($A238="","",IF(AND($B238&lt;&gt;"",IF($F$2="Otros",$B238="Otros",ISNUMBER(SEARCH($B238,$F$2)))),COUNT($C$2:C237)+1,""))</f>
        <v/>
      </c>
      <c r="G238" s="132" t="str">
        <f>IFERROR(INDEX($A$2:$A$507,MATCH(ROWS($G$2:G238),$C$2:$C$507,0)),IF(ROWS($G$2:G238)=1,"(sin matches)",""))</f>
        <v>RC Cámara Salina | 3 hrs. | 172 hrs.</v>
      </c>
      <c r="I238" s="69" t="str">
        <f>IF($A238="","",IF(AND($B238&lt;&gt;"",ISNUMBER(SEARCH($I$7,$B238))),COUNT($I$9:I237)+1,""))</f>
        <v/>
      </c>
    </row>
    <row r="239" spans="1:9" ht="16" x14ac:dyDescent="0.25">
      <c r="A239" s="69" t="str">
        <f>Listas!E234</f>
        <v>FFS-1A1 (Fosfato de Zinc) | 8 - 12 µm</v>
      </c>
      <c r="B239" s="69" t="str">
        <f t="shared" si="3"/>
        <v>Zinc</v>
      </c>
      <c r="C239" s="69" t="str">
        <f>IF($A239="","",IF(AND($B239&lt;&gt;"",IF($F$2="Otros",$B239="Otros",ISNUMBER(SEARCH($B239,$F$2)))),COUNT($C$2:C238)+1,""))</f>
        <v/>
      </c>
      <c r="G239" s="132" t="str">
        <f>IFERROR(INDEX($A$2:$A$507,MATCH(ROWS($G$2:G239),$C$2:$C$507,0)),IF(ROWS($G$2:G239)=1,"(sin matches)",""))</f>
        <v>RC Cámara Salina | 3 hrs. | 200 hrs.</v>
      </c>
      <c r="I239" s="69" t="str">
        <f>IF($A239="","",IF(AND($B239&lt;&gt;"",ISNUMBER(SEARCH($I$7,$B239))),COUNT($I$9:I238)+1,""))</f>
        <v/>
      </c>
    </row>
    <row r="240" spans="1:9" ht="16" x14ac:dyDescent="0.25">
      <c r="A240" s="69" t="str">
        <f>Listas!E235</f>
        <v>FFS-1C1 (Fosfato de Zinc c/Aceite) | 15 - 45 µm</v>
      </c>
      <c r="B240" s="69" t="str">
        <f t="shared" si="3"/>
        <v>Zinc</v>
      </c>
      <c r="C240" s="69" t="str">
        <f>IF($A240="","",IF(AND($B240&lt;&gt;"",IF($F$2="Otros",$B240="Otros",ISNUMBER(SEARCH($B240,$F$2)))),COUNT($C$2:C239)+1,""))</f>
        <v/>
      </c>
      <c r="G240" s="132" t="str">
        <f>IFERROR(INDEX($A$2:$A$507,MATCH(ROWS($G$2:G240),$C$2:$C$507,0)),IF(ROWS($G$2:G240)=1,"(sin matches)",""))</f>
        <v>RC Cámara Salina | 3 hrs. | 24 hrs.</v>
      </c>
      <c r="I240" s="69" t="str">
        <f>IF($A240="","",IF(AND($B240&lt;&gt;"",ISNUMBER(SEARCH($I$7,$B240))),COUNT($I$9:I239)+1,""))</f>
        <v/>
      </c>
    </row>
    <row r="241" spans="1:9" ht="16" x14ac:dyDescent="0.25">
      <c r="A241" s="69" t="str">
        <f>Listas!E236</f>
        <v>FFS-2B4 (Zinc Cromato Verde - Amarillo - Claro) | 12.7 - 17.78 µm</v>
      </c>
      <c r="B241" s="69" t="str">
        <f t="shared" si="3"/>
        <v>Zinc</v>
      </c>
      <c r="C241" s="69" t="str">
        <f>IF($A241="","",IF(AND($B241&lt;&gt;"",IF($F$2="Otros",$B241="Otros",ISNUMBER(SEARCH($B241,$F$2)))),COUNT($C$2:C240)+1,""))</f>
        <v/>
      </c>
      <c r="G241" s="132" t="str">
        <f>IFERROR(INDEX($A$2:$A$507,MATCH(ROWS($G$2:G241),$C$2:$C$507,0)),IF(ROWS($G$2:G241)=1,"(sin matches)",""))</f>
        <v>RC Cámara Salina | 3 hrs. | 240 hrs.</v>
      </c>
      <c r="I241" s="69" t="str">
        <f>IF($A241="","",IF(AND($B241&lt;&gt;"",ISNUMBER(SEARCH($I$7,$B241))),COUNT($I$9:I240)+1,""))</f>
        <v/>
      </c>
    </row>
    <row r="242" spans="1:9" ht="16" x14ac:dyDescent="0.25">
      <c r="A242" s="69" t="str">
        <f>Listas!E237</f>
        <v>FFS-2B4 (Zinc Cromato Verde - Amarillo - Claro) | 3.81 - 6.35 µm</v>
      </c>
      <c r="B242" s="69" t="str">
        <f t="shared" si="3"/>
        <v>Zinc</v>
      </c>
      <c r="C242" s="69" t="str">
        <f>IF($A242="","",IF(AND($B242&lt;&gt;"",IF($F$2="Otros",$B242="Otros",ISNUMBER(SEARCH($B242,$F$2)))),COUNT($C$2:C241)+1,""))</f>
        <v/>
      </c>
      <c r="G242" s="132" t="str">
        <f>IFERROR(INDEX($A$2:$A$507,MATCH(ROWS($G$2:G242),$C$2:$C$507,0)),IF(ROWS($G$2:G242)=1,"(sin matches)",""))</f>
        <v>RC Cámara Salina | 3 hrs. | 36 hrs.</v>
      </c>
      <c r="I242" s="69" t="str">
        <f>IF($A242="","",IF(AND($B242&lt;&gt;"",ISNUMBER(SEARCH($I$7,$B242))),COUNT($I$9:I241)+1,""))</f>
        <v/>
      </c>
    </row>
    <row r="243" spans="1:9" ht="16" x14ac:dyDescent="0.25">
      <c r="A243" s="69" t="str">
        <f>Listas!E238</f>
        <v>FFS-2B4 (Zinc Cromato Verde - Amarillo - Claro) | 6.35 - 8.89 µm</v>
      </c>
      <c r="B243" s="69" t="str">
        <f t="shared" si="3"/>
        <v>Zinc</v>
      </c>
      <c r="C243" s="69" t="str">
        <f>IF($A243="","",IF(AND($B243&lt;&gt;"",IF($F$2="Otros",$B243="Otros",ISNUMBER(SEARCH($B243,$F$2)))),COUNT($C$2:C242)+1,""))</f>
        <v/>
      </c>
      <c r="G243" s="132" t="str">
        <f>IFERROR(INDEX($A$2:$A$507,MATCH(ROWS($G$2:G243),$C$2:$C$507,0)),IF(ROWS($G$2:G243)=1,"(sin matches)",""))</f>
        <v>RC Cámara Salina | 3 hrs. | 360 hrs.</v>
      </c>
      <c r="I243" s="69" t="str">
        <f>IF($A243="","",IF(AND($B243&lt;&gt;"",ISNUMBER(SEARCH($I$7,$B243))),COUNT($I$9:I242)+1,""))</f>
        <v/>
      </c>
    </row>
    <row r="244" spans="1:9" ht="16" x14ac:dyDescent="0.25">
      <c r="A244" s="69" t="str">
        <f>Listas!E239</f>
        <v>FFS-2E3 (Cromo Duro) | 12.7 - 17.78 µm</v>
      </c>
      <c r="B244" s="69" t="str">
        <f t="shared" si="3"/>
        <v>Otros</v>
      </c>
      <c r="C244" s="69">
        <f>IF($A244="","",IF(AND($B244&lt;&gt;"",IF($F$2="Otros",$B244="Otros",ISNUMBER(SEARCH($B244,$F$2)))),COUNT($C$2:C243)+1,""))</f>
        <v>62</v>
      </c>
      <c r="G244" s="132" t="str">
        <f>IFERROR(INDEX($A$2:$A$507,MATCH(ROWS($G$2:G244),$C$2:$C$507,0)),IF(ROWS($G$2:G244)=1,"(sin matches)",""))</f>
        <v>RC Cámara Salina | 3 hrs. | 48 hrs.</v>
      </c>
      <c r="I244" s="69">
        <f>IF($A244="","",IF(AND($B244&lt;&gt;"",ISNUMBER(SEARCH($I$7,$B244))),COUNT($I$9:I243)+1,""))</f>
        <v>61</v>
      </c>
    </row>
    <row r="245" spans="1:9" ht="16" x14ac:dyDescent="0.25">
      <c r="A245" s="69" t="str">
        <f>Listas!E240</f>
        <v>FFS-2E3 (Cromo Duro) | 19.05 - 31.75 µm</v>
      </c>
      <c r="B245" s="69" t="str">
        <f t="shared" si="3"/>
        <v>Otros</v>
      </c>
      <c r="C245" s="69">
        <f>IF($A245="","",IF(AND($B245&lt;&gt;"",IF($F$2="Otros",$B245="Otros",ISNUMBER(SEARCH($B245,$F$2)))),COUNT($C$2:C244)+1,""))</f>
        <v>63</v>
      </c>
      <c r="G245" s="132" t="str">
        <f>IFERROR(INDEX($A$2:$A$507,MATCH(ROWS($G$2:G245),$C$2:$C$507,0)),IF(ROWS($G$2:G245)=1,"(sin matches)",""))</f>
        <v>RC Cámara Salina | 3 hrs. | 480 hrs.</v>
      </c>
      <c r="I245" s="69">
        <f>IF($A245="","",IF(AND($B245&lt;&gt;"",ISNUMBER(SEARCH($I$7,$B245))),COUNT($I$9:I244)+1,""))</f>
        <v>62</v>
      </c>
    </row>
    <row r="246" spans="1:9" ht="16" x14ac:dyDescent="0.25">
      <c r="A246" s="69" t="str">
        <f>Listas!E241</f>
        <v>FFS-2E3 (Cromo Duro) | 25 - 38 µm</v>
      </c>
      <c r="B246" s="69" t="str">
        <f t="shared" si="3"/>
        <v>Otros</v>
      </c>
      <c r="C246" s="69">
        <f>IF($A246="","",IF(AND($B246&lt;&gt;"",IF($F$2="Otros",$B246="Otros",ISNUMBER(SEARCH($B246,$F$2)))),COUNT($C$2:C245)+1,""))</f>
        <v>64</v>
      </c>
      <c r="G246" s="132" t="str">
        <f>IFERROR(INDEX($A$2:$A$507,MATCH(ROWS($G$2:G246),$C$2:$C$507,0)),IF(ROWS($G$2:G246)=1,"(sin matches)",""))</f>
        <v>RC Cámara Salina | 3 hrs. | 500 hrs.</v>
      </c>
      <c r="I246" s="69">
        <f>IF($A246="","",IF(AND($B246&lt;&gt;"",ISNUMBER(SEARCH($I$7,$B246))),COUNT($I$9:I245)+1,""))</f>
        <v>63</v>
      </c>
    </row>
    <row r="247" spans="1:9" ht="16" x14ac:dyDescent="0.25">
      <c r="A247" s="69" t="str">
        <f>Listas!E242</f>
        <v>FFS-2E3 (Cromo Duro) | 38.5 - 63.5 µm</v>
      </c>
      <c r="B247" s="69" t="str">
        <f t="shared" si="3"/>
        <v>Otros</v>
      </c>
      <c r="C247" s="69">
        <f>IF($A247="","",IF(AND($B247&lt;&gt;"",IF($F$2="Otros",$B247="Otros",ISNUMBER(SEARCH($B247,$F$2)))),COUNT($C$2:C246)+1,""))</f>
        <v>65</v>
      </c>
      <c r="G247" s="132" t="str">
        <f>IFERROR(INDEX($A$2:$A$507,MATCH(ROWS($G$2:G247),$C$2:$C$507,0)),IF(ROWS($G$2:G247)=1,"(sin matches)",""))</f>
        <v>RC Cámara Salina | 3 hrs. | 72 hrs.</v>
      </c>
      <c r="I247" s="69">
        <f>IF($A247="","",IF(AND($B247&lt;&gt;"",ISNUMBER(SEARCH($I$7,$B247))),COUNT($I$9:I246)+1,""))</f>
        <v>64</v>
      </c>
    </row>
    <row r="248" spans="1:9" ht="16" x14ac:dyDescent="0.25">
      <c r="A248" s="69" t="str">
        <f>Listas!E243</f>
        <v>FFS-2E3 (Cromo Duro) | 5.08 - 7.62 µm</v>
      </c>
      <c r="B248" s="69" t="str">
        <f t="shared" si="3"/>
        <v>Otros</v>
      </c>
      <c r="C248" s="69">
        <f>IF($A248="","",IF(AND($B248&lt;&gt;"",IF($F$2="Otros",$B248="Otros",ISNUMBER(SEARCH($B248,$F$2)))),COUNT($C$2:C247)+1,""))</f>
        <v>66</v>
      </c>
      <c r="G248" s="132" t="str">
        <f>IFERROR(INDEX($A$2:$A$507,MATCH(ROWS($G$2:G248),$C$2:$C$507,0)),IF(ROWS($G$2:G248)=1,"(sin matches)",""))</f>
        <v>RC Cámara Salina | 3 hrs. | 720 hrs.</v>
      </c>
      <c r="I248" s="69">
        <f>IF($A248="","",IF(AND($B248&lt;&gt;"",ISNUMBER(SEARCH($I$7,$B248))),COUNT($I$9:I247)+1,""))</f>
        <v>65</v>
      </c>
    </row>
    <row r="249" spans="1:9" ht="16" x14ac:dyDescent="0.25">
      <c r="A249" s="69" t="str">
        <f>Listas!E244</f>
        <v>FFS-2E3 (Cromo Duro) | 50.8 - 63.5 µm</v>
      </c>
      <c r="B249" s="69" t="str">
        <f t="shared" si="3"/>
        <v>Otros</v>
      </c>
      <c r="C249" s="69">
        <f>IF($A249="","",IF(AND($B249&lt;&gt;"",IF($F$2="Otros",$B249="Otros",ISNUMBER(SEARCH($B249,$F$2)))),COUNT($C$2:C248)+1,""))</f>
        <v>67</v>
      </c>
      <c r="G249" s="132" t="str">
        <f>IFERROR(INDEX($A$2:$A$507,MATCH(ROWS($G$2:G249),$C$2:$C$507,0)),IF(ROWS($G$2:G249)=1,"(sin matches)",""))</f>
        <v>RC Cámara Salina | 3 hrs. | 96 hrs.</v>
      </c>
      <c r="I249" s="69">
        <f>IF($A249="","",IF(AND($B249&lt;&gt;"",ISNUMBER(SEARCH($I$7,$B249))),COUNT($I$9:I248)+1,""))</f>
        <v>66</v>
      </c>
    </row>
    <row r="250" spans="1:9" ht="16" x14ac:dyDescent="0.25">
      <c r="A250" s="69" t="str">
        <f>Listas!E245</f>
        <v>FFS-2E3 (Cromo Duro) | 63.5 - 88.9 µm</v>
      </c>
      <c r="B250" s="69" t="str">
        <f t="shared" si="3"/>
        <v>Otros</v>
      </c>
      <c r="C250" s="69">
        <f>IF($A250="","",IF(AND($B250&lt;&gt;"",IF($F$2="Otros",$B250="Otros",ISNUMBER(SEARCH($B250,$F$2)))),COUNT($C$2:C249)+1,""))</f>
        <v>68</v>
      </c>
      <c r="G250" s="132" t="str">
        <f>IFERROR(INDEX($A$2:$A$507,MATCH(ROWS($G$2:G250),$C$2:$C$507,0)),IF(ROWS($G$2:G250)=1,"(sin matches)",""))</f>
        <v>RC Cámara Salina | 3 hrs. | 960 hrs.</v>
      </c>
      <c r="I250" s="69">
        <f>IF($A250="","",IF(AND($B250&lt;&gt;"",ISNUMBER(SEARCH($I$7,$B250))),COUNT($I$9:I249)+1,""))</f>
        <v>67</v>
      </c>
    </row>
    <row r="251" spans="1:9" ht="16" x14ac:dyDescent="0.25">
      <c r="A251" s="69" t="str">
        <f>Listas!E246</f>
        <v>FFS-2E3 (Cromo Duro) | 7.62 - 12.7 µm</v>
      </c>
      <c r="B251" s="69" t="str">
        <f t="shared" si="3"/>
        <v>Otros</v>
      </c>
      <c r="C251" s="69">
        <f>IF($A251="","",IF(AND($B251&lt;&gt;"",IF($F$2="Otros",$B251="Otros",ISNUMBER(SEARCH($B251,$F$2)))),COUNT($C$2:C250)+1,""))</f>
        <v>69</v>
      </c>
      <c r="G251" s="132" t="str">
        <f>IFERROR(INDEX($A$2:$A$507,MATCH(ROWS($G$2:G251),$C$2:$C$507,0)),IF(ROWS($G$2:G251)=1,"(sin matches)",""))</f>
        <v>RC Cámara Salina | 3 hrs. | No aplica</v>
      </c>
      <c r="I251" s="69">
        <f>IF($A251="","",IF(AND($B251&lt;&gt;"",ISNUMBER(SEARCH($I$7,$B251))),COUNT($I$9:I250)+1,""))</f>
        <v>68</v>
      </c>
    </row>
    <row r="252" spans="1:9" ht="16" x14ac:dyDescent="0.25">
      <c r="A252" s="69" t="str">
        <f>Listas!E247</f>
        <v>FFS-3A9 (Iridizado)</v>
      </c>
      <c r="B252" s="69" t="str">
        <f t="shared" si="3"/>
        <v>Otros</v>
      </c>
      <c r="C252" s="69">
        <f>IF($A252="","",IF(AND($B252&lt;&gt;"",IF($F$2="Otros",$B252="Otros",ISNUMBER(SEARCH($B252,$F$2)))),COUNT($C$2:C251)+1,""))</f>
        <v>70</v>
      </c>
      <c r="G252" s="132" t="str">
        <f>IFERROR(INDEX($A$2:$A$507,MATCH(ROWS($G$2:G252),$C$2:$C$507,0)),IF(ROWS($G$2:G252)=1,"(sin matches)",""))</f>
        <v>RC Cámara Salina | 48 hrs. | 12 hrs.</v>
      </c>
      <c r="I252" s="69">
        <f>IF($A252="","",IF(AND($B252&lt;&gt;"",ISNUMBER(SEARCH($I$7,$B252))),COUNT($I$9:I251)+1,""))</f>
        <v>69</v>
      </c>
    </row>
    <row r="253" spans="1:9" ht="16" x14ac:dyDescent="0.25">
      <c r="A253" s="69" t="str">
        <f>Listas!E248</f>
        <v>FGS-8B7 (Deshidrogenado / Horneado) | 190 - 204 °C (375 - 400 °F) | 337 - 349 (650 ± 10 °F) | &gt;= 0.5 hrs.</v>
      </c>
      <c r="B253" s="69" t="str">
        <f t="shared" si="3"/>
        <v>Otros</v>
      </c>
      <c r="C253" s="69">
        <f>IF($A253="","",IF(AND($B253&lt;&gt;"",IF($F$2="Otros",$B253="Otros",ISNUMBER(SEARCH($B253,$F$2)))),COUNT($C$2:C252)+1,""))</f>
        <v>71</v>
      </c>
      <c r="G253" s="132" t="str">
        <f>IFERROR(INDEX($A$2:$A$507,MATCH(ROWS($G$2:G253),$C$2:$C$507,0)),IF(ROWS($G$2:G253)=1,"(sin matches)",""))</f>
        <v>RC Cámara Salina | 48 hrs. | 120 hrs.</v>
      </c>
      <c r="I253" s="69">
        <f>IF($A253="","",IF(AND($B253&lt;&gt;"",ISNUMBER(SEARCH($I$7,$B253))),COUNT($I$9:I252)+1,""))</f>
        <v>70</v>
      </c>
    </row>
    <row r="254" spans="1:9" ht="16" x14ac:dyDescent="0.25">
      <c r="A254" s="69" t="str">
        <f>Listas!E249</f>
        <v>FGS-8B7 (Deshidrogenado / Horneado) | 190 - 204 °C (375 - 400 °F) | 337 - 349 (650 ± 10 °F) | &gt;= 1 hrs.</v>
      </c>
      <c r="B254" s="69" t="str">
        <f t="shared" si="3"/>
        <v>Otros</v>
      </c>
      <c r="C254" s="69">
        <f>IF($A254="","",IF(AND($B254&lt;&gt;"",IF($F$2="Otros",$B254="Otros",ISNUMBER(SEARCH($B254,$F$2)))),COUNT($C$2:C253)+1,""))</f>
        <v>72</v>
      </c>
      <c r="G254" s="132" t="str">
        <f>IFERROR(INDEX($A$2:$A$507,MATCH(ROWS($G$2:G254),$C$2:$C$507,0)),IF(ROWS($G$2:G254)=1,"(sin matches)",""))</f>
        <v>RC Cámara Salina | 48 hrs. | 144 hrs.</v>
      </c>
      <c r="I254" s="69">
        <f>IF($A254="","",IF(AND($B254&lt;&gt;"",ISNUMBER(SEARCH($I$7,$B254))),COUNT($I$9:I253)+1,""))</f>
        <v>71</v>
      </c>
    </row>
    <row r="255" spans="1:9" ht="16" x14ac:dyDescent="0.25">
      <c r="A255" s="69" t="str">
        <f>Listas!E250</f>
        <v>FGS-8B7 (Deshidrogenado / Horneado) | 190 - 204 °C (375 - 400 °F) | 337 - 349 (650 ± 10 °F) | &gt;= 10 hrs.</v>
      </c>
      <c r="B255" s="69" t="str">
        <f t="shared" si="3"/>
        <v>Otros</v>
      </c>
      <c r="C255" s="69">
        <f>IF($A255="","",IF(AND($B255&lt;&gt;"",IF($F$2="Otros",$B255="Otros",ISNUMBER(SEARCH($B255,$F$2)))),COUNT($C$2:C254)+1,""))</f>
        <v>73</v>
      </c>
      <c r="G255" s="132" t="str">
        <f>IFERROR(INDEX($A$2:$A$507,MATCH(ROWS($G$2:G255),$C$2:$C$507,0)),IF(ROWS($G$2:G255)=1,"(sin matches)",""))</f>
        <v>RC Cámara Salina | 48 hrs. | 16 hrs.</v>
      </c>
      <c r="I255" s="69">
        <f>IF($A255="","",IF(AND($B255&lt;&gt;"",ISNUMBER(SEARCH($I$7,$B255))),COUNT($I$9:I254)+1,""))</f>
        <v>72</v>
      </c>
    </row>
    <row r="256" spans="1:9" ht="16" x14ac:dyDescent="0.25">
      <c r="A256" s="69" t="str">
        <f>Listas!E251</f>
        <v>FGS-8B7 (Deshidrogenado / Horneado) | 190 - 204 °C (375 - 400 °F) | 337 - 349 (650 ± 10 °F) | &gt;= 14 hrs.</v>
      </c>
      <c r="B256" s="69" t="str">
        <f t="shared" si="3"/>
        <v>Otros</v>
      </c>
      <c r="C256" s="69">
        <f>IF($A256="","",IF(AND($B256&lt;&gt;"",IF($F$2="Otros",$B256="Otros",ISNUMBER(SEARCH($B256,$F$2)))),COUNT($C$2:C255)+1,""))</f>
        <v>74</v>
      </c>
      <c r="G256" s="132" t="str">
        <f>IFERROR(INDEX($A$2:$A$507,MATCH(ROWS($G$2:G256),$C$2:$C$507,0)),IF(ROWS($G$2:G256)=1,"(sin matches)",""))</f>
        <v>RC Cámara Salina | 48 hrs. | 172 hrs.</v>
      </c>
      <c r="I256" s="69">
        <f>IF($A256="","",IF(AND($B256&lt;&gt;"",ISNUMBER(SEARCH($I$7,$B256))),COUNT($I$9:I255)+1,""))</f>
        <v>73</v>
      </c>
    </row>
    <row r="257" spans="1:9" ht="16" x14ac:dyDescent="0.25">
      <c r="A257" s="69" t="str">
        <f>Listas!E252</f>
        <v>FGS-8B7 (Deshidrogenado / Horneado) | 190 - 204 °C (375 - 400 °F) | 337 - 349 (650 ± 10 °F) | &gt;= 2 hrs.</v>
      </c>
      <c r="B257" s="69" t="str">
        <f t="shared" si="3"/>
        <v>Otros</v>
      </c>
      <c r="C257" s="69">
        <f>IF($A257="","",IF(AND($B257&lt;&gt;"",IF($F$2="Otros",$B257="Otros",ISNUMBER(SEARCH($B257,$F$2)))),COUNT($C$2:C256)+1,""))</f>
        <v>75</v>
      </c>
      <c r="G257" s="132" t="str">
        <f>IFERROR(INDEX($A$2:$A$507,MATCH(ROWS($G$2:G257),$C$2:$C$507,0)),IF(ROWS($G$2:G257)=1,"(sin matches)",""))</f>
        <v>RC Cámara Salina | 48 hrs. | 200 hrs.</v>
      </c>
      <c r="I257" s="69">
        <f>IF($A257="","",IF(AND($B257&lt;&gt;"",ISNUMBER(SEARCH($I$7,$B257))),COUNT($I$9:I256)+1,""))</f>
        <v>74</v>
      </c>
    </row>
    <row r="258" spans="1:9" ht="16" x14ac:dyDescent="0.25">
      <c r="A258" s="69" t="str">
        <f>Listas!E253</f>
        <v>FGS-8B7 (Deshidrogenado / Horneado) | 190 - 204 °C (375 - 400 °F) | 337 - 349 (650 ± 10 °F) | &gt;= 24 hrs.</v>
      </c>
      <c r="B258" s="69" t="str">
        <f t="shared" si="3"/>
        <v>Otros</v>
      </c>
      <c r="C258" s="69">
        <f>IF($A258="","",IF(AND($B258&lt;&gt;"",IF($F$2="Otros",$B258="Otros",ISNUMBER(SEARCH($B258,$F$2)))),COUNT($C$2:C257)+1,""))</f>
        <v>76</v>
      </c>
      <c r="G258" s="132" t="str">
        <f>IFERROR(INDEX($A$2:$A$507,MATCH(ROWS($G$2:G258),$C$2:$C$507,0)),IF(ROWS($G$2:G258)=1,"(sin matches)",""))</f>
        <v>RC Cámara Salina | 48 hrs. | 24 hrs.</v>
      </c>
      <c r="I258" s="69">
        <f>IF($A258="","",IF(AND($B258&lt;&gt;"",ISNUMBER(SEARCH($I$7,$B258))),COUNT($I$9:I257)+1,""))</f>
        <v>75</v>
      </c>
    </row>
    <row r="259" spans="1:9" ht="16" x14ac:dyDescent="0.25">
      <c r="A259" s="69" t="str">
        <f>Listas!E254</f>
        <v>FGS-8B7 (Deshidrogenado / Horneado) | 190 - 204 °C (375 - 400 °F) | 337 - 349 (650 ± 10 °F) | &gt;= 3 hrs.</v>
      </c>
      <c r="B259" s="69" t="str">
        <f t="shared" si="3"/>
        <v>Otros</v>
      </c>
      <c r="C259" s="69">
        <f>IF($A259="","",IF(AND($B259&lt;&gt;"",IF($F$2="Otros",$B259="Otros",ISNUMBER(SEARCH($B259,$F$2)))),COUNT($C$2:C258)+1,""))</f>
        <v>77</v>
      </c>
      <c r="G259" s="132" t="str">
        <f>IFERROR(INDEX($A$2:$A$507,MATCH(ROWS($G$2:G259),$C$2:$C$507,0)),IF(ROWS($G$2:G259)=1,"(sin matches)",""))</f>
        <v>RC Cámara Salina | 48 hrs. | 240 hrs.</v>
      </c>
      <c r="I259" s="69">
        <f>IF($A259="","",IF(AND($B259&lt;&gt;"",ISNUMBER(SEARCH($I$7,$B259))),COUNT($I$9:I258)+1,""))</f>
        <v>76</v>
      </c>
    </row>
    <row r="260" spans="1:9" ht="16" x14ac:dyDescent="0.25">
      <c r="A260" s="69" t="str">
        <f>Listas!E255</f>
        <v>FGS-8B7 (Deshidrogenado / Horneado) | 190 - 204 °C (375 - 400 °F) | 337 - 349 (650 ± 10 °F) | &gt;= 4 hrs.</v>
      </c>
      <c r="B260" s="69" t="str">
        <f t="shared" si="3"/>
        <v>Otros</v>
      </c>
      <c r="C260" s="69">
        <f>IF($A260="","",IF(AND($B260&lt;&gt;"",IF($F$2="Otros",$B260="Otros",ISNUMBER(SEARCH($B260,$F$2)))),COUNT($C$2:C259)+1,""))</f>
        <v>78</v>
      </c>
      <c r="G260" s="132" t="str">
        <f>IFERROR(INDEX($A$2:$A$507,MATCH(ROWS($G$2:G260),$C$2:$C$507,0)),IF(ROWS($G$2:G260)=1,"(sin matches)",""))</f>
        <v>RC Cámara Salina | 48 hrs. | 36 hrs.</v>
      </c>
      <c r="I260" s="69">
        <f>IF($A260="","",IF(AND($B260&lt;&gt;"",ISNUMBER(SEARCH($I$7,$B260))),COUNT($I$9:I259)+1,""))</f>
        <v>77</v>
      </c>
    </row>
    <row r="261" spans="1:9" ht="16" x14ac:dyDescent="0.25">
      <c r="A261" s="69" t="str">
        <f>Listas!E256</f>
        <v>FGS-8B7 (Deshidrogenado / Horneado) | 190 - 204 °C (375 - 400 °F) | 337 - 349 (650 ± 10 °F) | &gt;= 5 hrs.</v>
      </c>
      <c r="B261" s="69" t="str">
        <f t="shared" si="3"/>
        <v>Otros</v>
      </c>
      <c r="C261" s="69">
        <f>IF($A261="","",IF(AND($B261&lt;&gt;"",IF($F$2="Otros",$B261="Otros",ISNUMBER(SEARCH($B261,$F$2)))),COUNT($C$2:C260)+1,""))</f>
        <v>79</v>
      </c>
      <c r="G261" s="132" t="str">
        <f>IFERROR(INDEX($A$2:$A$507,MATCH(ROWS($G$2:G261),$C$2:$C$507,0)),IF(ROWS($G$2:G261)=1,"(sin matches)",""))</f>
        <v>RC Cámara Salina | 48 hrs. | 360 hrs.</v>
      </c>
      <c r="I261" s="69">
        <f>IF($A261="","",IF(AND($B261&lt;&gt;"",ISNUMBER(SEARCH($I$7,$B261))),COUNT($I$9:I260)+1,""))</f>
        <v>78</v>
      </c>
    </row>
    <row r="262" spans="1:9" ht="16" x14ac:dyDescent="0.25">
      <c r="A262" s="69" t="str">
        <f>Listas!E257</f>
        <v>FGS-8B7 (Deshidrogenado / Horneado) | 190 - 204 °C (375 - 400 °F) | 337 - 349 (650 ± 10 °F) | &gt;= 6 hrs.</v>
      </c>
      <c r="B262" s="69" t="str">
        <f t="shared" si="3"/>
        <v>Otros</v>
      </c>
      <c r="C262" s="69">
        <f>IF($A262="","",IF(AND($B262&lt;&gt;"",IF($F$2="Otros",$B262="Otros",ISNUMBER(SEARCH($B262,$F$2)))),COUNT($C$2:C261)+1,""))</f>
        <v>80</v>
      </c>
      <c r="G262" s="132" t="str">
        <f>IFERROR(INDEX($A$2:$A$507,MATCH(ROWS($G$2:G262),$C$2:$C$507,0)),IF(ROWS($G$2:G262)=1,"(sin matches)",""))</f>
        <v>RC Cámara Salina | 48 hrs. | 48 hrs.</v>
      </c>
      <c r="I262" s="69">
        <f>IF($A262="","",IF(AND($B262&lt;&gt;"",ISNUMBER(SEARCH($I$7,$B262))),COUNT($I$9:I261)+1,""))</f>
        <v>79</v>
      </c>
    </row>
    <row r="263" spans="1:9" ht="16" x14ac:dyDescent="0.25">
      <c r="A263" s="69" t="str">
        <f>Listas!E258</f>
        <v>FGS-8B7 (Deshidrogenado / Horneado) | 190 - 204 °C (375 - 400 °F) | 337 - 349 (650 ± 10 °F) | &gt;= 8 hrs.</v>
      </c>
      <c r="B263" s="69" t="str">
        <f t="shared" si="3"/>
        <v>Otros</v>
      </c>
      <c r="C263" s="69">
        <f>IF($A263="","",IF(AND($B263&lt;&gt;"",IF($F$2="Otros",$B263="Otros",ISNUMBER(SEARCH($B263,$F$2)))),COUNT($C$2:C262)+1,""))</f>
        <v>81</v>
      </c>
      <c r="G263" s="132" t="str">
        <f>IFERROR(INDEX($A$2:$A$507,MATCH(ROWS($G$2:G263),$C$2:$C$507,0)),IF(ROWS($G$2:G263)=1,"(sin matches)",""))</f>
        <v>RC Cámara Salina | 48 hrs. | 480 hrs.</v>
      </c>
      <c r="I263" s="69">
        <f>IF($A263="","",IF(AND($B263&lt;&gt;"",ISNUMBER(SEARCH($I$7,$B263))),COUNT($I$9:I262)+1,""))</f>
        <v>80</v>
      </c>
    </row>
    <row r="264" spans="1:9" ht="16" x14ac:dyDescent="0.25">
      <c r="A264" s="69" t="str">
        <f>Listas!E259</f>
        <v>FGS-8B7 (Deshidrogenado / Horneado) | 190 - 204 °C (375 - 400 °F) | No aplica | &gt;= 0.5 hrs.</v>
      </c>
      <c r="B264" s="69" t="str">
        <f t="shared" si="3"/>
        <v>Otros</v>
      </c>
      <c r="C264" s="69">
        <f>IF($A264="","",IF(AND($B264&lt;&gt;"",IF($F$2="Otros",$B264="Otros",ISNUMBER(SEARCH($B264,$F$2)))),COUNT($C$2:C263)+1,""))</f>
        <v>82</v>
      </c>
      <c r="G264" s="132" t="str">
        <f>IFERROR(INDEX($A$2:$A$507,MATCH(ROWS($G$2:G264),$C$2:$C$507,0)),IF(ROWS($G$2:G264)=1,"(sin matches)",""))</f>
        <v>RC Cámara Salina | 48 hrs. | 500 hrs.</v>
      </c>
      <c r="I264" s="69">
        <f>IF($A264="","",IF(AND($B264&lt;&gt;"",ISNUMBER(SEARCH($I$7,$B264))),COUNT($I$9:I263)+1,""))</f>
        <v>81</v>
      </c>
    </row>
    <row r="265" spans="1:9" ht="16" x14ac:dyDescent="0.25">
      <c r="A265" s="69" t="str">
        <f>Listas!E260</f>
        <v>FGS-8B7 (Deshidrogenado / Horneado) | 190 - 204 °C (375 - 400 °F) | No aplica | &gt;= 1 hrs.</v>
      </c>
      <c r="B265" s="69" t="str">
        <f t="shared" si="3"/>
        <v>Otros</v>
      </c>
      <c r="C265" s="69">
        <f>IF($A265="","",IF(AND($B265&lt;&gt;"",IF($F$2="Otros",$B265="Otros",ISNUMBER(SEARCH($B265,$F$2)))),COUNT($C$2:C264)+1,""))</f>
        <v>83</v>
      </c>
      <c r="G265" s="132" t="str">
        <f>IFERROR(INDEX($A$2:$A$507,MATCH(ROWS($G$2:G265),$C$2:$C$507,0)),IF(ROWS($G$2:G265)=1,"(sin matches)",""))</f>
        <v>RC Cámara Salina | 48 hrs. | 72 hrs.</v>
      </c>
      <c r="I265" s="69">
        <f>IF($A265="","",IF(AND($B265&lt;&gt;"",ISNUMBER(SEARCH($I$7,$B265))),COUNT($I$9:I264)+1,""))</f>
        <v>82</v>
      </c>
    </row>
    <row r="266" spans="1:9" ht="16" x14ac:dyDescent="0.25">
      <c r="A266" s="69" t="str">
        <f>Listas!E261</f>
        <v>FGS-8B7 (Deshidrogenado / Horneado) | 190 - 204 °C (375 - 400 °F) | No aplica | &gt;= 10 hrs.</v>
      </c>
      <c r="B266" s="69" t="str">
        <f t="shared" ref="B266:B329" si="4">IF(OR(A266="",A266=0),"",IF(_xlfn.TEXTJOIN("+",TRUE,IF(ISNUMBER(SEARCH("Plata",A266&amp;"")),"Plata",""),IF(ISNUMBER(SEARCH("Níquel",A266&amp;"")),"Níquel",""),IF(ISNUMBER(SEARCH("Estaño",A266&amp;"")),"Estaño",""),IF(ISNUMBER(SEARCH("Zinc",A266&amp;"")),"Zinc",""),IF(ISNUMBER(SEARCH("Epóxico",A266&amp;"")),"Epóxico",""))="","Otros",_xlfn.TEXTJOIN("+",TRUE,IF(ISNUMBER(SEARCH("Plata",A266&amp;"")),"Plata",""),IF(ISNUMBER(SEARCH("Níquel",A266&amp;"")),"Níquel",""),IF(ISNUMBER(SEARCH("Estaño",A266&amp;"")),"Estaño",""),IF(ISNUMBER(SEARCH("Zinc",A266&amp;"")),"Zinc",""),IF(ISNUMBER(SEARCH("Epóxico",A266&amp;"")),"Epóxico",""))))</f>
        <v>Otros</v>
      </c>
      <c r="C266" s="69">
        <f>IF($A266="","",IF(AND($B266&lt;&gt;"",IF($F$2="Otros",$B266="Otros",ISNUMBER(SEARCH($B266,$F$2)))),COUNT($C$2:C265)+1,""))</f>
        <v>84</v>
      </c>
      <c r="G266" s="132" t="str">
        <f>IFERROR(INDEX($A$2:$A$507,MATCH(ROWS($G$2:G266),$C$2:$C$507,0)),IF(ROWS($G$2:G266)=1,"(sin matches)",""))</f>
        <v>RC Cámara Salina | 48 hrs. | 720 hrs.</v>
      </c>
      <c r="I266" s="69">
        <f>IF($A266="","",IF(AND($B266&lt;&gt;"",ISNUMBER(SEARCH($I$7,$B266))),COUNT($I$9:I265)+1,""))</f>
        <v>83</v>
      </c>
    </row>
    <row r="267" spans="1:9" ht="16" x14ac:dyDescent="0.25">
      <c r="A267" s="69" t="str">
        <f>Listas!E262</f>
        <v>FGS-8B7 (Deshidrogenado / Horneado) | 190 - 204 °C (375 - 400 °F) | No aplica | &gt;= 14 hrs.</v>
      </c>
      <c r="B267" s="69" t="str">
        <f t="shared" si="4"/>
        <v>Otros</v>
      </c>
      <c r="C267" s="69">
        <f>IF($A267="","",IF(AND($B267&lt;&gt;"",IF($F$2="Otros",$B267="Otros",ISNUMBER(SEARCH($B267,$F$2)))),COUNT($C$2:C266)+1,""))</f>
        <v>85</v>
      </c>
      <c r="G267" s="132" t="str">
        <f>IFERROR(INDEX($A$2:$A$507,MATCH(ROWS($G$2:G267),$C$2:$C$507,0)),IF(ROWS($G$2:G267)=1,"(sin matches)",""))</f>
        <v>RC Cámara Salina | 48 hrs. | 96 hrs.</v>
      </c>
      <c r="I267" s="69">
        <f>IF($A267="","",IF(AND($B267&lt;&gt;"",ISNUMBER(SEARCH($I$7,$B267))),COUNT($I$9:I266)+1,""))</f>
        <v>84</v>
      </c>
    </row>
    <row r="268" spans="1:9" ht="16" x14ac:dyDescent="0.25">
      <c r="A268" s="69" t="str">
        <f>Listas!E263</f>
        <v>FGS-8B7 (Deshidrogenado / Horneado) | 190 - 204 °C (375 - 400 °F) | No aplica | &gt;= 2 hrs.</v>
      </c>
      <c r="B268" s="69" t="str">
        <f t="shared" si="4"/>
        <v>Otros</v>
      </c>
      <c r="C268" s="69">
        <f>IF($A268="","",IF(AND($B268&lt;&gt;"",IF($F$2="Otros",$B268="Otros",ISNUMBER(SEARCH($B268,$F$2)))),COUNT($C$2:C267)+1,""))</f>
        <v>86</v>
      </c>
      <c r="G268" s="132" t="str">
        <f>IFERROR(INDEX($A$2:$A$507,MATCH(ROWS($G$2:G268),$C$2:$C$507,0)),IF(ROWS($G$2:G268)=1,"(sin matches)",""))</f>
        <v>RC Cámara Salina | 48 hrs. | 960 hrs.</v>
      </c>
      <c r="I268" s="69">
        <f>IF($A268="","",IF(AND($B268&lt;&gt;"",ISNUMBER(SEARCH($I$7,$B268))),COUNT($I$9:I267)+1,""))</f>
        <v>85</v>
      </c>
    </row>
    <row r="269" spans="1:9" ht="16" x14ac:dyDescent="0.25">
      <c r="A269" s="69" t="str">
        <f>Listas!E264</f>
        <v>FGS-8B7 (Deshidrogenado / Horneado) | 190 - 204 °C (375 - 400 °F) | No aplica | &gt;= 24 hrs.</v>
      </c>
      <c r="B269" s="69" t="str">
        <f t="shared" si="4"/>
        <v>Otros</v>
      </c>
      <c r="C269" s="69">
        <f>IF($A269="","",IF(AND($B269&lt;&gt;"",IF($F$2="Otros",$B269="Otros",ISNUMBER(SEARCH($B269,$F$2)))),COUNT($C$2:C268)+1,""))</f>
        <v>87</v>
      </c>
      <c r="G269" s="132" t="str">
        <f>IFERROR(INDEX($A$2:$A$507,MATCH(ROWS($G$2:G269),$C$2:$C$507,0)),IF(ROWS($G$2:G269)=1,"(sin matches)",""))</f>
        <v>RC Cámara Salina | 48 hrs. | No aplica</v>
      </c>
      <c r="I269" s="69">
        <f>IF($A269="","",IF(AND($B269&lt;&gt;"",ISNUMBER(SEARCH($I$7,$B269))),COUNT($I$9:I268)+1,""))</f>
        <v>86</v>
      </c>
    </row>
    <row r="270" spans="1:9" ht="16" x14ac:dyDescent="0.25">
      <c r="A270" s="69" t="str">
        <f>Listas!E265</f>
        <v>FGS-8B7 (Deshidrogenado / Horneado) | 190 - 204 °C (375 - 400 °F) | No aplica | &gt;= 3 hrs.</v>
      </c>
      <c r="B270" s="69" t="str">
        <f t="shared" si="4"/>
        <v>Otros</v>
      </c>
      <c r="C270" s="69">
        <f>IF($A270="","",IF(AND($B270&lt;&gt;"",IF($F$2="Otros",$B270="Otros",ISNUMBER(SEARCH($B270,$F$2)))),COUNT($C$2:C269)+1,""))</f>
        <v>88</v>
      </c>
      <c r="G270" s="132" t="str">
        <f>IFERROR(INDEX($A$2:$A$507,MATCH(ROWS($G$2:G270),$C$2:$C$507,0)),IF(ROWS($G$2:G270)=1,"(sin matches)",""))</f>
        <v>RC Cámara Salina | 72 hrs. | 12 hrs.</v>
      </c>
      <c r="I270" s="69">
        <f>IF($A270="","",IF(AND($B270&lt;&gt;"",ISNUMBER(SEARCH($I$7,$B270))),COUNT($I$9:I269)+1,""))</f>
        <v>87</v>
      </c>
    </row>
    <row r="271" spans="1:9" ht="16" x14ac:dyDescent="0.25">
      <c r="A271" s="69" t="str">
        <f>Listas!E266</f>
        <v>FGS-8B7 (Deshidrogenado / Horneado) | 190 - 204 °C (375 - 400 °F) | No aplica | &gt;= 4 hrs.</v>
      </c>
      <c r="B271" s="69" t="str">
        <f t="shared" si="4"/>
        <v>Otros</v>
      </c>
      <c r="C271" s="69">
        <f>IF($A271="","",IF(AND($B271&lt;&gt;"",IF($F$2="Otros",$B271="Otros",ISNUMBER(SEARCH($B271,$F$2)))),COUNT($C$2:C270)+1,""))</f>
        <v>89</v>
      </c>
      <c r="G271" s="132" t="str">
        <f>IFERROR(INDEX($A$2:$A$507,MATCH(ROWS($G$2:G271),$C$2:$C$507,0)),IF(ROWS($G$2:G271)=1,"(sin matches)",""))</f>
        <v>RC Cámara Salina | 72 hrs. | 120 hrs.</v>
      </c>
      <c r="I271" s="69">
        <f>IF($A271="","",IF(AND($B271&lt;&gt;"",ISNUMBER(SEARCH($I$7,$B271))),COUNT($I$9:I270)+1,""))</f>
        <v>88</v>
      </c>
    </row>
    <row r="272" spans="1:9" ht="16" x14ac:dyDescent="0.25">
      <c r="A272" s="69" t="str">
        <f>Listas!E267</f>
        <v>FGS-8B7 (Deshidrogenado / Horneado) | 190 - 204 °C (375 - 400 °F) | No aplica | &gt;= 5 hrs.</v>
      </c>
      <c r="B272" s="69" t="str">
        <f t="shared" si="4"/>
        <v>Otros</v>
      </c>
      <c r="C272" s="69">
        <f>IF($A272="","",IF(AND($B272&lt;&gt;"",IF($F$2="Otros",$B272="Otros",ISNUMBER(SEARCH($B272,$F$2)))),COUNT($C$2:C271)+1,""))</f>
        <v>90</v>
      </c>
      <c r="G272" s="132" t="str">
        <f>IFERROR(INDEX($A$2:$A$507,MATCH(ROWS($G$2:G272),$C$2:$C$507,0)),IF(ROWS($G$2:G272)=1,"(sin matches)",""))</f>
        <v>RC Cámara Salina | 72 hrs. | 144 hrs.</v>
      </c>
      <c r="I272" s="69">
        <f>IF($A272="","",IF(AND($B272&lt;&gt;"",ISNUMBER(SEARCH($I$7,$B272))),COUNT($I$9:I271)+1,""))</f>
        <v>89</v>
      </c>
    </row>
    <row r="273" spans="1:9" ht="16" x14ac:dyDescent="0.25">
      <c r="A273" s="69" t="str">
        <f>Listas!E268</f>
        <v>FGS-8B7 (Deshidrogenado / Horneado) | 190 - 204 °C (375 - 400 °F) | No aplica | &gt;= 6 hrs.</v>
      </c>
      <c r="B273" s="69" t="str">
        <f t="shared" si="4"/>
        <v>Otros</v>
      </c>
      <c r="C273" s="69">
        <f>IF($A273="","",IF(AND($B273&lt;&gt;"",IF($F$2="Otros",$B273="Otros",ISNUMBER(SEARCH($B273,$F$2)))),COUNT($C$2:C272)+1,""))</f>
        <v>91</v>
      </c>
      <c r="G273" s="132" t="str">
        <f>IFERROR(INDEX($A$2:$A$507,MATCH(ROWS($G$2:G273),$C$2:$C$507,0)),IF(ROWS($G$2:G273)=1,"(sin matches)",""))</f>
        <v>RC Cámara Salina | 72 hrs. | 16 hrs.</v>
      </c>
      <c r="I273" s="69">
        <f>IF($A273="","",IF(AND($B273&lt;&gt;"",ISNUMBER(SEARCH($I$7,$B273))),COUNT($I$9:I272)+1,""))</f>
        <v>90</v>
      </c>
    </row>
    <row r="274" spans="1:9" ht="16" x14ac:dyDescent="0.25">
      <c r="A274" s="69" t="str">
        <f>Listas!E269</f>
        <v>FGS-8B7 (Deshidrogenado / Horneado) | 190 - 204 °C (375 - 400 °F) | No aplica | &gt;= 8 hrs.</v>
      </c>
      <c r="B274" s="69" t="str">
        <f t="shared" si="4"/>
        <v>Otros</v>
      </c>
      <c r="C274" s="69">
        <f>IF($A274="","",IF(AND($B274&lt;&gt;"",IF($F$2="Otros",$B274="Otros",ISNUMBER(SEARCH($B274,$F$2)))),COUNT($C$2:C273)+1,""))</f>
        <v>92</v>
      </c>
      <c r="G274" s="132" t="str">
        <f>IFERROR(INDEX($A$2:$A$507,MATCH(ROWS($G$2:G274),$C$2:$C$507,0)),IF(ROWS($G$2:G274)=1,"(sin matches)",""))</f>
        <v>RC Cámara Salina | 72 hrs. | 172 hrs.</v>
      </c>
      <c r="I274" s="69">
        <f>IF($A274="","",IF(AND($B274&lt;&gt;"",ISNUMBER(SEARCH($I$7,$B274))),COUNT($I$9:I273)+1,""))</f>
        <v>91</v>
      </c>
    </row>
    <row r="275" spans="1:9" ht="16" x14ac:dyDescent="0.25">
      <c r="A275" s="69" t="str">
        <f>Listas!E270</f>
        <v>FGS-8B7 (Deshidrogenado / Horneado) | No aplica | 337 - 349 (650 ± 10 °F) | &gt;= 0.5 hrs.</v>
      </c>
      <c r="B275" s="69" t="str">
        <f t="shared" si="4"/>
        <v>Otros</v>
      </c>
      <c r="C275" s="69">
        <f>IF($A275="","",IF(AND($B275&lt;&gt;"",IF($F$2="Otros",$B275="Otros",ISNUMBER(SEARCH($B275,$F$2)))),COUNT($C$2:C274)+1,""))</f>
        <v>93</v>
      </c>
      <c r="G275" s="132" t="str">
        <f>IFERROR(INDEX($A$2:$A$507,MATCH(ROWS($G$2:G275),$C$2:$C$507,0)),IF(ROWS($G$2:G275)=1,"(sin matches)",""))</f>
        <v>RC Cámara Salina | 72 hrs. | 200 hrs.</v>
      </c>
      <c r="I275" s="69">
        <f>IF($A275="","",IF(AND($B275&lt;&gt;"",ISNUMBER(SEARCH($I$7,$B275))),COUNT($I$9:I274)+1,""))</f>
        <v>92</v>
      </c>
    </row>
    <row r="276" spans="1:9" ht="16" x14ac:dyDescent="0.25">
      <c r="A276" s="69" t="str">
        <f>Listas!E271</f>
        <v>FGS-8B7 (Deshidrogenado / Horneado) | No aplica | 337 - 349 (650 ± 10 °F) | &gt;= 1 hrs.</v>
      </c>
      <c r="B276" s="69" t="str">
        <f t="shared" si="4"/>
        <v>Otros</v>
      </c>
      <c r="C276" s="69">
        <f>IF($A276="","",IF(AND($B276&lt;&gt;"",IF($F$2="Otros",$B276="Otros",ISNUMBER(SEARCH($B276,$F$2)))),COUNT($C$2:C275)+1,""))</f>
        <v>94</v>
      </c>
      <c r="G276" s="132" t="str">
        <f>IFERROR(INDEX($A$2:$A$507,MATCH(ROWS($G$2:G276),$C$2:$C$507,0)),IF(ROWS($G$2:G276)=1,"(sin matches)",""))</f>
        <v>RC Cámara Salina | 72 hrs. | 24 hrs.</v>
      </c>
      <c r="I276" s="69">
        <f>IF($A276="","",IF(AND($B276&lt;&gt;"",ISNUMBER(SEARCH($I$7,$B276))),COUNT($I$9:I275)+1,""))</f>
        <v>93</v>
      </c>
    </row>
    <row r="277" spans="1:9" ht="16" x14ac:dyDescent="0.25">
      <c r="A277" s="69" t="str">
        <f>Listas!E272</f>
        <v>FGS-8B7 (Deshidrogenado / Horneado) | No aplica | 337 - 349 (650 ± 10 °F) | &gt;= 10 hrs.</v>
      </c>
      <c r="B277" s="69" t="str">
        <f t="shared" si="4"/>
        <v>Otros</v>
      </c>
      <c r="C277" s="69">
        <f>IF($A277="","",IF(AND($B277&lt;&gt;"",IF($F$2="Otros",$B277="Otros",ISNUMBER(SEARCH($B277,$F$2)))),COUNT($C$2:C276)+1,""))</f>
        <v>95</v>
      </c>
      <c r="G277" s="132" t="str">
        <f>IFERROR(INDEX($A$2:$A$507,MATCH(ROWS($G$2:G277),$C$2:$C$507,0)),IF(ROWS($G$2:G277)=1,"(sin matches)",""))</f>
        <v>RC Cámara Salina | 72 hrs. | 240 hrs.</v>
      </c>
      <c r="I277" s="69">
        <f>IF($A277="","",IF(AND($B277&lt;&gt;"",ISNUMBER(SEARCH($I$7,$B277))),COUNT($I$9:I276)+1,""))</f>
        <v>94</v>
      </c>
    </row>
    <row r="278" spans="1:9" ht="16" x14ac:dyDescent="0.25">
      <c r="A278" s="69" t="str">
        <f>Listas!E273</f>
        <v>FGS-8B7 (Deshidrogenado / Horneado) | No aplica | 337 - 349 (650 ± 10 °F) | &gt;= 14 hrs.</v>
      </c>
      <c r="B278" s="69" t="str">
        <f t="shared" si="4"/>
        <v>Otros</v>
      </c>
      <c r="C278" s="69">
        <f>IF($A278="","",IF(AND($B278&lt;&gt;"",IF($F$2="Otros",$B278="Otros",ISNUMBER(SEARCH($B278,$F$2)))),COUNT($C$2:C277)+1,""))</f>
        <v>96</v>
      </c>
      <c r="G278" s="132" t="str">
        <f>IFERROR(INDEX($A$2:$A$507,MATCH(ROWS($G$2:G278),$C$2:$C$507,0)),IF(ROWS($G$2:G278)=1,"(sin matches)",""))</f>
        <v>RC Cámara Salina | 72 hrs. | 36 hrs.</v>
      </c>
      <c r="I278" s="69">
        <f>IF($A278="","",IF(AND($B278&lt;&gt;"",ISNUMBER(SEARCH($I$7,$B278))),COUNT($I$9:I277)+1,""))</f>
        <v>95</v>
      </c>
    </row>
    <row r="279" spans="1:9" ht="16" x14ac:dyDescent="0.25">
      <c r="A279" s="69" t="str">
        <f>Listas!E274</f>
        <v>FGS-8B7 (Deshidrogenado / Horneado) | No aplica | 337 - 349 (650 ± 10 °F) | &gt;= 2 hrs.</v>
      </c>
      <c r="B279" s="69" t="str">
        <f t="shared" si="4"/>
        <v>Otros</v>
      </c>
      <c r="C279" s="69">
        <f>IF($A279="","",IF(AND($B279&lt;&gt;"",IF($F$2="Otros",$B279="Otros",ISNUMBER(SEARCH($B279,$F$2)))),COUNT($C$2:C278)+1,""))</f>
        <v>97</v>
      </c>
      <c r="G279" s="132" t="str">
        <f>IFERROR(INDEX($A$2:$A$507,MATCH(ROWS($G$2:G279),$C$2:$C$507,0)),IF(ROWS($G$2:G279)=1,"(sin matches)",""))</f>
        <v>RC Cámara Salina | 72 hrs. | 360 hrs.</v>
      </c>
      <c r="I279" s="69">
        <f>IF($A279="","",IF(AND($B279&lt;&gt;"",ISNUMBER(SEARCH($I$7,$B279))),COUNT($I$9:I278)+1,""))</f>
        <v>96</v>
      </c>
    </row>
    <row r="280" spans="1:9" ht="16" x14ac:dyDescent="0.25">
      <c r="A280" s="69" t="str">
        <f>Listas!E275</f>
        <v>FGS-8B7 (Deshidrogenado / Horneado) | No aplica | 337 - 349 (650 ± 10 °F) | &gt;= 24 hrs.</v>
      </c>
      <c r="B280" s="69" t="str">
        <f t="shared" si="4"/>
        <v>Otros</v>
      </c>
      <c r="C280" s="69">
        <f>IF($A280="","",IF(AND($B280&lt;&gt;"",IF($F$2="Otros",$B280="Otros",ISNUMBER(SEARCH($B280,$F$2)))),COUNT($C$2:C279)+1,""))</f>
        <v>98</v>
      </c>
      <c r="G280" s="132" t="str">
        <f>IFERROR(INDEX($A$2:$A$507,MATCH(ROWS($G$2:G280),$C$2:$C$507,0)),IF(ROWS($G$2:G280)=1,"(sin matches)",""))</f>
        <v>RC Cámara Salina | 72 hrs. | 48 hrs.</v>
      </c>
      <c r="I280" s="69">
        <f>IF($A280="","",IF(AND($B280&lt;&gt;"",ISNUMBER(SEARCH($I$7,$B280))),COUNT($I$9:I279)+1,""))</f>
        <v>97</v>
      </c>
    </row>
    <row r="281" spans="1:9" ht="16" x14ac:dyDescent="0.25">
      <c r="A281" s="69" t="str">
        <f>Listas!E276</f>
        <v>FGS-8B7 (Deshidrogenado / Horneado) | No aplica | 337 - 349 (650 ± 10 °F) | &gt;= 3 hrs.</v>
      </c>
      <c r="B281" s="69" t="str">
        <f t="shared" si="4"/>
        <v>Otros</v>
      </c>
      <c r="C281" s="69">
        <f>IF($A281="","",IF(AND($B281&lt;&gt;"",IF($F$2="Otros",$B281="Otros",ISNUMBER(SEARCH($B281,$F$2)))),COUNT($C$2:C280)+1,""))</f>
        <v>99</v>
      </c>
      <c r="G281" s="132" t="str">
        <f>IFERROR(INDEX($A$2:$A$507,MATCH(ROWS($G$2:G281),$C$2:$C$507,0)),IF(ROWS($G$2:G281)=1,"(sin matches)",""))</f>
        <v>RC Cámara Salina | 72 hrs. | 480 hrs.</v>
      </c>
      <c r="I281" s="69">
        <f>IF($A281="","",IF(AND($B281&lt;&gt;"",ISNUMBER(SEARCH($I$7,$B281))),COUNT($I$9:I280)+1,""))</f>
        <v>98</v>
      </c>
    </row>
    <row r="282" spans="1:9" ht="16" x14ac:dyDescent="0.25">
      <c r="A282" s="69" t="str">
        <f>Listas!E277</f>
        <v>FGS-8B7 (Deshidrogenado / Horneado) | No aplica | 337 - 349 (650 ± 10 °F) | &gt;= 4 hrs.</v>
      </c>
      <c r="B282" s="69" t="str">
        <f t="shared" si="4"/>
        <v>Otros</v>
      </c>
      <c r="C282" s="69">
        <f>IF($A282="","",IF(AND($B282&lt;&gt;"",IF($F$2="Otros",$B282="Otros",ISNUMBER(SEARCH($B282,$F$2)))),COUNT($C$2:C281)+1,""))</f>
        <v>100</v>
      </c>
      <c r="G282" s="132" t="str">
        <f>IFERROR(INDEX($A$2:$A$507,MATCH(ROWS($G$2:G282),$C$2:$C$507,0)),IF(ROWS($G$2:G282)=1,"(sin matches)",""))</f>
        <v>RC Cámara Salina | 72 hrs. | 500 hrs.</v>
      </c>
      <c r="I282" s="69">
        <f>IF($A282="","",IF(AND($B282&lt;&gt;"",ISNUMBER(SEARCH($I$7,$B282))),COUNT($I$9:I281)+1,""))</f>
        <v>99</v>
      </c>
    </row>
    <row r="283" spans="1:9" ht="16" x14ac:dyDescent="0.25">
      <c r="A283" s="69" t="str">
        <f>Listas!E278</f>
        <v>FGS-8B7 (Deshidrogenado / Horneado) | No aplica | 337 - 349 (650 ± 10 °F) | &gt;= 5 hrs.</v>
      </c>
      <c r="B283" s="69" t="str">
        <f t="shared" si="4"/>
        <v>Otros</v>
      </c>
      <c r="C283" s="69">
        <f>IF($A283="","",IF(AND($B283&lt;&gt;"",IF($F$2="Otros",$B283="Otros",ISNUMBER(SEARCH($B283,$F$2)))),COUNT($C$2:C282)+1,""))</f>
        <v>101</v>
      </c>
      <c r="G283" s="132" t="str">
        <f>IFERROR(INDEX($A$2:$A$507,MATCH(ROWS($G$2:G283),$C$2:$C$507,0)),IF(ROWS($G$2:G283)=1,"(sin matches)",""))</f>
        <v>RC Cámara Salina | 72 hrs. | 72 hrs.</v>
      </c>
      <c r="I283" s="69">
        <f>IF($A283="","",IF(AND($B283&lt;&gt;"",ISNUMBER(SEARCH($I$7,$B283))),COUNT($I$9:I282)+1,""))</f>
        <v>100</v>
      </c>
    </row>
    <row r="284" spans="1:9" ht="16" x14ac:dyDescent="0.25">
      <c r="A284" s="69" t="str">
        <f>Listas!E279</f>
        <v>FGS-8B7 (Deshidrogenado / Horneado) | No aplica | 337 - 349 (650 ± 10 °F) | &gt;= 6 hrs.</v>
      </c>
      <c r="B284" s="69" t="str">
        <f t="shared" si="4"/>
        <v>Otros</v>
      </c>
      <c r="C284" s="69">
        <f>IF($A284="","",IF(AND($B284&lt;&gt;"",IF($F$2="Otros",$B284="Otros",ISNUMBER(SEARCH($B284,$F$2)))),COUNT($C$2:C283)+1,""))</f>
        <v>102</v>
      </c>
      <c r="G284" s="132" t="str">
        <f>IFERROR(INDEX($A$2:$A$507,MATCH(ROWS($G$2:G284),$C$2:$C$507,0)),IF(ROWS($G$2:G284)=1,"(sin matches)",""))</f>
        <v>RC Cámara Salina | 72 hrs. | 720 hrs.</v>
      </c>
      <c r="I284" s="69">
        <f>IF($A284="","",IF(AND($B284&lt;&gt;"",ISNUMBER(SEARCH($I$7,$B284))),COUNT($I$9:I283)+1,""))</f>
        <v>101</v>
      </c>
    </row>
    <row r="285" spans="1:9" ht="16" x14ac:dyDescent="0.25">
      <c r="A285" s="69" t="str">
        <f>Listas!E280</f>
        <v>FGS-8B7 (Deshidrogenado / Horneado) | No aplica | 337 - 349 (650 ± 10 °F) | &gt;= 8 hrs.</v>
      </c>
      <c r="B285" s="69" t="str">
        <f t="shared" si="4"/>
        <v>Otros</v>
      </c>
      <c r="C285" s="69">
        <f>IF($A285="","",IF(AND($B285&lt;&gt;"",IF($F$2="Otros",$B285="Otros",ISNUMBER(SEARCH($B285,$F$2)))),COUNT($C$2:C284)+1,""))</f>
        <v>103</v>
      </c>
      <c r="G285" s="132" t="str">
        <f>IFERROR(INDEX($A$2:$A$507,MATCH(ROWS($G$2:G285),$C$2:$C$507,0)),IF(ROWS($G$2:G285)=1,"(sin matches)",""))</f>
        <v>RC Cámara Salina | 72 hrs. | 96 hrs.</v>
      </c>
      <c r="I285" s="69">
        <f>IF($A285="","",IF(AND($B285&lt;&gt;"",ISNUMBER(SEARCH($I$7,$B285))),COUNT($I$9:I284)+1,""))</f>
        <v>102</v>
      </c>
    </row>
    <row r="286" spans="1:9" ht="16" x14ac:dyDescent="0.25">
      <c r="A286" s="69" t="str">
        <f>Listas!E281</f>
        <v>FGS-8B7 (Deshidrogenado / Horneado) | No aplica | No aplica | &gt;= 0.5 hrs.</v>
      </c>
      <c r="B286" s="69" t="str">
        <f t="shared" si="4"/>
        <v>Otros</v>
      </c>
      <c r="C286" s="69">
        <f>IF($A286="","",IF(AND($B286&lt;&gt;"",IF($F$2="Otros",$B286="Otros",ISNUMBER(SEARCH($B286,$F$2)))),COUNT($C$2:C285)+1,""))</f>
        <v>104</v>
      </c>
      <c r="G286" s="132" t="str">
        <f>IFERROR(INDEX($A$2:$A$507,MATCH(ROWS($G$2:G286),$C$2:$C$507,0)),IF(ROWS($G$2:G286)=1,"(sin matches)",""))</f>
        <v>RC Cámara Salina | 72 hrs. | 960 hrs.</v>
      </c>
      <c r="I286" s="69">
        <f>IF($A286="","",IF(AND($B286&lt;&gt;"",ISNUMBER(SEARCH($I$7,$B286))),COUNT($I$9:I285)+1,""))</f>
        <v>103</v>
      </c>
    </row>
    <row r="287" spans="1:9" ht="16" x14ac:dyDescent="0.25">
      <c r="A287" s="69" t="str">
        <f>Listas!E282</f>
        <v>FGS-8B7 (Deshidrogenado / Horneado) | No aplica | No aplica | &gt;= 1 hrs.</v>
      </c>
      <c r="B287" s="69" t="str">
        <f t="shared" si="4"/>
        <v>Otros</v>
      </c>
      <c r="C287" s="69">
        <f>IF($A287="","",IF(AND($B287&lt;&gt;"",IF($F$2="Otros",$B287="Otros",ISNUMBER(SEARCH($B287,$F$2)))),COUNT($C$2:C286)+1,""))</f>
        <v>105</v>
      </c>
      <c r="G287" s="132" t="str">
        <f>IFERROR(INDEX($A$2:$A$507,MATCH(ROWS($G$2:G287),$C$2:$C$507,0)),IF(ROWS($G$2:G287)=1,"(sin matches)",""))</f>
        <v>RC Cámara Salina | 72 hrs. | No aplica</v>
      </c>
      <c r="I287" s="69">
        <f>IF($A287="","",IF(AND($B287&lt;&gt;"",ISNUMBER(SEARCH($I$7,$B287))),COUNT($I$9:I286)+1,""))</f>
        <v>104</v>
      </c>
    </row>
    <row r="288" spans="1:9" ht="16" x14ac:dyDescent="0.25">
      <c r="A288" s="69" t="str">
        <f>Listas!E283</f>
        <v>FGS-8B7 (Deshidrogenado / Horneado) | No aplica | No aplica | &gt;= 10 hrs.</v>
      </c>
      <c r="B288" s="69" t="str">
        <f t="shared" si="4"/>
        <v>Otros</v>
      </c>
      <c r="C288" s="69">
        <f>IF($A288="","",IF(AND($B288&lt;&gt;"",IF($F$2="Otros",$B288="Otros",ISNUMBER(SEARCH($B288,$F$2)))),COUNT($C$2:C287)+1,""))</f>
        <v>106</v>
      </c>
      <c r="G288" s="132" t="str">
        <f>IFERROR(INDEX($A$2:$A$507,MATCH(ROWS($G$2:G288),$C$2:$C$507,0)),IF(ROWS($G$2:G288)=1,"(sin matches)",""))</f>
        <v>RC Cámara Salina | 8 hrs. | 12 hrs.</v>
      </c>
      <c r="I288" s="69">
        <f>IF($A288="","",IF(AND($B288&lt;&gt;"",ISNUMBER(SEARCH($I$7,$B288))),COUNT($I$9:I287)+1,""))</f>
        <v>105</v>
      </c>
    </row>
    <row r="289" spans="1:9" ht="16" x14ac:dyDescent="0.25">
      <c r="A289" s="69" t="str">
        <f>Listas!E284</f>
        <v>FGS-8B7 (Deshidrogenado / Horneado) | No aplica | No aplica | &gt;= 14 hrs.</v>
      </c>
      <c r="B289" s="69" t="str">
        <f t="shared" si="4"/>
        <v>Otros</v>
      </c>
      <c r="C289" s="69">
        <f>IF($A289="","",IF(AND($B289&lt;&gt;"",IF($F$2="Otros",$B289="Otros",ISNUMBER(SEARCH($B289,$F$2)))),COUNT($C$2:C288)+1,""))</f>
        <v>107</v>
      </c>
      <c r="G289" s="132" t="str">
        <f>IFERROR(INDEX($A$2:$A$507,MATCH(ROWS($G$2:G289),$C$2:$C$507,0)),IF(ROWS($G$2:G289)=1,"(sin matches)",""))</f>
        <v/>
      </c>
      <c r="I289" s="69">
        <f>IF($A289="","",IF(AND($B289&lt;&gt;"",ISNUMBER(SEARCH($I$7,$B289))),COUNT($I$9:I288)+1,""))</f>
        <v>106</v>
      </c>
    </row>
    <row r="290" spans="1:9" ht="16" x14ac:dyDescent="0.25">
      <c r="A290" s="69" t="str">
        <f>Listas!E285</f>
        <v>FGS-8B7 (Deshidrogenado / Horneado) | No aplica | No aplica | &gt;= 2 hrs.</v>
      </c>
      <c r="B290" s="69" t="str">
        <f t="shared" si="4"/>
        <v>Otros</v>
      </c>
      <c r="C290" s="69">
        <f>IF($A290="","",IF(AND($B290&lt;&gt;"",IF($F$2="Otros",$B290="Otros",ISNUMBER(SEARCH($B290,$F$2)))),COUNT($C$2:C289)+1,""))</f>
        <v>108</v>
      </c>
      <c r="G290" s="132" t="str">
        <f>IFERROR(INDEX($A$2:$A$507,MATCH(ROWS($G$2:G290),$C$2:$C$507,0)),IF(ROWS($G$2:G290)=1,"(sin matches)",""))</f>
        <v/>
      </c>
      <c r="I290" s="69">
        <f>IF($A290="","",IF(AND($B290&lt;&gt;"",ISNUMBER(SEARCH($I$7,$B290))),COUNT($I$9:I289)+1,""))</f>
        <v>107</v>
      </c>
    </row>
    <row r="291" spans="1:9" ht="16" x14ac:dyDescent="0.25">
      <c r="A291" s="69" t="str">
        <f>Listas!E286</f>
        <v>FGS-8B7 (Deshidrogenado / Horneado) | No aplica | No aplica | &gt;= 24 hrs.</v>
      </c>
      <c r="B291" s="69" t="str">
        <f t="shared" si="4"/>
        <v>Otros</v>
      </c>
      <c r="C291" s="69">
        <f>IF($A291="","",IF(AND($B291&lt;&gt;"",IF($F$2="Otros",$B291="Otros",ISNUMBER(SEARCH($B291,$F$2)))),COUNT($C$2:C290)+1,""))</f>
        <v>109</v>
      </c>
      <c r="G291" s="132" t="str">
        <f>IFERROR(INDEX($A$2:$A$507,MATCH(ROWS($G$2:G291),$C$2:$C$507,0)),IF(ROWS($G$2:G291)=1,"(sin matches)",""))</f>
        <v/>
      </c>
      <c r="I291" s="69">
        <f>IF($A291="","",IF(AND($B291&lt;&gt;"",ISNUMBER(SEARCH($I$7,$B291))),COUNT($I$9:I290)+1,""))</f>
        <v>108</v>
      </c>
    </row>
    <row r="292" spans="1:9" ht="16" x14ac:dyDescent="0.25">
      <c r="A292" s="69" t="str">
        <f>Listas!E287</f>
        <v>FGS-8B7 (Deshidrogenado / Horneado) | No aplica | No aplica | &gt;= 3 hrs.</v>
      </c>
      <c r="B292" s="69" t="str">
        <f t="shared" si="4"/>
        <v>Otros</v>
      </c>
      <c r="C292" s="69">
        <f>IF($A292="","",IF(AND($B292&lt;&gt;"",IF($F$2="Otros",$B292="Otros",ISNUMBER(SEARCH($B292,$F$2)))),COUNT($C$2:C291)+1,""))</f>
        <v>110</v>
      </c>
      <c r="G292" s="132" t="str">
        <f>IFERROR(INDEX($A$2:$A$507,MATCH(ROWS($G$2:G292),$C$2:$C$507,0)),IF(ROWS($G$2:G292)=1,"(sin matches)",""))</f>
        <v/>
      </c>
      <c r="I292" s="69">
        <f>IF($A292="","",IF(AND($B292&lt;&gt;"",ISNUMBER(SEARCH($I$7,$B292))),COUNT($I$9:I291)+1,""))</f>
        <v>109</v>
      </c>
    </row>
    <row r="293" spans="1:9" ht="16" x14ac:dyDescent="0.25">
      <c r="A293" s="69" t="str">
        <f>Listas!E288</f>
        <v>FGS-8B7 (Deshidrogenado / Horneado) | No aplica | No aplica | &gt;= 4 hrs.</v>
      </c>
      <c r="B293" s="69" t="str">
        <f t="shared" si="4"/>
        <v>Otros</v>
      </c>
      <c r="C293" s="69">
        <f>IF($A293="","",IF(AND($B293&lt;&gt;"",IF($F$2="Otros",$B293="Otros",ISNUMBER(SEARCH($B293,$F$2)))),COUNT($C$2:C292)+1,""))</f>
        <v>111</v>
      </c>
      <c r="G293" s="132" t="str">
        <f>IFERROR(INDEX($A$2:$A$507,MATCH(ROWS($G$2:G293),$C$2:$C$507,0)),IF(ROWS($G$2:G293)=1,"(sin matches)",""))</f>
        <v/>
      </c>
      <c r="I293" s="69">
        <f>IF($A293="","",IF(AND($B293&lt;&gt;"",ISNUMBER(SEARCH($I$7,$B293))),COUNT($I$9:I292)+1,""))</f>
        <v>110</v>
      </c>
    </row>
    <row r="294" spans="1:9" ht="16" x14ac:dyDescent="0.25">
      <c r="A294" s="69" t="str">
        <f>Listas!E289</f>
        <v>FGS-8B7 (Deshidrogenado / Horneado) | No aplica | No aplica | &gt;= 5 hrs.</v>
      </c>
      <c r="B294" s="69" t="str">
        <f t="shared" si="4"/>
        <v>Otros</v>
      </c>
      <c r="C294" s="69">
        <f>IF($A294="","",IF(AND($B294&lt;&gt;"",IF($F$2="Otros",$B294="Otros",ISNUMBER(SEARCH($B294,$F$2)))),COUNT($C$2:C293)+1,""))</f>
        <v>112</v>
      </c>
      <c r="G294" s="132" t="str">
        <f>IFERROR(INDEX($A$2:$A$507,MATCH(ROWS($G$2:G294),$C$2:$C$507,0)),IF(ROWS($G$2:G294)=1,"(sin matches)",""))</f>
        <v/>
      </c>
      <c r="I294" s="69">
        <f>IF($A294="","",IF(AND($B294&lt;&gt;"",ISNUMBER(SEARCH($I$7,$B294))),COUNT($I$9:I293)+1,""))</f>
        <v>111</v>
      </c>
    </row>
    <row r="295" spans="1:9" ht="16" x14ac:dyDescent="0.25">
      <c r="A295" s="69" t="str">
        <f>Listas!E290</f>
        <v>FGS-8B7 (Deshidrogenado / Horneado) | No aplica | No aplica | &gt;= 6 hrs.</v>
      </c>
      <c r="B295" s="69" t="str">
        <f t="shared" si="4"/>
        <v>Otros</v>
      </c>
      <c r="C295" s="69">
        <f>IF($A295="","",IF(AND($B295&lt;&gt;"",IF($F$2="Otros",$B295="Otros",ISNUMBER(SEARCH($B295,$F$2)))),COUNT($C$2:C294)+1,""))</f>
        <v>113</v>
      </c>
      <c r="G295" s="132" t="str">
        <f>IFERROR(INDEX($A$2:$A$507,MATCH(ROWS($G$2:G295),$C$2:$C$507,0)),IF(ROWS($G$2:G295)=1,"(sin matches)",""))</f>
        <v/>
      </c>
      <c r="I295" s="69">
        <f>IF($A295="","",IF(AND($B295&lt;&gt;"",ISNUMBER(SEARCH($I$7,$B295))),COUNT($I$9:I294)+1,""))</f>
        <v>112</v>
      </c>
    </row>
    <row r="296" spans="1:9" ht="16" x14ac:dyDescent="0.25">
      <c r="A296" s="69" t="str">
        <f>Listas!E291</f>
        <v>FGS-8B7 (Deshidrogenado / Horneado) | No aplica | No aplica | &gt;= 8 hrs.</v>
      </c>
      <c r="B296" s="69" t="str">
        <f t="shared" si="4"/>
        <v>Otros</v>
      </c>
      <c r="C296" s="69">
        <f>IF($A296="","",IF(AND($B296&lt;&gt;"",IF($F$2="Otros",$B296="Otros",ISNUMBER(SEARCH($B296,$F$2)))),COUNT($C$2:C295)+1,""))</f>
        <v>114</v>
      </c>
      <c r="G296" s="132" t="str">
        <f>IFERROR(INDEX($A$2:$A$507,MATCH(ROWS($G$2:G296),$C$2:$C$507,0)),IF(ROWS($G$2:G296)=1,"(sin matches)",""))</f>
        <v/>
      </c>
      <c r="I296" s="69">
        <f>IF($A296="","",IF(AND($B296&lt;&gt;"",ISNUMBER(SEARCH($I$7,$B296))),COUNT($I$9:I295)+1,""))</f>
        <v>113</v>
      </c>
    </row>
    <row r="297" spans="1:9" ht="16" x14ac:dyDescent="0.25">
      <c r="A297" s="69" t="str">
        <f>Listas!E292</f>
        <v>FGS-8B7 (Níquel Electroless) | 50.8 - 63.5 µm</v>
      </c>
      <c r="B297" s="69" t="str">
        <f t="shared" si="4"/>
        <v>Níquel</v>
      </c>
      <c r="C297" s="69" t="str">
        <f>IF($A297="","",IF(AND($B297&lt;&gt;"",IF($F$2="Otros",$B297="Otros",ISNUMBER(SEARCH($B297,$F$2)))),COUNT($C$2:C296)+1,""))</f>
        <v/>
      </c>
      <c r="G297" s="132" t="str">
        <f>IFERROR(INDEX($A$2:$A$507,MATCH(ROWS($G$2:G297),$C$2:$C$507,0)),IF(ROWS($G$2:G297)=1,"(sin matches)",""))</f>
        <v/>
      </c>
      <c r="I297" s="69" t="str">
        <f>IF($A297="","",IF(AND($B297&lt;&gt;"",ISNUMBER(SEARCH($I$7,$B297))),COUNT($I$9:I296)+1,""))</f>
        <v/>
      </c>
    </row>
    <row r="298" spans="1:9" ht="16" x14ac:dyDescent="0.25">
      <c r="A298" s="69" t="str">
        <f>Listas!E293</f>
        <v>FTR00025 (Zinc) | 12 - 25 µm</v>
      </c>
      <c r="B298" s="69" t="str">
        <f t="shared" si="4"/>
        <v>Zinc</v>
      </c>
      <c r="C298" s="69" t="str">
        <f>IF($A298="","",IF(AND($B298&lt;&gt;"",IF($F$2="Otros",$B298="Otros",ISNUMBER(SEARCH($B298,$F$2)))),COUNT($C$2:C297)+1,""))</f>
        <v/>
      </c>
      <c r="G298" s="132" t="str">
        <f>IFERROR(INDEX($A$2:$A$507,MATCH(ROWS($G$2:G298),$C$2:$C$507,0)),IF(ROWS($G$2:G298)=1,"(sin matches)",""))</f>
        <v/>
      </c>
      <c r="I298" s="69" t="str">
        <f>IF($A298="","",IF(AND($B298&lt;&gt;"",ISNUMBER(SEARCH($I$7,$B298))),COUNT($I$9:I297)+1,""))</f>
        <v/>
      </c>
    </row>
    <row r="299" spans="1:9" ht="16" x14ac:dyDescent="0.25">
      <c r="A299" s="69" t="str">
        <f>Listas!E294</f>
        <v>FTR00025 (Zinc) | 25 - 40 µm</v>
      </c>
      <c r="B299" s="69" t="str">
        <f t="shared" si="4"/>
        <v>Zinc</v>
      </c>
      <c r="C299" s="69" t="str">
        <f>IF($A299="","",IF(AND($B299&lt;&gt;"",IF($F$2="Otros",$B299="Otros",ISNUMBER(SEARCH($B299,$F$2)))),COUNT($C$2:C298)+1,""))</f>
        <v/>
      </c>
      <c r="G299" s="132" t="str">
        <f>IFERROR(INDEX($A$2:$A$507,MATCH(ROWS($G$2:G299),$C$2:$C$507,0)),IF(ROWS($G$2:G299)=1,"(sin matches)",""))</f>
        <v/>
      </c>
      <c r="I299" s="69" t="str">
        <f>IF($A299="","",IF(AND($B299&lt;&gt;"",ISNUMBER(SEARCH($I$7,$B299))),COUNT($I$9:I298)+1,""))</f>
        <v/>
      </c>
    </row>
    <row r="300" spans="1:9" ht="16" x14ac:dyDescent="0.25">
      <c r="A300" s="69" t="str">
        <f>Listas!E295</f>
        <v>FTR00025 (Zinc) | 40 - 50 µm</v>
      </c>
      <c r="B300" s="69" t="str">
        <f t="shared" si="4"/>
        <v>Zinc</v>
      </c>
      <c r="C300" s="69" t="str">
        <f>IF($A300="","",IF(AND($B300&lt;&gt;"",IF($F$2="Otros",$B300="Otros",ISNUMBER(SEARCH($B300,$F$2)))),COUNT($C$2:C299)+1,""))</f>
        <v/>
      </c>
      <c r="G300" s="132" t="str">
        <f>IFERROR(INDEX($A$2:$A$507,MATCH(ROWS($G$2:G300),$C$2:$C$507,0)),IF(ROWS($G$2:G300)=1,"(sin matches)",""))</f>
        <v/>
      </c>
      <c r="I300" s="69" t="str">
        <f>IF($A300="","",IF(AND($B300&lt;&gt;"",ISNUMBER(SEARCH($I$7,$B300))),COUNT($I$9:I299)+1,""))</f>
        <v/>
      </c>
    </row>
    <row r="301" spans="1:9" ht="16" x14ac:dyDescent="0.25">
      <c r="A301" s="69" t="str">
        <f>Listas!E296</f>
        <v>FTR00025 (Zinc) | 5 - 8 µm</v>
      </c>
      <c r="B301" s="69" t="str">
        <f t="shared" si="4"/>
        <v>Zinc</v>
      </c>
      <c r="C301" s="69" t="str">
        <f>IF($A301="","",IF(AND($B301&lt;&gt;"",IF($F$2="Otros",$B301="Otros",ISNUMBER(SEARCH($B301,$F$2)))),COUNT($C$2:C300)+1,""))</f>
        <v/>
      </c>
      <c r="G301" s="132" t="str">
        <f>IFERROR(INDEX($A$2:$A$507,MATCH(ROWS($G$2:G301),$C$2:$C$507,0)),IF(ROWS($G$2:G301)=1,"(sin matches)",""))</f>
        <v/>
      </c>
      <c r="I301" s="69" t="str">
        <f>IF($A301="","",IF(AND($B301&lt;&gt;"",ISNUMBER(SEARCH($I$7,$B301))),COUNT($I$9:I300)+1,""))</f>
        <v/>
      </c>
    </row>
    <row r="302" spans="1:9" ht="16" x14ac:dyDescent="0.25">
      <c r="A302" s="69" t="str">
        <f>Listas!E297</f>
        <v>FTR00025 (Zinc) | 8 - 12 µm</v>
      </c>
      <c r="B302" s="69" t="str">
        <f t="shared" si="4"/>
        <v>Zinc</v>
      </c>
      <c r="C302" s="69" t="str">
        <f>IF($A302="","",IF(AND($B302&lt;&gt;"",IF($F$2="Otros",$B302="Otros",ISNUMBER(SEARCH($B302,$F$2)))),COUNT($C$2:C301)+1,""))</f>
        <v/>
      </c>
      <c r="G302" s="132" t="str">
        <f>IFERROR(INDEX($A$2:$A$507,MATCH(ROWS($G$2:G302),$C$2:$C$507,0)),IF(ROWS($G$2:G302)=1,"(sin matches)",""))</f>
        <v/>
      </c>
      <c r="I302" s="69" t="str">
        <f>IF($A302="","",IF(AND($B302&lt;&gt;"",ISNUMBER(SEARCH($I$7,$B302))),COUNT($I$9:I301)+1,""))</f>
        <v/>
      </c>
    </row>
    <row r="303" spans="1:9" ht="16" x14ac:dyDescent="0.25">
      <c r="A303" s="69" t="str">
        <f>Listas!E298</f>
        <v>FTR00047 (Plata) | 2 - 5 µm</v>
      </c>
      <c r="B303" s="69" t="str">
        <f t="shared" si="4"/>
        <v>Plata</v>
      </c>
      <c r="C303" s="69" t="str">
        <f>IF($A303="","",IF(AND($B303&lt;&gt;"",IF($F$2="Otros",$B303="Otros",ISNUMBER(SEARCH($B303,$F$2)))),COUNT($C$2:C302)+1,""))</f>
        <v/>
      </c>
      <c r="G303" s="132" t="str">
        <f>IFERROR(INDEX($A$2:$A$507,MATCH(ROWS($G$2:G303),$C$2:$C$507,0)),IF(ROWS($G$2:G303)=1,"(sin matches)",""))</f>
        <v/>
      </c>
      <c r="I303" s="69" t="str">
        <f>IF($A303="","",IF(AND($B303&lt;&gt;"",ISNUMBER(SEARCH($I$7,$B303))),COUNT($I$9:I302)+1,""))</f>
        <v/>
      </c>
    </row>
    <row r="304" spans="1:9" ht="16" x14ac:dyDescent="0.25">
      <c r="A304" s="69" t="str">
        <f>Listas!E299</f>
        <v>FTR00047 (Plata) | 5 - 8 µm</v>
      </c>
      <c r="B304" s="69" t="str">
        <f t="shared" si="4"/>
        <v>Plata</v>
      </c>
      <c r="C304" s="69" t="str">
        <f>IF($A304="","",IF(AND($B304&lt;&gt;"",IF($F$2="Otros",$B304="Otros",ISNUMBER(SEARCH($B304,$F$2)))),COUNT($C$2:C303)+1,""))</f>
        <v/>
      </c>
      <c r="G304" s="132" t="str">
        <f>IFERROR(INDEX($A$2:$A$507,MATCH(ROWS($G$2:G304),$C$2:$C$507,0)),IF(ROWS($G$2:G304)=1,"(sin matches)",""))</f>
        <v/>
      </c>
      <c r="I304" s="69" t="str">
        <f>IF($A304="","",IF(AND($B304&lt;&gt;"",ISNUMBER(SEARCH($I$7,$B304))),COUNT($I$9:I303)+1,""))</f>
        <v/>
      </c>
    </row>
    <row r="305" spans="1:9" ht="16" x14ac:dyDescent="0.25">
      <c r="A305" s="69" t="str">
        <f>Listas!E300</f>
        <v>FTR00055 (Níquel) | 2 - 4 µm</v>
      </c>
      <c r="B305" s="69" t="str">
        <f t="shared" si="4"/>
        <v>Níquel</v>
      </c>
      <c r="C305" s="69" t="str">
        <f>IF($A305="","",IF(AND($B305&lt;&gt;"",IF($F$2="Otros",$B305="Otros",ISNUMBER(SEARCH($B305,$F$2)))),COUNT($C$2:C304)+1,""))</f>
        <v/>
      </c>
      <c r="G305" s="132" t="str">
        <f>IFERROR(INDEX($A$2:$A$507,MATCH(ROWS($G$2:G305),$C$2:$C$507,0)),IF(ROWS($G$2:G305)=1,"(sin matches)",""))</f>
        <v/>
      </c>
      <c r="I305" s="69" t="str">
        <f>IF($A305="","",IF(AND($B305&lt;&gt;"",ISNUMBER(SEARCH($I$7,$B305))),COUNT($I$9:I304)+1,""))</f>
        <v/>
      </c>
    </row>
    <row r="306" spans="1:9" ht="16" x14ac:dyDescent="0.25">
      <c r="A306" s="69" t="str">
        <f>Listas!E301</f>
        <v>GDE1214700 (Antitarnish)</v>
      </c>
      <c r="B306" s="69" t="str">
        <f t="shared" si="4"/>
        <v>Otros</v>
      </c>
      <c r="C306" s="69">
        <f>IF($A306="","",IF(AND($B306&lt;&gt;"",IF($F$2="Otros",$B306="Otros",ISNUMBER(SEARCH($B306,$F$2)))),COUNT($C$2:C305)+1,""))</f>
        <v>115</v>
      </c>
      <c r="G306" s="132" t="str">
        <f>IFERROR(INDEX($A$2:$A$507,MATCH(ROWS($G$2:G306),$C$2:$C$507,0)),IF(ROWS($G$2:G306)=1,"(sin matches)",""))</f>
        <v/>
      </c>
      <c r="I306" s="69">
        <f>IF($A306="","",IF(AND($B306&lt;&gt;"",ISNUMBER(SEARCH($I$7,$B306))),COUNT($I$9:I305)+1,""))</f>
        <v>114</v>
      </c>
    </row>
    <row r="307" spans="1:9" ht="16" x14ac:dyDescent="0.25">
      <c r="A307" s="69" t="str">
        <f>Listas!E302</f>
        <v>GG QTLV 5115 (Níquel Sulfamato) | 5 - 15 µm</v>
      </c>
      <c r="B307" s="69" t="str">
        <f t="shared" si="4"/>
        <v>Níquel</v>
      </c>
      <c r="C307" s="69" t="str">
        <f>IF($A307="","",IF(AND($B307&lt;&gt;"",IF($F$2="Otros",$B307="Otros",ISNUMBER(SEARCH($B307,$F$2)))),COUNT($C$2:C306)+1,""))</f>
        <v/>
      </c>
      <c r="G307" s="132" t="str">
        <f>IFERROR(INDEX($A$2:$A$507,MATCH(ROWS($G$2:G307),$C$2:$C$507,0)),IF(ROWS($G$2:G307)=1,"(sin matches)",""))</f>
        <v/>
      </c>
      <c r="I307" s="69" t="str">
        <f>IF($A307="","",IF(AND($B307&lt;&gt;"",ISNUMBER(SEARCH($I$7,$B307))),COUNT($I$9:I306)+1,""))</f>
        <v/>
      </c>
    </row>
    <row r="308" spans="1:9" ht="16" x14ac:dyDescent="0.25">
      <c r="A308" s="69" t="str">
        <f>Listas!E303</f>
        <v>GG QTLV 5115 (Níquel Sulfamato) | 5 - 8 µm</v>
      </c>
      <c r="B308" s="69" t="str">
        <f t="shared" si="4"/>
        <v>Níquel</v>
      </c>
      <c r="C308" s="69" t="str">
        <f>IF($A308="","",IF(AND($B308&lt;&gt;"",IF($F$2="Otros",$B308="Otros",ISNUMBER(SEARCH($B308,$F$2)))),COUNT($C$2:C307)+1,""))</f>
        <v/>
      </c>
      <c r="G308" s="132" t="str">
        <f>IFERROR(INDEX($A$2:$A$507,MATCH(ROWS($G$2:G308),$C$2:$C$507,0)),IF(ROWS($G$2:G308)=1,"(sin matches)",""))</f>
        <v/>
      </c>
      <c r="I308" s="69" t="str">
        <f>IF($A308="","",IF(AND($B308&lt;&gt;"",ISNUMBER(SEARCH($I$7,$B308))),COUNT($I$9:I307)+1,""))</f>
        <v/>
      </c>
    </row>
    <row r="309" spans="1:9" ht="16" x14ac:dyDescent="0.25">
      <c r="A309" s="69" t="str">
        <f>Listas!E304</f>
        <v>GG QTLV 5120.06 (Níquel Sulfamato - Estaño) | 1 - 5 µm | 1 - 3 µm</v>
      </c>
      <c r="B309" s="69" t="str">
        <f t="shared" si="4"/>
        <v>Níquel+Estaño</v>
      </c>
      <c r="C309" s="69" t="str">
        <f>IF($A309="","",IF(AND($B309&lt;&gt;"",IF($F$2="Otros",$B309="Otros",ISNUMBER(SEARCH($B309,$F$2)))),COUNT($C$2:C308)+1,""))</f>
        <v/>
      </c>
      <c r="G309" s="132" t="str">
        <f>IFERROR(INDEX($A$2:$A$507,MATCH(ROWS($G$2:G309),$C$2:$C$507,0)),IF(ROWS($G$2:G309)=1,"(sin matches)",""))</f>
        <v/>
      </c>
      <c r="I309" s="69" t="str">
        <f>IF($A309="","",IF(AND($B309&lt;&gt;"",ISNUMBER(SEARCH($I$7,$B309))),COUNT($I$9:I308)+1,""))</f>
        <v/>
      </c>
    </row>
    <row r="310" spans="1:9" ht="16" x14ac:dyDescent="0.25">
      <c r="A310" s="69" t="str">
        <f>Listas!E305</f>
        <v>GG QTLV 5120.06 (Níquel Sulfamato - Estaño) | 1 - 5 µm | No aplica</v>
      </c>
      <c r="B310" s="69" t="str">
        <f t="shared" si="4"/>
        <v>Níquel+Estaño</v>
      </c>
      <c r="C310" s="69" t="str">
        <f>IF($A310="","",IF(AND($B310&lt;&gt;"",IF($F$2="Otros",$B310="Otros",ISNUMBER(SEARCH($B310,$F$2)))),COUNT($C$2:C309)+1,""))</f>
        <v/>
      </c>
      <c r="G310" s="132" t="str">
        <f>IFERROR(INDEX($A$2:$A$507,MATCH(ROWS($G$2:G310),$C$2:$C$507,0)),IF(ROWS($G$2:G310)=1,"(sin matches)",""))</f>
        <v/>
      </c>
      <c r="I310" s="69" t="str">
        <f>IF($A310="","",IF(AND($B310&lt;&gt;"",ISNUMBER(SEARCH($I$7,$B310))),COUNT($I$9:I309)+1,""))</f>
        <v/>
      </c>
    </row>
    <row r="311" spans="1:9" ht="16" x14ac:dyDescent="0.25">
      <c r="A311" s="69" t="str">
        <f>Listas!E306</f>
        <v>GG QTLV 5120.06 (Níquel Sulfamato - Estaño) | 2.5 - 7.6 µm | 1 - 3 µm</v>
      </c>
      <c r="B311" s="69" t="str">
        <f t="shared" si="4"/>
        <v>Níquel+Estaño</v>
      </c>
      <c r="C311" s="69" t="str">
        <f>IF($A311="","",IF(AND($B311&lt;&gt;"",IF($F$2="Otros",$B311="Otros",ISNUMBER(SEARCH($B311,$F$2)))),COUNT($C$2:C310)+1,""))</f>
        <v/>
      </c>
      <c r="G311" s="132" t="str">
        <f>IFERROR(INDEX($A$2:$A$507,MATCH(ROWS($G$2:G311),$C$2:$C$507,0)),IF(ROWS($G$2:G311)=1,"(sin matches)",""))</f>
        <v/>
      </c>
      <c r="I311" s="69" t="str">
        <f>IF($A311="","",IF(AND($B311&lt;&gt;"",ISNUMBER(SEARCH($I$7,$B311))),COUNT($I$9:I310)+1,""))</f>
        <v/>
      </c>
    </row>
    <row r="312" spans="1:9" ht="16" x14ac:dyDescent="0.25">
      <c r="A312" s="69" t="str">
        <f>Listas!E307</f>
        <v>GG QTLV 5120.06 (Níquel Sulfamato - Estaño) | 2.5 - 7.6 µm | No aplica</v>
      </c>
      <c r="B312" s="69" t="str">
        <f t="shared" si="4"/>
        <v>Níquel+Estaño</v>
      </c>
      <c r="C312" s="69" t="str">
        <f>IF($A312="","",IF(AND($B312&lt;&gt;"",IF($F$2="Otros",$B312="Otros",ISNUMBER(SEARCH($B312,$F$2)))),COUNT($C$2:C311)+1,""))</f>
        <v/>
      </c>
      <c r="G312" s="132" t="str">
        <f>IFERROR(INDEX($A$2:$A$507,MATCH(ROWS($G$2:G312),$C$2:$C$507,0)),IF(ROWS($G$2:G312)=1,"(sin matches)",""))</f>
        <v/>
      </c>
      <c r="I312" s="69" t="str">
        <f>IF($A312="","",IF(AND($B312&lt;&gt;"",ISNUMBER(SEARCH($I$7,$B312))),COUNT($I$9:I311)+1,""))</f>
        <v/>
      </c>
    </row>
    <row r="313" spans="1:9" ht="16" x14ac:dyDescent="0.25">
      <c r="A313" s="69" t="str">
        <f>Listas!E308</f>
        <v>GG QTLV 5120.06 (Níquel Sulfamato - Estaño) | 8 - 15 µm | 1 - 3 µm</v>
      </c>
      <c r="B313" s="69" t="str">
        <f t="shared" si="4"/>
        <v>Níquel+Estaño</v>
      </c>
      <c r="C313" s="69" t="str">
        <f>IF($A313="","",IF(AND($B313&lt;&gt;"",IF($F$2="Otros",$B313="Otros",ISNUMBER(SEARCH($B313,$F$2)))),COUNT($C$2:C312)+1,""))</f>
        <v/>
      </c>
      <c r="G313" s="132" t="str">
        <f>IFERROR(INDEX($A$2:$A$507,MATCH(ROWS($G$2:G313),$C$2:$C$507,0)),IF(ROWS($G$2:G313)=1,"(sin matches)",""))</f>
        <v/>
      </c>
      <c r="I313" s="69" t="str">
        <f>IF($A313="","",IF(AND($B313&lt;&gt;"",ISNUMBER(SEARCH($I$7,$B313))),COUNT($I$9:I312)+1,""))</f>
        <v/>
      </c>
    </row>
    <row r="314" spans="1:9" ht="16" x14ac:dyDescent="0.25">
      <c r="A314" s="69" t="str">
        <f>Listas!E309</f>
        <v>GG QTLV 5120.06 (Níquel Sulfamato - Estaño) | 8 - 15 µm | No aplica</v>
      </c>
      <c r="B314" s="69" t="str">
        <f t="shared" si="4"/>
        <v>Níquel+Estaño</v>
      </c>
      <c r="C314" s="69" t="str">
        <f>IF($A314="","",IF(AND($B314&lt;&gt;"",IF($F$2="Otros",$B314="Otros",ISNUMBER(SEARCH($B314,$F$2)))),COUNT($C$2:C313)+1,""))</f>
        <v/>
      </c>
      <c r="G314" s="132" t="str">
        <f>IFERROR(INDEX($A$2:$A$507,MATCH(ROWS($G$2:G314),$C$2:$C$507,0)),IF(ROWS($G$2:G314)=1,"(sin matches)",""))</f>
        <v/>
      </c>
      <c r="I314" s="69" t="str">
        <f>IF($A314="","",IF(AND($B314&lt;&gt;"",ISNUMBER(SEARCH($I$7,$B314))),COUNT($I$9:I313)+1,""))</f>
        <v/>
      </c>
    </row>
    <row r="315" spans="1:9" ht="16" x14ac:dyDescent="0.25">
      <c r="A315" s="69" t="str">
        <f>Listas!E310</f>
        <v>Hirschvogel (Cromo Duro) | 21 - 25 µm</v>
      </c>
      <c r="B315" s="69" t="str">
        <f t="shared" si="4"/>
        <v>Otros</v>
      </c>
      <c r="C315" s="69">
        <f>IF($A315="","",IF(AND($B315&lt;&gt;"",IF($F$2="Otros",$B315="Otros",ISNUMBER(SEARCH($B315,$F$2)))),COUNT($C$2:C314)+1,""))</f>
        <v>116</v>
      </c>
      <c r="G315" s="132" t="str">
        <f>IFERROR(INDEX($A$2:$A$507,MATCH(ROWS($G$2:G315),$C$2:$C$507,0)),IF(ROWS($G$2:G315)=1,"(sin matches)",""))</f>
        <v/>
      </c>
      <c r="I315" s="69">
        <f>IF($A315="","",IF(AND($B315&lt;&gt;"",ISNUMBER(SEARCH($I$7,$B315))),COUNT($I$9:I314)+1,""))</f>
        <v>115</v>
      </c>
    </row>
    <row r="316" spans="1:9" ht="16" x14ac:dyDescent="0.25">
      <c r="A316" s="69" t="str">
        <f>Listas!E311</f>
        <v>Hubbell 250µm (Estaño) | 250 - 255 µm | No aplica</v>
      </c>
      <c r="B316" s="69" t="str">
        <f t="shared" si="4"/>
        <v>Estaño</v>
      </c>
      <c r="C316" s="69" t="str">
        <f>IF($A316="","",IF(AND($B316&lt;&gt;"",IF($F$2="Otros",$B316="Otros",ISNUMBER(SEARCH($B316,$F$2)))),COUNT($C$2:C315)+1,""))</f>
        <v/>
      </c>
      <c r="G316" s="132" t="str">
        <f>IFERROR(INDEX($A$2:$A$507,MATCH(ROWS($G$2:G316),$C$2:$C$507,0)),IF(ROWS($G$2:G316)=1,"(sin matches)",""))</f>
        <v/>
      </c>
      <c r="I316" s="69" t="str">
        <f>IF($A316="","",IF(AND($B316&lt;&gt;"",ISNUMBER(SEARCH($I$7,$B316))),COUNT($I$9:I315)+1,""))</f>
        <v/>
      </c>
    </row>
    <row r="317" spans="1:9" ht="16" x14ac:dyDescent="0.25">
      <c r="A317" s="69" t="str">
        <f>Listas!E312</f>
        <v>KDS-258-107 (Estaño) | 2.5 - 5 µm | No aplica</v>
      </c>
      <c r="B317" s="69" t="str">
        <f t="shared" si="4"/>
        <v>Estaño</v>
      </c>
      <c r="C317" s="69" t="str">
        <f>IF($A317="","",IF(AND($B317&lt;&gt;"",IF($F$2="Otros",$B317="Otros",ISNUMBER(SEARCH($B317,$F$2)))),COUNT($C$2:C316)+1,""))</f>
        <v/>
      </c>
      <c r="G317" s="132" t="str">
        <f>IFERROR(INDEX($A$2:$A$507,MATCH(ROWS($G$2:G317),$C$2:$C$507,0)),IF(ROWS($G$2:G317)=1,"(sin matches)",""))</f>
        <v/>
      </c>
      <c r="I317" s="69" t="str">
        <f>IF($A317="","",IF(AND($B317&lt;&gt;"",ISNUMBER(SEARCH($I$7,$B317))),COUNT($I$9:I316)+1,""))</f>
        <v/>
      </c>
    </row>
    <row r="318" spans="1:9" ht="16" x14ac:dyDescent="0.25">
      <c r="A318" s="69" t="str">
        <f>Listas!E313</f>
        <v>MIL-DTL-16232G (Deshidrogenado) | 98 - 107 °C | &gt;= 8 hrs.</v>
      </c>
      <c r="B318" s="69" t="str">
        <f t="shared" si="4"/>
        <v>Otros</v>
      </c>
      <c r="C318" s="69">
        <f>IF($A318="","",IF(AND($B318&lt;&gt;"",IF($F$2="Otros",$B318="Otros",ISNUMBER(SEARCH($B318,$F$2)))),COUNT($C$2:C317)+1,""))</f>
        <v>117</v>
      </c>
      <c r="G318" s="132" t="str">
        <f>IFERROR(INDEX($A$2:$A$507,MATCH(ROWS($G$2:G318),$C$2:$C$507,0)),IF(ROWS($G$2:G318)=1,"(sin matches)",""))</f>
        <v/>
      </c>
      <c r="I318" s="69">
        <f>IF($A318="","",IF(AND($B318&lt;&gt;"",ISNUMBER(SEARCH($I$7,$B318))),COUNT($I$9:I317)+1,""))</f>
        <v>116</v>
      </c>
    </row>
    <row r="319" spans="1:9" ht="16" x14ac:dyDescent="0.25">
      <c r="A319" s="69" t="str">
        <f>Listas!E314</f>
        <v>MS-S1053 (Fosfato de Manganeso - Medición de Grano) | 5 - 11 µm</v>
      </c>
      <c r="B319" s="69" t="str">
        <f t="shared" si="4"/>
        <v>Otros</v>
      </c>
      <c r="C319" s="69">
        <f>IF($A319="","",IF(AND($B319&lt;&gt;"",IF($F$2="Otros",$B319="Otros",ISNUMBER(SEARCH($B319,$F$2)))),COUNT($C$2:C318)+1,""))</f>
        <v>118</v>
      </c>
      <c r="G319" s="132" t="str">
        <f>IFERROR(INDEX($A$2:$A$507,MATCH(ROWS($G$2:G319),$C$2:$C$507,0)),IF(ROWS($G$2:G319)=1,"(sin matches)",""))</f>
        <v/>
      </c>
      <c r="I319" s="69">
        <f>IF($A319="","",IF(AND($B319&lt;&gt;"",ISNUMBER(SEARCH($I$7,$B319))),COUNT($I$9:I318)+1,""))</f>
        <v>117</v>
      </c>
    </row>
    <row r="320" spans="1:9" ht="16" x14ac:dyDescent="0.25">
      <c r="A320" s="69" t="str">
        <f>Listas!E315</f>
        <v>NNZ3703201 (Epóxico MT) | 80 - 100 mils</v>
      </c>
      <c r="B320" s="69" t="str">
        <f t="shared" si="4"/>
        <v>Epóxico</v>
      </c>
      <c r="C320" s="69" t="str">
        <f>IF($A320="","",IF(AND($B320&lt;&gt;"",IF($F$2="Otros",$B320="Otros",ISNUMBER(SEARCH($B320,$F$2)))),COUNT($C$2:C319)+1,""))</f>
        <v/>
      </c>
      <c r="G320" s="132" t="str">
        <f>IFERROR(INDEX($A$2:$A$507,MATCH(ROWS($G$2:G320),$C$2:$C$507,0)),IF(ROWS($G$2:G320)=1,"(sin matches)",""))</f>
        <v/>
      </c>
      <c r="I320" s="69" t="str">
        <f>IF($A320="","",IF(AND($B320&lt;&gt;"",ISNUMBER(SEARCH($I$7,$B320))),COUNT($I$9:I319)+1,""))</f>
        <v/>
      </c>
    </row>
    <row r="321" spans="1:9" ht="16" x14ac:dyDescent="0.25">
      <c r="A321" s="69" t="str">
        <f>Listas!E316</f>
        <v>P 1029 P003 E 131 (Níquel Electroless) (Moneda) | 45 - 70 µm</v>
      </c>
      <c r="B321" s="69" t="str">
        <f t="shared" si="4"/>
        <v>Níquel</v>
      </c>
      <c r="C321" s="69" t="str">
        <f>IF($A321="","",IF(AND($B321&lt;&gt;"",IF($F$2="Otros",$B321="Otros",ISNUMBER(SEARCH($B321,$F$2)))),COUNT($C$2:C320)+1,""))</f>
        <v/>
      </c>
      <c r="G321" s="132" t="str">
        <f>IFERROR(INDEX($A$2:$A$507,MATCH(ROWS($G$2:G321),$C$2:$C$507,0)),IF(ROWS($G$2:G321)=1,"(sin matches)",""))</f>
        <v/>
      </c>
      <c r="I321" s="69" t="str">
        <f>IF($A321="","",IF(AND($B321&lt;&gt;"",ISNUMBER(SEARCH($I$7,$B321))),COUNT($I$9:I320)+1,""))</f>
        <v/>
      </c>
    </row>
    <row r="322" spans="1:9" ht="16" x14ac:dyDescent="0.25">
      <c r="A322" s="69" t="str">
        <f>Listas!E317</f>
        <v>PL 112-16-2 (Estaño) | 3.8 - 12.7 µm</v>
      </c>
      <c r="B322" s="69" t="str">
        <f t="shared" si="4"/>
        <v>Estaño</v>
      </c>
      <c r="C322" s="69" t="str">
        <f>IF($A322="","",IF(AND($B322&lt;&gt;"",IF($F$2="Otros",$B322="Otros",ISNUMBER(SEARCH($B322,$F$2)))),COUNT($C$2:C321)+1,""))</f>
        <v/>
      </c>
      <c r="G322" s="132" t="str">
        <f>IFERROR(INDEX($A$2:$A$507,MATCH(ROWS($G$2:G322),$C$2:$C$507,0)),IF(ROWS($G$2:G322)=1,"(sin matches)",""))</f>
        <v/>
      </c>
      <c r="I322" s="69" t="str">
        <f>IF($A322="","",IF(AND($B322&lt;&gt;"",ISNUMBER(SEARCH($I$7,$B322))),COUNT($I$9:I321)+1,""))</f>
        <v/>
      </c>
    </row>
    <row r="323" spans="1:9" ht="16" x14ac:dyDescent="0.25">
      <c r="A323" s="69" t="str">
        <f>Listas!E318</f>
        <v>RC Ag (Plata) | 0.0762 - 0.127 µm</v>
      </c>
      <c r="B323" s="69" t="str">
        <f t="shared" si="4"/>
        <v>Plata</v>
      </c>
      <c r="C323" s="69" t="str">
        <f>IF($A323="","",IF(AND($B323&lt;&gt;"",IF($F$2="Otros",$B323="Otros",ISNUMBER(SEARCH($B323,$F$2)))),COUNT($C$2:C322)+1,""))</f>
        <v/>
      </c>
      <c r="G323" s="132" t="str">
        <f>IFERROR(INDEX($A$2:$A$507,MATCH(ROWS($G$2:G323),$C$2:$C$507,0)),IF(ROWS($G$2:G323)=1,"(sin matches)",""))</f>
        <v/>
      </c>
      <c r="I323" s="69" t="str">
        <f>IF($A323="","",IF(AND($B323&lt;&gt;"",ISNUMBER(SEARCH($I$7,$B323))),COUNT($I$9:I322)+1,""))</f>
        <v/>
      </c>
    </row>
    <row r="324" spans="1:9" ht="16" x14ac:dyDescent="0.25">
      <c r="A324" s="69" t="str">
        <f>Listas!E319</f>
        <v>RC Ag (Plata) | 0.127 - 0.254 µm</v>
      </c>
      <c r="B324" s="69" t="str">
        <f t="shared" si="4"/>
        <v>Plata</v>
      </c>
      <c r="C324" s="69" t="str">
        <f>IF($A324="","",IF(AND($B324&lt;&gt;"",IF($F$2="Otros",$B324="Otros",ISNUMBER(SEARCH($B324,$F$2)))),COUNT($C$2:C323)+1,""))</f>
        <v/>
      </c>
      <c r="G324" s="132" t="str">
        <f>IFERROR(INDEX($A$2:$A$507,MATCH(ROWS($G$2:G324),$C$2:$C$507,0)),IF(ROWS($G$2:G324)=1,"(sin matches)",""))</f>
        <v/>
      </c>
      <c r="I324" s="69" t="str">
        <f>IF($A324="","",IF(AND($B324&lt;&gt;"",ISNUMBER(SEARCH($I$7,$B324))),COUNT($I$9:I323)+1,""))</f>
        <v/>
      </c>
    </row>
    <row r="325" spans="1:9" ht="16" x14ac:dyDescent="0.25">
      <c r="A325" s="69" t="str">
        <f>Listas!E320</f>
        <v>RC Ag (Plata) | 0.127 - 0.762 µm</v>
      </c>
      <c r="B325" s="69" t="str">
        <f t="shared" si="4"/>
        <v>Plata</v>
      </c>
      <c r="C325" s="69" t="str">
        <f>IF($A325="","",IF(AND($B325&lt;&gt;"",IF($F$2="Otros",$B325="Otros",ISNUMBER(SEARCH($B325,$F$2)))),COUNT($C$2:C324)+1,""))</f>
        <v/>
      </c>
      <c r="G325" s="132" t="str">
        <f>IFERROR(INDEX($A$2:$A$507,MATCH(ROWS($G$2:G325),$C$2:$C$507,0)),IF(ROWS($G$2:G325)=1,"(sin matches)",""))</f>
        <v/>
      </c>
      <c r="I325" s="69" t="str">
        <f>IF($A325="","",IF(AND($B325&lt;&gt;"",ISNUMBER(SEARCH($I$7,$B325))),COUNT($I$9:I324)+1,""))</f>
        <v/>
      </c>
    </row>
    <row r="326" spans="1:9" ht="16" x14ac:dyDescent="0.25">
      <c r="A326" s="69" t="str">
        <f>Listas!E321</f>
        <v>RC Ag (Plata) | 0.254 - 0.762 µm</v>
      </c>
      <c r="B326" s="69" t="str">
        <f t="shared" si="4"/>
        <v>Plata</v>
      </c>
      <c r="C326" s="69" t="str">
        <f>IF($A326="","",IF(AND($B326&lt;&gt;"",IF($F$2="Otros",$B326="Otros",ISNUMBER(SEARCH($B326,$F$2)))),COUNT($C$2:C325)+1,""))</f>
        <v/>
      </c>
      <c r="G326" s="132" t="str">
        <f>IFERROR(INDEX($A$2:$A$507,MATCH(ROWS($G$2:G326),$C$2:$C$507,0)),IF(ROWS($G$2:G326)=1,"(sin matches)",""))</f>
        <v/>
      </c>
      <c r="I326" s="69" t="str">
        <f>IF($A326="","",IF(AND($B326&lt;&gt;"",ISNUMBER(SEARCH($I$7,$B326))),COUNT($I$9:I325)+1,""))</f>
        <v/>
      </c>
    </row>
    <row r="327" spans="1:9" ht="16" x14ac:dyDescent="0.25">
      <c r="A327" s="69" t="str">
        <f>Listas!E322</f>
        <v>RC Ag (Plata) | 0.254 - 1.27 µm</v>
      </c>
      <c r="B327" s="69" t="str">
        <f t="shared" si="4"/>
        <v>Plata</v>
      </c>
      <c r="C327" s="69" t="str">
        <f>IF($A327="","",IF(AND($B327&lt;&gt;"",IF($F$2="Otros",$B327="Otros",ISNUMBER(SEARCH($B327,$F$2)))),COUNT($C$2:C326)+1,""))</f>
        <v/>
      </c>
      <c r="G327" s="132" t="str">
        <f>IFERROR(INDEX($A$2:$A$507,MATCH(ROWS($G$2:G327),$C$2:$C$507,0)),IF(ROWS($G$2:G327)=1,"(sin matches)",""))</f>
        <v/>
      </c>
      <c r="I327" s="69" t="str">
        <f>IF($A327="","",IF(AND($B327&lt;&gt;"",ISNUMBER(SEARCH($I$7,$B327))),COUNT($I$9:I326)+1,""))</f>
        <v/>
      </c>
    </row>
    <row r="328" spans="1:9" ht="16" x14ac:dyDescent="0.25">
      <c r="A328" s="69" t="str">
        <f>Listas!E323</f>
        <v>RC Ag (Plata) | 0.4 - 1.27 µm</v>
      </c>
      <c r="B328" s="69" t="str">
        <f t="shared" si="4"/>
        <v>Plata</v>
      </c>
      <c r="C328" s="69" t="str">
        <f>IF($A328="","",IF(AND($B328&lt;&gt;"",IF($F$2="Otros",$B328="Otros",ISNUMBER(SEARCH($B328,$F$2)))),COUNT($C$2:C327)+1,""))</f>
        <v/>
      </c>
      <c r="G328" s="132" t="str">
        <f>IFERROR(INDEX($A$2:$A$507,MATCH(ROWS($G$2:G328),$C$2:$C$507,0)),IF(ROWS($G$2:G328)=1,"(sin matches)",""))</f>
        <v/>
      </c>
      <c r="I328" s="69" t="str">
        <f>IF($A328="","",IF(AND($B328&lt;&gt;"",ISNUMBER(SEARCH($I$7,$B328))),COUNT($I$9:I327)+1,""))</f>
        <v/>
      </c>
    </row>
    <row r="329" spans="1:9" ht="16" x14ac:dyDescent="0.25">
      <c r="A329" s="69" t="str">
        <f>Listas!E324</f>
        <v>RC Ag (Plata) | 0.4 - 2.54 µm</v>
      </c>
      <c r="B329" s="69" t="str">
        <f t="shared" si="4"/>
        <v>Plata</v>
      </c>
      <c r="C329" s="69" t="str">
        <f>IF($A329="","",IF(AND($B329&lt;&gt;"",IF($F$2="Otros",$B329="Otros",ISNUMBER(SEARCH($B329,$F$2)))),COUNT($C$2:C328)+1,""))</f>
        <v/>
      </c>
      <c r="G329" s="132" t="str">
        <f>IFERROR(INDEX($A$2:$A$507,MATCH(ROWS($G$2:G329),$C$2:$C$507,0)),IF(ROWS($G$2:G329)=1,"(sin matches)",""))</f>
        <v/>
      </c>
      <c r="I329" s="69" t="str">
        <f>IF($A329="","",IF(AND($B329&lt;&gt;"",ISNUMBER(SEARCH($I$7,$B329))),COUNT($I$9:I328)+1,""))</f>
        <v/>
      </c>
    </row>
    <row r="330" spans="1:9" ht="16" x14ac:dyDescent="0.25">
      <c r="A330" s="69" t="str">
        <f>Listas!E325</f>
        <v>RC Ag (Plata) | 0.508 - 1.27 µm</v>
      </c>
      <c r="B330" s="69" t="str">
        <f t="shared" ref="B330:B393" si="5">IF(OR(A330="",A330=0),"",IF(_xlfn.TEXTJOIN("+",TRUE,IF(ISNUMBER(SEARCH("Plata",A330&amp;"")),"Plata",""),IF(ISNUMBER(SEARCH("Níquel",A330&amp;"")),"Níquel",""),IF(ISNUMBER(SEARCH("Estaño",A330&amp;"")),"Estaño",""),IF(ISNUMBER(SEARCH("Zinc",A330&amp;"")),"Zinc",""),IF(ISNUMBER(SEARCH("Epóxico",A330&amp;"")),"Epóxico",""))="","Otros",_xlfn.TEXTJOIN("+",TRUE,IF(ISNUMBER(SEARCH("Plata",A330&amp;"")),"Plata",""),IF(ISNUMBER(SEARCH("Níquel",A330&amp;"")),"Níquel",""),IF(ISNUMBER(SEARCH("Estaño",A330&amp;"")),"Estaño",""),IF(ISNUMBER(SEARCH("Zinc",A330&amp;"")),"Zinc",""),IF(ISNUMBER(SEARCH("Epóxico",A330&amp;"")),"Epóxico",""))))</f>
        <v>Plata</v>
      </c>
      <c r="C330" s="69" t="str">
        <f>IF($A330="","",IF(AND($B330&lt;&gt;"",IF($F$2="Otros",$B330="Otros",ISNUMBER(SEARCH($B330,$F$2)))),COUNT($C$2:C329)+1,""))</f>
        <v/>
      </c>
      <c r="G330" s="132" t="str">
        <f>IFERROR(INDEX($A$2:$A$507,MATCH(ROWS($G$2:G330),$C$2:$C$507,0)),IF(ROWS($G$2:G330)=1,"(sin matches)",""))</f>
        <v/>
      </c>
      <c r="I330" s="69" t="str">
        <f>IF($A330="","",IF(AND($B330&lt;&gt;"",ISNUMBER(SEARCH($I$7,$B330))),COUNT($I$9:I329)+1,""))</f>
        <v/>
      </c>
    </row>
    <row r="331" spans="1:9" ht="16" x14ac:dyDescent="0.25">
      <c r="A331" s="69" t="str">
        <f>Listas!E326</f>
        <v>RC Ag (Plata) | 0.762 - 1.27 µm</v>
      </c>
      <c r="B331" s="69" t="str">
        <f t="shared" si="5"/>
        <v>Plata</v>
      </c>
      <c r="C331" s="69" t="str">
        <f>IF($A331="","",IF(AND($B331&lt;&gt;"",IF($F$2="Otros",$B331="Otros",ISNUMBER(SEARCH($B331,$F$2)))),COUNT($C$2:C330)+1,""))</f>
        <v/>
      </c>
      <c r="G331" s="132" t="str">
        <f>IFERROR(INDEX($A$2:$A$507,MATCH(ROWS($G$2:G331),$C$2:$C$507,0)),IF(ROWS($G$2:G331)=1,"(sin matches)",""))</f>
        <v/>
      </c>
      <c r="I331" s="69" t="str">
        <f>IF($A331="","",IF(AND($B331&lt;&gt;"",ISNUMBER(SEARCH($I$7,$B331))),COUNT($I$9:I330)+1,""))</f>
        <v/>
      </c>
    </row>
    <row r="332" spans="1:9" ht="16" x14ac:dyDescent="0.25">
      <c r="A332" s="69" t="str">
        <f>Listas!E327</f>
        <v>RC Ag (Plata) | 1.27 - 2.54 µm</v>
      </c>
      <c r="B332" s="69" t="str">
        <f t="shared" si="5"/>
        <v>Plata</v>
      </c>
      <c r="C332" s="69" t="str">
        <f>IF($A332="","",IF(AND($B332&lt;&gt;"",IF($F$2="Otros",$B332="Otros",ISNUMBER(SEARCH($B332,$F$2)))),COUNT($C$2:C331)+1,""))</f>
        <v/>
      </c>
      <c r="G332" s="132" t="str">
        <f>IFERROR(INDEX($A$2:$A$507,MATCH(ROWS($G$2:G332),$C$2:$C$507,0)),IF(ROWS($G$2:G332)=1,"(sin matches)",""))</f>
        <v/>
      </c>
      <c r="I332" s="69" t="str">
        <f>IF($A332="","",IF(AND($B332&lt;&gt;"",ISNUMBER(SEARCH($I$7,$B332))),COUNT($I$9:I331)+1,""))</f>
        <v/>
      </c>
    </row>
    <row r="333" spans="1:9" ht="16" x14ac:dyDescent="0.25">
      <c r="A333" s="69" t="str">
        <f>Listas!E328</f>
        <v>RC Ag (Plata) | 12.7 - 15.24 µm</v>
      </c>
      <c r="B333" s="69" t="str">
        <f t="shared" si="5"/>
        <v>Plata</v>
      </c>
      <c r="C333" s="69" t="str">
        <f>IF($A333="","",IF(AND($B333&lt;&gt;"",IF($F$2="Otros",$B333="Otros",ISNUMBER(SEARCH($B333,$F$2)))),COUNT($C$2:C332)+1,""))</f>
        <v/>
      </c>
      <c r="G333" s="132" t="str">
        <f>IFERROR(INDEX($A$2:$A$507,MATCH(ROWS($G$2:G333),$C$2:$C$507,0)),IF(ROWS($G$2:G333)=1,"(sin matches)",""))</f>
        <v/>
      </c>
      <c r="I333" s="69" t="str">
        <f>IF($A333="","",IF(AND($B333&lt;&gt;"",ISNUMBER(SEARCH($I$7,$B333))),COUNT($I$9:I332)+1,""))</f>
        <v/>
      </c>
    </row>
    <row r="334" spans="1:9" ht="16" x14ac:dyDescent="0.25">
      <c r="A334" s="69" t="str">
        <f>Listas!E329</f>
        <v>RC Ag (Plata) | 2 - 4 µm</v>
      </c>
      <c r="B334" s="69" t="str">
        <f t="shared" si="5"/>
        <v>Plata</v>
      </c>
      <c r="C334" s="69" t="str">
        <f>IF($A334="","",IF(AND($B334&lt;&gt;"",IF($F$2="Otros",$B334="Otros",ISNUMBER(SEARCH($B334,$F$2)))),COUNT($C$2:C333)+1,""))</f>
        <v/>
      </c>
      <c r="G334" s="132" t="str">
        <f>IFERROR(INDEX($A$2:$A$507,MATCH(ROWS($G$2:G334),$C$2:$C$507,0)),IF(ROWS($G$2:G334)=1,"(sin matches)",""))</f>
        <v/>
      </c>
      <c r="I334" s="69" t="str">
        <f>IF($A334="","",IF(AND($B334&lt;&gt;"",ISNUMBER(SEARCH($I$7,$B334))),COUNT($I$9:I333)+1,""))</f>
        <v/>
      </c>
    </row>
    <row r="335" spans="1:9" ht="16" x14ac:dyDescent="0.25">
      <c r="A335" s="69" t="str">
        <f>Listas!E330</f>
        <v>RC Ag (Plata) | 2.54 - 5.08 µm</v>
      </c>
      <c r="B335" s="69" t="str">
        <f t="shared" si="5"/>
        <v>Plata</v>
      </c>
      <c r="C335" s="69" t="str">
        <f>IF($A335="","",IF(AND($B335&lt;&gt;"",IF($F$2="Otros",$B335="Otros",ISNUMBER(SEARCH($B335,$F$2)))),COUNT($C$2:C334)+1,""))</f>
        <v/>
      </c>
      <c r="G335" s="132" t="str">
        <f>IFERROR(INDEX($A$2:$A$507,MATCH(ROWS($G$2:G335),$C$2:$C$507,0)),IF(ROWS($G$2:G335)=1,"(sin matches)",""))</f>
        <v/>
      </c>
      <c r="I335" s="69" t="str">
        <f>IF($A335="","",IF(AND($B335&lt;&gt;"",ISNUMBER(SEARCH($I$7,$B335))),COUNT($I$9:I334)+1,""))</f>
        <v/>
      </c>
    </row>
    <row r="336" spans="1:9" ht="16" x14ac:dyDescent="0.25">
      <c r="A336" s="69" t="str">
        <f>Listas!E331</f>
        <v>RC Ag (Plata) | 3.8 - 5.5 µm</v>
      </c>
      <c r="B336" s="69" t="str">
        <f t="shared" si="5"/>
        <v>Plata</v>
      </c>
      <c r="C336" s="69" t="str">
        <f>IF($A336="","",IF(AND($B336&lt;&gt;"",IF($F$2="Otros",$B336="Otros",ISNUMBER(SEARCH($B336,$F$2)))),COUNT($C$2:C335)+1,""))</f>
        <v/>
      </c>
      <c r="G336" s="132" t="str">
        <f>IFERROR(INDEX($A$2:$A$507,MATCH(ROWS($G$2:G336),$C$2:$C$507,0)),IF(ROWS($G$2:G336)=1,"(sin matches)",""))</f>
        <v/>
      </c>
      <c r="I336" s="69" t="str">
        <f>IF($A336="","",IF(AND($B336&lt;&gt;"",ISNUMBER(SEARCH($I$7,$B336))),COUNT($I$9:I335)+1,""))</f>
        <v/>
      </c>
    </row>
    <row r="337" spans="1:9" ht="16" x14ac:dyDescent="0.25">
      <c r="A337" s="69" t="str">
        <f>Listas!E332</f>
        <v>RC Ag (Plata) | 5.08 - 10.16 µm</v>
      </c>
      <c r="B337" s="69" t="str">
        <f t="shared" si="5"/>
        <v>Plata</v>
      </c>
      <c r="C337" s="69" t="str">
        <f>IF($A337="","",IF(AND($B337&lt;&gt;"",IF($F$2="Otros",$B337="Otros",ISNUMBER(SEARCH($B337,$F$2)))),COUNT($C$2:C336)+1,""))</f>
        <v/>
      </c>
      <c r="G337" s="132" t="str">
        <f>IFERROR(INDEX($A$2:$A$507,MATCH(ROWS($G$2:G337),$C$2:$C$507,0)),IF(ROWS($G$2:G337)=1,"(sin matches)",""))</f>
        <v/>
      </c>
      <c r="I337" s="69" t="str">
        <f>IF($A337="","",IF(AND($B337&lt;&gt;"",ISNUMBER(SEARCH($I$7,$B337))),COUNT($I$9:I336)+1,""))</f>
        <v/>
      </c>
    </row>
    <row r="338" spans="1:9" ht="16" x14ac:dyDescent="0.25">
      <c r="A338" s="69" t="str">
        <f>Listas!E333</f>
        <v>RC Ag (Plata) | 7.62 - 12.7 µm</v>
      </c>
      <c r="B338" s="69" t="str">
        <f t="shared" si="5"/>
        <v>Plata</v>
      </c>
      <c r="C338" s="69" t="str">
        <f>IF($A338="","",IF(AND($B338&lt;&gt;"",IF($F$2="Otros",$B338="Otros",ISNUMBER(SEARCH($B338,$F$2)))),COUNT($C$2:C337)+1,""))</f>
        <v/>
      </c>
      <c r="G338" s="132" t="str">
        <f>IFERROR(INDEX($A$2:$A$507,MATCH(ROWS($G$2:G338),$C$2:$C$507,0)),IF(ROWS($G$2:G338)=1,"(sin matches)",""))</f>
        <v/>
      </c>
      <c r="I338" s="69" t="str">
        <f>IF($A338="","",IF(AND($B338&lt;&gt;"",ISNUMBER(SEARCH($I$7,$B338))),COUNT($I$9:I337)+1,""))</f>
        <v/>
      </c>
    </row>
    <row r="339" spans="1:9" ht="16" x14ac:dyDescent="0.25">
      <c r="A339" s="69" t="str">
        <f>Listas!E334</f>
        <v>RC Anodizado Natural | 12 - 18 µm</v>
      </c>
      <c r="B339" s="69" t="str">
        <f t="shared" si="5"/>
        <v>Otros</v>
      </c>
      <c r="C339" s="69">
        <f>IF($A339="","",IF(AND($B339&lt;&gt;"",IF($F$2="Otros",$B339="Otros",ISNUMBER(SEARCH($B339,$F$2)))),COUNT($C$2:C338)+1,""))</f>
        <v>119</v>
      </c>
      <c r="G339" s="132" t="str">
        <f>IFERROR(INDEX($A$2:$A$507,MATCH(ROWS($G$2:G339),$C$2:$C$507,0)),IF(ROWS($G$2:G339)=1,"(sin matches)",""))</f>
        <v/>
      </c>
      <c r="I339" s="69">
        <f>IF($A339="","",IF(AND($B339&lt;&gt;"",ISNUMBER(SEARCH($I$7,$B339))),COUNT($I$9:I338)+1,""))</f>
        <v>118</v>
      </c>
    </row>
    <row r="340" spans="1:9" ht="16" x14ac:dyDescent="0.25">
      <c r="A340" s="69" t="str">
        <f>Listas!E335</f>
        <v>RC Anodizado Natural | 2 - 3 µm</v>
      </c>
      <c r="B340" s="69" t="str">
        <f t="shared" si="5"/>
        <v>Otros</v>
      </c>
      <c r="C340" s="69">
        <f>IF($A340="","",IF(AND($B340&lt;&gt;"",IF($F$2="Otros",$B340="Otros",ISNUMBER(SEARCH($B340,$F$2)))),COUNT($C$2:C339)+1,""))</f>
        <v>120</v>
      </c>
      <c r="G340" s="132" t="str">
        <f>IFERROR(INDEX($A$2:$A$507,MATCH(ROWS($G$2:G340),$C$2:$C$507,0)),IF(ROWS($G$2:G340)=1,"(sin matches)",""))</f>
        <v/>
      </c>
      <c r="I340" s="69">
        <f>IF($A340="","",IF(AND($B340&lt;&gt;"",ISNUMBER(SEARCH($I$7,$B340))),COUNT($I$9:I339)+1,""))</f>
        <v>119</v>
      </c>
    </row>
    <row r="341" spans="1:9" ht="16" x14ac:dyDescent="0.25">
      <c r="A341" s="69" t="str">
        <f>Listas!E336</f>
        <v>RC Anodizado Natural | 8 - 13 µm</v>
      </c>
      <c r="B341" s="69" t="str">
        <f t="shared" si="5"/>
        <v>Otros</v>
      </c>
      <c r="C341" s="69">
        <f>IF($A341="","",IF(AND($B341&lt;&gt;"",IF($F$2="Otros",$B341="Otros",ISNUMBER(SEARCH($B341,$F$2)))),COUNT($C$2:C340)+1,""))</f>
        <v>121</v>
      </c>
      <c r="G341" s="132" t="str">
        <f>IFERROR(INDEX($A$2:$A$507,MATCH(ROWS($G$2:G341),$C$2:$C$507,0)),IF(ROWS($G$2:G341)=1,"(sin matches)",""))</f>
        <v/>
      </c>
      <c r="I341" s="69">
        <f>IF($A341="","",IF(AND($B341&lt;&gt;"",ISNUMBER(SEARCH($I$7,$B341))),COUNT($I$9:I340)+1,""))</f>
        <v>120</v>
      </c>
    </row>
    <row r="342" spans="1:9" ht="16" x14ac:dyDescent="0.25">
      <c r="A342" s="69" t="str">
        <f>Listas!E337</f>
        <v>RC Anodizado Negro | 12 - 18 µm</v>
      </c>
      <c r="B342" s="69" t="str">
        <f t="shared" si="5"/>
        <v>Otros</v>
      </c>
      <c r="C342" s="69">
        <f>IF($A342="","",IF(AND($B342&lt;&gt;"",IF($F$2="Otros",$B342="Otros",ISNUMBER(SEARCH($B342,$F$2)))),COUNT($C$2:C341)+1,""))</f>
        <v>122</v>
      </c>
      <c r="G342" s="132" t="str">
        <f>IFERROR(INDEX($A$2:$A$507,MATCH(ROWS($G$2:G342),$C$2:$C$507,0)),IF(ROWS($G$2:G342)=1,"(sin matches)",""))</f>
        <v/>
      </c>
      <c r="I342" s="69">
        <f>IF($A342="","",IF(AND($B342&lt;&gt;"",ISNUMBER(SEARCH($I$7,$B342))),COUNT($I$9:I341)+1,""))</f>
        <v>121</v>
      </c>
    </row>
    <row r="343" spans="1:9" ht="16" x14ac:dyDescent="0.25">
      <c r="A343" s="69" t="str">
        <f>Listas!E338</f>
        <v>RC Anodizado Negro | 8 - 13 µm</v>
      </c>
      <c r="B343" s="69" t="str">
        <f t="shared" si="5"/>
        <v>Otros</v>
      </c>
      <c r="C343" s="69">
        <f>IF($A343="","",IF(AND($B343&lt;&gt;"",IF($F$2="Otros",$B343="Otros",ISNUMBER(SEARCH($B343,$F$2)))),COUNT($C$2:C342)+1,""))</f>
        <v>123</v>
      </c>
      <c r="G343" s="132" t="str">
        <f>IFERROR(INDEX($A$2:$A$507,MATCH(ROWS($G$2:G343),$C$2:$C$507,0)),IF(ROWS($G$2:G343)=1,"(sin matches)",""))</f>
        <v/>
      </c>
      <c r="I343" s="69">
        <f>IF($A343="","",IF(AND($B343&lt;&gt;"",ISNUMBER(SEARCH($I$7,$B343))),COUNT($I$9:I342)+1,""))</f>
        <v>122</v>
      </c>
    </row>
    <row r="344" spans="1:9" ht="16" x14ac:dyDescent="0.25">
      <c r="A344" s="69" t="str">
        <f>Listas!E339</f>
        <v>RC Brill 61</v>
      </c>
      <c r="B344" s="69" t="str">
        <f t="shared" si="5"/>
        <v>Otros</v>
      </c>
      <c r="C344" s="69">
        <f>IF($A344="","",IF(AND($B344&lt;&gt;"",IF($F$2="Otros",$B344="Otros",ISNUMBER(SEARCH($B344,$F$2)))),COUNT($C$2:C343)+1,""))</f>
        <v>124</v>
      </c>
      <c r="G344" s="132" t="str">
        <f>IFERROR(INDEX($A$2:$A$507,MATCH(ROWS($G$2:G344),$C$2:$C$507,0)),IF(ROWS($G$2:G344)=1,"(sin matches)",""))</f>
        <v/>
      </c>
      <c r="I344" s="69">
        <f>IF($A344="","",IF(AND($B344&lt;&gt;"",ISNUMBER(SEARCH($I$7,$B344))),COUNT($I$9:I343)+1,""))</f>
        <v>123</v>
      </c>
    </row>
    <row r="345" spans="1:9" ht="16" x14ac:dyDescent="0.25">
      <c r="A345" s="69" t="str">
        <f>Listas!E340</f>
        <v>RC Cámara Salina | 12 hrs. | 12 hrs.</v>
      </c>
      <c r="B345" s="69" t="str">
        <f t="shared" si="5"/>
        <v>Otros</v>
      </c>
      <c r="C345" s="69">
        <f>IF($A345="","",IF(AND($B345&lt;&gt;"",IF($F$2="Otros",$B345="Otros",ISNUMBER(SEARCH($B345,$F$2)))),COUNT($C$2:C344)+1,""))</f>
        <v>125</v>
      </c>
      <c r="G345" s="132" t="str">
        <f>IFERROR(INDEX($A$2:$A$507,MATCH(ROWS($G$2:G345),$C$2:$C$507,0)),IF(ROWS($G$2:G345)=1,"(sin matches)",""))</f>
        <v/>
      </c>
      <c r="I345" s="69">
        <f>IF($A345="","",IF(AND($B345&lt;&gt;"",ISNUMBER(SEARCH($I$7,$B345))),COUNT($I$9:I344)+1,""))</f>
        <v>124</v>
      </c>
    </row>
    <row r="346" spans="1:9" ht="16" x14ac:dyDescent="0.25">
      <c r="A346" s="69" t="str">
        <f>Listas!E341</f>
        <v>RC Cámara Salina | 12 hrs. | 120 hrs.</v>
      </c>
      <c r="B346" s="69" t="str">
        <f t="shared" si="5"/>
        <v>Otros</v>
      </c>
      <c r="C346" s="69">
        <f>IF($A346="","",IF(AND($B346&lt;&gt;"",IF($F$2="Otros",$B346="Otros",ISNUMBER(SEARCH($B346,$F$2)))),COUNT($C$2:C345)+1,""))</f>
        <v>126</v>
      </c>
      <c r="G346" s="132" t="str">
        <f>IFERROR(INDEX($A$2:$A$507,MATCH(ROWS($G$2:G346),$C$2:$C$507,0)),IF(ROWS($G$2:G346)=1,"(sin matches)",""))</f>
        <v/>
      </c>
      <c r="I346" s="69">
        <f>IF($A346="","",IF(AND($B346&lt;&gt;"",ISNUMBER(SEARCH($I$7,$B346))),COUNT($I$9:I345)+1,""))</f>
        <v>125</v>
      </c>
    </row>
    <row r="347" spans="1:9" ht="16" x14ac:dyDescent="0.25">
      <c r="A347" s="69" t="str">
        <f>Listas!E342</f>
        <v>RC Cámara Salina | 12 hrs. | 144 hrs.</v>
      </c>
      <c r="B347" s="69" t="str">
        <f t="shared" si="5"/>
        <v>Otros</v>
      </c>
      <c r="C347" s="69">
        <f>IF($A347="","",IF(AND($B347&lt;&gt;"",IF($F$2="Otros",$B347="Otros",ISNUMBER(SEARCH($B347,$F$2)))),COUNT($C$2:C346)+1,""))</f>
        <v>127</v>
      </c>
      <c r="G347" s="132" t="str">
        <f>IFERROR(INDEX($A$2:$A$507,MATCH(ROWS($G$2:G347),$C$2:$C$507,0)),IF(ROWS($G$2:G347)=1,"(sin matches)",""))</f>
        <v/>
      </c>
      <c r="I347" s="69">
        <f>IF($A347="","",IF(AND($B347&lt;&gt;"",ISNUMBER(SEARCH($I$7,$B347))),COUNT($I$9:I346)+1,""))</f>
        <v>126</v>
      </c>
    </row>
    <row r="348" spans="1:9" ht="16" x14ac:dyDescent="0.25">
      <c r="A348" s="69" t="str">
        <f>Listas!E343</f>
        <v>RC Cámara Salina | 12 hrs. | 16 hrs.</v>
      </c>
      <c r="B348" s="69" t="str">
        <f t="shared" si="5"/>
        <v>Otros</v>
      </c>
      <c r="C348" s="69">
        <f>IF($A348="","",IF(AND($B348&lt;&gt;"",IF($F$2="Otros",$B348="Otros",ISNUMBER(SEARCH($B348,$F$2)))),COUNT($C$2:C347)+1,""))</f>
        <v>128</v>
      </c>
      <c r="G348" s="132" t="str">
        <f>IFERROR(INDEX($A$2:$A$507,MATCH(ROWS($G$2:G348),$C$2:$C$507,0)),IF(ROWS($G$2:G348)=1,"(sin matches)",""))</f>
        <v/>
      </c>
      <c r="I348" s="69">
        <f>IF($A348="","",IF(AND($B348&lt;&gt;"",ISNUMBER(SEARCH($I$7,$B348))),COUNT($I$9:I347)+1,""))</f>
        <v>127</v>
      </c>
    </row>
    <row r="349" spans="1:9" ht="16" x14ac:dyDescent="0.25">
      <c r="A349" s="69" t="str">
        <f>Listas!E344</f>
        <v>RC Cámara Salina | 12 hrs. | 172 hrs.</v>
      </c>
      <c r="B349" s="69" t="str">
        <f t="shared" si="5"/>
        <v>Otros</v>
      </c>
      <c r="C349" s="69">
        <f>IF($A349="","",IF(AND($B349&lt;&gt;"",IF($F$2="Otros",$B349="Otros",ISNUMBER(SEARCH($B349,$F$2)))),COUNT($C$2:C348)+1,""))</f>
        <v>129</v>
      </c>
      <c r="G349" s="132" t="str">
        <f>IFERROR(INDEX($A$2:$A$507,MATCH(ROWS($G$2:G349),$C$2:$C$507,0)),IF(ROWS($G$2:G349)=1,"(sin matches)",""))</f>
        <v/>
      </c>
      <c r="I349" s="69">
        <f>IF($A349="","",IF(AND($B349&lt;&gt;"",ISNUMBER(SEARCH($I$7,$B349))),COUNT($I$9:I348)+1,""))</f>
        <v>128</v>
      </c>
    </row>
    <row r="350" spans="1:9" ht="16" x14ac:dyDescent="0.25">
      <c r="A350" s="69" t="str">
        <f>Listas!E345</f>
        <v>RC Cámara Salina | 12 hrs. | 200 hrs.</v>
      </c>
      <c r="B350" s="69" t="str">
        <f t="shared" si="5"/>
        <v>Otros</v>
      </c>
      <c r="C350" s="69">
        <f>IF($A350="","",IF(AND($B350&lt;&gt;"",IF($F$2="Otros",$B350="Otros",ISNUMBER(SEARCH($B350,$F$2)))),COUNT($C$2:C349)+1,""))</f>
        <v>130</v>
      </c>
      <c r="G350" s="132" t="str">
        <f>IFERROR(INDEX($A$2:$A$507,MATCH(ROWS($G$2:G350),$C$2:$C$507,0)),IF(ROWS($G$2:G350)=1,"(sin matches)",""))</f>
        <v/>
      </c>
      <c r="I350" s="69">
        <f>IF($A350="","",IF(AND($B350&lt;&gt;"",ISNUMBER(SEARCH($I$7,$B350))),COUNT($I$9:I349)+1,""))</f>
        <v>129</v>
      </c>
    </row>
    <row r="351" spans="1:9" ht="16" x14ac:dyDescent="0.25">
      <c r="A351" s="69" t="str">
        <f>Listas!E346</f>
        <v>RC Cámara Salina | 12 hrs. | 24 hrs.</v>
      </c>
      <c r="B351" s="69" t="str">
        <f t="shared" si="5"/>
        <v>Otros</v>
      </c>
      <c r="C351" s="69">
        <f>IF($A351="","",IF(AND($B351&lt;&gt;"",IF($F$2="Otros",$B351="Otros",ISNUMBER(SEARCH($B351,$F$2)))),COUNT($C$2:C350)+1,""))</f>
        <v>131</v>
      </c>
      <c r="G351" s="132" t="str">
        <f>IFERROR(INDEX($A$2:$A$507,MATCH(ROWS($G$2:G351),$C$2:$C$507,0)),IF(ROWS($G$2:G351)=1,"(sin matches)",""))</f>
        <v/>
      </c>
      <c r="I351" s="69">
        <f>IF($A351="","",IF(AND($B351&lt;&gt;"",ISNUMBER(SEARCH($I$7,$B351))),COUNT($I$9:I350)+1,""))</f>
        <v>130</v>
      </c>
    </row>
    <row r="352" spans="1:9" ht="16" x14ac:dyDescent="0.25">
      <c r="A352" s="69" t="str">
        <f>Listas!E347</f>
        <v>RC Cámara Salina | 12 hrs. | 240 hrs.</v>
      </c>
      <c r="B352" s="69" t="str">
        <f t="shared" si="5"/>
        <v>Otros</v>
      </c>
      <c r="C352" s="69">
        <f>IF($A352="","",IF(AND($B352&lt;&gt;"",IF($F$2="Otros",$B352="Otros",ISNUMBER(SEARCH($B352,$F$2)))),COUNT($C$2:C351)+1,""))</f>
        <v>132</v>
      </c>
      <c r="G352" s="132" t="str">
        <f>IFERROR(INDEX($A$2:$A$507,MATCH(ROWS($G$2:G352),$C$2:$C$507,0)),IF(ROWS($G$2:G352)=1,"(sin matches)",""))</f>
        <v/>
      </c>
      <c r="I352" s="69">
        <f>IF($A352="","",IF(AND($B352&lt;&gt;"",ISNUMBER(SEARCH($I$7,$B352))),COUNT($I$9:I351)+1,""))</f>
        <v>131</v>
      </c>
    </row>
    <row r="353" spans="1:9" ht="16" x14ac:dyDescent="0.25">
      <c r="A353" s="69" t="str">
        <f>Listas!E348</f>
        <v>RC Cámara Salina | 12 hrs. | 36 hrs.</v>
      </c>
      <c r="B353" s="69" t="str">
        <f t="shared" si="5"/>
        <v>Otros</v>
      </c>
      <c r="C353" s="69">
        <f>IF($A353="","",IF(AND($B353&lt;&gt;"",IF($F$2="Otros",$B353="Otros",ISNUMBER(SEARCH($B353,$F$2)))),COUNT($C$2:C352)+1,""))</f>
        <v>133</v>
      </c>
      <c r="G353" s="132" t="str">
        <f>IFERROR(INDEX($A$2:$A$507,MATCH(ROWS($G$2:G353),$C$2:$C$507,0)),IF(ROWS($G$2:G353)=1,"(sin matches)",""))</f>
        <v/>
      </c>
      <c r="I353" s="69">
        <f>IF($A353="","",IF(AND($B353&lt;&gt;"",ISNUMBER(SEARCH($I$7,$B353))),COUNT($I$9:I352)+1,""))</f>
        <v>132</v>
      </c>
    </row>
    <row r="354" spans="1:9" ht="16" x14ac:dyDescent="0.25">
      <c r="A354" s="69" t="str">
        <f>Listas!E349</f>
        <v>RC Cámara Salina | 12 hrs. | 360 hrs.</v>
      </c>
      <c r="B354" s="69" t="str">
        <f t="shared" si="5"/>
        <v>Otros</v>
      </c>
      <c r="C354" s="69">
        <f>IF($A354="","",IF(AND($B354&lt;&gt;"",IF($F$2="Otros",$B354="Otros",ISNUMBER(SEARCH($B354,$F$2)))),COUNT($C$2:C353)+1,""))</f>
        <v>134</v>
      </c>
      <c r="G354" s="132" t="str">
        <f>IFERROR(INDEX($A$2:$A$507,MATCH(ROWS($G$2:G354),$C$2:$C$507,0)),IF(ROWS($G$2:G354)=1,"(sin matches)",""))</f>
        <v/>
      </c>
      <c r="I354" s="69">
        <f>IF($A354="","",IF(AND($B354&lt;&gt;"",ISNUMBER(SEARCH($I$7,$B354))),COUNT($I$9:I353)+1,""))</f>
        <v>133</v>
      </c>
    </row>
    <row r="355" spans="1:9" ht="16" x14ac:dyDescent="0.25">
      <c r="A355" s="69" t="str">
        <f>Listas!E350</f>
        <v>RC Cámara Salina | 12 hrs. | 48 hrs.</v>
      </c>
      <c r="B355" s="69" t="str">
        <f t="shared" si="5"/>
        <v>Otros</v>
      </c>
      <c r="C355" s="69">
        <f>IF($A355="","",IF(AND($B355&lt;&gt;"",IF($F$2="Otros",$B355="Otros",ISNUMBER(SEARCH($B355,$F$2)))),COUNT($C$2:C354)+1,""))</f>
        <v>135</v>
      </c>
      <c r="G355" s="132" t="str">
        <f>IFERROR(INDEX($A$2:$A$507,MATCH(ROWS($G$2:G355),$C$2:$C$507,0)),IF(ROWS($G$2:G355)=1,"(sin matches)",""))</f>
        <v/>
      </c>
      <c r="I355" s="69">
        <f>IF($A355="","",IF(AND($B355&lt;&gt;"",ISNUMBER(SEARCH($I$7,$B355))),COUNT($I$9:I354)+1,""))</f>
        <v>134</v>
      </c>
    </row>
    <row r="356" spans="1:9" ht="16" x14ac:dyDescent="0.25">
      <c r="A356" s="69" t="str">
        <f>Listas!E351</f>
        <v>RC Cámara Salina | 12 hrs. | 480 hrs.</v>
      </c>
      <c r="B356" s="69" t="str">
        <f t="shared" si="5"/>
        <v>Otros</v>
      </c>
      <c r="C356" s="69">
        <f>IF($A356="","",IF(AND($B356&lt;&gt;"",IF($F$2="Otros",$B356="Otros",ISNUMBER(SEARCH($B356,$F$2)))),COUNT($C$2:C355)+1,""))</f>
        <v>136</v>
      </c>
      <c r="G356" s="132" t="str">
        <f>IFERROR(INDEX($A$2:$A$507,MATCH(ROWS($G$2:G356),$C$2:$C$507,0)),IF(ROWS($G$2:G356)=1,"(sin matches)",""))</f>
        <v/>
      </c>
      <c r="I356" s="69">
        <f>IF($A356="","",IF(AND($B356&lt;&gt;"",ISNUMBER(SEARCH($I$7,$B356))),COUNT($I$9:I355)+1,""))</f>
        <v>135</v>
      </c>
    </row>
    <row r="357" spans="1:9" ht="16" x14ac:dyDescent="0.25">
      <c r="A357" s="69" t="str">
        <f>Listas!E352</f>
        <v>RC Cámara Salina | 12 hrs. | 500 hrs.</v>
      </c>
      <c r="B357" s="69" t="str">
        <f t="shared" si="5"/>
        <v>Otros</v>
      </c>
      <c r="C357" s="69">
        <f>IF($A357="","",IF(AND($B357&lt;&gt;"",IF($F$2="Otros",$B357="Otros",ISNUMBER(SEARCH($B357,$F$2)))),COUNT($C$2:C356)+1,""))</f>
        <v>137</v>
      </c>
      <c r="G357" s="132" t="str">
        <f>IFERROR(INDEX($A$2:$A$507,MATCH(ROWS($G$2:G357),$C$2:$C$507,0)),IF(ROWS($G$2:G357)=1,"(sin matches)",""))</f>
        <v/>
      </c>
      <c r="I357" s="69">
        <f>IF($A357="","",IF(AND($B357&lt;&gt;"",ISNUMBER(SEARCH($I$7,$B357))),COUNT($I$9:I356)+1,""))</f>
        <v>136</v>
      </c>
    </row>
    <row r="358" spans="1:9" ht="16" x14ac:dyDescent="0.25">
      <c r="A358" s="69" t="str">
        <f>Listas!E353</f>
        <v>RC Cámara Salina | 12 hrs. | 72 hrs.</v>
      </c>
      <c r="B358" s="69" t="str">
        <f t="shared" si="5"/>
        <v>Otros</v>
      </c>
      <c r="C358" s="69">
        <f>IF($A358="","",IF(AND($B358&lt;&gt;"",IF($F$2="Otros",$B358="Otros",ISNUMBER(SEARCH($B358,$F$2)))),COUNT($C$2:C357)+1,""))</f>
        <v>138</v>
      </c>
      <c r="G358" s="132" t="str">
        <f>IFERROR(INDEX($A$2:$A$507,MATCH(ROWS($G$2:G358),$C$2:$C$507,0)),IF(ROWS($G$2:G358)=1,"(sin matches)",""))</f>
        <v/>
      </c>
      <c r="I358" s="69">
        <f>IF($A358="","",IF(AND($B358&lt;&gt;"",ISNUMBER(SEARCH($I$7,$B358))),COUNT($I$9:I357)+1,""))</f>
        <v>137</v>
      </c>
    </row>
    <row r="359" spans="1:9" ht="16" x14ac:dyDescent="0.25">
      <c r="A359" s="69" t="str">
        <f>Listas!E354</f>
        <v>RC Cámara Salina | 12 hrs. | 720 hrs.</v>
      </c>
      <c r="B359" s="69" t="str">
        <f t="shared" si="5"/>
        <v>Otros</v>
      </c>
      <c r="C359" s="69">
        <f>IF($A359="","",IF(AND($B359&lt;&gt;"",IF($F$2="Otros",$B359="Otros",ISNUMBER(SEARCH($B359,$F$2)))),COUNT($C$2:C358)+1,""))</f>
        <v>139</v>
      </c>
      <c r="G359" s="132" t="str">
        <f>IFERROR(INDEX($A$2:$A$507,MATCH(ROWS($G$2:G359),$C$2:$C$507,0)),IF(ROWS($G$2:G359)=1,"(sin matches)",""))</f>
        <v/>
      </c>
      <c r="I359" s="69">
        <f>IF($A359="","",IF(AND($B359&lt;&gt;"",ISNUMBER(SEARCH($I$7,$B359))),COUNT($I$9:I358)+1,""))</f>
        <v>138</v>
      </c>
    </row>
    <row r="360" spans="1:9" ht="16" x14ac:dyDescent="0.25">
      <c r="A360" s="69" t="str">
        <f>Listas!E355</f>
        <v>RC Cámara Salina | 12 hrs. | 96 hrs.</v>
      </c>
      <c r="B360" s="69" t="str">
        <f t="shared" si="5"/>
        <v>Otros</v>
      </c>
      <c r="C360" s="69">
        <f>IF($A360="","",IF(AND($B360&lt;&gt;"",IF($F$2="Otros",$B360="Otros",ISNUMBER(SEARCH($B360,$F$2)))),COUNT($C$2:C359)+1,""))</f>
        <v>140</v>
      </c>
      <c r="G360" s="132" t="str">
        <f>IFERROR(INDEX($A$2:$A$507,MATCH(ROWS($G$2:G360),$C$2:$C$507,0)),IF(ROWS($G$2:G360)=1,"(sin matches)",""))</f>
        <v/>
      </c>
      <c r="I360" s="69">
        <f>IF($A360="","",IF(AND($B360&lt;&gt;"",ISNUMBER(SEARCH($I$7,$B360))),COUNT($I$9:I359)+1,""))</f>
        <v>139</v>
      </c>
    </row>
    <row r="361" spans="1:9" ht="16" x14ac:dyDescent="0.25">
      <c r="A361" s="69" t="str">
        <f>Listas!E356</f>
        <v>RC Cámara Salina | 12 hrs. | 960 hrs.</v>
      </c>
      <c r="B361" s="69" t="str">
        <f t="shared" si="5"/>
        <v>Otros</v>
      </c>
      <c r="C361" s="69">
        <f>IF($A361="","",IF(AND($B361&lt;&gt;"",IF($F$2="Otros",$B361="Otros",ISNUMBER(SEARCH($B361,$F$2)))),COUNT($C$2:C360)+1,""))</f>
        <v>141</v>
      </c>
      <c r="G361" s="132" t="str">
        <f>IFERROR(INDEX($A$2:$A$507,MATCH(ROWS($G$2:G361),$C$2:$C$507,0)),IF(ROWS($G$2:G361)=1,"(sin matches)",""))</f>
        <v/>
      </c>
      <c r="I361" s="69">
        <f>IF($A361="","",IF(AND($B361&lt;&gt;"",ISNUMBER(SEARCH($I$7,$B361))),COUNT($I$9:I360)+1,""))</f>
        <v>140</v>
      </c>
    </row>
    <row r="362" spans="1:9" ht="16" x14ac:dyDescent="0.25">
      <c r="A362" s="69" t="str">
        <f>Listas!E357</f>
        <v>RC Cámara Salina | 12 hrs. | No aplica</v>
      </c>
      <c r="B362" s="69" t="str">
        <f t="shared" si="5"/>
        <v>Otros</v>
      </c>
      <c r="C362" s="69">
        <f>IF($A362="","",IF(AND($B362&lt;&gt;"",IF($F$2="Otros",$B362="Otros",ISNUMBER(SEARCH($B362,$F$2)))),COUNT($C$2:C361)+1,""))</f>
        <v>142</v>
      </c>
      <c r="G362" s="132" t="str">
        <f>IFERROR(INDEX($A$2:$A$507,MATCH(ROWS($G$2:G362),$C$2:$C$507,0)),IF(ROWS($G$2:G362)=1,"(sin matches)",""))</f>
        <v/>
      </c>
      <c r="I362" s="69">
        <f>IF($A362="","",IF(AND($B362&lt;&gt;"",ISNUMBER(SEARCH($I$7,$B362))),COUNT($I$9:I361)+1,""))</f>
        <v>141</v>
      </c>
    </row>
    <row r="363" spans="1:9" ht="16" x14ac:dyDescent="0.25">
      <c r="A363" s="69" t="str">
        <f>Listas!E358</f>
        <v>RC Cámara Salina | 120 hrs. | 12 hrs.</v>
      </c>
      <c r="B363" s="69" t="str">
        <f t="shared" si="5"/>
        <v>Otros</v>
      </c>
      <c r="C363" s="69">
        <f>IF($A363="","",IF(AND($B363&lt;&gt;"",IF($F$2="Otros",$B363="Otros",ISNUMBER(SEARCH($B363,$F$2)))),COUNT($C$2:C362)+1,""))</f>
        <v>143</v>
      </c>
      <c r="G363" s="132" t="str">
        <f>IFERROR(INDEX($A$2:$A$507,MATCH(ROWS($G$2:G363),$C$2:$C$507,0)),IF(ROWS($G$2:G363)=1,"(sin matches)",""))</f>
        <v/>
      </c>
      <c r="I363" s="69">
        <f>IF($A363="","",IF(AND($B363&lt;&gt;"",ISNUMBER(SEARCH($I$7,$B363))),COUNT($I$9:I362)+1,""))</f>
        <v>142</v>
      </c>
    </row>
    <row r="364" spans="1:9" ht="16" x14ac:dyDescent="0.25">
      <c r="A364" s="69" t="str">
        <f>Listas!E359</f>
        <v>RC Cámara Salina | 120 hrs. | 120 hrs.</v>
      </c>
      <c r="B364" s="69" t="str">
        <f t="shared" si="5"/>
        <v>Otros</v>
      </c>
      <c r="C364" s="69">
        <f>IF($A364="","",IF(AND($B364&lt;&gt;"",IF($F$2="Otros",$B364="Otros",ISNUMBER(SEARCH($B364,$F$2)))),COUNT($C$2:C363)+1,""))</f>
        <v>144</v>
      </c>
      <c r="G364" s="132" t="str">
        <f>IFERROR(INDEX($A$2:$A$507,MATCH(ROWS($G$2:G364),$C$2:$C$507,0)),IF(ROWS($G$2:G364)=1,"(sin matches)",""))</f>
        <v/>
      </c>
      <c r="I364" s="69">
        <f>IF($A364="","",IF(AND($B364&lt;&gt;"",ISNUMBER(SEARCH($I$7,$B364))),COUNT($I$9:I363)+1,""))</f>
        <v>143</v>
      </c>
    </row>
    <row r="365" spans="1:9" ht="16" x14ac:dyDescent="0.25">
      <c r="A365" s="69" t="str">
        <f>Listas!E360</f>
        <v>RC Cámara Salina | 120 hrs. | 144 hrs.</v>
      </c>
      <c r="B365" s="69" t="str">
        <f t="shared" si="5"/>
        <v>Otros</v>
      </c>
      <c r="C365" s="69">
        <f>IF($A365="","",IF(AND($B365&lt;&gt;"",IF($F$2="Otros",$B365="Otros",ISNUMBER(SEARCH($B365,$F$2)))),COUNT($C$2:C364)+1,""))</f>
        <v>145</v>
      </c>
      <c r="G365" s="132" t="str">
        <f>IFERROR(INDEX($A$2:$A$507,MATCH(ROWS($G$2:G365),$C$2:$C$507,0)),IF(ROWS($G$2:G365)=1,"(sin matches)",""))</f>
        <v/>
      </c>
      <c r="I365" s="69">
        <f>IF($A365="","",IF(AND($B365&lt;&gt;"",ISNUMBER(SEARCH($I$7,$B365))),COUNT($I$9:I364)+1,""))</f>
        <v>144</v>
      </c>
    </row>
    <row r="366" spans="1:9" ht="16" x14ac:dyDescent="0.25">
      <c r="A366" s="69" t="str">
        <f>Listas!E361</f>
        <v>RC Cámara Salina | 120 hrs. | 16 hrs.</v>
      </c>
      <c r="B366" s="69" t="str">
        <f t="shared" si="5"/>
        <v>Otros</v>
      </c>
      <c r="C366" s="69">
        <f>IF($A366="","",IF(AND($B366&lt;&gt;"",IF($F$2="Otros",$B366="Otros",ISNUMBER(SEARCH($B366,$F$2)))),COUNT($C$2:C365)+1,""))</f>
        <v>146</v>
      </c>
      <c r="G366" s="132" t="str">
        <f>IFERROR(INDEX($A$2:$A$507,MATCH(ROWS($G$2:G366),$C$2:$C$507,0)),IF(ROWS($G$2:G366)=1,"(sin matches)",""))</f>
        <v/>
      </c>
      <c r="I366" s="69">
        <f>IF($A366="","",IF(AND($B366&lt;&gt;"",ISNUMBER(SEARCH($I$7,$B366))),COUNT($I$9:I365)+1,""))</f>
        <v>145</v>
      </c>
    </row>
    <row r="367" spans="1:9" ht="16" x14ac:dyDescent="0.25">
      <c r="A367" s="69" t="str">
        <f>Listas!E362</f>
        <v>RC Cámara Salina | 120 hrs. | 172 hrs.</v>
      </c>
      <c r="B367" s="69" t="str">
        <f t="shared" si="5"/>
        <v>Otros</v>
      </c>
      <c r="C367" s="69">
        <f>IF($A367="","",IF(AND($B367&lt;&gt;"",IF($F$2="Otros",$B367="Otros",ISNUMBER(SEARCH($B367,$F$2)))),COUNT($C$2:C366)+1,""))</f>
        <v>147</v>
      </c>
      <c r="G367" s="132" t="str">
        <f>IFERROR(INDEX($A$2:$A$507,MATCH(ROWS($G$2:G367),$C$2:$C$507,0)),IF(ROWS($G$2:G367)=1,"(sin matches)",""))</f>
        <v/>
      </c>
      <c r="I367" s="69">
        <f>IF($A367="","",IF(AND($B367&lt;&gt;"",ISNUMBER(SEARCH($I$7,$B367))),COUNT($I$9:I366)+1,""))</f>
        <v>146</v>
      </c>
    </row>
    <row r="368" spans="1:9" ht="16" x14ac:dyDescent="0.25">
      <c r="A368" s="69" t="str">
        <f>Listas!E363</f>
        <v>RC Cámara Salina | 120 hrs. | 200 hrs.</v>
      </c>
      <c r="B368" s="69" t="str">
        <f t="shared" si="5"/>
        <v>Otros</v>
      </c>
      <c r="C368" s="69">
        <f>IF($A368="","",IF(AND($B368&lt;&gt;"",IF($F$2="Otros",$B368="Otros",ISNUMBER(SEARCH($B368,$F$2)))),COUNT($C$2:C367)+1,""))</f>
        <v>148</v>
      </c>
      <c r="G368" s="132" t="str">
        <f>IFERROR(INDEX($A$2:$A$507,MATCH(ROWS($G$2:G368),$C$2:$C$507,0)),IF(ROWS($G$2:G368)=1,"(sin matches)",""))</f>
        <v/>
      </c>
      <c r="I368" s="69">
        <f>IF($A368="","",IF(AND($B368&lt;&gt;"",ISNUMBER(SEARCH($I$7,$B368))),COUNT($I$9:I367)+1,""))</f>
        <v>147</v>
      </c>
    </row>
    <row r="369" spans="1:9" ht="16" x14ac:dyDescent="0.25">
      <c r="A369" s="69" t="str">
        <f>Listas!E364</f>
        <v>RC Cámara Salina | 120 hrs. | 24 hrs.</v>
      </c>
      <c r="B369" s="69" t="str">
        <f t="shared" si="5"/>
        <v>Otros</v>
      </c>
      <c r="C369" s="69">
        <f>IF($A369="","",IF(AND($B369&lt;&gt;"",IF($F$2="Otros",$B369="Otros",ISNUMBER(SEARCH($B369,$F$2)))),COUNT($C$2:C368)+1,""))</f>
        <v>149</v>
      </c>
      <c r="G369" s="132" t="str">
        <f>IFERROR(INDEX($A$2:$A$507,MATCH(ROWS($G$2:G369),$C$2:$C$507,0)),IF(ROWS($G$2:G369)=1,"(sin matches)",""))</f>
        <v/>
      </c>
      <c r="I369" s="69">
        <f>IF($A369="","",IF(AND($B369&lt;&gt;"",ISNUMBER(SEARCH($I$7,$B369))),COUNT($I$9:I368)+1,""))</f>
        <v>148</v>
      </c>
    </row>
    <row r="370" spans="1:9" ht="16" x14ac:dyDescent="0.25">
      <c r="A370" s="69" t="str">
        <f>Listas!E365</f>
        <v>RC Cámara Salina | 120 hrs. | 240 hrs.</v>
      </c>
      <c r="B370" s="69" t="str">
        <f t="shared" si="5"/>
        <v>Otros</v>
      </c>
      <c r="C370" s="69">
        <f>IF($A370="","",IF(AND($B370&lt;&gt;"",IF($F$2="Otros",$B370="Otros",ISNUMBER(SEARCH($B370,$F$2)))),COUNT($C$2:C369)+1,""))</f>
        <v>150</v>
      </c>
      <c r="G370" s="132" t="str">
        <f>IFERROR(INDEX($A$2:$A$507,MATCH(ROWS($G$2:G370),$C$2:$C$507,0)),IF(ROWS($G$2:G370)=1,"(sin matches)",""))</f>
        <v/>
      </c>
      <c r="I370" s="69">
        <f>IF($A370="","",IF(AND($B370&lt;&gt;"",ISNUMBER(SEARCH($I$7,$B370))),COUNT($I$9:I369)+1,""))</f>
        <v>149</v>
      </c>
    </row>
    <row r="371" spans="1:9" ht="16" x14ac:dyDescent="0.25">
      <c r="A371" s="69" t="str">
        <f>Listas!E366</f>
        <v>RC Cámara Salina | 120 hrs. | 36 hrs.</v>
      </c>
      <c r="B371" s="69" t="str">
        <f t="shared" si="5"/>
        <v>Otros</v>
      </c>
      <c r="C371" s="69">
        <f>IF($A371="","",IF(AND($B371&lt;&gt;"",IF($F$2="Otros",$B371="Otros",ISNUMBER(SEARCH($B371,$F$2)))),COUNT($C$2:C370)+1,""))</f>
        <v>151</v>
      </c>
      <c r="G371" s="132" t="str">
        <f>IFERROR(INDEX($A$2:$A$507,MATCH(ROWS($G$2:G371),$C$2:$C$507,0)),IF(ROWS($G$2:G371)=1,"(sin matches)",""))</f>
        <v/>
      </c>
      <c r="I371" s="69">
        <f>IF($A371="","",IF(AND($B371&lt;&gt;"",ISNUMBER(SEARCH($I$7,$B371))),COUNT($I$9:I370)+1,""))</f>
        <v>150</v>
      </c>
    </row>
    <row r="372" spans="1:9" ht="16" x14ac:dyDescent="0.25">
      <c r="A372" s="69" t="str">
        <f>Listas!E367</f>
        <v>RC Cámara Salina | 120 hrs. | 360 hrs.</v>
      </c>
      <c r="B372" s="69" t="str">
        <f t="shared" si="5"/>
        <v>Otros</v>
      </c>
      <c r="C372" s="69">
        <f>IF($A372="","",IF(AND($B372&lt;&gt;"",IF($F$2="Otros",$B372="Otros",ISNUMBER(SEARCH($B372,$F$2)))),COUNT($C$2:C371)+1,""))</f>
        <v>152</v>
      </c>
      <c r="G372" s="132" t="str">
        <f>IFERROR(INDEX($A$2:$A$507,MATCH(ROWS($G$2:G372),$C$2:$C$507,0)),IF(ROWS($G$2:G372)=1,"(sin matches)",""))</f>
        <v/>
      </c>
      <c r="I372" s="69">
        <f>IF($A372="","",IF(AND($B372&lt;&gt;"",ISNUMBER(SEARCH($I$7,$B372))),COUNT($I$9:I371)+1,""))</f>
        <v>151</v>
      </c>
    </row>
    <row r="373" spans="1:9" ht="16" x14ac:dyDescent="0.25">
      <c r="A373" s="69" t="str">
        <f>Listas!E368</f>
        <v>RC Cámara Salina | 120 hrs. | 48 hrs.</v>
      </c>
      <c r="B373" s="69" t="str">
        <f t="shared" si="5"/>
        <v>Otros</v>
      </c>
      <c r="C373" s="69">
        <f>IF($A373="","",IF(AND($B373&lt;&gt;"",IF($F$2="Otros",$B373="Otros",ISNUMBER(SEARCH($B373,$F$2)))),COUNT($C$2:C372)+1,""))</f>
        <v>153</v>
      </c>
      <c r="G373" s="132" t="str">
        <f>IFERROR(INDEX($A$2:$A$507,MATCH(ROWS($G$2:G373),$C$2:$C$507,0)),IF(ROWS($G$2:G373)=1,"(sin matches)",""))</f>
        <v/>
      </c>
      <c r="I373" s="69">
        <f>IF($A373="","",IF(AND($B373&lt;&gt;"",ISNUMBER(SEARCH($I$7,$B373))),COUNT($I$9:I372)+1,""))</f>
        <v>152</v>
      </c>
    </row>
    <row r="374" spans="1:9" ht="16" x14ac:dyDescent="0.25">
      <c r="A374" s="69" t="str">
        <f>Listas!E369</f>
        <v>RC Cámara Salina | 120 hrs. | 480 hrs.</v>
      </c>
      <c r="B374" s="69" t="str">
        <f t="shared" si="5"/>
        <v>Otros</v>
      </c>
      <c r="C374" s="69">
        <f>IF($A374="","",IF(AND($B374&lt;&gt;"",IF($F$2="Otros",$B374="Otros",ISNUMBER(SEARCH($B374,$F$2)))),COUNT($C$2:C373)+1,""))</f>
        <v>154</v>
      </c>
      <c r="G374" s="132" t="str">
        <f>IFERROR(INDEX($A$2:$A$507,MATCH(ROWS($G$2:G374),$C$2:$C$507,0)),IF(ROWS($G$2:G374)=1,"(sin matches)",""))</f>
        <v/>
      </c>
      <c r="I374" s="69">
        <f>IF($A374="","",IF(AND($B374&lt;&gt;"",ISNUMBER(SEARCH($I$7,$B374))),COUNT($I$9:I373)+1,""))</f>
        <v>153</v>
      </c>
    </row>
    <row r="375" spans="1:9" ht="16" x14ac:dyDescent="0.25">
      <c r="A375" s="69" t="str">
        <f>Listas!E370</f>
        <v>RC Cámara Salina | 120 hrs. | 500 hrs.</v>
      </c>
      <c r="B375" s="69" t="str">
        <f t="shared" si="5"/>
        <v>Otros</v>
      </c>
      <c r="C375" s="69">
        <f>IF($A375="","",IF(AND($B375&lt;&gt;"",IF($F$2="Otros",$B375="Otros",ISNUMBER(SEARCH($B375,$F$2)))),COUNT($C$2:C374)+1,""))</f>
        <v>155</v>
      </c>
      <c r="G375" s="132" t="str">
        <f>IFERROR(INDEX($A$2:$A$507,MATCH(ROWS($G$2:G375),$C$2:$C$507,0)),IF(ROWS($G$2:G375)=1,"(sin matches)",""))</f>
        <v/>
      </c>
      <c r="I375" s="69">
        <f>IF($A375="","",IF(AND($B375&lt;&gt;"",ISNUMBER(SEARCH($I$7,$B375))),COUNT($I$9:I374)+1,""))</f>
        <v>154</v>
      </c>
    </row>
    <row r="376" spans="1:9" ht="16" x14ac:dyDescent="0.25">
      <c r="A376" s="69" t="str">
        <f>Listas!E371</f>
        <v>RC Cámara Salina | 120 hrs. | 72 hrs.</v>
      </c>
      <c r="B376" s="69" t="str">
        <f t="shared" si="5"/>
        <v>Otros</v>
      </c>
      <c r="C376" s="69">
        <f>IF($A376="","",IF(AND($B376&lt;&gt;"",IF($F$2="Otros",$B376="Otros",ISNUMBER(SEARCH($B376,$F$2)))),COUNT($C$2:C375)+1,""))</f>
        <v>156</v>
      </c>
      <c r="G376" s="132" t="str">
        <f>IFERROR(INDEX($A$2:$A$507,MATCH(ROWS($G$2:G376),$C$2:$C$507,0)),IF(ROWS($G$2:G376)=1,"(sin matches)",""))</f>
        <v/>
      </c>
      <c r="I376" s="69">
        <f>IF($A376="","",IF(AND($B376&lt;&gt;"",ISNUMBER(SEARCH($I$7,$B376))),COUNT($I$9:I375)+1,""))</f>
        <v>155</v>
      </c>
    </row>
    <row r="377" spans="1:9" ht="16" x14ac:dyDescent="0.25">
      <c r="A377" s="69" t="str">
        <f>Listas!E372</f>
        <v>RC Cámara Salina | 120 hrs. | 720 hrs.</v>
      </c>
      <c r="B377" s="69" t="str">
        <f t="shared" si="5"/>
        <v>Otros</v>
      </c>
      <c r="C377" s="69">
        <f>IF($A377="","",IF(AND($B377&lt;&gt;"",IF($F$2="Otros",$B377="Otros",ISNUMBER(SEARCH($B377,$F$2)))),COUNT($C$2:C376)+1,""))</f>
        <v>157</v>
      </c>
      <c r="G377" s="132" t="str">
        <f>IFERROR(INDEX($A$2:$A$507,MATCH(ROWS($G$2:G377),$C$2:$C$507,0)),IF(ROWS($G$2:G377)=1,"(sin matches)",""))</f>
        <v/>
      </c>
      <c r="I377" s="69">
        <f>IF($A377="","",IF(AND($B377&lt;&gt;"",ISNUMBER(SEARCH($I$7,$B377))),COUNT($I$9:I376)+1,""))</f>
        <v>156</v>
      </c>
    </row>
    <row r="378" spans="1:9" ht="16" x14ac:dyDescent="0.25">
      <c r="A378" s="69" t="str">
        <f>Listas!E373</f>
        <v>RC Cámara Salina | 120 hrs. | 96 hrs.</v>
      </c>
      <c r="B378" s="69" t="str">
        <f t="shared" si="5"/>
        <v>Otros</v>
      </c>
      <c r="C378" s="69">
        <f>IF($A378="","",IF(AND($B378&lt;&gt;"",IF($F$2="Otros",$B378="Otros",ISNUMBER(SEARCH($B378,$F$2)))),COUNT($C$2:C377)+1,""))</f>
        <v>158</v>
      </c>
      <c r="G378" s="132" t="str">
        <f>IFERROR(INDEX($A$2:$A$507,MATCH(ROWS($G$2:G378),$C$2:$C$507,0)),IF(ROWS($G$2:G378)=1,"(sin matches)",""))</f>
        <v/>
      </c>
      <c r="I378" s="69">
        <f>IF($A378="","",IF(AND($B378&lt;&gt;"",ISNUMBER(SEARCH($I$7,$B378))),COUNT($I$9:I377)+1,""))</f>
        <v>157</v>
      </c>
    </row>
    <row r="379" spans="1:9" ht="16" x14ac:dyDescent="0.25">
      <c r="A379" s="69" t="str">
        <f>Listas!E374</f>
        <v>RC Cámara Salina | 120 hrs. | 960 hrs.</v>
      </c>
      <c r="B379" s="69" t="str">
        <f t="shared" si="5"/>
        <v>Otros</v>
      </c>
      <c r="C379" s="69">
        <f>IF($A379="","",IF(AND($B379&lt;&gt;"",IF($F$2="Otros",$B379="Otros",ISNUMBER(SEARCH($B379,$F$2)))),COUNT($C$2:C378)+1,""))</f>
        <v>159</v>
      </c>
      <c r="G379" s="132" t="str">
        <f>IFERROR(INDEX($A$2:$A$507,MATCH(ROWS($G$2:G379),$C$2:$C$507,0)),IF(ROWS($G$2:G379)=1,"(sin matches)",""))</f>
        <v/>
      </c>
      <c r="I379" s="69">
        <f>IF($A379="","",IF(AND($B379&lt;&gt;"",ISNUMBER(SEARCH($I$7,$B379))),COUNT($I$9:I378)+1,""))</f>
        <v>158</v>
      </c>
    </row>
    <row r="380" spans="1:9" ht="16" x14ac:dyDescent="0.25">
      <c r="A380" s="69" t="str">
        <f>Listas!E375</f>
        <v>RC Cámara Salina | 120 hrs. | No aplica</v>
      </c>
      <c r="B380" s="69" t="str">
        <f t="shared" si="5"/>
        <v>Otros</v>
      </c>
      <c r="C380" s="69">
        <f>IF($A380="","",IF(AND($B380&lt;&gt;"",IF($F$2="Otros",$B380="Otros",ISNUMBER(SEARCH($B380,$F$2)))),COUNT($C$2:C379)+1,""))</f>
        <v>160</v>
      </c>
      <c r="G380" s="132" t="str">
        <f>IFERROR(INDEX($A$2:$A$507,MATCH(ROWS($G$2:G380),$C$2:$C$507,0)),IF(ROWS($G$2:G380)=1,"(sin matches)",""))</f>
        <v/>
      </c>
      <c r="I380" s="69">
        <f>IF($A380="","",IF(AND($B380&lt;&gt;"",ISNUMBER(SEARCH($I$7,$B380))),COUNT($I$9:I379)+1,""))</f>
        <v>159</v>
      </c>
    </row>
    <row r="381" spans="1:9" ht="16" x14ac:dyDescent="0.25">
      <c r="A381" s="69" t="str">
        <f>Listas!E376</f>
        <v>RC Cámara Salina | 144 hrs. | 12 hrs.</v>
      </c>
      <c r="B381" s="69" t="str">
        <f t="shared" si="5"/>
        <v>Otros</v>
      </c>
      <c r="C381" s="69">
        <f>IF($A381="","",IF(AND($B381&lt;&gt;"",IF($F$2="Otros",$B381="Otros",ISNUMBER(SEARCH($B381,$F$2)))),COUNT($C$2:C380)+1,""))</f>
        <v>161</v>
      </c>
      <c r="G381" s="132" t="str">
        <f>IFERROR(INDEX($A$2:$A$507,MATCH(ROWS($G$2:G381),$C$2:$C$507,0)),IF(ROWS($G$2:G381)=1,"(sin matches)",""))</f>
        <v/>
      </c>
      <c r="I381" s="69">
        <f>IF($A381="","",IF(AND($B381&lt;&gt;"",ISNUMBER(SEARCH($I$7,$B381))),COUNT($I$9:I380)+1,""))</f>
        <v>160</v>
      </c>
    </row>
    <row r="382" spans="1:9" ht="16" x14ac:dyDescent="0.25">
      <c r="A382" s="69" t="str">
        <f>Listas!E377</f>
        <v>RC Cámara Salina | 144 hrs. | 120 hrs.</v>
      </c>
      <c r="B382" s="69" t="str">
        <f t="shared" si="5"/>
        <v>Otros</v>
      </c>
      <c r="C382" s="69">
        <f>IF($A382="","",IF(AND($B382&lt;&gt;"",IF($F$2="Otros",$B382="Otros",ISNUMBER(SEARCH($B382,$F$2)))),COUNT($C$2:C381)+1,""))</f>
        <v>162</v>
      </c>
      <c r="G382" s="132" t="str">
        <f>IFERROR(INDEX($A$2:$A$507,MATCH(ROWS($G$2:G382),$C$2:$C$507,0)),IF(ROWS($G$2:G382)=1,"(sin matches)",""))</f>
        <v/>
      </c>
      <c r="I382" s="69">
        <f>IF($A382="","",IF(AND($B382&lt;&gt;"",ISNUMBER(SEARCH($I$7,$B382))),COUNT($I$9:I381)+1,""))</f>
        <v>161</v>
      </c>
    </row>
    <row r="383" spans="1:9" ht="16" x14ac:dyDescent="0.25">
      <c r="A383" s="69" t="str">
        <f>Listas!E378</f>
        <v>RC Cámara Salina | 144 hrs. | 144 hrs.</v>
      </c>
      <c r="B383" s="69" t="str">
        <f t="shared" si="5"/>
        <v>Otros</v>
      </c>
      <c r="C383" s="69">
        <f>IF($A383="","",IF(AND($B383&lt;&gt;"",IF($F$2="Otros",$B383="Otros",ISNUMBER(SEARCH($B383,$F$2)))),COUNT($C$2:C382)+1,""))</f>
        <v>163</v>
      </c>
      <c r="G383" s="132" t="str">
        <f>IFERROR(INDEX($A$2:$A$507,MATCH(ROWS($G$2:G383),$C$2:$C$507,0)),IF(ROWS($G$2:G383)=1,"(sin matches)",""))</f>
        <v/>
      </c>
      <c r="I383" s="69">
        <f>IF($A383="","",IF(AND($B383&lt;&gt;"",ISNUMBER(SEARCH($I$7,$B383))),COUNT($I$9:I382)+1,""))</f>
        <v>162</v>
      </c>
    </row>
    <row r="384" spans="1:9" ht="16" x14ac:dyDescent="0.25">
      <c r="A384" s="69" t="str">
        <f>Listas!E379</f>
        <v>RC Cámara Salina | 144 hrs. | 16 hrs.</v>
      </c>
      <c r="B384" s="69" t="str">
        <f t="shared" si="5"/>
        <v>Otros</v>
      </c>
      <c r="C384" s="69">
        <f>IF($A384="","",IF(AND($B384&lt;&gt;"",IF($F$2="Otros",$B384="Otros",ISNUMBER(SEARCH($B384,$F$2)))),COUNT($C$2:C383)+1,""))</f>
        <v>164</v>
      </c>
      <c r="G384" s="132" t="str">
        <f>IFERROR(INDEX($A$2:$A$507,MATCH(ROWS($G$2:G384),$C$2:$C$507,0)),IF(ROWS($G$2:G384)=1,"(sin matches)",""))</f>
        <v/>
      </c>
      <c r="I384" s="69">
        <f>IF($A384="","",IF(AND($B384&lt;&gt;"",ISNUMBER(SEARCH($I$7,$B384))),COUNT($I$9:I383)+1,""))</f>
        <v>163</v>
      </c>
    </row>
    <row r="385" spans="1:9" ht="16" x14ac:dyDescent="0.25">
      <c r="A385" s="69" t="str">
        <f>Listas!E380</f>
        <v>RC Cámara Salina | 144 hrs. | 172 hrs.</v>
      </c>
      <c r="B385" s="69" t="str">
        <f t="shared" si="5"/>
        <v>Otros</v>
      </c>
      <c r="C385" s="69">
        <f>IF($A385="","",IF(AND($B385&lt;&gt;"",IF($F$2="Otros",$B385="Otros",ISNUMBER(SEARCH($B385,$F$2)))),COUNT($C$2:C384)+1,""))</f>
        <v>165</v>
      </c>
      <c r="G385" s="132" t="str">
        <f>IFERROR(INDEX($A$2:$A$507,MATCH(ROWS($G$2:G385),$C$2:$C$507,0)),IF(ROWS($G$2:G385)=1,"(sin matches)",""))</f>
        <v/>
      </c>
      <c r="I385" s="69">
        <f>IF($A385="","",IF(AND($B385&lt;&gt;"",ISNUMBER(SEARCH($I$7,$B385))),COUNT($I$9:I384)+1,""))</f>
        <v>164</v>
      </c>
    </row>
    <row r="386" spans="1:9" ht="16" x14ac:dyDescent="0.25">
      <c r="A386" s="69" t="str">
        <f>Listas!E381</f>
        <v>RC Cámara Salina | 144 hrs. | 200 hrs.</v>
      </c>
      <c r="B386" s="69" t="str">
        <f t="shared" si="5"/>
        <v>Otros</v>
      </c>
      <c r="C386" s="69">
        <f>IF($A386="","",IF(AND($B386&lt;&gt;"",IF($F$2="Otros",$B386="Otros",ISNUMBER(SEARCH($B386,$F$2)))),COUNT($C$2:C385)+1,""))</f>
        <v>166</v>
      </c>
      <c r="G386" s="132" t="str">
        <f>IFERROR(INDEX($A$2:$A$507,MATCH(ROWS($G$2:G386),$C$2:$C$507,0)),IF(ROWS($G$2:G386)=1,"(sin matches)",""))</f>
        <v/>
      </c>
      <c r="I386" s="69">
        <f>IF($A386="","",IF(AND($B386&lt;&gt;"",ISNUMBER(SEARCH($I$7,$B386))),COUNT($I$9:I385)+1,""))</f>
        <v>165</v>
      </c>
    </row>
    <row r="387" spans="1:9" ht="16" x14ac:dyDescent="0.25">
      <c r="A387" s="69" t="str">
        <f>Listas!E382</f>
        <v>RC Cámara Salina | 144 hrs. | 24 hrs.</v>
      </c>
      <c r="B387" s="69" t="str">
        <f t="shared" si="5"/>
        <v>Otros</v>
      </c>
      <c r="C387" s="69">
        <f>IF($A387="","",IF(AND($B387&lt;&gt;"",IF($F$2="Otros",$B387="Otros",ISNUMBER(SEARCH($B387,$F$2)))),COUNT($C$2:C386)+1,""))</f>
        <v>167</v>
      </c>
      <c r="G387" s="132" t="str">
        <f>IFERROR(INDEX($A$2:$A$507,MATCH(ROWS($G$2:G387),$C$2:$C$507,0)),IF(ROWS($G$2:G387)=1,"(sin matches)",""))</f>
        <v/>
      </c>
      <c r="I387" s="69">
        <f>IF($A387="","",IF(AND($B387&lt;&gt;"",ISNUMBER(SEARCH($I$7,$B387))),COUNT($I$9:I386)+1,""))</f>
        <v>166</v>
      </c>
    </row>
    <row r="388" spans="1:9" ht="16" x14ac:dyDescent="0.25">
      <c r="A388" s="69" t="str">
        <f>Listas!E383</f>
        <v>RC Cámara Salina | 144 hrs. | 240 hrs.</v>
      </c>
      <c r="B388" s="69" t="str">
        <f t="shared" si="5"/>
        <v>Otros</v>
      </c>
      <c r="C388" s="69">
        <f>IF($A388="","",IF(AND($B388&lt;&gt;"",IF($F$2="Otros",$B388="Otros",ISNUMBER(SEARCH($B388,$F$2)))),COUNT($C$2:C387)+1,""))</f>
        <v>168</v>
      </c>
      <c r="G388" s="132" t="str">
        <f>IFERROR(INDEX($A$2:$A$507,MATCH(ROWS($G$2:G388),$C$2:$C$507,0)),IF(ROWS($G$2:G388)=1,"(sin matches)",""))</f>
        <v/>
      </c>
      <c r="I388" s="69">
        <f>IF($A388="","",IF(AND($B388&lt;&gt;"",ISNUMBER(SEARCH($I$7,$B388))),COUNT($I$9:I387)+1,""))</f>
        <v>167</v>
      </c>
    </row>
    <row r="389" spans="1:9" ht="16" x14ac:dyDescent="0.25">
      <c r="A389" s="69" t="str">
        <f>Listas!E384</f>
        <v>RC Cámara Salina | 144 hrs. | 36 hrs.</v>
      </c>
      <c r="B389" s="69" t="str">
        <f t="shared" si="5"/>
        <v>Otros</v>
      </c>
      <c r="C389" s="69">
        <f>IF($A389="","",IF(AND($B389&lt;&gt;"",IF($F$2="Otros",$B389="Otros",ISNUMBER(SEARCH($B389,$F$2)))),COUNT($C$2:C388)+1,""))</f>
        <v>169</v>
      </c>
      <c r="G389" s="132" t="str">
        <f>IFERROR(INDEX($A$2:$A$507,MATCH(ROWS($G$2:G389),$C$2:$C$507,0)),IF(ROWS($G$2:G389)=1,"(sin matches)",""))</f>
        <v/>
      </c>
      <c r="I389" s="69">
        <f>IF($A389="","",IF(AND($B389&lt;&gt;"",ISNUMBER(SEARCH($I$7,$B389))),COUNT($I$9:I388)+1,""))</f>
        <v>168</v>
      </c>
    </row>
    <row r="390" spans="1:9" ht="16" x14ac:dyDescent="0.25">
      <c r="A390" s="69" t="str">
        <f>Listas!E385</f>
        <v>RC Cámara Salina | 144 hrs. | 360 hrs.</v>
      </c>
      <c r="B390" s="69" t="str">
        <f t="shared" si="5"/>
        <v>Otros</v>
      </c>
      <c r="C390" s="69">
        <f>IF($A390="","",IF(AND($B390&lt;&gt;"",IF($F$2="Otros",$B390="Otros",ISNUMBER(SEARCH($B390,$F$2)))),COUNT($C$2:C389)+1,""))</f>
        <v>170</v>
      </c>
      <c r="G390" s="132" t="str">
        <f>IFERROR(INDEX($A$2:$A$507,MATCH(ROWS($G$2:G390),$C$2:$C$507,0)),IF(ROWS($G$2:G390)=1,"(sin matches)",""))</f>
        <v/>
      </c>
      <c r="I390" s="69">
        <f>IF($A390="","",IF(AND($B390&lt;&gt;"",ISNUMBER(SEARCH($I$7,$B390))),COUNT($I$9:I389)+1,""))</f>
        <v>169</v>
      </c>
    </row>
    <row r="391" spans="1:9" ht="16" x14ac:dyDescent="0.25">
      <c r="A391" s="69" t="str">
        <f>Listas!E386</f>
        <v>RC Cámara Salina | 144 hrs. | 48 hrs.</v>
      </c>
      <c r="B391" s="69" t="str">
        <f t="shared" si="5"/>
        <v>Otros</v>
      </c>
      <c r="C391" s="69">
        <f>IF($A391="","",IF(AND($B391&lt;&gt;"",IF($F$2="Otros",$B391="Otros",ISNUMBER(SEARCH($B391,$F$2)))),COUNT($C$2:C390)+1,""))</f>
        <v>171</v>
      </c>
      <c r="G391" s="132" t="str">
        <f>IFERROR(INDEX($A$2:$A$507,MATCH(ROWS($G$2:G391),$C$2:$C$507,0)),IF(ROWS($G$2:G391)=1,"(sin matches)",""))</f>
        <v/>
      </c>
      <c r="I391" s="69">
        <f>IF($A391="","",IF(AND($B391&lt;&gt;"",ISNUMBER(SEARCH($I$7,$B391))),COUNT($I$9:I390)+1,""))</f>
        <v>170</v>
      </c>
    </row>
    <row r="392" spans="1:9" ht="16" x14ac:dyDescent="0.25">
      <c r="A392" s="69" t="str">
        <f>Listas!E387</f>
        <v>RC Cámara Salina | 144 hrs. | 480 hrs.</v>
      </c>
      <c r="B392" s="69" t="str">
        <f t="shared" si="5"/>
        <v>Otros</v>
      </c>
      <c r="C392" s="69">
        <f>IF($A392="","",IF(AND($B392&lt;&gt;"",IF($F$2="Otros",$B392="Otros",ISNUMBER(SEARCH($B392,$F$2)))),COUNT($C$2:C391)+1,""))</f>
        <v>172</v>
      </c>
      <c r="G392" s="132" t="str">
        <f>IFERROR(INDEX($A$2:$A$507,MATCH(ROWS($G$2:G392),$C$2:$C$507,0)),IF(ROWS($G$2:G392)=1,"(sin matches)",""))</f>
        <v/>
      </c>
      <c r="I392" s="69">
        <f>IF($A392="","",IF(AND($B392&lt;&gt;"",ISNUMBER(SEARCH($I$7,$B392))),COUNT($I$9:I391)+1,""))</f>
        <v>171</v>
      </c>
    </row>
    <row r="393" spans="1:9" ht="16" x14ac:dyDescent="0.25">
      <c r="A393" s="69" t="str">
        <f>Listas!E388</f>
        <v>RC Cámara Salina | 144 hrs. | 500 hrs.</v>
      </c>
      <c r="B393" s="69" t="str">
        <f t="shared" si="5"/>
        <v>Otros</v>
      </c>
      <c r="C393" s="69">
        <f>IF($A393="","",IF(AND($B393&lt;&gt;"",IF($F$2="Otros",$B393="Otros",ISNUMBER(SEARCH($B393,$F$2)))),COUNT($C$2:C392)+1,""))</f>
        <v>173</v>
      </c>
      <c r="G393" s="132" t="str">
        <f>IFERROR(INDEX($A$2:$A$507,MATCH(ROWS($G$2:G393),$C$2:$C$507,0)),IF(ROWS($G$2:G393)=1,"(sin matches)",""))</f>
        <v/>
      </c>
      <c r="I393" s="69">
        <f>IF($A393="","",IF(AND($B393&lt;&gt;"",ISNUMBER(SEARCH($I$7,$B393))),COUNT($I$9:I392)+1,""))</f>
        <v>172</v>
      </c>
    </row>
    <row r="394" spans="1:9" ht="16" x14ac:dyDescent="0.25">
      <c r="A394" s="69" t="str">
        <f>Listas!E389</f>
        <v>RC Cámara Salina | 144 hrs. | 72 hrs.</v>
      </c>
      <c r="B394" s="69" t="str">
        <f t="shared" ref="B394:B457" si="6">IF(OR(A394="",A394=0),"",IF(_xlfn.TEXTJOIN("+",TRUE,IF(ISNUMBER(SEARCH("Plata",A394&amp;"")),"Plata",""),IF(ISNUMBER(SEARCH("Níquel",A394&amp;"")),"Níquel",""),IF(ISNUMBER(SEARCH("Estaño",A394&amp;"")),"Estaño",""),IF(ISNUMBER(SEARCH("Zinc",A394&amp;"")),"Zinc",""),IF(ISNUMBER(SEARCH("Epóxico",A394&amp;"")),"Epóxico",""))="","Otros",_xlfn.TEXTJOIN("+",TRUE,IF(ISNUMBER(SEARCH("Plata",A394&amp;"")),"Plata",""),IF(ISNUMBER(SEARCH("Níquel",A394&amp;"")),"Níquel",""),IF(ISNUMBER(SEARCH("Estaño",A394&amp;"")),"Estaño",""),IF(ISNUMBER(SEARCH("Zinc",A394&amp;"")),"Zinc",""),IF(ISNUMBER(SEARCH("Epóxico",A394&amp;"")),"Epóxico",""))))</f>
        <v>Otros</v>
      </c>
      <c r="C394" s="69">
        <f>IF($A394="","",IF(AND($B394&lt;&gt;"",IF($F$2="Otros",$B394="Otros",ISNUMBER(SEARCH($B394,$F$2)))),COUNT($C$2:C393)+1,""))</f>
        <v>174</v>
      </c>
      <c r="G394" s="132" t="str">
        <f>IFERROR(INDEX($A$2:$A$507,MATCH(ROWS($G$2:G394),$C$2:$C$507,0)),IF(ROWS($G$2:G394)=1,"(sin matches)",""))</f>
        <v/>
      </c>
      <c r="I394" s="69">
        <f>IF($A394="","",IF(AND($B394&lt;&gt;"",ISNUMBER(SEARCH($I$7,$B394))),COUNT($I$9:I393)+1,""))</f>
        <v>173</v>
      </c>
    </row>
    <row r="395" spans="1:9" ht="16" x14ac:dyDescent="0.25">
      <c r="A395" s="69" t="str">
        <f>Listas!E390</f>
        <v>RC Cámara Salina | 144 hrs. | 720 hrs.</v>
      </c>
      <c r="B395" s="69" t="str">
        <f t="shared" si="6"/>
        <v>Otros</v>
      </c>
      <c r="C395" s="69">
        <f>IF($A395="","",IF(AND($B395&lt;&gt;"",IF($F$2="Otros",$B395="Otros",ISNUMBER(SEARCH($B395,$F$2)))),COUNT($C$2:C394)+1,""))</f>
        <v>175</v>
      </c>
      <c r="G395" s="132" t="str">
        <f>IFERROR(INDEX($A$2:$A$507,MATCH(ROWS($G$2:G395),$C$2:$C$507,0)),IF(ROWS($G$2:G395)=1,"(sin matches)",""))</f>
        <v/>
      </c>
      <c r="I395" s="69">
        <f>IF($A395="","",IF(AND($B395&lt;&gt;"",ISNUMBER(SEARCH($I$7,$B395))),COUNT($I$9:I394)+1,""))</f>
        <v>174</v>
      </c>
    </row>
    <row r="396" spans="1:9" ht="16" x14ac:dyDescent="0.25">
      <c r="A396" s="69" t="str">
        <f>Listas!E391</f>
        <v>RC Cámara Salina | 144 hrs. | 96 hrs.</v>
      </c>
      <c r="B396" s="69" t="str">
        <f t="shared" si="6"/>
        <v>Otros</v>
      </c>
      <c r="C396" s="69">
        <f>IF($A396="","",IF(AND($B396&lt;&gt;"",IF($F$2="Otros",$B396="Otros",ISNUMBER(SEARCH($B396,$F$2)))),COUNT($C$2:C395)+1,""))</f>
        <v>176</v>
      </c>
      <c r="G396" s="132" t="str">
        <f>IFERROR(INDEX($A$2:$A$507,MATCH(ROWS($G$2:G396),$C$2:$C$507,0)),IF(ROWS($G$2:G396)=1,"(sin matches)",""))</f>
        <v/>
      </c>
      <c r="I396" s="69">
        <f>IF($A396="","",IF(AND($B396&lt;&gt;"",ISNUMBER(SEARCH($I$7,$B396))),COUNT($I$9:I395)+1,""))</f>
        <v>175</v>
      </c>
    </row>
    <row r="397" spans="1:9" ht="16" x14ac:dyDescent="0.25">
      <c r="A397" s="69" t="str">
        <f>Listas!E392</f>
        <v>RC Cámara Salina | 144 hrs. | 960 hrs.</v>
      </c>
      <c r="B397" s="69" t="str">
        <f t="shared" si="6"/>
        <v>Otros</v>
      </c>
      <c r="C397" s="69">
        <f>IF($A397="","",IF(AND($B397&lt;&gt;"",IF($F$2="Otros",$B397="Otros",ISNUMBER(SEARCH($B397,$F$2)))),COUNT($C$2:C396)+1,""))</f>
        <v>177</v>
      </c>
      <c r="G397" s="132" t="str">
        <f>IFERROR(INDEX($A$2:$A$507,MATCH(ROWS($G$2:G397),$C$2:$C$507,0)),IF(ROWS($G$2:G397)=1,"(sin matches)",""))</f>
        <v/>
      </c>
      <c r="I397" s="69">
        <f>IF($A397="","",IF(AND($B397&lt;&gt;"",ISNUMBER(SEARCH($I$7,$B397))),COUNT($I$9:I396)+1,""))</f>
        <v>176</v>
      </c>
    </row>
    <row r="398" spans="1:9" ht="16" x14ac:dyDescent="0.25">
      <c r="A398" s="69" t="str">
        <f>Listas!E393</f>
        <v>RC Cámara Salina | 144 hrs. | No aplica</v>
      </c>
      <c r="B398" s="69" t="str">
        <f t="shared" si="6"/>
        <v>Otros</v>
      </c>
      <c r="C398" s="69">
        <f>IF($A398="","",IF(AND($B398&lt;&gt;"",IF($F$2="Otros",$B398="Otros",ISNUMBER(SEARCH($B398,$F$2)))),COUNT($C$2:C397)+1,""))</f>
        <v>178</v>
      </c>
      <c r="G398" s="132" t="str">
        <f>IFERROR(INDEX($A$2:$A$507,MATCH(ROWS($G$2:G398),$C$2:$C$507,0)),IF(ROWS($G$2:G398)=1,"(sin matches)",""))</f>
        <v/>
      </c>
      <c r="I398" s="69">
        <f>IF($A398="","",IF(AND($B398&lt;&gt;"",ISNUMBER(SEARCH($I$7,$B398))),COUNT($I$9:I397)+1,""))</f>
        <v>177</v>
      </c>
    </row>
    <row r="399" spans="1:9" ht="16" x14ac:dyDescent="0.25">
      <c r="A399" s="69" t="str">
        <f>Listas!E394</f>
        <v>RC Cámara Salina | 200 hrs. | 12 hrs.</v>
      </c>
      <c r="B399" s="69" t="str">
        <f t="shared" si="6"/>
        <v>Otros</v>
      </c>
      <c r="C399" s="69">
        <f>IF($A399="","",IF(AND($B399&lt;&gt;"",IF($F$2="Otros",$B399="Otros",ISNUMBER(SEARCH($B399,$F$2)))),COUNT($C$2:C398)+1,""))</f>
        <v>179</v>
      </c>
      <c r="G399" s="132" t="str">
        <f>IFERROR(INDEX($A$2:$A$507,MATCH(ROWS($G$2:G399),$C$2:$C$507,0)),IF(ROWS($G$2:G399)=1,"(sin matches)",""))</f>
        <v/>
      </c>
      <c r="I399" s="69">
        <f>IF($A399="","",IF(AND($B399&lt;&gt;"",ISNUMBER(SEARCH($I$7,$B399))),COUNT($I$9:I398)+1,""))</f>
        <v>178</v>
      </c>
    </row>
    <row r="400" spans="1:9" ht="16" x14ac:dyDescent="0.25">
      <c r="A400" s="69" t="str">
        <f>Listas!E395</f>
        <v>RC Cámara Salina | 200 hrs. | 120 hrs.</v>
      </c>
      <c r="B400" s="69" t="str">
        <f t="shared" si="6"/>
        <v>Otros</v>
      </c>
      <c r="C400" s="69">
        <f>IF($A400="","",IF(AND($B400&lt;&gt;"",IF($F$2="Otros",$B400="Otros",ISNUMBER(SEARCH($B400,$F$2)))),COUNT($C$2:C399)+1,""))</f>
        <v>180</v>
      </c>
      <c r="G400" s="132" t="str">
        <f>IFERROR(INDEX($A$2:$A$507,MATCH(ROWS($G$2:G400),$C$2:$C$507,0)),IF(ROWS($G$2:G400)=1,"(sin matches)",""))</f>
        <v/>
      </c>
      <c r="I400" s="69">
        <f>IF($A400="","",IF(AND($B400&lt;&gt;"",ISNUMBER(SEARCH($I$7,$B400))),COUNT($I$9:I399)+1,""))</f>
        <v>179</v>
      </c>
    </row>
    <row r="401" spans="1:9" ht="16" x14ac:dyDescent="0.25">
      <c r="A401" s="69" t="str">
        <f>Listas!E396</f>
        <v>RC Cámara Salina | 200 hrs. | 144 hrs.</v>
      </c>
      <c r="B401" s="69" t="str">
        <f t="shared" si="6"/>
        <v>Otros</v>
      </c>
      <c r="C401" s="69">
        <f>IF($A401="","",IF(AND($B401&lt;&gt;"",IF($F$2="Otros",$B401="Otros",ISNUMBER(SEARCH($B401,$F$2)))),COUNT($C$2:C400)+1,""))</f>
        <v>181</v>
      </c>
      <c r="G401" s="132" t="str">
        <f>IFERROR(INDEX($A$2:$A$507,MATCH(ROWS($G$2:G401),$C$2:$C$507,0)),IF(ROWS($G$2:G401)=1,"(sin matches)",""))</f>
        <v/>
      </c>
      <c r="I401" s="69">
        <f>IF($A401="","",IF(AND($B401&lt;&gt;"",ISNUMBER(SEARCH($I$7,$B401))),COUNT($I$9:I400)+1,""))</f>
        <v>180</v>
      </c>
    </row>
    <row r="402" spans="1:9" ht="16" x14ac:dyDescent="0.25">
      <c r="A402" s="69" t="str">
        <f>Listas!E397</f>
        <v>RC Cámara Salina | 200 hrs. | 16 hrs.</v>
      </c>
      <c r="B402" s="69" t="str">
        <f t="shared" si="6"/>
        <v>Otros</v>
      </c>
      <c r="C402" s="69">
        <f>IF($A402="","",IF(AND($B402&lt;&gt;"",IF($F$2="Otros",$B402="Otros",ISNUMBER(SEARCH($B402,$F$2)))),COUNT($C$2:C401)+1,""))</f>
        <v>182</v>
      </c>
      <c r="G402" s="132" t="str">
        <f>IFERROR(INDEX($A$2:$A$507,MATCH(ROWS($G$2:G402),$C$2:$C$507,0)),IF(ROWS($G$2:G402)=1,"(sin matches)",""))</f>
        <v/>
      </c>
      <c r="I402" s="69">
        <f>IF($A402="","",IF(AND($B402&lt;&gt;"",ISNUMBER(SEARCH($I$7,$B402))),COUNT($I$9:I401)+1,""))</f>
        <v>181</v>
      </c>
    </row>
    <row r="403" spans="1:9" ht="16" x14ac:dyDescent="0.25">
      <c r="A403" s="69" t="str">
        <f>Listas!E398</f>
        <v>RC Cámara Salina | 200 hrs. | 172 hrs.</v>
      </c>
      <c r="B403" s="69" t="str">
        <f t="shared" si="6"/>
        <v>Otros</v>
      </c>
      <c r="C403" s="69">
        <f>IF($A403="","",IF(AND($B403&lt;&gt;"",IF($F$2="Otros",$B403="Otros",ISNUMBER(SEARCH($B403,$F$2)))),COUNT($C$2:C402)+1,""))</f>
        <v>183</v>
      </c>
      <c r="G403" s="132" t="str">
        <f>IFERROR(INDEX($A$2:$A$507,MATCH(ROWS($G$2:G403),$C$2:$C$507,0)),IF(ROWS($G$2:G403)=1,"(sin matches)",""))</f>
        <v/>
      </c>
      <c r="I403" s="69">
        <f>IF($A403="","",IF(AND($B403&lt;&gt;"",ISNUMBER(SEARCH($I$7,$B403))),COUNT($I$9:I402)+1,""))</f>
        <v>182</v>
      </c>
    </row>
    <row r="404" spans="1:9" ht="16" x14ac:dyDescent="0.25">
      <c r="A404" s="69" t="str">
        <f>Listas!E399</f>
        <v>RC Cámara Salina | 200 hrs. | 200 hrs.</v>
      </c>
      <c r="B404" s="69" t="str">
        <f t="shared" si="6"/>
        <v>Otros</v>
      </c>
      <c r="C404" s="69">
        <f>IF($A404="","",IF(AND($B404&lt;&gt;"",IF($F$2="Otros",$B404="Otros",ISNUMBER(SEARCH($B404,$F$2)))),COUNT($C$2:C403)+1,""))</f>
        <v>184</v>
      </c>
      <c r="G404" s="132" t="str">
        <f>IFERROR(INDEX($A$2:$A$507,MATCH(ROWS($G$2:G404),$C$2:$C$507,0)),IF(ROWS($G$2:G404)=1,"(sin matches)",""))</f>
        <v/>
      </c>
      <c r="I404" s="69">
        <f>IF($A404="","",IF(AND($B404&lt;&gt;"",ISNUMBER(SEARCH($I$7,$B404))),COUNT($I$9:I403)+1,""))</f>
        <v>183</v>
      </c>
    </row>
    <row r="405" spans="1:9" ht="16" x14ac:dyDescent="0.25">
      <c r="A405" s="69" t="str">
        <f>Listas!E400</f>
        <v>RC Cámara Salina | 200 hrs. | 24 hrs.</v>
      </c>
      <c r="B405" s="69" t="str">
        <f t="shared" si="6"/>
        <v>Otros</v>
      </c>
      <c r="C405" s="69">
        <f>IF($A405="","",IF(AND($B405&lt;&gt;"",IF($F$2="Otros",$B405="Otros",ISNUMBER(SEARCH($B405,$F$2)))),COUNT($C$2:C404)+1,""))</f>
        <v>185</v>
      </c>
      <c r="G405" s="132" t="str">
        <f>IFERROR(INDEX($A$2:$A$507,MATCH(ROWS($G$2:G405),$C$2:$C$507,0)),IF(ROWS($G$2:G405)=1,"(sin matches)",""))</f>
        <v/>
      </c>
      <c r="I405" s="69">
        <f>IF($A405="","",IF(AND($B405&lt;&gt;"",ISNUMBER(SEARCH($I$7,$B405))),COUNT($I$9:I404)+1,""))</f>
        <v>184</v>
      </c>
    </row>
    <row r="406" spans="1:9" ht="16" x14ac:dyDescent="0.25">
      <c r="A406" s="69" t="str">
        <f>Listas!E401</f>
        <v>RC Cámara Salina | 200 hrs. | 240 hrs.</v>
      </c>
      <c r="B406" s="69" t="str">
        <f t="shared" si="6"/>
        <v>Otros</v>
      </c>
      <c r="C406" s="69">
        <f>IF($A406="","",IF(AND($B406&lt;&gt;"",IF($F$2="Otros",$B406="Otros",ISNUMBER(SEARCH($B406,$F$2)))),COUNT($C$2:C405)+1,""))</f>
        <v>186</v>
      </c>
      <c r="G406" s="132" t="str">
        <f>IFERROR(INDEX($A$2:$A$507,MATCH(ROWS($G$2:G406),$C$2:$C$507,0)),IF(ROWS($G$2:G406)=1,"(sin matches)",""))</f>
        <v/>
      </c>
      <c r="I406" s="69">
        <f>IF($A406="","",IF(AND($B406&lt;&gt;"",ISNUMBER(SEARCH($I$7,$B406))),COUNT($I$9:I405)+1,""))</f>
        <v>185</v>
      </c>
    </row>
    <row r="407" spans="1:9" ht="16" x14ac:dyDescent="0.25">
      <c r="A407" s="69" t="str">
        <f>Listas!E402</f>
        <v>RC Cámara Salina | 200 hrs. | 36 hrs.</v>
      </c>
      <c r="B407" s="69" t="str">
        <f t="shared" si="6"/>
        <v>Otros</v>
      </c>
      <c r="C407" s="69">
        <f>IF($A407="","",IF(AND($B407&lt;&gt;"",IF($F$2="Otros",$B407="Otros",ISNUMBER(SEARCH($B407,$F$2)))),COUNT($C$2:C406)+1,""))</f>
        <v>187</v>
      </c>
      <c r="G407" s="132" t="str">
        <f>IFERROR(INDEX($A$2:$A$507,MATCH(ROWS($G$2:G407),$C$2:$C$507,0)),IF(ROWS($G$2:G407)=1,"(sin matches)",""))</f>
        <v/>
      </c>
      <c r="I407" s="69">
        <f>IF($A407="","",IF(AND($B407&lt;&gt;"",ISNUMBER(SEARCH($I$7,$B407))),COUNT($I$9:I406)+1,""))</f>
        <v>186</v>
      </c>
    </row>
    <row r="408" spans="1:9" ht="16" x14ac:dyDescent="0.25">
      <c r="A408" s="69" t="str">
        <f>Listas!E403</f>
        <v>RC Cámara Salina | 200 hrs. | 360 hrs.</v>
      </c>
      <c r="B408" s="69" t="str">
        <f t="shared" si="6"/>
        <v>Otros</v>
      </c>
      <c r="C408" s="69">
        <f>IF($A408="","",IF(AND($B408&lt;&gt;"",IF($F$2="Otros",$B408="Otros",ISNUMBER(SEARCH($B408,$F$2)))),COUNT($C$2:C407)+1,""))</f>
        <v>188</v>
      </c>
      <c r="G408" s="132" t="str">
        <f>IFERROR(INDEX($A$2:$A$507,MATCH(ROWS($G$2:G408),$C$2:$C$507,0)),IF(ROWS($G$2:G408)=1,"(sin matches)",""))</f>
        <v/>
      </c>
      <c r="I408" s="69">
        <f>IF($A408="","",IF(AND($B408&lt;&gt;"",ISNUMBER(SEARCH($I$7,$B408))),COUNT($I$9:I407)+1,""))</f>
        <v>187</v>
      </c>
    </row>
    <row r="409" spans="1:9" ht="16" x14ac:dyDescent="0.25">
      <c r="A409" s="69" t="str">
        <f>Listas!E404</f>
        <v>RC Cámara Salina | 200 hrs. | 48 hrs.</v>
      </c>
      <c r="B409" s="69" t="str">
        <f t="shared" si="6"/>
        <v>Otros</v>
      </c>
      <c r="C409" s="69">
        <f>IF($A409="","",IF(AND($B409&lt;&gt;"",IF($F$2="Otros",$B409="Otros",ISNUMBER(SEARCH($B409,$F$2)))),COUNT($C$2:C408)+1,""))</f>
        <v>189</v>
      </c>
      <c r="G409" s="132" t="str">
        <f>IFERROR(INDEX($A$2:$A$507,MATCH(ROWS($G$2:G409),$C$2:$C$507,0)),IF(ROWS($G$2:G409)=1,"(sin matches)",""))</f>
        <v/>
      </c>
      <c r="I409" s="69">
        <f>IF($A409="","",IF(AND($B409&lt;&gt;"",ISNUMBER(SEARCH($I$7,$B409))),COUNT($I$9:I408)+1,""))</f>
        <v>188</v>
      </c>
    </row>
    <row r="410" spans="1:9" ht="16" x14ac:dyDescent="0.25">
      <c r="A410" s="69" t="str">
        <f>Listas!E405</f>
        <v>RC Cámara Salina | 200 hrs. | 480 hrs.</v>
      </c>
      <c r="B410" s="69" t="str">
        <f t="shared" si="6"/>
        <v>Otros</v>
      </c>
      <c r="C410" s="69">
        <f>IF($A410="","",IF(AND($B410&lt;&gt;"",IF($F$2="Otros",$B410="Otros",ISNUMBER(SEARCH($B410,$F$2)))),COUNT($C$2:C409)+1,""))</f>
        <v>190</v>
      </c>
      <c r="G410" s="132" t="str">
        <f>IFERROR(INDEX($A$2:$A$507,MATCH(ROWS($G$2:G410),$C$2:$C$507,0)),IF(ROWS($G$2:G410)=1,"(sin matches)",""))</f>
        <v/>
      </c>
      <c r="I410" s="69">
        <f>IF($A410="","",IF(AND($B410&lt;&gt;"",ISNUMBER(SEARCH($I$7,$B410))),COUNT($I$9:I409)+1,""))</f>
        <v>189</v>
      </c>
    </row>
    <row r="411" spans="1:9" ht="16" x14ac:dyDescent="0.25">
      <c r="A411" s="69" t="str">
        <f>Listas!E406</f>
        <v>RC Cámara Salina | 200 hrs. | 500 hrs.</v>
      </c>
      <c r="B411" s="69" t="str">
        <f t="shared" si="6"/>
        <v>Otros</v>
      </c>
      <c r="C411" s="69">
        <f>IF($A411="","",IF(AND($B411&lt;&gt;"",IF($F$2="Otros",$B411="Otros",ISNUMBER(SEARCH($B411,$F$2)))),COUNT($C$2:C410)+1,""))</f>
        <v>191</v>
      </c>
      <c r="G411" s="132" t="str">
        <f>IFERROR(INDEX($A$2:$A$507,MATCH(ROWS($G$2:G411),$C$2:$C$507,0)),IF(ROWS($G$2:G411)=1,"(sin matches)",""))</f>
        <v/>
      </c>
      <c r="I411" s="69">
        <f>IF($A411="","",IF(AND($B411&lt;&gt;"",ISNUMBER(SEARCH($I$7,$B411))),COUNT($I$9:I410)+1,""))</f>
        <v>190</v>
      </c>
    </row>
    <row r="412" spans="1:9" ht="16" x14ac:dyDescent="0.25">
      <c r="A412" s="69" t="str">
        <f>Listas!E407</f>
        <v>RC Cámara Salina | 200 hrs. | 72 hrs.</v>
      </c>
      <c r="B412" s="69" t="str">
        <f t="shared" si="6"/>
        <v>Otros</v>
      </c>
      <c r="C412" s="69">
        <f>IF($A412="","",IF(AND($B412&lt;&gt;"",IF($F$2="Otros",$B412="Otros",ISNUMBER(SEARCH($B412,$F$2)))),COUNT($C$2:C411)+1,""))</f>
        <v>192</v>
      </c>
      <c r="G412" s="132" t="str">
        <f>IFERROR(INDEX($A$2:$A$507,MATCH(ROWS($G$2:G412),$C$2:$C$507,0)),IF(ROWS($G$2:G412)=1,"(sin matches)",""))</f>
        <v/>
      </c>
      <c r="I412" s="69">
        <f>IF($A412="","",IF(AND($B412&lt;&gt;"",ISNUMBER(SEARCH($I$7,$B412))),COUNT($I$9:I411)+1,""))</f>
        <v>191</v>
      </c>
    </row>
    <row r="413" spans="1:9" ht="16" x14ac:dyDescent="0.25">
      <c r="A413" s="69" t="str">
        <f>Listas!E408</f>
        <v>RC Cámara Salina | 200 hrs. | 720 hrs.</v>
      </c>
      <c r="B413" s="69" t="str">
        <f t="shared" si="6"/>
        <v>Otros</v>
      </c>
      <c r="C413" s="69">
        <f>IF($A413="","",IF(AND($B413&lt;&gt;"",IF($F$2="Otros",$B413="Otros",ISNUMBER(SEARCH($B413,$F$2)))),COUNT($C$2:C412)+1,""))</f>
        <v>193</v>
      </c>
      <c r="G413" s="132" t="str">
        <f>IFERROR(INDEX($A$2:$A$507,MATCH(ROWS($G$2:G413),$C$2:$C$507,0)),IF(ROWS($G$2:G413)=1,"(sin matches)",""))</f>
        <v/>
      </c>
      <c r="I413" s="69">
        <f>IF($A413="","",IF(AND($B413&lt;&gt;"",ISNUMBER(SEARCH($I$7,$B413))),COUNT($I$9:I412)+1,""))</f>
        <v>192</v>
      </c>
    </row>
    <row r="414" spans="1:9" ht="16" x14ac:dyDescent="0.25">
      <c r="A414" s="69" t="str">
        <f>Listas!E409</f>
        <v>RC Cámara Salina | 200 hrs. | 96 hrs.</v>
      </c>
      <c r="B414" s="69" t="str">
        <f t="shared" si="6"/>
        <v>Otros</v>
      </c>
      <c r="C414" s="69">
        <f>IF($A414="","",IF(AND($B414&lt;&gt;"",IF($F$2="Otros",$B414="Otros",ISNUMBER(SEARCH($B414,$F$2)))),COUNT($C$2:C413)+1,""))</f>
        <v>194</v>
      </c>
      <c r="G414" s="132" t="str">
        <f>IFERROR(INDEX($A$2:$A$507,MATCH(ROWS($G$2:G414),$C$2:$C$507,0)),IF(ROWS($G$2:G414)=1,"(sin matches)",""))</f>
        <v/>
      </c>
      <c r="I414" s="69">
        <f>IF($A414="","",IF(AND($B414&lt;&gt;"",ISNUMBER(SEARCH($I$7,$B414))),COUNT($I$9:I413)+1,""))</f>
        <v>193</v>
      </c>
    </row>
    <row r="415" spans="1:9" ht="16" x14ac:dyDescent="0.25">
      <c r="A415" s="69" t="str">
        <f>Listas!E410</f>
        <v>RC Cámara Salina | 200 hrs. | 960 hrs.</v>
      </c>
      <c r="B415" s="69" t="str">
        <f t="shared" si="6"/>
        <v>Otros</v>
      </c>
      <c r="C415" s="69">
        <f>IF($A415="","",IF(AND($B415&lt;&gt;"",IF($F$2="Otros",$B415="Otros",ISNUMBER(SEARCH($B415,$F$2)))),COUNT($C$2:C414)+1,""))</f>
        <v>195</v>
      </c>
      <c r="G415" s="132" t="str">
        <f>IFERROR(INDEX($A$2:$A$507,MATCH(ROWS($G$2:G415),$C$2:$C$507,0)),IF(ROWS($G$2:G415)=1,"(sin matches)",""))</f>
        <v/>
      </c>
      <c r="I415" s="69">
        <f>IF($A415="","",IF(AND($B415&lt;&gt;"",ISNUMBER(SEARCH($I$7,$B415))),COUNT($I$9:I414)+1,""))</f>
        <v>194</v>
      </c>
    </row>
    <row r="416" spans="1:9" ht="16" x14ac:dyDescent="0.25">
      <c r="A416" s="69" t="str">
        <f>Listas!E411</f>
        <v>RC Cámara Salina | 200 hrs. | No aplica</v>
      </c>
      <c r="B416" s="69" t="str">
        <f t="shared" si="6"/>
        <v>Otros</v>
      </c>
      <c r="C416" s="69">
        <f>IF($A416="","",IF(AND($B416&lt;&gt;"",IF($F$2="Otros",$B416="Otros",ISNUMBER(SEARCH($B416,$F$2)))),COUNT($C$2:C415)+1,""))</f>
        <v>196</v>
      </c>
      <c r="G416" s="132" t="str">
        <f>IFERROR(INDEX($A$2:$A$507,MATCH(ROWS($G$2:G416),$C$2:$C$507,0)),IF(ROWS($G$2:G416)=1,"(sin matches)",""))</f>
        <v/>
      </c>
      <c r="I416" s="69">
        <f>IF($A416="","",IF(AND($B416&lt;&gt;"",ISNUMBER(SEARCH($I$7,$B416))),COUNT($I$9:I415)+1,""))</f>
        <v>195</v>
      </c>
    </row>
    <row r="417" spans="1:9" ht="16" x14ac:dyDescent="0.25">
      <c r="A417" s="69" t="str">
        <f>Listas!E412</f>
        <v>RC Cámara Salina | 24 hrs. | 12 hrs.</v>
      </c>
      <c r="B417" s="69" t="str">
        <f t="shared" si="6"/>
        <v>Otros</v>
      </c>
      <c r="C417" s="69">
        <f>IF($A417="","",IF(AND($B417&lt;&gt;"",IF($F$2="Otros",$B417="Otros",ISNUMBER(SEARCH($B417,$F$2)))),COUNT($C$2:C416)+1,""))</f>
        <v>197</v>
      </c>
      <c r="G417" s="132" t="str">
        <f>IFERROR(INDEX($A$2:$A$507,MATCH(ROWS($G$2:G417),$C$2:$C$507,0)),IF(ROWS($G$2:G417)=1,"(sin matches)",""))</f>
        <v/>
      </c>
      <c r="I417" s="69">
        <f>IF($A417="","",IF(AND($B417&lt;&gt;"",ISNUMBER(SEARCH($I$7,$B417))),COUNT($I$9:I416)+1,""))</f>
        <v>196</v>
      </c>
    </row>
    <row r="418" spans="1:9" ht="16" x14ac:dyDescent="0.25">
      <c r="A418" s="69" t="str">
        <f>Listas!E413</f>
        <v>RC Cámara Salina | 24 hrs. | 120 hrs.</v>
      </c>
      <c r="B418" s="69" t="str">
        <f t="shared" si="6"/>
        <v>Otros</v>
      </c>
      <c r="C418" s="69">
        <f>IF($A418="","",IF(AND($B418&lt;&gt;"",IF($F$2="Otros",$B418="Otros",ISNUMBER(SEARCH($B418,$F$2)))),COUNT($C$2:C417)+1,""))</f>
        <v>198</v>
      </c>
      <c r="G418" s="132" t="str">
        <f>IFERROR(INDEX($A$2:$A$507,MATCH(ROWS($G$2:G418),$C$2:$C$507,0)),IF(ROWS($G$2:G418)=1,"(sin matches)",""))</f>
        <v/>
      </c>
      <c r="I418" s="69">
        <f>IF($A418="","",IF(AND($B418&lt;&gt;"",ISNUMBER(SEARCH($I$7,$B418))),COUNT($I$9:I417)+1,""))</f>
        <v>197</v>
      </c>
    </row>
    <row r="419" spans="1:9" ht="16" x14ac:dyDescent="0.25">
      <c r="A419" s="69" t="str">
        <f>Listas!E414</f>
        <v>RC Cámara Salina | 24 hrs. | 144 hrs.</v>
      </c>
      <c r="B419" s="69" t="str">
        <f t="shared" si="6"/>
        <v>Otros</v>
      </c>
      <c r="C419" s="69">
        <f>IF($A419="","",IF(AND($B419&lt;&gt;"",IF($F$2="Otros",$B419="Otros",ISNUMBER(SEARCH($B419,$F$2)))),COUNT($C$2:C418)+1,""))</f>
        <v>199</v>
      </c>
      <c r="G419" s="132" t="str">
        <f>IFERROR(INDEX($A$2:$A$507,MATCH(ROWS($G$2:G419),$C$2:$C$507,0)),IF(ROWS($G$2:G419)=1,"(sin matches)",""))</f>
        <v/>
      </c>
      <c r="I419" s="69">
        <f>IF($A419="","",IF(AND($B419&lt;&gt;"",ISNUMBER(SEARCH($I$7,$B419))),COUNT($I$9:I418)+1,""))</f>
        <v>198</v>
      </c>
    </row>
    <row r="420" spans="1:9" ht="16" x14ac:dyDescent="0.25">
      <c r="A420" s="69" t="str">
        <f>Listas!E415</f>
        <v>RC Cámara Salina | 24 hrs. | 16 hrs.</v>
      </c>
      <c r="B420" s="69" t="str">
        <f t="shared" si="6"/>
        <v>Otros</v>
      </c>
      <c r="C420" s="69">
        <f>IF($A420="","",IF(AND($B420&lt;&gt;"",IF($F$2="Otros",$B420="Otros",ISNUMBER(SEARCH($B420,$F$2)))),COUNT($C$2:C419)+1,""))</f>
        <v>200</v>
      </c>
      <c r="G420" s="132" t="str">
        <f>IFERROR(INDEX($A$2:$A$507,MATCH(ROWS($G$2:G420),$C$2:$C$507,0)),IF(ROWS($G$2:G420)=1,"(sin matches)",""))</f>
        <v/>
      </c>
      <c r="I420" s="69">
        <f>IF($A420="","",IF(AND($B420&lt;&gt;"",ISNUMBER(SEARCH($I$7,$B420))),COUNT($I$9:I419)+1,""))</f>
        <v>199</v>
      </c>
    </row>
    <row r="421" spans="1:9" ht="16" x14ac:dyDescent="0.25">
      <c r="A421" s="69" t="str">
        <f>Listas!E416</f>
        <v>RC Cámara Salina | 24 hrs. | 172 hrs.</v>
      </c>
      <c r="B421" s="69" t="str">
        <f t="shared" si="6"/>
        <v>Otros</v>
      </c>
      <c r="C421" s="69">
        <f>IF($A421="","",IF(AND($B421&lt;&gt;"",IF($F$2="Otros",$B421="Otros",ISNUMBER(SEARCH($B421,$F$2)))),COUNT($C$2:C420)+1,""))</f>
        <v>201</v>
      </c>
      <c r="G421" s="132" t="str">
        <f>IFERROR(INDEX($A$2:$A$507,MATCH(ROWS($G$2:G421),$C$2:$C$507,0)),IF(ROWS($G$2:G421)=1,"(sin matches)",""))</f>
        <v/>
      </c>
      <c r="I421" s="69">
        <f>IF($A421="","",IF(AND($B421&lt;&gt;"",ISNUMBER(SEARCH($I$7,$B421))),COUNT($I$9:I420)+1,""))</f>
        <v>200</v>
      </c>
    </row>
    <row r="422" spans="1:9" ht="16" x14ac:dyDescent="0.25">
      <c r="A422" s="69" t="str">
        <f>Listas!E417</f>
        <v>RC Cámara Salina | 24 hrs. | 200 hrs.</v>
      </c>
      <c r="B422" s="69" t="str">
        <f t="shared" si="6"/>
        <v>Otros</v>
      </c>
      <c r="C422" s="69">
        <f>IF($A422="","",IF(AND($B422&lt;&gt;"",IF($F$2="Otros",$B422="Otros",ISNUMBER(SEARCH($B422,$F$2)))),COUNT($C$2:C421)+1,""))</f>
        <v>202</v>
      </c>
      <c r="G422" s="132" t="str">
        <f>IFERROR(INDEX($A$2:$A$507,MATCH(ROWS($G$2:G422),$C$2:$C$507,0)),IF(ROWS($G$2:G422)=1,"(sin matches)",""))</f>
        <v/>
      </c>
      <c r="I422" s="69">
        <f>IF($A422="","",IF(AND($B422&lt;&gt;"",ISNUMBER(SEARCH($I$7,$B422))),COUNT($I$9:I421)+1,""))</f>
        <v>201</v>
      </c>
    </row>
    <row r="423" spans="1:9" ht="16" x14ac:dyDescent="0.25">
      <c r="A423" s="69" t="str">
        <f>Listas!E418</f>
        <v>RC Cámara Salina | 24 hrs. | 24 hrs.</v>
      </c>
      <c r="B423" s="69" t="str">
        <f t="shared" si="6"/>
        <v>Otros</v>
      </c>
      <c r="C423" s="69">
        <f>IF($A423="","",IF(AND($B423&lt;&gt;"",IF($F$2="Otros",$B423="Otros",ISNUMBER(SEARCH($B423,$F$2)))),COUNT($C$2:C422)+1,""))</f>
        <v>203</v>
      </c>
      <c r="G423" s="132" t="str">
        <f>IFERROR(INDEX($A$2:$A$507,MATCH(ROWS($G$2:G423),$C$2:$C$507,0)),IF(ROWS($G$2:G423)=1,"(sin matches)",""))</f>
        <v/>
      </c>
      <c r="I423" s="69">
        <f>IF($A423="","",IF(AND($B423&lt;&gt;"",ISNUMBER(SEARCH($I$7,$B423))),COUNT($I$9:I422)+1,""))</f>
        <v>202</v>
      </c>
    </row>
    <row r="424" spans="1:9" ht="16" x14ac:dyDescent="0.25">
      <c r="A424" s="69" t="str">
        <f>Listas!E419</f>
        <v>RC Cámara Salina | 24 hrs. | 240 hrs.</v>
      </c>
      <c r="B424" s="69" t="str">
        <f t="shared" si="6"/>
        <v>Otros</v>
      </c>
      <c r="C424" s="69">
        <f>IF($A424="","",IF(AND($B424&lt;&gt;"",IF($F$2="Otros",$B424="Otros",ISNUMBER(SEARCH($B424,$F$2)))),COUNT($C$2:C423)+1,""))</f>
        <v>204</v>
      </c>
      <c r="G424" s="132" t="str">
        <f>IFERROR(INDEX($A$2:$A$507,MATCH(ROWS($G$2:G424),$C$2:$C$507,0)),IF(ROWS($G$2:G424)=1,"(sin matches)",""))</f>
        <v/>
      </c>
      <c r="I424" s="69">
        <f>IF($A424="","",IF(AND($B424&lt;&gt;"",ISNUMBER(SEARCH($I$7,$B424))),COUNT($I$9:I423)+1,""))</f>
        <v>203</v>
      </c>
    </row>
    <row r="425" spans="1:9" ht="16" x14ac:dyDescent="0.25">
      <c r="A425" s="69" t="str">
        <f>Listas!E420</f>
        <v>RC Cámara Salina | 24 hrs. | 36 hrs.</v>
      </c>
      <c r="B425" s="69" t="str">
        <f t="shared" si="6"/>
        <v>Otros</v>
      </c>
      <c r="C425" s="69">
        <f>IF($A425="","",IF(AND($B425&lt;&gt;"",IF($F$2="Otros",$B425="Otros",ISNUMBER(SEARCH($B425,$F$2)))),COUNT($C$2:C424)+1,""))</f>
        <v>205</v>
      </c>
      <c r="G425" s="132" t="str">
        <f>IFERROR(INDEX($A$2:$A$507,MATCH(ROWS($G$2:G425),$C$2:$C$507,0)),IF(ROWS($G$2:G425)=1,"(sin matches)",""))</f>
        <v/>
      </c>
      <c r="I425" s="69">
        <f>IF($A425="","",IF(AND($B425&lt;&gt;"",ISNUMBER(SEARCH($I$7,$B425))),COUNT($I$9:I424)+1,""))</f>
        <v>204</v>
      </c>
    </row>
    <row r="426" spans="1:9" ht="16" x14ac:dyDescent="0.25">
      <c r="A426" s="69" t="str">
        <f>Listas!E421</f>
        <v>RC Cámara Salina | 24 hrs. | 360 hrs.</v>
      </c>
      <c r="B426" s="69" t="str">
        <f t="shared" si="6"/>
        <v>Otros</v>
      </c>
      <c r="C426" s="69">
        <f>IF($A426="","",IF(AND($B426&lt;&gt;"",IF($F$2="Otros",$B426="Otros",ISNUMBER(SEARCH($B426,$F$2)))),COUNT($C$2:C425)+1,""))</f>
        <v>206</v>
      </c>
      <c r="G426" s="132" t="str">
        <f>IFERROR(INDEX($A$2:$A$507,MATCH(ROWS($G$2:G426),$C$2:$C$507,0)),IF(ROWS($G$2:G426)=1,"(sin matches)",""))</f>
        <v/>
      </c>
      <c r="I426" s="69">
        <f>IF($A426="","",IF(AND($B426&lt;&gt;"",ISNUMBER(SEARCH($I$7,$B426))),COUNT($I$9:I425)+1,""))</f>
        <v>205</v>
      </c>
    </row>
    <row r="427" spans="1:9" ht="16" x14ac:dyDescent="0.25">
      <c r="A427" s="69" t="str">
        <f>Listas!E422</f>
        <v>RC Cámara Salina | 24 hrs. | 48 hrs.</v>
      </c>
      <c r="B427" s="69" t="str">
        <f t="shared" si="6"/>
        <v>Otros</v>
      </c>
      <c r="C427" s="69">
        <f>IF($A427="","",IF(AND($B427&lt;&gt;"",IF($F$2="Otros",$B427="Otros",ISNUMBER(SEARCH($B427,$F$2)))),COUNT($C$2:C426)+1,""))</f>
        <v>207</v>
      </c>
      <c r="G427" s="132" t="str">
        <f>IFERROR(INDEX($A$2:$A$507,MATCH(ROWS($G$2:G427),$C$2:$C$507,0)),IF(ROWS($G$2:G427)=1,"(sin matches)",""))</f>
        <v/>
      </c>
      <c r="I427" s="69">
        <f>IF($A427="","",IF(AND($B427&lt;&gt;"",ISNUMBER(SEARCH($I$7,$B427))),COUNT($I$9:I426)+1,""))</f>
        <v>206</v>
      </c>
    </row>
    <row r="428" spans="1:9" ht="16" x14ac:dyDescent="0.25">
      <c r="A428" s="69" t="str">
        <f>Listas!E423</f>
        <v>RC Cámara Salina | 24 hrs. | 480 hrs.</v>
      </c>
      <c r="B428" s="69" t="str">
        <f t="shared" si="6"/>
        <v>Otros</v>
      </c>
      <c r="C428" s="69">
        <f>IF($A428="","",IF(AND($B428&lt;&gt;"",IF($F$2="Otros",$B428="Otros",ISNUMBER(SEARCH($B428,$F$2)))),COUNT($C$2:C427)+1,""))</f>
        <v>208</v>
      </c>
      <c r="G428" s="132" t="str">
        <f>IFERROR(INDEX($A$2:$A$507,MATCH(ROWS($G$2:G428),$C$2:$C$507,0)),IF(ROWS($G$2:G428)=1,"(sin matches)",""))</f>
        <v/>
      </c>
      <c r="I428" s="69">
        <f>IF($A428="","",IF(AND($B428&lt;&gt;"",ISNUMBER(SEARCH($I$7,$B428))),COUNT($I$9:I427)+1,""))</f>
        <v>207</v>
      </c>
    </row>
    <row r="429" spans="1:9" ht="16" x14ac:dyDescent="0.25">
      <c r="A429" s="69" t="str">
        <f>Listas!E424</f>
        <v>RC Cámara Salina | 24 hrs. | 500 hrs.</v>
      </c>
      <c r="B429" s="69" t="str">
        <f t="shared" si="6"/>
        <v>Otros</v>
      </c>
      <c r="C429" s="69">
        <f>IF($A429="","",IF(AND($B429&lt;&gt;"",IF($F$2="Otros",$B429="Otros",ISNUMBER(SEARCH($B429,$F$2)))),COUNT($C$2:C428)+1,""))</f>
        <v>209</v>
      </c>
      <c r="G429" s="132" t="str">
        <f>IFERROR(INDEX($A$2:$A$507,MATCH(ROWS($G$2:G429),$C$2:$C$507,0)),IF(ROWS($G$2:G429)=1,"(sin matches)",""))</f>
        <v/>
      </c>
      <c r="I429" s="69">
        <f>IF($A429="","",IF(AND($B429&lt;&gt;"",ISNUMBER(SEARCH($I$7,$B429))),COUNT($I$9:I428)+1,""))</f>
        <v>208</v>
      </c>
    </row>
    <row r="430" spans="1:9" ht="16" x14ac:dyDescent="0.25">
      <c r="A430" s="69" t="str">
        <f>Listas!E425</f>
        <v>RC Cámara Salina | 24 hrs. | 72 hrs.</v>
      </c>
      <c r="B430" s="69" t="str">
        <f t="shared" si="6"/>
        <v>Otros</v>
      </c>
      <c r="C430" s="69">
        <f>IF($A430="","",IF(AND($B430&lt;&gt;"",IF($F$2="Otros",$B430="Otros",ISNUMBER(SEARCH($B430,$F$2)))),COUNT($C$2:C429)+1,""))</f>
        <v>210</v>
      </c>
      <c r="G430" s="132" t="str">
        <f>IFERROR(INDEX($A$2:$A$507,MATCH(ROWS($G$2:G430),$C$2:$C$507,0)),IF(ROWS($G$2:G430)=1,"(sin matches)",""))</f>
        <v/>
      </c>
      <c r="I430" s="69">
        <f>IF($A430="","",IF(AND($B430&lt;&gt;"",ISNUMBER(SEARCH($I$7,$B430))),COUNT($I$9:I429)+1,""))</f>
        <v>209</v>
      </c>
    </row>
    <row r="431" spans="1:9" ht="16" x14ac:dyDescent="0.25">
      <c r="A431" s="69" t="str">
        <f>Listas!E426</f>
        <v>RC Cámara Salina | 24 hrs. | 720 hrs.</v>
      </c>
      <c r="B431" s="69" t="str">
        <f t="shared" si="6"/>
        <v>Otros</v>
      </c>
      <c r="C431" s="69">
        <f>IF($A431="","",IF(AND($B431&lt;&gt;"",IF($F$2="Otros",$B431="Otros",ISNUMBER(SEARCH($B431,$F$2)))),COUNT($C$2:C430)+1,""))</f>
        <v>211</v>
      </c>
      <c r="G431" s="132" t="str">
        <f>IFERROR(INDEX($A$2:$A$507,MATCH(ROWS($G$2:G431),$C$2:$C$507,0)),IF(ROWS($G$2:G431)=1,"(sin matches)",""))</f>
        <v/>
      </c>
      <c r="I431" s="69">
        <f>IF($A431="","",IF(AND($B431&lt;&gt;"",ISNUMBER(SEARCH($I$7,$B431))),COUNT($I$9:I430)+1,""))</f>
        <v>210</v>
      </c>
    </row>
    <row r="432" spans="1:9" ht="16" x14ac:dyDescent="0.25">
      <c r="A432" s="69" t="str">
        <f>Listas!E427</f>
        <v>RC Cámara Salina | 24 hrs. | 96 hrs.</v>
      </c>
      <c r="B432" s="69" t="str">
        <f t="shared" si="6"/>
        <v>Otros</v>
      </c>
      <c r="C432" s="69">
        <f>IF($A432="","",IF(AND($B432&lt;&gt;"",IF($F$2="Otros",$B432="Otros",ISNUMBER(SEARCH($B432,$F$2)))),COUNT($C$2:C431)+1,""))</f>
        <v>212</v>
      </c>
      <c r="G432" s="132" t="str">
        <f>IFERROR(INDEX($A$2:$A$507,MATCH(ROWS($G$2:G432),$C$2:$C$507,0)),IF(ROWS($G$2:G432)=1,"(sin matches)",""))</f>
        <v/>
      </c>
      <c r="I432" s="69">
        <f>IF($A432="","",IF(AND($B432&lt;&gt;"",ISNUMBER(SEARCH($I$7,$B432))),COUNT($I$9:I431)+1,""))</f>
        <v>211</v>
      </c>
    </row>
    <row r="433" spans="1:9" ht="16" x14ac:dyDescent="0.25">
      <c r="A433" s="69" t="str">
        <f>Listas!E428</f>
        <v>RC Cámara Salina | 24 hrs. | 960 hrs.</v>
      </c>
      <c r="B433" s="69" t="str">
        <f t="shared" si="6"/>
        <v>Otros</v>
      </c>
      <c r="C433" s="69">
        <f>IF($A433="","",IF(AND($B433&lt;&gt;"",IF($F$2="Otros",$B433="Otros",ISNUMBER(SEARCH($B433,$F$2)))),COUNT($C$2:C432)+1,""))</f>
        <v>213</v>
      </c>
      <c r="G433" s="132" t="str">
        <f>IFERROR(INDEX($A$2:$A$507,MATCH(ROWS($G$2:G433),$C$2:$C$507,0)),IF(ROWS($G$2:G433)=1,"(sin matches)",""))</f>
        <v/>
      </c>
      <c r="I433" s="69">
        <f>IF($A433="","",IF(AND($B433&lt;&gt;"",ISNUMBER(SEARCH($I$7,$B433))),COUNT($I$9:I432)+1,""))</f>
        <v>212</v>
      </c>
    </row>
    <row r="434" spans="1:9" ht="16" x14ac:dyDescent="0.25">
      <c r="A434" s="69" t="str">
        <f>Listas!E429</f>
        <v>RC Cámara Salina | 24 hrs. | No aplica</v>
      </c>
      <c r="B434" s="69" t="str">
        <f t="shared" si="6"/>
        <v>Otros</v>
      </c>
      <c r="C434" s="69">
        <f>IF($A434="","",IF(AND($B434&lt;&gt;"",IF($F$2="Otros",$B434="Otros",ISNUMBER(SEARCH($B434,$F$2)))),COUNT($C$2:C433)+1,""))</f>
        <v>214</v>
      </c>
      <c r="G434" s="132" t="str">
        <f>IFERROR(INDEX($A$2:$A$507,MATCH(ROWS($G$2:G434),$C$2:$C$507,0)),IF(ROWS($G$2:G434)=1,"(sin matches)",""))</f>
        <v/>
      </c>
      <c r="I434" s="69">
        <f>IF($A434="","",IF(AND($B434&lt;&gt;"",ISNUMBER(SEARCH($I$7,$B434))),COUNT($I$9:I433)+1,""))</f>
        <v>213</v>
      </c>
    </row>
    <row r="435" spans="1:9" ht="16" x14ac:dyDescent="0.25">
      <c r="A435" s="69" t="str">
        <f>Listas!E430</f>
        <v>RC Cámara Salina | 240 hrs. | 12 hrs.</v>
      </c>
      <c r="B435" s="69" t="str">
        <f t="shared" si="6"/>
        <v>Otros</v>
      </c>
      <c r="C435" s="69">
        <f>IF($A435="","",IF(AND($B435&lt;&gt;"",IF($F$2="Otros",$B435="Otros",ISNUMBER(SEARCH($B435,$F$2)))),COUNT($C$2:C434)+1,""))</f>
        <v>215</v>
      </c>
      <c r="G435" s="132" t="str">
        <f>IFERROR(INDEX($A$2:$A$507,MATCH(ROWS($G$2:G435),$C$2:$C$507,0)),IF(ROWS($G$2:G435)=1,"(sin matches)",""))</f>
        <v/>
      </c>
      <c r="I435" s="69">
        <f>IF($A435="","",IF(AND($B435&lt;&gt;"",ISNUMBER(SEARCH($I$7,$B435))),COUNT($I$9:I434)+1,""))</f>
        <v>214</v>
      </c>
    </row>
    <row r="436" spans="1:9" ht="16" x14ac:dyDescent="0.25">
      <c r="A436" s="69" t="str">
        <f>Listas!E431</f>
        <v>RC Cámara Salina | 240 hrs. | 120 hrs.</v>
      </c>
      <c r="B436" s="69" t="str">
        <f t="shared" si="6"/>
        <v>Otros</v>
      </c>
      <c r="C436" s="69">
        <f>IF($A436="","",IF(AND($B436&lt;&gt;"",IF($F$2="Otros",$B436="Otros",ISNUMBER(SEARCH($B436,$F$2)))),COUNT($C$2:C435)+1,""))</f>
        <v>216</v>
      </c>
      <c r="G436" s="132" t="str">
        <f>IFERROR(INDEX($A$2:$A$507,MATCH(ROWS($G$2:G436),$C$2:$C$507,0)),IF(ROWS($G$2:G436)=1,"(sin matches)",""))</f>
        <v/>
      </c>
      <c r="I436" s="69">
        <f>IF($A436="","",IF(AND($B436&lt;&gt;"",ISNUMBER(SEARCH($I$7,$B436))),COUNT($I$9:I435)+1,""))</f>
        <v>215</v>
      </c>
    </row>
    <row r="437" spans="1:9" ht="16" x14ac:dyDescent="0.25">
      <c r="A437" s="69" t="str">
        <f>Listas!E432</f>
        <v>RC Cámara Salina | 240 hrs. | 144 hrs.</v>
      </c>
      <c r="B437" s="69" t="str">
        <f t="shared" si="6"/>
        <v>Otros</v>
      </c>
      <c r="C437" s="69">
        <f>IF($A437="","",IF(AND($B437&lt;&gt;"",IF($F$2="Otros",$B437="Otros",ISNUMBER(SEARCH($B437,$F$2)))),COUNT($C$2:C436)+1,""))</f>
        <v>217</v>
      </c>
      <c r="G437" s="132" t="str">
        <f>IFERROR(INDEX($A$2:$A$507,MATCH(ROWS($G$2:G437),$C$2:$C$507,0)),IF(ROWS($G$2:G437)=1,"(sin matches)",""))</f>
        <v/>
      </c>
      <c r="I437" s="69">
        <f>IF($A437="","",IF(AND($B437&lt;&gt;"",ISNUMBER(SEARCH($I$7,$B437))),COUNT($I$9:I436)+1,""))</f>
        <v>216</v>
      </c>
    </row>
    <row r="438" spans="1:9" ht="16" x14ac:dyDescent="0.25">
      <c r="A438" s="69" t="str">
        <f>Listas!E433</f>
        <v>RC Cámara Salina | 240 hrs. | 16 hrs.</v>
      </c>
      <c r="B438" s="69" t="str">
        <f t="shared" si="6"/>
        <v>Otros</v>
      </c>
      <c r="C438" s="69">
        <f>IF($A438="","",IF(AND($B438&lt;&gt;"",IF($F$2="Otros",$B438="Otros",ISNUMBER(SEARCH($B438,$F$2)))),COUNT($C$2:C437)+1,""))</f>
        <v>218</v>
      </c>
      <c r="G438" s="132" t="str">
        <f>IFERROR(INDEX($A$2:$A$507,MATCH(ROWS($G$2:G438),$C$2:$C$507,0)),IF(ROWS($G$2:G438)=1,"(sin matches)",""))</f>
        <v/>
      </c>
      <c r="I438" s="69">
        <f>IF($A438="","",IF(AND($B438&lt;&gt;"",ISNUMBER(SEARCH($I$7,$B438))),COUNT($I$9:I437)+1,""))</f>
        <v>217</v>
      </c>
    </row>
    <row r="439" spans="1:9" ht="16" x14ac:dyDescent="0.25">
      <c r="A439" s="69" t="str">
        <f>Listas!E434</f>
        <v>RC Cámara Salina | 240 hrs. | 172 hrs.</v>
      </c>
      <c r="B439" s="69" t="str">
        <f t="shared" si="6"/>
        <v>Otros</v>
      </c>
      <c r="C439" s="69">
        <f>IF($A439="","",IF(AND($B439&lt;&gt;"",IF($F$2="Otros",$B439="Otros",ISNUMBER(SEARCH($B439,$F$2)))),COUNT($C$2:C438)+1,""))</f>
        <v>219</v>
      </c>
      <c r="G439" s="132" t="str">
        <f>IFERROR(INDEX($A$2:$A$507,MATCH(ROWS($G$2:G439),$C$2:$C$507,0)),IF(ROWS($G$2:G439)=1,"(sin matches)",""))</f>
        <v/>
      </c>
      <c r="I439" s="69">
        <f>IF($A439="","",IF(AND($B439&lt;&gt;"",ISNUMBER(SEARCH($I$7,$B439))),COUNT($I$9:I438)+1,""))</f>
        <v>218</v>
      </c>
    </row>
    <row r="440" spans="1:9" ht="16" x14ac:dyDescent="0.25">
      <c r="A440" s="69" t="str">
        <f>Listas!E435</f>
        <v>RC Cámara Salina | 240 hrs. | 200 hrs.</v>
      </c>
      <c r="B440" s="69" t="str">
        <f t="shared" si="6"/>
        <v>Otros</v>
      </c>
      <c r="C440" s="69">
        <f>IF($A440="","",IF(AND($B440&lt;&gt;"",IF($F$2="Otros",$B440="Otros",ISNUMBER(SEARCH($B440,$F$2)))),COUNT($C$2:C439)+1,""))</f>
        <v>220</v>
      </c>
      <c r="G440" s="132" t="str">
        <f>IFERROR(INDEX($A$2:$A$507,MATCH(ROWS($G$2:G440),$C$2:$C$507,0)),IF(ROWS($G$2:G440)=1,"(sin matches)",""))</f>
        <v/>
      </c>
      <c r="I440" s="69">
        <f>IF($A440="","",IF(AND($B440&lt;&gt;"",ISNUMBER(SEARCH($I$7,$B440))),COUNT($I$9:I439)+1,""))</f>
        <v>219</v>
      </c>
    </row>
    <row r="441" spans="1:9" ht="16" x14ac:dyDescent="0.25">
      <c r="A441" s="69" t="str">
        <f>Listas!E436</f>
        <v>RC Cámara Salina | 240 hrs. | 24 hrs.</v>
      </c>
      <c r="B441" s="69" t="str">
        <f t="shared" si="6"/>
        <v>Otros</v>
      </c>
      <c r="C441" s="69">
        <f>IF($A441="","",IF(AND($B441&lt;&gt;"",IF($F$2="Otros",$B441="Otros",ISNUMBER(SEARCH($B441,$F$2)))),COUNT($C$2:C440)+1,""))</f>
        <v>221</v>
      </c>
      <c r="G441" s="132" t="str">
        <f>IFERROR(INDEX($A$2:$A$507,MATCH(ROWS($G$2:G441),$C$2:$C$507,0)),IF(ROWS($G$2:G441)=1,"(sin matches)",""))</f>
        <v/>
      </c>
      <c r="I441" s="69">
        <f>IF($A441="","",IF(AND($B441&lt;&gt;"",ISNUMBER(SEARCH($I$7,$B441))),COUNT($I$9:I440)+1,""))</f>
        <v>220</v>
      </c>
    </row>
    <row r="442" spans="1:9" ht="16" x14ac:dyDescent="0.25">
      <c r="A442" s="69" t="str">
        <f>Listas!E437</f>
        <v>RC Cámara Salina | 240 hrs. | 240 hrs.</v>
      </c>
      <c r="B442" s="69" t="str">
        <f t="shared" si="6"/>
        <v>Otros</v>
      </c>
      <c r="C442" s="69">
        <f>IF($A442="","",IF(AND($B442&lt;&gt;"",IF($F$2="Otros",$B442="Otros",ISNUMBER(SEARCH($B442,$F$2)))),COUNT($C$2:C441)+1,""))</f>
        <v>222</v>
      </c>
      <c r="G442" s="132" t="str">
        <f>IFERROR(INDEX($A$2:$A$507,MATCH(ROWS($G$2:G442),$C$2:$C$507,0)),IF(ROWS($G$2:G442)=1,"(sin matches)",""))</f>
        <v/>
      </c>
      <c r="I442" s="69">
        <f>IF($A442="","",IF(AND($B442&lt;&gt;"",ISNUMBER(SEARCH($I$7,$B442))),COUNT($I$9:I441)+1,""))</f>
        <v>221</v>
      </c>
    </row>
    <row r="443" spans="1:9" ht="16" x14ac:dyDescent="0.25">
      <c r="A443" s="69" t="str">
        <f>Listas!E438</f>
        <v>RC Cámara Salina | 240 hrs. | 36 hrs.</v>
      </c>
      <c r="B443" s="69" t="str">
        <f t="shared" si="6"/>
        <v>Otros</v>
      </c>
      <c r="C443" s="69">
        <f>IF($A443="","",IF(AND($B443&lt;&gt;"",IF($F$2="Otros",$B443="Otros",ISNUMBER(SEARCH($B443,$F$2)))),COUNT($C$2:C442)+1,""))</f>
        <v>223</v>
      </c>
      <c r="G443" s="132" t="str">
        <f>IFERROR(INDEX($A$2:$A$507,MATCH(ROWS($G$2:G443),$C$2:$C$507,0)),IF(ROWS($G$2:G443)=1,"(sin matches)",""))</f>
        <v/>
      </c>
      <c r="I443" s="69">
        <f>IF($A443="","",IF(AND($B443&lt;&gt;"",ISNUMBER(SEARCH($I$7,$B443))),COUNT($I$9:I442)+1,""))</f>
        <v>222</v>
      </c>
    </row>
    <row r="444" spans="1:9" ht="16" x14ac:dyDescent="0.25">
      <c r="A444" s="69" t="str">
        <f>Listas!E439</f>
        <v>RC Cámara Salina | 240 hrs. | 360 hrs.</v>
      </c>
      <c r="B444" s="69" t="str">
        <f t="shared" si="6"/>
        <v>Otros</v>
      </c>
      <c r="C444" s="69">
        <f>IF($A444="","",IF(AND($B444&lt;&gt;"",IF($F$2="Otros",$B444="Otros",ISNUMBER(SEARCH($B444,$F$2)))),COUNT($C$2:C443)+1,""))</f>
        <v>224</v>
      </c>
      <c r="G444" s="132" t="str">
        <f>IFERROR(INDEX($A$2:$A$507,MATCH(ROWS($G$2:G444),$C$2:$C$507,0)),IF(ROWS($G$2:G444)=1,"(sin matches)",""))</f>
        <v/>
      </c>
      <c r="I444" s="69">
        <f>IF($A444="","",IF(AND($B444&lt;&gt;"",ISNUMBER(SEARCH($I$7,$B444))),COUNT($I$9:I443)+1,""))</f>
        <v>223</v>
      </c>
    </row>
    <row r="445" spans="1:9" ht="16" x14ac:dyDescent="0.25">
      <c r="A445" s="69" t="str">
        <f>Listas!E440</f>
        <v>RC Cámara Salina | 240 hrs. | 48 hrs.</v>
      </c>
      <c r="B445" s="69" t="str">
        <f t="shared" si="6"/>
        <v>Otros</v>
      </c>
      <c r="C445" s="69">
        <f>IF($A445="","",IF(AND($B445&lt;&gt;"",IF($F$2="Otros",$B445="Otros",ISNUMBER(SEARCH($B445,$F$2)))),COUNT($C$2:C444)+1,""))</f>
        <v>225</v>
      </c>
      <c r="G445" s="132" t="str">
        <f>IFERROR(INDEX($A$2:$A$507,MATCH(ROWS($G$2:G445),$C$2:$C$507,0)),IF(ROWS($G$2:G445)=1,"(sin matches)",""))</f>
        <v/>
      </c>
      <c r="I445" s="69">
        <f>IF($A445="","",IF(AND($B445&lt;&gt;"",ISNUMBER(SEARCH($I$7,$B445))),COUNT($I$9:I444)+1,""))</f>
        <v>224</v>
      </c>
    </row>
    <row r="446" spans="1:9" ht="16" x14ac:dyDescent="0.25">
      <c r="A446" s="69" t="str">
        <f>Listas!E441</f>
        <v>RC Cámara Salina | 240 hrs. | 480 hrs.</v>
      </c>
      <c r="B446" s="69" t="str">
        <f t="shared" si="6"/>
        <v>Otros</v>
      </c>
      <c r="C446" s="69">
        <f>IF($A446="","",IF(AND($B446&lt;&gt;"",IF($F$2="Otros",$B446="Otros",ISNUMBER(SEARCH($B446,$F$2)))),COUNT($C$2:C445)+1,""))</f>
        <v>226</v>
      </c>
      <c r="G446" s="132" t="str">
        <f>IFERROR(INDEX($A$2:$A$507,MATCH(ROWS($G$2:G446),$C$2:$C$507,0)),IF(ROWS($G$2:G446)=1,"(sin matches)",""))</f>
        <v/>
      </c>
      <c r="I446" s="69">
        <f>IF($A446="","",IF(AND($B446&lt;&gt;"",ISNUMBER(SEARCH($I$7,$B446))),COUNT($I$9:I445)+1,""))</f>
        <v>225</v>
      </c>
    </row>
    <row r="447" spans="1:9" ht="16" x14ac:dyDescent="0.25">
      <c r="A447" s="69" t="str">
        <f>Listas!E442</f>
        <v>RC Cámara Salina | 240 hrs. | 500 hrs.</v>
      </c>
      <c r="B447" s="69" t="str">
        <f t="shared" si="6"/>
        <v>Otros</v>
      </c>
      <c r="C447" s="69">
        <f>IF($A447="","",IF(AND($B447&lt;&gt;"",IF($F$2="Otros",$B447="Otros",ISNUMBER(SEARCH($B447,$F$2)))),COUNT($C$2:C446)+1,""))</f>
        <v>227</v>
      </c>
      <c r="G447" s="132" t="str">
        <f>IFERROR(INDEX($A$2:$A$507,MATCH(ROWS($G$2:G447),$C$2:$C$507,0)),IF(ROWS($G$2:G447)=1,"(sin matches)",""))</f>
        <v/>
      </c>
      <c r="I447" s="69">
        <f>IF($A447="","",IF(AND($B447&lt;&gt;"",ISNUMBER(SEARCH($I$7,$B447))),COUNT($I$9:I446)+1,""))</f>
        <v>226</v>
      </c>
    </row>
    <row r="448" spans="1:9" ht="16" x14ac:dyDescent="0.25">
      <c r="A448" s="69" t="str">
        <f>Listas!E443</f>
        <v>RC Cámara Salina | 240 hrs. | 72 hrs.</v>
      </c>
      <c r="B448" s="69" t="str">
        <f t="shared" si="6"/>
        <v>Otros</v>
      </c>
      <c r="C448" s="69">
        <f>IF($A448="","",IF(AND($B448&lt;&gt;"",IF($F$2="Otros",$B448="Otros",ISNUMBER(SEARCH($B448,$F$2)))),COUNT($C$2:C447)+1,""))</f>
        <v>228</v>
      </c>
      <c r="G448" s="132" t="str">
        <f>IFERROR(INDEX($A$2:$A$507,MATCH(ROWS($G$2:G448),$C$2:$C$507,0)),IF(ROWS($G$2:G448)=1,"(sin matches)",""))</f>
        <v/>
      </c>
      <c r="I448" s="69">
        <f>IF($A448="","",IF(AND($B448&lt;&gt;"",ISNUMBER(SEARCH($I$7,$B448))),COUNT($I$9:I447)+1,""))</f>
        <v>227</v>
      </c>
    </row>
    <row r="449" spans="1:9" ht="16" x14ac:dyDescent="0.25">
      <c r="A449" s="69" t="str">
        <f>Listas!E444</f>
        <v>RC Cámara Salina | 240 hrs. | 720 hrs.</v>
      </c>
      <c r="B449" s="69" t="str">
        <f t="shared" si="6"/>
        <v>Otros</v>
      </c>
      <c r="C449" s="69">
        <f>IF($A449="","",IF(AND($B449&lt;&gt;"",IF($F$2="Otros",$B449="Otros",ISNUMBER(SEARCH($B449,$F$2)))),COUNT($C$2:C448)+1,""))</f>
        <v>229</v>
      </c>
      <c r="G449" s="132" t="str">
        <f>IFERROR(INDEX($A$2:$A$507,MATCH(ROWS($G$2:G449),$C$2:$C$507,0)),IF(ROWS($G$2:G449)=1,"(sin matches)",""))</f>
        <v/>
      </c>
      <c r="I449" s="69">
        <f>IF($A449="","",IF(AND($B449&lt;&gt;"",ISNUMBER(SEARCH($I$7,$B449))),COUNT($I$9:I448)+1,""))</f>
        <v>228</v>
      </c>
    </row>
    <row r="450" spans="1:9" ht="16" x14ac:dyDescent="0.25">
      <c r="A450" s="69" t="str">
        <f>Listas!E445</f>
        <v>RC Cámara Salina | 240 hrs. | 96 hrs.</v>
      </c>
      <c r="B450" s="69" t="str">
        <f t="shared" si="6"/>
        <v>Otros</v>
      </c>
      <c r="C450" s="69">
        <f>IF($A450="","",IF(AND($B450&lt;&gt;"",IF($F$2="Otros",$B450="Otros",ISNUMBER(SEARCH($B450,$F$2)))),COUNT($C$2:C449)+1,""))</f>
        <v>230</v>
      </c>
      <c r="G450" s="132" t="str">
        <f>IFERROR(INDEX($A$2:$A$507,MATCH(ROWS($G$2:G450),$C$2:$C$507,0)),IF(ROWS($G$2:G450)=1,"(sin matches)",""))</f>
        <v/>
      </c>
      <c r="I450" s="69">
        <f>IF($A450="","",IF(AND($B450&lt;&gt;"",ISNUMBER(SEARCH($I$7,$B450))),COUNT($I$9:I449)+1,""))</f>
        <v>229</v>
      </c>
    </row>
    <row r="451" spans="1:9" ht="16" x14ac:dyDescent="0.25">
      <c r="A451" s="69" t="str">
        <f>Listas!E446</f>
        <v>RC Cámara Salina | 240 hrs. | 960 hrs.</v>
      </c>
      <c r="B451" s="69" t="str">
        <f t="shared" si="6"/>
        <v>Otros</v>
      </c>
      <c r="C451" s="69">
        <f>IF($A451="","",IF(AND($B451&lt;&gt;"",IF($F$2="Otros",$B451="Otros",ISNUMBER(SEARCH($B451,$F$2)))),COUNT($C$2:C450)+1,""))</f>
        <v>231</v>
      </c>
      <c r="G451" s="132" t="str">
        <f>IFERROR(INDEX($A$2:$A$507,MATCH(ROWS($G$2:G451),$C$2:$C$507,0)),IF(ROWS($G$2:G451)=1,"(sin matches)",""))</f>
        <v/>
      </c>
      <c r="I451" s="69">
        <f>IF($A451="","",IF(AND($B451&lt;&gt;"",ISNUMBER(SEARCH($I$7,$B451))),COUNT($I$9:I450)+1,""))</f>
        <v>230</v>
      </c>
    </row>
    <row r="452" spans="1:9" ht="16" x14ac:dyDescent="0.25">
      <c r="A452" s="69" t="str">
        <f>Listas!E447</f>
        <v>RC Cámara Salina | 240 hrs. | No aplica</v>
      </c>
      <c r="B452" s="69" t="str">
        <f t="shared" si="6"/>
        <v>Otros</v>
      </c>
      <c r="C452" s="69">
        <f>IF($A452="","",IF(AND($B452&lt;&gt;"",IF($F$2="Otros",$B452="Otros",ISNUMBER(SEARCH($B452,$F$2)))),COUNT($C$2:C451)+1,""))</f>
        <v>232</v>
      </c>
      <c r="G452" s="132" t="str">
        <f>IFERROR(INDEX($A$2:$A$507,MATCH(ROWS($G$2:G452),$C$2:$C$507,0)),IF(ROWS($G$2:G452)=1,"(sin matches)",""))</f>
        <v/>
      </c>
      <c r="I452" s="69">
        <f>IF($A452="","",IF(AND($B452&lt;&gt;"",ISNUMBER(SEARCH($I$7,$B452))),COUNT($I$9:I451)+1,""))</f>
        <v>231</v>
      </c>
    </row>
    <row r="453" spans="1:9" ht="16" x14ac:dyDescent="0.25">
      <c r="A453" s="69" t="str">
        <f>Listas!E448</f>
        <v>RC Cámara Salina | 3 hrs. | 12 hrs.</v>
      </c>
      <c r="B453" s="69" t="str">
        <f t="shared" si="6"/>
        <v>Otros</v>
      </c>
      <c r="C453" s="69">
        <f>IF($A453="","",IF(AND($B453&lt;&gt;"",IF($F$2="Otros",$B453="Otros",ISNUMBER(SEARCH($B453,$F$2)))),COUNT($C$2:C452)+1,""))</f>
        <v>233</v>
      </c>
      <c r="G453" s="132" t="str">
        <f>IFERROR(INDEX($A$2:$A$507,MATCH(ROWS($G$2:G453),$C$2:$C$507,0)),IF(ROWS($G$2:G453)=1,"(sin matches)",""))</f>
        <v/>
      </c>
      <c r="I453" s="69">
        <f>IF($A453="","",IF(AND($B453&lt;&gt;"",ISNUMBER(SEARCH($I$7,$B453))),COUNT($I$9:I452)+1,""))</f>
        <v>232</v>
      </c>
    </row>
    <row r="454" spans="1:9" ht="16" x14ac:dyDescent="0.25">
      <c r="A454" s="69" t="str">
        <f>Listas!E449</f>
        <v>RC Cámara Salina | 3 hrs. | 120 hrs.</v>
      </c>
      <c r="B454" s="69" t="str">
        <f t="shared" si="6"/>
        <v>Otros</v>
      </c>
      <c r="C454" s="69">
        <f>IF($A454="","",IF(AND($B454&lt;&gt;"",IF($F$2="Otros",$B454="Otros",ISNUMBER(SEARCH($B454,$F$2)))),COUNT($C$2:C453)+1,""))</f>
        <v>234</v>
      </c>
      <c r="G454" s="132" t="str">
        <f>IFERROR(INDEX($A$2:$A$507,MATCH(ROWS($G$2:G454),$C$2:$C$507,0)),IF(ROWS($G$2:G454)=1,"(sin matches)",""))</f>
        <v/>
      </c>
      <c r="I454" s="69">
        <f>IF($A454="","",IF(AND($B454&lt;&gt;"",ISNUMBER(SEARCH($I$7,$B454))),COUNT($I$9:I453)+1,""))</f>
        <v>233</v>
      </c>
    </row>
    <row r="455" spans="1:9" ht="16" x14ac:dyDescent="0.25">
      <c r="A455" s="69" t="str">
        <f>Listas!E450</f>
        <v>RC Cámara Salina | 3 hrs. | 144 hrs.</v>
      </c>
      <c r="B455" s="69" t="str">
        <f t="shared" si="6"/>
        <v>Otros</v>
      </c>
      <c r="C455" s="69">
        <f>IF($A455="","",IF(AND($B455&lt;&gt;"",IF($F$2="Otros",$B455="Otros",ISNUMBER(SEARCH($B455,$F$2)))),COUNT($C$2:C454)+1,""))</f>
        <v>235</v>
      </c>
      <c r="G455" s="132" t="str">
        <f>IFERROR(INDEX($A$2:$A$507,MATCH(ROWS($G$2:G455),$C$2:$C$507,0)),IF(ROWS($G$2:G455)=1,"(sin matches)",""))</f>
        <v/>
      </c>
      <c r="I455" s="69">
        <f>IF($A455="","",IF(AND($B455&lt;&gt;"",ISNUMBER(SEARCH($I$7,$B455))),COUNT($I$9:I454)+1,""))</f>
        <v>234</v>
      </c>
    </row>
    <row r="456" spans="1:9" ht="16" x14ac:dyDescent="0.25">
      <c r="A456" s="69" t="str">
        <f>Listas!E451</f>
        <v>RC Cámara Salina | 3 hrs. | 16 hrs.</v>
      </c>
      <c r="B456" s="69" t="str">
        <f t="shared" si="6"/>
        <v>Otros</v>
      </c>
      <c r="C456" s="69">
        <f>IF($A456="","",IF(AND($B456&lt;&gt;"",IF($F$2="Otros",$B456="Otros",ISNUMBER(SEARCH($B456,$F$2)))),COUNT($C$2:C455)+1,""))</f>
        <v>236</v>
      </c>
      <c r="G456" s="132" t="str">
        <f>IFERROR(INDEX($A$2:$A$507,MATCH(ROWS($G$2:G456),$C$2:$C$507,0)),IF(ROWS($G$2:G456)=1,"(sin matches)",""))</f>
        <v/>
      </c>
      <c r="I456" s="69">
        <f>IF($A456="","",IF(AND($B456&lt;&gt;"",ISNUMBER(SEARCH($I$7,$B456))),COUNT($I$9:I455)+1,""))</f>
        <v>235</v>
      </c>
    </row>
    <row r="457" spans="1:9" ht="16" x14ac:dyDescent="0.25">
      <c r="A457" s="69" t="str">
        <f>Listas!E452</f>
        <v>RC Cámara Salina | 3 hrs. | 172 hrs.</v>
      </c>
      <c r="B457" s="69" t="str">
        <f t="shared" si="6"/>
        <v>Otros</v>
      </c>
      <c r="C457" s="69">
        <f>IF($A457="","",IF(AND($B457&lt;&gt;"",IF($F$2="Otros",$B457="Otros",ISNUMBER(SEARCH($B457,$F$2)))),COUNT($C$2:C456)+1,""))</f>
        <v>237</v>
      </c>
      <c r="G457" s="132" t="str">
        <f>IFERROR(INDEX($A$2:$A$507,MATCH(ROWS($G$2:G457),$C$2:$C$507,0)),IF(ROWS($G$2:G457)=1,"(sin matches)",""))</f>
        <v/>
      </c>
      <c r="I457" s="69">
        <f>IF($A457="","",IF(AND($B457&lt;&gt;"",ISNUMBER(SEARCH($I$7,$B457))),COUNT($I$9:I456)+1,""))</f>
        <v>236</v>
      </c>
    </row>
    <row r="458" spans="1:9" ht="16" x14ac:dyDescent="0.25">
      <c r="A458" s="69" t="str">
        <f>Listas!E453</f>
        <v>RC Cámara Salina | 3 hrs. | 200 hrs.</v>
      </c>
      <c r="B458" s="69" t="str">
        <f t="shared" ref="B458:B521" si="7">IF(OR(A458="",A458=0),"",IF(_xlfn.TEXTJOIN("+",TRUE,IF(ISNUMBER(SEARCH("Plata",A458&amp;"")),"Plata",""),IF(ISNUMBER(SEARCH("Níquel",A458&amp;"")),"Níquel",""),IF(ISNUMBER(SEARCH("Estaño",A458&amp;"")),"Estaño",""),IF(ISNUMBER(SEARCH("Zinc",A458&amp;"")),"Zinc",""),IF(ISNUMBER(SEARCH("Epóxico",A458&amp;"")),"Epóxico",""))="","Otros",_xlfn.TEXTJOIN("+",TRUE,IF(ISNUMBER(SEARCH("Plata",A458&amp;"")),"Plata",""),IF(ISNUMBER(SEARCH("Níquel",A458&amp;"")),"Níquel",""),IF(ISNUMBER(SEARCH("Estaño",A458&amp;"")),"Estaño",""),IF(ISNUMBER(SEARCH("Zinc",A458&amp;"")),"Zinc",""),IF(ISNUMBER(SEARCH("Epóxico",A458&amp;"")),"Epóxico",""))))</f>
        <v>Otros</v>
      </c>
      <c r="C458" s="69">
        <f>IF($A458="","",IF(AND($B458&lt;&gt;"",IF($F$2="Otros",$B458="Otros",ISNUMBER(SEARCH($B458,$F$2)))),COUNT($C$2:C457)+1,""))</f>
        <v>238</v>
      </c>
      <c r="G458" s="132" t="str">
        <f>IFERROR(INDEX($A$2:$A$507,MATCH(ROWS($G$2:G458),$C$2:$C$507,0)),IF(ROWS($G$2:G458)=1,"(sin matches)",""))</f>
        <v/>
      </c>
      <c r="I458" s="69">
        <f>IF($A458="","",IF(AND($B458&lt;&gt;"",ISNUMBER(SEARCH($I$7,$B458))),COUNT($I$9:I457)+1,""))</f>
        <v>237</v>
      </c>
    </row>
    <row r="459" spans="1:9" ht="16" x14ac:dyDescent="0.25">
      <c r="A459" s="69" t="str">
        <f>Listas!E454</f>
        <v>RC Cámara Salina | 3 hrs. | 24 hrs.</v>
      </c>
      <c r="B459" s="69" t="str">
        <f t="shared" si="7"/>
        <v>Otros</v>
      </c>
      <c r="C459" s="69">
        <f>IF($A459="","",IF(AND($B459&lt;&gt;"",IF($F$2="Otros",$B459="Otros",ISNUMBER(SEARCH($B459,$F$2)))),COUNT($C$2:C458)+1,""))</f>
        <v>239</v>
      </c>
      <c r="G459" s="132" t="str">
        <f>IFERROR(INDEX($A$2:$A$507,MATCH(ROWS($G$2:G459),$C$2:$C$507,0)),IF(ROWS($G$2:G459)=1,"(sin matches)",""))</f>
        <v/>
      </c>
      <c r="I459" s="69">
        <f>IF($A459="","",IF(AND($B459&lt;&gt;"",ISNUMBER(SEARCH($I$7,$B459))),COUNT($I$9:I458)+1,""))</f>
        <v>238</v>
      </c>
    </row>
    <row r="460" spans="1:9" ht="16" x14ac:dyDescent="0.25">
      <c r="A460" s="69" t="str">
        <f>Listas!E455</f>
        <v>RC Cámara Salina | 3 hrs. | 240 hrs.</v>
      </c>
      <c r="B460" s="69" t="str">
        <f t="shared" si="7"/>
        <v>Otros</v>
      </c>
      <c r="C460" s="69">
        <f>IF($A460="","",IF(AND($B460&lt;&gt;"",IF($F$2="Otros",$B460="Otros",ISNUMBER(SEARCH($B460,$F$2)))),COUNT($C$2:C459)+1,""))</f>
        <v>240</v>
      </c>
      <c r="G460" s="132" t="str">
        <f>IFERROR(INDEX($A$2:$A$507,MATCH(ROWS($G$2:G460),$C$2:$C$507,0)),IF(ROWS($G$2:G460)=1,"(sin matches)",""))</f>
        <v/>
      </c>
      <c r="I460" s="69">
        <f>IF($A460="","",IF(AND($B460&lt;&gt;"",ISNUMBER(SEARCH($I$7,$B460))),COUNT($I$9:I459)+1,""))</f>
        <v>239</v>
      </c>
    </row>
    <row r="461" spans="1:9" ht="16" x14ac:dyDescent="0.25">
      <c r="A461" s="69" t="str">
        <f>Listas!E456</f>
        <v>RC Cámara Salina | 3 hrs. | 36 hrs.</v>
      </c>
      <c r="B461" s="69" t="str">
        <f t="shared" si="7"/>
        <v>Otros</v>
      </c>
      <c r="C461" s="69">
        <f>IF($A461="","",IF(AND($B461&lt;&gt;"",IF($F$2="Otros",$B461="Otros",ISNUMBER(SEARCH($B461,$F$2)))),COUNT($C$2:C460)+1,""))</f>
        <v>241</v>
      </c>
      <c r="G461" s="132" t="str">
        <f>IFERROR(INDEX($A$2:$A$507,MATCH(ROWS($G$2:G461),$C$2:$C$507,0)),IF(ROWS($G$2:G461)=1,"(sin matches)",""))</f>
        <v/>
      </c>
      <c r="I461" s="69">
        <f>IF($A461="","",IF(AND($B461&lt;&gt;"",ISNUMBER(SEARCH($I$7,$B461))),COUNT($I$9:I460)+1,""))</f>
        <v>240</v>
      </c>
    </row>
    <row r="462" spans="1:9" ht="16" x14ac:dyDescent="0.25">
      <c r="A462" s="69" t="str">
        <f>Listas!E457</f>
        <v>RC Cámara Salina | 3 hrs. | 360 hrs.</v>
      </c>
      <c r="B462" s="69" t="str">
        <f t="shared" si="7"/>
        <v>Otros</v>
      </c>
      <c r="C462" s="69">
        <f>IF($A462="","",IF(AND($B462&lt;&gt;"",IF($F$2="Otros",$B462="Otros",ISNUMBER(SEARCH($B462,$F$2)))),COUNT($C$2:C461)+1,""))</f>
        <v>242</v>
      </c>
      <c r="G462" s="132" t="str">
        <f>IFERROR(INDEX($A$2:$A$507,MATCH(ROWS($G$2:G462),$C$2:$C$507,0)),IF(ROWS($G$2:G462)=1,"(sin matches)",""))</f>
        <v/>
      </c>
      <c r="I462" s="69">
        <f>IF($A462="","",IF(AND($B462&lt;&gt;"",ISNUMBER(SEARCH($I$7,$B462))),COUNT($I$9:I461)+1,""))</f>
        <v>241</v>
      </c>
    </row>
    <row r="463" spans="1:9" ht="16" x14ac:dyDescent="0.25">
      <c r="A463" s="69" t="str">
        <f>Listas!E458</f>
        <v>RC Cámara Salina | 3 hrs. | 48 hrs.</v>
      </c>
      <c r="B463" s="69" t="str">
        <f t="shared" si="7"/>
        <v>Otros</v>
      </c>
      <c r="C463" s="69">
        <f>IF($A463="","",IF(AND($B463&lt;&gt;"",IF($F$2="Otros",$B463="Otros",ISNUMBER(SEARCH($B463,$F$2)))),COUNT($C$2:C462)+1,""))</f>
        <v>243</v>
      </c>
      <c r="G463" s="132" t="str">
        <f>IFERROR(INDEX($A$2:$A$507,MATCH(ROWS($G$2:G463),$C$2:$C$507,0)),IF(ROWS($G$2:G463)=1,"(sin matches)",""))</f>
        <v/>
      </c>
      <c r="I463" s="69">
        <f>IF($A463="","",IF(AND($B463&lt;&gt;"",ISNUMBER(SEARCH($I$7,$B463))),COUNT($I$9:I462)+1,""))</f>
        <v>242</v>
      </c>
    </row>
    <row r="464" spans="1:9" ht="16" x14ac:dyDescent="0.25">
      <c r="A464" s="69" t="str">
        <f>Listas!E459</f>
        <v>RC Cámara Salina | 3 hrs. | 480 hrs.</v>
      </c>
      <c r="B464" s="69" t="str">
        <f t="shared" si="7"/>
        <v>Otros</v>
      </c>
      <c r="C464" s="69">
        <f>IF($A464="","",IF(AND($B464&lt;&gt;"",IF($F$2="Otros",$B464="Otros",ISNUMBER(SEARCH($B464,$F$2)))),COUNT($C$2:C463)+1,""))</f>
        <v>244</v>
      </c>
      <c r="G464" s="132" t="str">
        <f>IFERROR(INDEX($A$2:$A$507,MATCH(ROWS($G$2:G464),$C$2:$C$507,0)),IF(ROWS($G$2:G464)=1,"(sin matches)",""))</f>
        <v/>
      </c>
      <c r="I464" s="69">
        <f>IF($A464="","",IF(AND($B464&lt;&gt;"",ISNUMBER(SEARCH($I$7,$B464))),COUNT($I$9:I463)+1,""))</f>
        <v>243</v>
      </c>
    </row>
    <row r="465" spans="1:9" ht="16" x14ac:dyDescent="0.25">
      <c r="A465" s="69" t="str">
        <f>Listas!E460</f>
        <v>RC Cámara Salina | 3 hrs. | 500 hrs.</v>
      </c>
      <c r="B465" s="69" t="str">
        <f t="shared" si="7"/>
        <v>Otros</v>
      </c>
      <c r="C465" s="69">
        <f>IF($A465="","",IF(AND($B465&lt;&gt;"",IF($F$2="Otros",$B465="Otros",ISNUMBER(SEARCH($B465,$F$2)))),COUNT($C$2:C464)+1,""))</f>
        <v>245</v>
      </c>
      <c r="G465" s="132" t="str">
        <f>IFERROR(INDEX($A$2:$A$507,MATCH(ROWS($G$2:G465),$C$2:$C$507,0)),IF(ROWS($G$2:G465)=1,"(sin matches)",""))</f>
        <v/>
      </c>
      <c r="I465" s="69">
        <f>IF($A465="","",IF(AND($B465&lt;&gt;"",ISNUMBER(SEARCH($I$7,$B465))),COUNT($I$9:I464)+1,""))</f>
        <v>244</v>
      </c>
    </row>
    <row r="466" spans="1:9" ht="16" x14ac:dyDescent="0.25">
      <c r="A466" s="69" t="str">
        <f>Listas!E461</f>
        <v>RC Cámara Salina | 3 hrs. | 72 hrs.</v>
      </c>
      <c r="B466" s="69" t="str">
        <f t="shared" si="7"/>
        <v>Otros</v>
      </c>
      <c r="C466" s="69">
        <f>IF($A466="","",IF(AND($B466&lt;&gt;"",IF($F$2="Otros",$B466="Otros",ISNUMBER(SEARCH($B466,$F$2)))),COUNT($C$2:C465)+1,""))</f>
        <v>246</v>
      </c>
      <c r="G466" s="132" t="str">
        <f>IFERROR(INDEX($A$2:$A$507,MATCH(ROWS($G$2:G466),$C$2:$C$507,0)),IF(ROWS($G$2:G466)=1,"(sin matches)",""))</f>
        <v/>
      </c>
      <c r="I466" s="69">
        <f>IF($A466="","",IF(AND($B466&lt;&gt;"",ISNUMBER(SEARCH($I$7,$B466))),COUNT($I$9:I465)+1,""))</f>
        <v>245</v>
      </c>
    </row>
    <row r="467" spans="1:9" ht="16" x14ac:dyDescent="0.25">
      <c r="A467" s="69" t="str">
        <f>Listas!E462</f>
        <v>RC Cámara Salina | 3 hrs. | 720 hrs.</v>
      </c>
      <c r="B467" s="69" t="str">
        <f t="shared" si="7"/>
        <v>Otros</v>
      </c>
      <c r="C467" s="69">
        <f>IF($A467="","",IF(AND($B467&lt;&gt;"",IF($F$2="Otros",$B467="Otros",ISNUMBER(SEARCH($B467,$F$2)))),COUNT($C$2:C466)+1,""))</f>
        <v>247</v>
      </c>
      <c r="G467" s="132" t="str">
        <f>IFERROR(INDEX($A$2:$A$507,MATCH(ROWS($G$2:G467),$C$2:$C$507,0)),IF(ROWS($G$2:G467)=1,"(sin matches)",""))</f>
        <v/>
      </c>
      <c r="I467" s="69">
        <f>IF($A467="","",IF(AND($B467&lt;&gt;"",ISNUMBER(SEARCH($I$7,$B467))),COUNT($I$9:I466)+1,""))</f>
        <v>246</v>
      </c>
    </row>
    <row r="468" spans="1:9" ht="16" x14ac:dyDescent="0.25">
      <c r="A468" s="69" t="str">
        <f>Listas!E463</f>
        <v>RC Cámara Salina | 3 hrs. | 96 hrs.</v>
      </c>
      <c r="B468" s="69" t="str">
        <f t="shared" si="7"/>
        <v>Otros</v>
      </c>
      <c r="C468" s="69">
        <f>IF($A468="","",IF(AND($B468&lt;&gt;"",IF($F$2="Otros",$B468="Otros",ISNUMBER(SEARCH($B468,$F$2)))),COUNT($C$2:C467)+1,""))</f>
        <v>248</v>
      </c>
      <c r="G468" s="132" t="str">
        <f>IFERROR(INDEX($A$2:$A$507,MATCH(ROWS($G$2:G468),$C$2:$C$507,0)),IF(ROWS($G$2:G468)=1,"(sin matches)",""))</f>
        <v/>
      </c>
      <c r="I468" s="69">
        <f>IF($A468="","",IF(AND($B468&lt;&gt;"",ISNUMBER(SEARCH($I$7,$B468))),COUNT($I$9:I467)+1,""))</f>
        <v>247</v>
      </c>
    </row>
    <row r="469" spans="1:9" ht="16" x14ac:dyDescent="0.25">
      <c r="A469" s="69" t="str">
        <f>Listas!E464</f>
        <v>RC Cámara Salina | 3 hrs. | 960 hrs.</v>
      </c>
      <c r="B469" s="69" t="str">
        <f t="shared" si="7"/>
        <v>Otros</v>
      </c>
      <c r="C469" s="69">
        <f>IF($A469="","",IF(AND($B469&lt;&gt;"",IF($F$2="Otros",$B469="Otros",ISNUMBER(SEARCH($B469,$F$2)))),COUNT($C$2:C468)+1,""))</f>
        <v>249</v>
      </c>
      <c r="G469" s="132" t="str">
        <f>IFERROR(INDEX($A$2:$A$507,MATCH(ROWS($G$2:G469),$C$2:$C$507,0)),IF(ROWS($G$2:G469)=1,"(sin matches)",""))</f>
        <v/>
      </c>
      <c r="I469" s="69">
        <f>IF($A469="","",IF(AND($B469&lt;&gt;"",ISNUMBER(SEARCH($I$7,$B469))),COUNT($I$9:I468)+1,""))</f>
        <v>248</v>
      </c>
    </row>
    <row r="470" spans="1:9" ht="16" x14ac:dyDescent="0.25">
      <c r="A470" s="69" t="str">
        <f>Listas!E465</f>
        <v>RC Cámara Salina | 3 hrs. | No aplica</v>
      </c>
      <c r="B470" s="69" t="str">
        <f t="shared" si="7"/>
        <v>Otros</v>
      </c>
      <c r="C470" s="69">
        <f>IF($A470="","",IF(AND($B470&lt;&gt;"",IF($F$2="Otros",$B470="Otros",ISNUMBER(SEARCH($B470,$F$2)))),COUNT($C$2:C469)+1,""))</f>
        <v>250</v>
      </c>
      <c r="G470" s="132" t="str">
        <f>IFERROR(INDEX($A$2:$A$507,MATCH(ROWS($G$2:G470),$C$2:$C$507,0)),IF(ROWS($G$2:G470)=1,"(sin matches)",""))</f>
        <v/>
      </c>
      <c r="I470" s="69">
        <f>IF($A470="","",IF(AND($B470&lt;&gt;"",ISNUMBER(SEARCH($I$7,$B470))),COUNT($I$9:I469)+1,""))</f>
        <v>249</v>
      </c>
    </row>
    <row r="471" spans="1:9" ht="16" x14ac:dyDescent="0.25">
      <c r="A471" s="69" t="str">
        <f>Listas!E466</f>
        <v>RC Cámara Salina | 48 hrs. | 12 hrs.</v>
      </c>
      <c r="B471" s="69" t="str">
        <f t="shared" si="7"/>
        <v>Otros</v>
      </c>
      <c r="C471" s="69">
        <f>IF($A471="","",IF(AND($B471&lt;&gt;"",IF($F$2="Otros",$B471="Otros",ISNUMBER(SEARCH($B471,$F$2)))),COUNT($C$2:C470)+1,""))</f>
        <v>251</v>
      </c>
      <c r="G471" s="132" t="str">
        <f>IFERROR(INDEX($A$2:$A$507,MATCH(ROWS($G$2:G471),$C$2:$C$507,0)),IF(ROWS($G$2:G471)=1,"(sin matches)",""))</f>
        <v/>
      </c>
      <c r="I471" s="69">
        <f>IF($A471="","",IF(AND($B471&lt;&gt;"",ISNUMBER(SEARCH($I$7,$B471))),COUNT($I$9:I470)+1,""))</f>
        <v>250</v>
      </c>
    </row>
    <row r="472" spans="1:9" ht="16" x14ac:dyDescent="0.25">
      <c r="A472" s="69" t="str">
        <f>Listas!E467</f>
        <v>RC Cámara Salina | 48 hrs. | 120 hrs.</v>
      </c>
      <c r="B472" s="69" t="str">
        <f t="shared" si="7"/>
        <v>Otros</v>
      </c>
      <c r="C472" s="69">
        <f>IF($A472="","",IF(AND($B472&lt;&gt;"",IF($F$2="Otros",$B472="Otros",ISNUMBER(SEARCH($B472,$F$2)))),COUNT($C$2:C471)+1,""))</f>
        <v>252</v>
      </c>
      <c r="G472" s="132" t="str">
        <f>IFERROR(INDEX($A$2:$A$507,MATCH(ROWS($G$2:G472),$C$2:$C$507,0)),IF(ROWS($G$2:G472)=1,"(sin matches)",""))</f>
        <v/>
      </c>
      <c r="I472" s="69">
        <f>IF($A472="","",IF(AND($B472&lt;&gt;"",ISNUMBER(SEARCH($I$7,$B472))),COUNT($I$9:I471)+1,""))</f>
        <v>251</v>
      </c>
    </row>
    <row r="473" spans="1:9" ht="16" x14ac:dyDescent="0.25">
      <c r="A473" s="69" t="str">
        <f>Listas!E468</f>
        <v>RC Cámara Salina | 48 hrs. | 144 hrs.</v>
      </c>
      <c r="B473" s="69" t="str">
        <f t="shared" si="7"/>
        <v>Otros</v>
      </c>
      <c r="C473" s="69">
        <f>IF($A473="","",IF(AND($B473&lt;&gt;"",IF($F$2="Otros",$B473="Otros",ISNUMBER(SEARCH($B473,$F$2)))),COUNT($C$2:C472)+1,""))</f>
        <v>253</v>
      </c>
      <c r="G473" s="132" t="str">
        <f>IFERROR(INDEX($A$2:$A$507,MATCH(ROWS($G$2:G473),$C$2:$C$507,0)),IF(ROWS($G$2:G473)=1,"(sin matches)",""))</f>
        <v/>
      </c>
      <c r="I473" s="69">
        <f>IF($A473="","",IF(AND($B473&lt;&gt;"",ISNUMBER(SEARCH($I$7,$B473))),COUNT($I$9:I472)+1,""))</f>
        <v>252</v>
      </c>
    </row>
    <row r="474" spans="1:9" ht="16" x14ac:dyDescent="0.25">
      <c r="A474" s="69" t="str">
        <f>Listas!E469</f>
        <v>RC Cámara Salina | 48 hrs. | 16 hrs.</v>
      </c>
      <c r="B474" s="69" t="str">
        <f t="shared" si="7"/>
        <v>Otros</v>
      </c>
      <c r="C474" s="69">
        <f>IF($A474="","",IF(AND($B474&lt;&gt;"",IF($F$2="Otros",$B474="Otros",ISNUMBER(SEARCH($B474,$F$2)))),COUNT($C$2:C473)+1,""))</f>
        <v>254</v>
      </c>
      <c r="G474" s="132" t="str">
        <f>IFERROR(INDEX($A$2:$A$507,MATCH(ROWS($G$2:G474),$C$2:$C$507,0)),IF(ROWS($G$2:G474)=1,"(sin matches)",""))</f>
        <v/>
      </c>
      <c r="I474" s="69">
        <f>IF($A474="","",IF(AND($B474&lt;&gt;"",ISNUMBER(SEARCH($I$7,$B474))),COUNT($I$9:I473)+1,""))</f>
        <v>253</v>
      </c>
    </row>
    <row r="475" spans="1:9" ht="16" x14ac:dyDescent="0.25">
      <c r="A475" s="69" t="str">
        <f>Listas!E470</f>
        <v>RC Cámara Salina | 48 hrs. | 172 hrs.</v>
      </c>
      <c r="B475" s="69" t="str">
        <f t="shared" si="7"/>
        <v>Otros</v>
      </c>
      <c r="C475" s="69">
        <f>IF($A475="","",IF(AND($B475&lt;&gt;"",IF($F$2="Otros",$B475="Otros",ISNUMBER(SEARCH($B475,$F$2)))),COUNT($C$2:C474)+1,""))</f>
        <v>255</v>
      </c>
      <c r="G475" s="132" t="str">
        <f>IFERROR(INDEX($A$2:$A$507,MATCH(ROWS($G$2:G475),$C$2:$C$507,0)),IF(ROWS($G$2:G475)=1,"(sin matches)",""))</f>
        <v/>
      </c>
      <c r="I475" s="69">
        <f>IF($A475="","",IF(AND($B475&lt;&gt;"",ISNUMBER(SEARCH($I$7,$B475))),COUNT($I$9:I474)+1,""))</f>
        <v>254</v>
      </c>
    </row>
    <row r="476" spans="1:9" ht="16" x14ac:dyDescent="0.25">
      <c r="A476" s="69" t="str">
        <f>Listas!E471</f>
        <v>RC Cámara Salina | 48 hrs. | 200 hrs.</v>
      </c>
      <c r="B476" s="69" t="str">
        <f t="shared" si="7"/>
        <v>Otros</v>
      </c>
      <c r="C476" s="69">
        <f>IF($A476="","",IF(AND($B476&lt;&gt;"",IF($F$2="Otros",$B476="Otros",ISNUMBER(SEARCH($B476,$F$2)))),COUNT($C$2:C475)+1,""))</f>
        <v>256</v>
      </c>
      <c r="G476" s="132" t="str">
        <f>IFERROR(INDEX($A$2:$A$507,MATCH(ROWS($G$2:G476),$C$2:$C$507,0)),IF(ROWS($G$2:G476)=1,"(sin matches)",""))</f>
        <v/>
      </c>
      <c r="I476" s="69">
        <f>IF($A476="","",IF(AND($B476&lt;&gt;"",ISNUMBER(SEARCH($I$7,$B476))),COUNT($I$9:I475)+1,""))</f>
        <v>255</v>
      </c>
    </row>
    <row r="477" spans="1:9" ht="16" x14ac:dyDescent="0.25">
      <c r="A477" s="69" t="str">
        <f>Listas!E472</f>
        <v>RC Cámara Salina | 48 hrs. | 24 hrs.</v>
      </c>
      <c r="B477" s="69" t="str">
        <f t="shared" si="7"/>
        <v>Otros</v>
      </c>
      <c r="C477" s="69">
        <f>IF($A477="","",IF(AND($B477&lt;&gt;"",IF($F$2="Otros",$B477="Otros",ISNUMBER(SEARCH($B477,$F$2)))),COUNT($C$2:C476)+1,""))</f>
        <v>257</v>
      </c>
      <c r="G477" s="132" t="str">
        <f>IFERROR(INDEX($A$2:$A$507,MATCH(ROWS($G$2:G477),$C$2:$C$507,0)),IF(ROWS($G$2:G477)=1,"(sin matches)",""))</f>
        <v/>
      </c>
      <c r="I477" s="69">
        <f>IF($A477="","",IF(AND($B477&lt;&gt;"",ISNUMBER(SEARCH($I$7,$B477))),COUNT($I$9:I476)+1,""))</f>
        <v>256</v>
      </c>
    </row>
    <row r="478" spans="1:9" ht="16" x14ac:dyDescent="0.25">
      <c r="A478" s="69" t="str">
        <f>Listas!E473</f>
        <v>RC Cámara Salina | 48 hrs. | 240 hrs.</v>
      </c>
      <c r="B478" s="69" t="str">
        <f t="shared" si="7"/>
        <v>Otros</v>
      </c>
      <c r="C478" s="69">
        <f>IF($A478="","",IF(AND($B478&lt;&gt;"",IF($F$2="Otros",$B478="Otros",ISNUMBER(SEARCH($B478,$F$2)))),COUNT($C$2:C477)+1,""))</f>
        <v>258</v>
      </c>
      <c r="G478" s="132" t="str">
        <f>IFERROR(INDEX($A$2:$A$507,MATCH(ROWS($G$2:G478),$C$2:$C$507,0)),IF(ROWS($G$2:G478)=1,"(sin matches)",""))</f>
        <v/>
      </c>
      <c r="I478" s="69">
        <f>IF($A478="","",IF(AND($B478&lt;&gt;"",ISNUMBER(SEARCH($I$7,$B478))),COUNT($I$9:I477)+1,""))</f>
        <v>257</v>
      </c>
    </row>
    <row r="479" spans="1:9" ht="16" x14ac:dyDescent="0.25">
      <c r="A479" s="69" t="str">
        <f>Listas!E474</f>
        <v>RC Cámara Salina | 48 hrs. | 36 hrs.</v>
      </c>
      <c r="B479" s="69" t="str">
        <f t="shared" si="7"/>
        <v>Otros</v>
      </c>
      <c r="C479" s="69">
        <f>IF($A479="","",IF(AND($B479&lt;&gt;"",IF($F$2="Otros",$B479="Otros",ISNUMBER(SEARCH($B479,$F$2)))),COUNT($C$2:C478)+1,""))</f>
        <v>259</v>
      </c>
      <c r="G479" s="132" t="str">
        <f>IFERROR(INDEX($A$2:$A$507,MATCH(ROWS($G$2:G479),$C$2:$C$507,0)),IF(ROWS($G$2:G479)=1,"(sin matches)",""))</f>
        <v/>
      </c>
      <c r="I479" s="69">
        <f>IF($A479="","",IF(AND($B479&lt;&gt;"",ISNUMBER(SEARCH($I$7,$B479))),COUNT($I$9:I478)+1,""))</f>
        <v>258</v>
      </c>
    </row>
    <row r="480" spans="1:9" ht="16" x14ac:dyDescent="0.25">
      <c r="A480" s="69" t="str">
        <f>Listas!E475</f>
        <v>RC Cámara Salina | 48 hrs. | 360 hrs.</v>
      </c>
      <c r="B480" s="69" t="str">
        <f t="shared" si="7"/>
        <v>Otros</v>
      </c>
      <c r="C480" s="69">
        <f>IF($A480="","",IF(AND($B480&lt;&gt;"",IF($F$2="Otros",$B480="Otros",ISNUMBER(SEARCH($B480,$F$2)))),COUNT($C$2:C479)+1,""))</f>
        <v>260</v>
      </c>
      <c r="G480" s="132" t="str">
        <f>IFERROR(INDEX($A$2:$A$507,MATCH(ROWS($G$2:G480),$C$2:$C$507,0)),IF(ROWS($G$2:G480)=1,"(sin matches)",""))</f>
        <v/>
      </c>
      <c r="I480" s="69">
        <f>IF($A480="","",IF(AND($B480&lt;&gt;"",ISNUMBER(SEARCH($I$7,$B480))),COUNT($I$9:I479)+1,""))</f>
        <v>259</v>
      </c>
    </row>
    <row r="481" spans="1:9" ht="16" x14ac:dyDescent="0.25">
      <c r="A481" s="69" t="str">
        <f>Listas!E476</f>
        <v>RC Cámara Salina | 48 hrs. | 48 hrs.</v>
      </c>
      <c r="B481" s="69" t="str">
        <f t="shared" si="7"/>
        <v>Otros</v>
      </c>
      <c r="C481" s="69">
        <f>IF($A481="","",IF(AND($B481&lt;&gt;"",IF($F$2="Otros",$B481="Otros",ISNUMBER(SEARCH($B481,$F$2)))),COUNT($C$2:C480)+1,""))</f>
        <v>261</v>
      </c>
      <c r="G481" s="132" t="str">
        <f>IFERROR(INDEX($A$2:$A$507,MATCH(ROWS($G$2:G481),$C$2:$C$507,0)),IF(ROWS($G$2:G481)=1,"(sin matches)",""))</f>
        <v/>
      </c>
      <c r="I481" s="69">
        <f>IF($A481="","",IF(AND($B481&lt;&gt;"",ISNUMBER(SEARCH($I$7,$B481))),COUNT($I$9:I480)+1,""))</f>
        <v>260</v>
      </c>
    </row>
    <row r="482" spans="1:9" ht="16" x14ac:dyDescent="0.25">
      <c r="A482" s="69" t="str">
        <f>Listas!E477</f>
        <v>RC Cámara Salina | 48 hrs. | 480 hrs.</v>
      </c>
      <c r="B482" s="69" t="str">
        <f t="shared" si="7"/>
        <v>Otros</v>
      </c>
      <c r="C482" s="69">
        <f>IF($A482="","",IF(AND($B482&lt;&gt;"",IF($F$2="Otros",$B482="Otros",ISNUMBER(SEARCH($B482,$F$2)))),COUNT($C$2:C481)+1,""))</f>
        <v>262</v>
      </c>
      <c r="G482" s="132" t="str">
        <f>IFERROR(INDEX($A$2:$A$507,MATCH(ROWS($G$2:G482),$C$2:$C$507,0)),IF(ROWS($G$2:G482)=1,"(sin matches)",""))</f>
        <v/>
      </c>
      <c r="I482" s="69">
        <f>IF($A482="","",IF(AND($B482&lt;&gt;"",ISNUMBER(SEARCH($I$7,$B482))),COUNT($I$9:I481)+1,""))</f>
        <v>261</v>
      </c>
    </row>
    <row r="483" spans="1:9" ht="16" x14ac:dyDescent="0.25">
      <c r="A483" s="69" t="str">
        <f>Listas!E478</f>
        <v>RC Cámara Salina | 48 hrs. | 500 hrs.</v>
      </c>
      <c r="B483" s="69" t="str">
        <f t="shared" si="7"/>
        <v>Otros</v>
      </c>
      <c r="C483" s="69">
        <f>IF($A483="","",IF(AND($B483&lt;&gt;"",IF($F$2="Otros",$B483="Otros",ISNUMBER(SEARCH($B483,$F$2)))),COUNT($C$2:C482)+1,""))</f>
        <v>263</v>
      </c>
      <c r="G483" s="132" t="str">
        <f>IFERROR(INDEX($A$2:$A$507,MATCH(ROWS($G$2:G483),$C$2:$C$507,0)),IF(ROWS($G$2:G483)=1,"(sin matches)",""))</f>
        <v/>
      </c>
      <c r="I483" s="69">
        <f>IF($A483="","",IF(AND($B483&lt;&gt;"",ISNUMBER(SEARCH($I$7,$B483))),COUNT($I$9:I482)+1,""))</f>
        <v>262</v>
      </c>
    </row>
    <row r="484" spans="1:9" ht="16" x14ac:dyDescent="0.25">
      <c r="A484" s="69" t="str">
        <f>Listas!E479</f>
        <v>RC Cámara Salina | 48 hrs. | 72 hrs.</v>
      </c>
      <c r="B484" s="69" t="str">
        <f t="shared" si="7"/>
        <v>Otros</v>
      </c>
      <c r="C484" s="69">
        <f>IF($A484="","",IF(AND($B484&lt;&gt;"",IF($F$2="Otros",$B484="Otros",ISNUMBER(SEARCH($B484,$F$2)))),COUNT($C$2:C483)+1,""))</f>
        <v>264</v>
      </c>
      <c r="G484" s="132" t="str">
        <f>IFERROR(INDEX($A$2:$A$507,MATCH(ROWS($G$2:G484),$C$2:$C$507,0)),IF(ROWS($G$2:G484)=1,"(sin matches)",""))</f>
        <v/>
      </c>
      <c r="I484" s="69">
        <f>IF($A484="","",IF(AND($B484&lt;&gt;"",ISNUMBER(SEARCH($I$7,$B484))),COUNT($I$9:I483)+1,""))</f>
        <v>263</v>
      </c>
    </row>
    <row r="485" spans="1:9" ht="16" x14ac:dyDescent="0.25">
      <c r="A485" s="69" t="str">
        <f>Listas!E480</f>
        <v>RC Cámara Salina | 48 hrs. | 720 hrs.</v>
      </c>
      <c r="B485" s="69" t="str">
        <f t="shared" si="7"/>
        <v>Otros</v>
      </c>
      <c r="C485" s="69">
        <f>IF($A485="","",IF(AND($B485&lt;&gt;"",IF($F$2="Otros",$B485="Otros",ISNUMBER(SEARCH($B485,$F$2)))),COUNT($C$2:C484)+1,""))</f>
        <v>265</v>
      </c>
      <c r="G485" s="132" t="str">
        <f>IFERROR(INDEX($A$2:$A$507,MATCH(ROWS($G$2:G485),$C$2:$C$507,0)),IF(ROWS($G$2:G485)=1,"(sin matches)",""))</f>
        <v/>
      </c>
      <c r="I485" s="69">
        <f>IF($A485="","",IF(AND($B485&lt;&gt;"",ISNUMBER(SEARCH($I$7,$B485))),COUNT($I$9:I484)+1,""))</f>
        <v>264</v>
      </c>
    </row>
    <row r="486" spans="1:9" ht="16" x14ac:dyDescent="0.25">
      <c r="A486" s="69" t="str">
        <f>Listas!E481</f>
        <v>RC Cámara Salina | 48 hrs. | 96 hrs.</v>
      </c>
      <c r="B486" s="69" t="str">
        <f t="shared" si="7"/>
        <v>Otros</v>
      </c>
      <c r="C486" s="69">
        <f>IF($A486="","",IF(AND($B486&lt;&gt;"",IF($F$2="Otros",$B486="Otros",ISNUMBER(SEARCH($B486,$F$2)))),COUNT($C$2:C485)+1,""))</f>
        <v>266</v>
      </c>
      <c r="G486" s="132" t="str">
        <f>IFERROR(INDEX($A$2:$A$507,MATCH(ROWS($G$2:G486),$C$2:$C$507,0)),IF(ROWS($G$2:G486)=1,"(sin matches)",""))</f>
        <v/>
      </c>
      <c r="I486" s="69">
        <f>IF($A486="","",IF(AND($B486&lt;&gt;"",ISNUMBER(SEARCH($I$7,$B486))),COUNT($I$9:I485)+1,""))</f>
        <v>265</v>
      </c>
    </row>
    <row r="487" spans="1:9" ht="16" x14ac:dyDescent="0.25">
      <c r="A487" s="69" t="str">
        <f>Listas!E482</f>
        <v>RC Cámara Salina | 48 hrs. | 960 hrs.</v>
      </c>
      <c r="B487" s="69" t="str">
        <f t="shared" si="7"/>
        <v>Otros</v>
      </c>
      <c r="C487" s="69">
        <f>IF($A487="","",IF(AND($B487&lt;&gt;"",IF($F$2="Otros",$B487="Otros",ISNUMBER(SEARCH($B487,$F$2)))),COUNT($C$2:C486)+1,""))</f>
        <v>267</v>
      </c>
      <c r="G487" s="132" t="str">
        <f>IFERROR(INDEX($A$2:$A$507,MATCH(ROWS($G$2:G487),$C$2:$C$507,0)),IF(ROWS($G$2:G487)=1,"(sin matches)",""))</f>
        <v/>
      </c>
      <c r="I487" s="69">
        <f>IF($A487="","",IF(AND($B487&lt;&gt;"",ISNUMBER(SEARCH($I$7,$B487))),COUNT($I$9:I486)+1,""))</f>
        <v>266</v>
      </c>
    </row>
    <row r="488" spans="1:9" ht="16" x14ac:dyDescent="0.25">
      <c r="A488" s="69" t="str">
        <f>Listas!E483</f>
        <v>RC Cámara Salina | 48 hrs. | No aplica</v>
      </c>
      <c r="B488" s="69" t="str">
        <f t="shared" si="7"/>
        <v>Otros</v>
      </c>
      <c r="C488" s="69">
        <f>IF($A488="","",IF(AND($B488&lt;&gt;"",IF($F$2="Otros",$B488="Otros",ISNUMBER(SEARCH($B488,$F$2)))),COUNT($C$2:C487)+1,""))</f>
        <v>268</v>
      </c>
      <c r="G488" s="132" t="str">
        <f>IFERROR(INDEX($A$2:$A$507,MATCH(ROWS($G$2:G488),$C$2:$C$507,0)),IF(ROWS($G$2:G488)=1,"(sin matches)",""))</f>
        <v/>
      </c>
      <c r="I488" s="69">
        <f>IF($A488="","",IF(AND($B488&lt;&gt;"",ISNUMBER(SEARCH($I$7,$B488))),COUNT($I$9:I487)+1,""))</f>
        <v>267</v>
      </c>
    </row>
    <row r="489" spans="1:9" ht="16" x14ac:dyDescent="0.25">
      <c r="A489" s="69" t="str">
        <f>Listas!E484</f>
        <v>RC Cámara Salina | 72 hrs. | 12 hrs.</v>
      </c>
      <c r="B489" s="69" t="str">
        <f t="shared" si="7"/>
        <v>Otros</v>
      </c>
      <c r="C489" s="69">
        <f>IF($A489="","",IF(AND($B489&lt;&gt;"",IF($F$2="Otros",$B489="Otros",ISNUMBER(SEARCH($B489,$F$2)))),COUNT($C$2:C488)+1,""))</f>
        <v>269</v>
      </c>
      <c r="G489" s="132" t="str">
        <f>IFERROR(INDEX($A$2:$A$507,MATCH(ROWS($G$2:G489),$C$2:$C$507,0)),IF(ROWS($G$2:G489)=1,"(sin matches)",""))</f>
        <v/>
      </c>
      <c r="I489" s="69">
        <f>IF($A489="","",IF(AND($B489&lt;&gt;"",ISNUMBER(SEARCH($I$7,$B489))),COUNT($I$9:I488)+1,""))</f>
        <v>268</v>
      </c>
    </row>
    <row r="490" spans="1:9" ht="16" x14ac:dyDescent="0.25">
      <c r="A490" s="69" t="str">
        <f>Listas!E485</f>
        <v>RC Cámara Salina | 72 hrs. | 120 hrs.</v>
      </c>
      <c r="B490" s="69" t="str">
        <f t="shared" si="7"/>
        <v>Otros</v>
      </c>
      <c r="C490" s="69">
        <f>IF($A490="","",IF(AND($B490&lt;&gt;"",IF($F$2="Otros",$B490="Otros",ISNUMBER(SEARCH($B490,$F$2)))),COUNT($C$2:C489)+1,""))</f>
        <v>270</v>
      </c>
      <c r="G490" s="132" t="str">
        <f>IFERROR(INDEX($A$2:$A$507,MATCH(ROWS($G$2:G490),$C$2:$C$507,0)),IF(ROWS($G$2:G490)=1,"(sin matches)",""))</f>
        <v/>
      </c>
      <c r="I490" s="69">
        <f>IF($A490="","",IF(AND($B490&lt;&gt;"",ISNUMBER(SEARCH($I$7,$B490))),COUNT($I$9:I489)+1,""))</f>
        <v>269</v>
      </c>
    </row>
    <row r="491" spans="1:9" ht="16" x14ac:dyDescent="0.25">
      <c r="A491" s="69" t="str">
        <f>Listas!E486</f>
        <v>RC Cámara Salina | 72 hrs. | 144 hrs.</v>
      </c>
      <c r="B491" s="69" t="str">
        <f t="shared" si="7"/>
        <v>Otros</v>
      </c>
      <c r="C491" s="69">
        <f>IF($A491="","",IF(AND($B491&lt;&gt;"",IF($F$2="Otros",$B491="Otros",ISNUMBER(SEARCH($B491,$F$2)))),COUNT($C$2:C490)+1,""))</f>
        <v>271</v>
      </c>
      <c r="G491" s="132" t="str">
        <f>IFERROR(INDEX($A$2:$A$507,MATCH(ROWS($G$2:G491),$C$2:$C$507,0)),IF(ROWS($G$2:G491)=1,"(sin matches)",""))</f>
        <v/>
      </c>
      <c r="I491" s="69">
        <f>IF($A491="","",IF(AND($B491&lt;&gt;"",ISNUMBER(SEARCH($I$7,$B491))),COUNT($I$9:I490)+1,""))</f>
        <v>270</v>
      </c>
    </row>
    <row r="492" spans="1:9" ht="16" x14ac:dyDescent="0.25">
      <c r="A492" s="69" t="str">
        <f>Listas!E487</f>
        <v>RC Cámara Salina | 72 hrs. | 16 hrs.</v>
      </c>
      <c r="B492" s="69" t="str">
        <f t="shared" si="7"/>
        <v>Otros</v>
      </c>
      <c r="C492" s="69">
        <f>IF($A492="","",IF(AND($B492&lt;&gt;"",IF($F$2="Otros",$B492="Otros",ISNUMBER(SEARCH($B492,$F$2)))),COUNT($C$2:C491)+1,""))</f>
        <v>272</v>
      </c>
      <c r="G492" s="132" t="str">
        <f>IFERROR(INDEX($A$2:$A$507,MATCH(ROWS($G$2:G492),$C$2:$C$507,0)),IF(ROWS($G$2:G492)=1,"(sin matches)",""))</f>
        <v/>
      </c>
      <c r="I492" s="69">
        <f>IF($A492="","",IF(AND($B492&lt;&gt;"",ISNUMBER(SEARCH($I$7,$B492))),COUNT($I$9:I491)+1,""))</f>
        <v>271</v>
      </c>
    </row>
    <row r="493" spans="1:9" ht="16" x14ac:dyDescent="0.25">
      <c r="A493" s="69" t="str">
        <f>Listas!E488</f>
        <v>RC Cámara Salina | 72 hrs. | 172 hrs.</v>
      </c>
      <c r="B493" s="69" t="str">
        <f t="shared" si="7"/>
        <v>Otros</v>
      </c>
      <c r="C493" s="69">
        <f>IF($A493="","",IF(AND($B493&lt;&gt;"",IF($F$2="Otros",$B493="Otros",ISNUMBER(SEARCH($B493,$F$2)))),COUNT($C$2:C492)+1,""))</f>
        <v>273</v>
      </c>
      <c r="G493" s="132" t="str">
        <f>IFERROR(INDEX($A$2:$A$507,MATCH(ROWS($G$2:G493),$C$2:$C$507,0)),IF(ROWS($G$2:G493)=1,"(sin matches)",""))</f>
        <v/>
      </c>
      <c r="I493" s="69">
        <f>IF($A493="","",IF(AND($B493&lt;&gt;"",ISNUMBER(SEARCH($I$7,$B493))),COUNT($I$9:I492)+1,""))</f>
        <v>272</v>
      </c>
    </row>
    <row r="494" spans="1:9" ht="16" x14ac:dyDescent="0.25">
      <c r="A494" s="69" t="str">
        <f>Listas!E489</f>
        <v>RC Cámara Salina | 72 hrs. | 200 hrs.</v>
      </c>
      <c r="B494" s="69" t="str">
        <f t="shared" si="7"/>
        <v>Otros</v>
      </c>
      <c r="C494" s="69">
        <f>IF($A494="","",IF(AND($B494&lt;&gt;"",IF($F$2="Otros",$B494="Otros",ISNUMBER(SEARCH($B494,$F$2)))),COUNT($C$2:C493)+1,""))</f>
        <v>274</v>
      </c>
      <c r="G494" s="132" t="str">
        <f>IFERROR(INDEX($A$2:$A$507,MATCH(ROWS($G$2:G494),$C$2:$C$507,0)),IF(ROWS($G$2:G494)=1,"(sin matches)",""))</f>
        <v/>
      </c>
      <c r="I494" s="69">
        <f>IF($A494="","",IF(AND($B494&lt;&gt;"",ISNUMBER(SEARCH($I$7,$B494))),COUNT($I$9:I493)+1,""))</f>
        <v>273</v>
      </c>
    </row>
    <row r="495" spans="1:9" ht="16" x14ac:dyDescent="0.25">
      <c r="A495" s="69" t="str">
        <f>Listas!E490</f>
        <v>RC Cámara Salina | 72 hrs. | 24 hrs.</v>
      </c>
      <c r="B495" s="69" t="str">
        <f t="shared" si="7"/>
        <v>Otros</v>
      </c>
      <c r="C495" s="69">
        <f>IF($A495="","",IF(AND($B495&lt;&gt;"",IF($F$2="Otros",$B495="Otros",ISNUMBER(SEARCH($B495,$F$2)))),COUNT($C$2:C494)+1,""))</f>
        <v>275</v>
      </c>
      <c r="G495" s="132" t="str">
        <f>IFERROR(INDEX($A$2:$A$507,MATCH(ROWS($G$2:G495),$C$2:$C$507,0)),IF(ROWS($G$2:G495)=1,"(sin matches)",""))</f>
        <v/>
      </c>
      <c r="I495" s="69">
        <f>IF($A495="","",IF(AND($B495&lt;&gt;"",ISNUMBER(SEARCH($I$7,$B495))),COUNT($I$9:I494)+1,""))</f>
        <v>274</v>
      </c>
    </row>
    <row r="496" spans="1:9" ht="16" x14ac:dyDescent="0.25">
      <c r="A496" s="69" t="str">
        <f>Listas!E491</f>
        <v>RC Cámara Salina | 72 hrs. | 240 hrs.</v>
      </c>
      <c r="B496" s="69" t="str">
        <f t="shared" si="7"/>
        <v>Otros</v>
      </c>
      <c r="C496" s="69">
        <f>IF($A496="","",IF(AND($B496&lt;&gt;"",IF($F$2="Otros",$B496="Otros",ISNUMBER(SEARCH($B496,$F$2)))),COUNT($C$2:C495)+1,""))</f>
        <v>276</v>
      </c>
      <c r="G496" s="132" t="str">
        <f>IFERROR(INDEX($A$2:$A$507,MATCH(ROWS($G$2:G496),$C$2:$C$507,0)),IF(ROWS($G$2:G496)=1,"(sin matches)",""))</f>
        <v/>
      </c>
      <c r="I496" s="69">
        <f>IF($A496="","",IF(AND($B496&lt;&gt;"",ISNUMBER(SEARCH($I$7,$B496))),COUNT($I$9:I495)+1,""))</f>
        <v>275</v>
      </c>
    </row>
    <row r="497" spans="1:9" ht="16" x14ac:dyDescent="0.25">
      <c r="A497" s="69" t="str">
        <f>Listas!E492</f>
        <v>RC Cámara Salina | 72 hrs. | 36 hrs.</v>
      </c>
      <c r="B497" s="69" t="str">
        <f t="shared" si="7"/>
        <v>Otros</v>
      </c>
      <c r="C497" s="69">
        <f>IF($A497="","",IF(AND($B497&lt;&gt;"",IF($F$2="Otros",$B497="Otros",ISNUMBER(SEARCH($B497,$F$2)))),COUNT($C$2:C496)+1,""))</f>
        <v>277</v>
      </c>
      <c r="G497" s="132" t="str">
        <f>IFERROR(INDEX($A$2:$A$507,MATCH(ROWS($G$2:G497),$C$2:$C$507,0)),IF(ROWS($G$2:G497)=1,"(sin matches)",""))</f>
        <v/>
      </c>
      <c r="I497" s="69">
        <f>IF($A497="","",IF(AND($B497&lt;&gt;"",ISNUMBER(SEARCH($I$7,$B497))),COUNT($I$9:I496)+1,""))</f>
        <v>276</v>
      </c>
    </row>
    <row r="498" spans="1:9" ht="16" x14ac:dyDescent="0.25">
      <c r="A498" s="69" t="str">
        <f>Listas!E493</f>
        <v>RC Cámara Salina | 72 hrs. | 360 hrs.</v>
      </c>
      <c r="B498" s="69" t="str">
        <f t="shared" si="7"/>
        <v>Otros</v>
      </c>
      <c r="C498" s="69">
        <f>IF($A498="","",IF(AND($B498&lt;&gt;"",IF($F$2="Otros",$B498="Otros",ISNUMBER(SEARCH($B498,$F$2)))),COUNT($C$2:C497)+1,""))</f>
        <v>278</v>
      </c>
      <c r="G498" s="132" t="str">
        <f>IFERROR(INDEX($A$2:$A$507,MATCH(ROWS($G$2:G498),$C$2:$C$507,0)),IF(ROWS($G$2:G498)=1,"(sin matches)",""))</f>
        <v/>
      </c>
      <c r="I498" s="69">
        <f>IF($A498="","",IF(AND($B498&lt;&gt;"",ISNUMBER(SEARCH($I$7,$B498))),COUNT($I$9:I497)+1,""))</f>
        <v>277</v>
      </c>
    </row>
    <row r="499" spans="1:9" ht="16" x14ac:dyDescent="0.25">
      <c r="A499" s="69" t="str">
        <f>Listas!E494</f>
        <v>RC Cámara Salina | 72 hrs. | 48 hrs.</v>
      </c>
      <c r="B499" s="69" t="str">
        <f t="shared" si="7"/>
        <v>Otros</v>
      </c>
      <c r="C499" s="69">
        <f>IF($A499="","",IF(AND($B499&lt;&gt;"",IF($F$2="Otros",$B499="Otros",ISNUMBER(SEARCH($B499,$F$2)))),COUNT($C$2:C498)+1,""))</f>
        <v>279</v>
      </c>
      <c r="G499" s="132" t="str">
        <f>IFERROR(INDEX($A$2:$A$507,MATCH(ROWS($G$2:G499),$C$2:$C$507,0)),IF(ROWS($G$2:G499)=1,"(sin matches)",""))</f>
        <v/>
      </c>
      <c r="I499" s="69">
        <f>IF($A499="","",IF(AND($B499&lt;&gt;"",ISNUMBER(SEARCH($I$7,$B499))),COUNT($I$9:I498)+1,""))</f>
        <v>278</v>
      </c>
    </row>
    <row r="500" spans="1:9" x14ac:dyDescent="0.2">
      <c r="A500" s="69" t="str">
        <f>Listas!E495</f>
        <v>RC Cámara Salina | 72 hrs. | 480 hrs.</v>
      </c>
      <c r="B500" s="69" t="str">
        <f t="shared" si="7"/>
        <v>Otros</v>
      </c>
      <c r="C500" s="69">
        <f>IF($A500="","",IF(AND($B500&lt;&gt;"",IF($F$2="Otros",$B500="Otros",ISNUMBER(SEARCH($B500,$F$2)))),COUNT($C$2:C499)+1,""))</f>
        <v>280</v>
      </c>
      <c r="I500" s="69">
        <f>IF($A500="","",IF(AND($B500&lt;&gt;"",ISNUMBER(SEARCH($I$7,$B500))),COUNT($I$9:I499)+1,""))</f>
        <v>279</v>
      </c>
    </row>
    <row r="501" spans="1:9" x14ac:dyDescent="0.2">
      <c r="A501" s="69" t="str">
        <f>Listas!E496</f>
        <v>RC Cámara Salina | 72 hrs. | 500 hrs.</v>
      </c>
      <c r="B501" s="69" t="str">
        <f t="shared" si="7"/>
        <v>Otros</v>
      </c>
      <c r="C501" s="69">
        <f>IF($A501="","",IF(AND($B501&lt;&gt;"",IF($F$2="Otros",$B501="Otros",ISNUMBER(SEARCH($B501,$F$2)))),COUNT($C$2:C500)+1,""))</f>
        <v>281</v>
      </c>
      <c r="I501" s="69">
        <f>IF($A501="","",IF(AND($B501&lt;&gt;"",ISNUMBER(SEARCH($I$7,$B501))),COUNT($I$9:I500)+1,""))</f>
        <v>280</v>
      </c>
    </row>
    <row r="502" spans="1:9" x14ac:dyDescent="0.2">
      <c r="A502" s="69" t="str">
        <f>Listas!E497</f>
        <v>RC Cámara Salina | 72 hrs. | 72 hrs.</v>
      </c>
      <c r="B502" s="69" t="str">
        <f t="shared" si="7"/>
        <v>Otros</v>
      </c>
      <c r="C502" s="69">
        <f>IF($A502="","",IF(AND($B502&lt;&gt;"",IF($F$2="Otros",$B502="Otros",ISNUMBER(SEARCH($B502,$F$2)))),COUNT($C$2:C501)+1,""))</f>
        <v>282</v>
      </c>
      <c r="I502" s="69">
        <f>IF($A502="","",IF(AND($B502&lt;&gt;"",ISNUMBER(SEARCH($I$7,$B502))),COUNT($I$9:I501)+1,""))</f>
        <v>281</v>
      </c>
    </row>
    <row r="503" spans="1:9" x14ac:dyDescent="0.2">
      <c r="A503" s="69" t="str">
        <f>Listas!E498</f>
        <v>RC Cámara Salina | 72 hrs. | 720 hrs.</v>
      </c>
      <c r="B503" s="69" t="str">
        <f t="shared" si="7"/>
        <v>Otros</v>
      </c>
      <c r="C503" s="69">
        <f>IF($A503="","",IF(AND($B503&lt;&gt;"",IF($F$2="Otros",$B503="Otros",ISNUMBER(SEARCH($B503,$F$2)))),COUNT($C$2:C502)+1,""))</f>
        <v>283</v>
      </c>
      <c r="I503" s="69">
        <f>IF($A503="","",IF(AND($B503&lt;&gt;"",ISNUMBER(SEARCH($I$7,$B503))),COUNT($I$9:I502)+1,""))</f>
        <v>282</v>
      </c>
    </row>
    <row r="504" spans="1:9" x14ac:dyDescent="0.2">
      <c r="A504" s="69" t="str">
        <f>Listas!E499</f>
        <v>RC Cámara Salina | 72 hrs. | 96 hrs.</v>
      </c>
      <c r="B504" s="69" t="str">
        <f t="shared" si="7"/>
        <v>Otros</v>
      </c>
      <c r="C504" s="69">
        <f>IF($A504="","",IF(AND($B504&lt;&gt;"",IF($F$2="Otros",$B504="Otros",ISNUMBER(SEARCH($B504,$F$2)))),COUNT($C$2:C503)+1,""))</f>
        <v>284</v>
      </c>
      <c r="I504" s="69">
        <f>IF($A504="","",IF(AND($B504&lt;&gt;"",ISNUMBER(SEARCH($I$7,$B504))),COUNT($I$9:I503)+1,""))</f>
        <v>283</v>
      </c>
    </row>
    <row r="505" spans="1:9" x14ac:dyDescent="0.2">
      <c r="A505" s="69" t="str">
        <f>Listas!E500</f>
        <v>RC Cámara Salina | 72 hrs. | 960 hrs.</v>
      </c>
      <c r="B505" s="69" t="str">
        <f t="shared" si="7"/>
        <v>Otros</v>
      </c>
      <c r="C505" s="69">
        <f>IF($A505="","",IF(AND($B505&lt;&gt;"",IF($F$2="Otros",$B505="Otros",ISNUMBER(SEARCH($B505,$F$2)))),COUNT($C$2:C504)+1,""))</f>
        <v>285</v>
      </c>
      <c r="I505" s="69">
        <f>IF($A505="","",IF(AND($B505&lt;&gt;"",ISNUMBER(SEARCH($I$7,$B505))),COUNT($I$9:I504)+1,""))</f>
        <v>284</v>
      </c>
    </row>
    <row r="506" spans="1:9" x14ac:dyDescent="0.2">
      <c r="A506" s="69" t="str">
        <f>Listas!E501</f>
        <v>RC Cámara Salina | 72 hrs. | No aplica</v>
      </c>
      <c r="B506" s="69" t="str">
        <f t="shared" si="7"/>
        <v>Otros</v>
      </c>
      <c r="C506" s="69">
        <f>IF($A506="","",IF(AND($B506&lt;&gt;"",IF($F$2="Otros",$B506="Otros",ISNUMBER(SEARCH($B506,$F$2)))),COUNT($C$2:C505)+1,""))</f>
        <v>286</v>
      </c>
      <c r="I506" s="69">
        <f>IF($A506="","",IF(AND($B506&lt;&gt;"",ISNUMBER(SEARCH($I$7,$B506))),COUNT($I$9:I505)+1,""))</f>
        <v>285</v>
      </c>
    </row>
    <row r="507" spans="1:9" x14ac:dyDescent="0.2">
      <c r="A507" s="69" t="str">
        <f>Listas!E502</f>
        <v>RC Cámara Salina | 8 hrs. | 12 hrs.</v>
      </c>
      <c r="B507" s="69" t="str">
        <f t="shared" si="7"/>
        <v>Otros</v>
      </c>
      <c r="C507" s="69">
        <f>IF($A507="","",IF(AND($B507&lt;&gt;"",IF($F$2="Otros",$B507="Otros",ISNUMBER(SEARCH($B507,$F$2)))),COUNT($C$2:C506)+1,""))</f>
        <v>287</v>
      </c>
      <c r="I507" s="69">
        <f>IF($A507="","",IF(AND($B507&lt;&gt;"",ISNUMBER(SEARCH($I$7,$B507))),COUNT($I$9:I506)+1,""))</f>
        <v>286</v>
      </c>
    </row>
    <row r="508" spans="1:9" x14ac:dyDescent="0.2">
      <c r="A508" s="69" t="str">
        <f>Listas!E503</f>
        <v>RC Cámara Salina | 8 hrs. | 120 hrs.</v>
      </c>
      <c r="B508" s="69" t="str">
        <f t="shared" si="7"/>
        <v>Otros</v>
      </c>
      <c r="C508" s="69">
        <f>IF($A508="","",IF(AND($B508&lt;&gt;"",IF($F$2="Otros",$B508="Otros",ISNUMBER(SEARCH($B508,$F$2)))),COUNT($C$2:C507)+1,""))</f>
        <v>288</v>
      </c>
    </row>
    <row r="509" spans="1:9" x14ac:dyDescent="0.2">
      <c r="A509" s="69" t="str">
        <f>Listas!E504</f>
        <v>RC Cámara Salina | 8 hrs. | 144 hrs.</v>
      </c>
      <c r="B509" s="69" t="str">
        <f t="shared" si="7"/>
        <v>Otros</v>
      </c>
      <c r="C509" s="69">
        <f>IF($A509="","",IF(AND($B509&lt;&gt;"",IF($F$2="Otros",$B509="Otros",ISNUMBER(SEARCH($B509,$F$2)))),COUNT($C$2:C508)+1,""))</f>
        <v>289</v>
      </c>
    </row>
    <row r="510" spans="1:9" x14ac:dyDescent="0.2">
      <c r="A510" s="69" t="str">
        <f>Listas!E505</f>
        <v>RC Cámara Salina | 8 hrs. | 16 hrs.</v>
      </c>
      <c r="B510" s="69" t="str">
        <f t="shared" si="7"/>
        <v>Otros</v>
      </c>
      <c r="C510" s="69">
        <f>IF($A510="","",IF(AND($B510&lt;&gt;"",IF($F$2="Otros",$B510="Otros",ISNUMBER(SEARCH($B510,$F$2)))),COUNT($C$2:C509)+1,""))</f>
        <v>290</v>
      </c>
    </row>
    <row r="511" spans="1:9" x14ac:dyDescent="0.2">
      <c r="A511" s="69" t="str">
        <f>Listas!E506</f>
        <v>RC Cámara Salina | 8 hrs. | 172 hrs.</v>
      </c>
      <c r="B511" s="69" t="str">
        <f t="shared" si="7"/>
        <v>Otros</v>
      </c>
      <c r="C511" s="69">
        <f>IF($A511="","",IF(AND($B511&lt;&gt;"",IF($F$2="Otros",$B511="Otros",ISNUMBER(SEARCH($B511,$F$2)))),COUNT($C$2:C510)+1,""))</f>
        <v>291</v>
      </c>
    </row>
    <row r="512" spans="1:9" x14ac:dyDescent="0.2">
      <c r="A512" s="69" t="str">
        <f>Listas!E507</f>
        <v>RC Cámara Salina | 8 hrs. | 200 hrs.</v>
      </c>
      <c r="B512" s="69" t="str">
        <f t="shared" si="7"/>
        <v>Otros</v>
      </c>
      <c r="C512" s="69">
        <f>IF($A512="","",IF(AND($B512&lt;&gt;"",IF($F$2="Otros",$B512="Otros",ISNUMBER(SEARCH($B512,$F$2)))),COUNT($C$2:C511)+1,""))</f>
        <v>292</v>
      </c>
    </row>
    <row r="513" spans="1:3" x14ac:dyDescent="0.2">
      <c r="A513" s="69" t="str">
        <f>Listas!E508</f>
        <v>RC Cámara Salina | 8 hrs. | 24 hrs.</v>
      </c>
      <c r="B513" s="69" t="str">
        <f t="shared" si="7"/>
        <v>Otros</v>
      </c>
      <c r="C513" s="69">
        <f>IF($A513="","",IF(AND($B513&lt;&gt;"",IF($F$2="Otros",$B513="Otros",ISNUMBER(SEARCH($B513,$F$2)))),COUNT($C$2:C512)+1,""))</f>
        <v>293</v>
      </c>
    </row>
    <row r="514" spans="1:3" x14ac:dyDescent="0.2">
      <c r="A514" s="69" t="str">
        <f>Listas!E509</f>
        <v>RC Cámara Salina | 8 hrs. | 240 hrs.</v>
      </c>
      <c r="B514" s="69" t="str">
        <f t="shared" si="7"/>
        <v>Otros</v>
      </c>
      <c r="C514" s="69">
        <f>IF($A514="","",IF(AND($B514&lt;&gt;"",IF($F$2="Otros",$B514="Otros",ISNUMBER(SEARCH($B514,$F$2)))),COUNT($C$2:C513)+1,""))</f>
        <v>294</v>
      </c>
    </row>
    <row r="515" spans="1:3" x14ac:dyDescent="0.2">
      <c r="A515" s="69" t="str">
        <f>Listas!E510</f>
        <v>RC Cámara Salina | 8 hrs. | 36 hrs.</v>
      </c>
      <c r="B515" s="69" t="str">
        <f t="shared" si="7"/>
        <v>Otros</v>
      </c>
      <c r="C515" s="69">
        <f>IF($A515="","",IF(AND($B515&lt;&gt;"",IF($F$2="Otros",$B515="Otros",ISNUMBER(SEARCH($B515,$F$2)))),COUNT($C$2:C514)+1,""))</f>
        <v>295</v>
      </c>
    </row>
    <row r="516" spans="1:3" x14ac:dyDescent="0.2">
      <c r="A516" s="69" t="str">
        <f>Listas!E511</f>
        <v>RC Cámara Salina | 8 hrs. | 360 hrs.</v>
      </c>
      <c r="B516" s="69" t="str">
        <f t="shared" si="7"/>
        <v>Otros</v>
      </c>
      <c r="C516" s="69">
        <f>IF($A516="","",IF(AND($B516&lt;&gt;"",IF($F$2="Otros",$B516="Otros",ISNUMBER(SEARCH($B516,$F$2)))),COUNT($C$2:C515)+1,""))</f>
        <v>296</v>
      </c>
    </row>
    <row r="517" spans="1:3" x14ac:dyDescent="0.2">
      <c r="A517" s="69" t="str">
        <f>Listas!E512</f>
        <v>RC Cámara Salina | 8 hrs. | 48 hrs.</v>
      </c>
      <c r="B517" s="69" t="str">
        <f t="shared" si="7"/>
        <v>Otros</v>
      </c>
      <c r="C517" s="69">
        <f>IF($A517="","",IF(AND($B517&lt;&gt;"",IF($F$2="Otros",$B517="Otros",ISNUMBER(SEARCH($B517,$F$2)))),COUNT($C$2:C516)+1,""))</f>
        <v>297</v>
      </c>
    </row>
    <row r="518" spans="1:3" x14ac:dyDescent="0.2">
      <c r="A518" s="69" t="str">
        <f>Listas!E513</f>
        <v>RC Cámara Salina | 8 hrs. | 480 hrs.</v>
      </c>
      <c r="B518" s="69" t="str">
        <f t="shared" si="7"/>
        <v>Otros</v>
      </c>
      <c r="C518" s="69">
        <f>IF($A518="","",IF(AND($B518&lt;&gt;"",IF($F$2="Otros",$B518="Otros",ISNUMBER(SEARCH($B518,$F$2)))),COUNT($C$2:C517)+1,""))</f>
        <v>298</v>
      </c>
    </row>
    <row r="519" spans="1:3" x14ac:dyDescent="0.2">
      <c r="A519" s="69" t="str">
        <f>Listas!E514</f>
        <v>RC Cámara Salina | 8 hrs. | 500 hrs.</v>
      </c>
      <c r="B519" s="69" t="str">
        <f t="shared" si="7"/>
        <v>Otros</v>
      </c>
      <c r="C519" s="69">
        <f>IF($A519="","",IF(AND($B519&lt;&gt;"",IF($F$2="Otros",$B519="Otros",ISNUMBER(SEARCH($B519,$F$2)))),COUNT($C$2:C518)+1,""))</f>
        <v>299</v>
      </c>
    </row>
    <row r="520" spans="1:3" x14ac:dyDescent="0.2">
      <c r="A520" s="69" t="str">
        <f>Listas!E515</f>
        <v>RC Cámara Salina | 8 hrs. | 72 hrs.</v>
      </c>
      <c r="B520" s="69" t="str">
        <f t="shared" si="7"/>
        <v>Otros</v>
      </c>
      <c r="C520" s="69">
        <f>IF($A520="","",IF(AND($B520&lt;&gt;"",IF($F$2="Otros",$B520="Otros",ISNUMBER(SEARCH($B520,$F$2)))),COUNT($C$2:C519)+1,""))</f>
        <v>300</v>
      </c>
    </row>
    <row r="521" spans="1:3" x14ac:dyDescent="0.2">
      <c r="A521" s="69" t="str">
        <f>Listas!E516</f>
        <v>RC Cámara Salina | 8 hrs. | 720 hrs.</v>
      </c>
      <c r="B521" s="69" t="str">
        <f t="shared" si="7"/>
        <v>Otros</v>
      </c>
      <c r="C521" s="69">
        <f>IF($A521="","",IF(AND($B521&lt;&gt;"",IF($F$2="Otros",$B521="Otros",ISNUMBER(SEARCH($B521,$F$2)))),COUNT($C$2:C520)+1,""))</f>
        <v>301</v>
      </c>
    </row>
    <row r="522" spans="1:3" x14ac:dyDescent="0.2">
      <c r="A522" s="69" t="str">
        <f>Listas!E517</f>
        <v>RC Cámara Salina | 8 hrs. | 96 hrs.</v>
      </c>
      <c r="B522" s="69" t="str">
        <f t="shared" ref="B522:B585" si="8">IF(OR(A522="",A522=0),"",IF(_xlfn.TEXTJOIN("+",TRUE,IF(ISNUMBER(SEARCH("Plata",A522&amp;"")),"Plata",""),IF(ISNUMBER(SEARCH("Níquel",A522&amp;"")),"Níquel",""),IF(ISNUMBER(SEARCH("Estaño",A522&amp;"")),"Estaño",""),IF(ISNUMBER(SEARCH("Zinc",A522&amp;"")),"Zinc",""),IF(ISNUMBER(SEARCH("Epóxico",A522&amp;"")),"Epóxico",""))="","Otros",_xlfn.TEXTJOIN("+",TRUE,IF(ISNUMBER(SEARCH("Plata",A522&amp;"")),"Plata",""),IF(ISNUMBER(SEARCH("Níquel",A522&amp;"")),"Níquel",""),IF(ISNUMBER(SEARCH("Estaño",A522&amp;"")),"Estaño",""),IF(ISNUMBER(SEARCH("Zinc",A522&amp;"")),"Zinc",""),IF(ISNUMBER(SEARCH("Epóxico",A522&amp;"")),"Epóxico",""))))</f>
        <v>Otros</v>
      </c>
      <c r="C522" s="69">
        <f>IF($A522="","",IF(AND($B522&lt;&gt;"",IF($F$2="Otros",$B522="Otros",ISNUMBER(SEARCH($B522,$F$2)))),COUNT($C$2:C521)+1,""))</f>
        <v>302</v>
      </c>
    </row>
    <row r="523" spans="1:3" x14ac:dyDescent="0.2">
      <c r="A523" s="69" t="str">
        <f>Listas!E518</f>
        <v>RC Cámara Salina | 8 hrs. | 960 hrs.</v>
      </c>
      <c r="B523" s="69" t="str">
        <f t="shared" si="8"/>
        <v>Otros</v>
      </c>
      <c r="C523" s="69">
        <f>IF($A523="","",IF(AND($B523&lt;&gt;"",IF($F$2="Otros",$B523="Otros",ISNUMBER(SEARCH($B523,$F$2)))),COUNT($C$2:C522)+1,""))</f>
        <v>303</v>
      </c>
    </row>
    <row r="524" spans="1:3" x14ac:dyDescent="0.2">
      <c r="A524" s="69" t="str">
        <f>Listas!E519</f>
        <v>RC Cámara Salina | 8 hrs. | No aplica</v>
      </c>
      <c r="B524" s="69" t="str">
        <f t="shared" si="8"/>
        <v>Otros</v>
      </c>
      <c r="C524" s="69">
        <f>IF($A524="","",IF(AND($B524&lt;&gt;"",IF($F$2="Otros",$B524="Otros",ISNUMBER(SEARCH($B524,$F$2)))),COUNT($C$2:C523)+1,""))</f>
        <v>304</v>
      </c>
    </row>
    <row r="525" spans="1:3" x14ac:dyDescent="0.2">
      <c r="A525" s="69" t="str">
        <f>Listas!E520</f>
        <v>RC Cámara Salina | 80 hrs. | 12 hrs.</v>
      </c>
      <c r="B525" s="69" t="str">
        <f t="shared" si="8"/>
        <v>Otros</v>
      </c>
      <c r="C525" s="69">
        <f>IF($A525="","",IF(AND($B525&lt;&gt;"",IF($F$2="Otros",$B525="Otros",ISNUMBER(SEARCH($B525,$F$2)))),COUNT($C$2:C524)+1,""))</f>
        <v>305</v>
      </c>
    </row>
    <row r="526" spans="1:3" x14ac:dyDescent="0.2">
      <c r="A526" s="69" t="str">
        <f>Listas!E521</f>
        <v>RC Cámara Salina | 80 hrs. | 120 hrs.</v>
      </c>
      <c r="B526" s="69" t="str">
        <f t="shared" si="8"/>
        <v>Otros</v>
      </c>
      <c r="C526" s="69">
        <f>IF($A526="","",IF(AND($B526&lt;&gt;"",IF($F$2="Otros",$B526="Otros",ISNUMBER(SEARCH($B526,$F$2)))),COUNT($C$2:C525)+1,""))</f>
        <v>306</v>
      </c>
    </row>
    <row r="527" spans="1:3" x14ac:dyDescent="0.2">
      <c r="A527" s="69" t="str">
        <f>Listas!E522</f>
        <v>RC Cámara Salina | 80 hrs. | 144 hrs.</v>
      </c>
      <c r="B527" s="69" t="str">
        <f t="shared" si="8"/>
        <v>Otros</v>
      </c>
      <c r="C527" s="69">
        <f>IF($A527="","",IF(AND($B527&lt;&gt;"",IF($F$2="Otros",$B527="Otros",ISNUMBER(SEARCH($B527,$F$2)))),COUNT($C$2:C526)+1,""))</f>
        <v>307</v>
      </c>
    </row>
    <row r="528" spans="1:3" x14ac:dyDescent="0.2">
      <c r="A528" s="69" t="str">
        <f>Listas!E523</f>
        <v>RC Cámara Salina | 80 hrs. | 16 hrs.</v>
      </c>
      <c r="B528" s="69" t="str">
        <f t="shared" si="8"/>
        <v>Otros</v>
      </c>
      <c r="C528" s="69">
        <f>IF($A528="","",IF(AND($B528&lt;&gt;"",IF($F$2="Otros",$B528="Otros",ISNUMBER(SEARCH($B528,$F$2)))),COUNT($C$2:C527)+1,""))</f>
        <v>308</v>
      </c>
    </row>
    <row r="529" spans="1:3" x14ac:dyDescent="0.2">
      <c r="A529" s="69" t="str">
        <f>Listas!E524</f>
        <v>RC Cámara Salina | 80 hrs. | 172 hrs.</v>
      </c>
      <c r="B529" s="69" t="str">
        <f t="shared" si="8"/>
        <v>Otros</v>
      </c>
      <c r="C529" s="69">
        <f>IF($A529="","",IF(AND($B529&lt;&gt;"",IF($F$2="Otros",$B529="Otros",ISNUMBER(SEARCH($B529,$F$2)))),COUNT($C$2:C528)+1,""))</f>
        <v>309</v>
      </c>
    </row>
    <row r="530" spans="1:3" x14ac:dyDescent="0.2">
      <c r="A530" s="69" t="str">
        <f>Listas!E525</f>
        <v>RC Cámara Salina | 80 hrs. | 200 hrs.</v>
      </c>
      <c r="B530" s="69" t="str">
        <f t="shared" si="8"/>
        <v>Otros</v>
      </c>
      <c r="C530" s="69">
        <f>IF($A530="","",IF(AND($B530&lt;&gt;"",IF($F$2="Otros",$B530="Otros",ISNUMBER(SEARCH($B530,$F$2)))),COUNT($C$2:C529)+1,""))</f>
        <v>310</v>
      </c>
    </row>
    <row r="531" spans="1:3" x14ac:dyDescent="0.2">
      <c r="A531" s="69" t="str">
        <f>Listas!E526</f>
        <v>RC Cámara Salina | 80 hrs. | 24 hrs.</v>
      </c>
      <c r="B531" s="69" t="str">
        <f t="shared" si="8"/>
        <v>Otros</v>
      </c>
      <c r="C531" s="69">
        <f>IF($A531="","",IF(AND($B531&lt;&gt;"",IF($F$2="Otros",$B531="Otros",ISNUMBER(SEARCH($B531,$F$2)))),COUNT($C$2:C530)+1,""))</f>
        <v>311</v>
      </c>
    </row>
    <row r="532" spans="1:3" x14ac:dyDescent="0.2">
      <c r="A532" s="69" t="str">
        <f>Listas!E527</f>
        <v>RC Cámara Salina | 80 hrs. | 240 hrs.</v>
      </c>
      <c r="B532" s="69" t="str">
        <f t="shared" si="8"/>
        <v>Otros</v>
      </c>
      <c r="C532" s="69">
        <f>IF($A532="","",IF(AND($B532&lt;&gt;"",IF($F$2="Otros",$B532="Otros",ISNUMBER(SEARCH($B532,$F$2)))),COUNT($C$2:C531)+1,""))</f>
        <v>312</v>
      </c>
    </row>
    <row r="533" spans="1:3" x14ac:dyDescent="0.2">
      <c r="A533" s="69" t="str">
        <f>Listas!E528</f>
        <v>RC Cámara Salina | 80 hrs. | 36 hrs.</v>
      </c>
      <c r="B533" s="69" t="str">
        <f t="shared" si="8"/>
        <v>Otros</v>
      </c>
      <c r="C533" s="69">
        <f>IF($A533="","",IF(AND($B533&lt;&gt;"",IF($F$2="Otros",$B533="Otros",ISNUMBER(SEARCH($B533,$F$2)))),COUNT($C$2:C532)+1,""))</f>
        <v>313</v>
      </c>
    </row>
    <row r="534" spans="1:3" x14ac:dyDescent="0.2">
      <c r="A534" s="69" t="str">
        <f>Listas!E529</f>
        <v>RC Cámara Salina | 80 hrs. | 360 hrs.</v>
      </c>
      <c r="B534" s="69" t="str">
        <f t="shared" si="8"/>
        <v>Otros</v>
      </c>
      <c r="C534" s="69">
        <f>IF($A534="","",IF(AND($B534&lt;&gt;"",IF($F$2="Otros",$B534="Otros",ISNUMBER(SEARCH($B534,$F$2)))),COUNT($C$2:C533)+1,""))</f>
        <v>314</v>
      </c>
    </row>
    <row r="535" spans="1:3" x14ac:dyDescent="0.2">
      <c r="A535" s="69" t="str">
        <f>Listas!E530</f>
        <v>RC Cámara Salina | 80 hrs. | 48 hrs.</v>
      </c>
      <c r="B535" s="69" t="str">
        <f t="shared" si="8"/>
        <v>Otros</v>
      </c>
      <c r="C535" s="69">
        <f>IF($A535="","",IF(AND($B535&lt;&gt;"",IF($F$2="Otros",$B535="Otros",ISNUMBER(SEARCH($B535,$F$2)))),COUNT($C$2:C534)+1,""))</f>
        <v>315</v>
      </c>
    </row>
    <row r="536" spans="1:3" x14ac:dyDescent="0.2">
      <c r="A536" s="69" t="str">
        <f>Listas!E531</f>
        <v>RC Cámara Salina | 80 hrs. | 480 hrs.</v>
      </c>
      <c r="B536" s="69" t="str">
        <f t="shared" si="8"/>
        <v>Otros</v>
      </c>
      <c r="C536" s="69">
        <f>IF($A536="","",IF(AND($B536&lt;&gt;"",IF($F$2="Otros",$B536="Otros",ISNUMBER(SEARCH($B536,$F$2)))),COUNT($C$2:C535)+1,""))</f>
        <v>316</v>
      </c>
    </row>
    <row r="537" spans="1:3" x14ac:dyDescent="0.2">
      <c r="A537" s="69" t="str">
        <f>Listas!E532</f>
        <v>RC Cámara Salina | 80 hrs. | 500 hrs.</v>
      </c>
      <c r="B537" s="69" t="str">
        <f t="shared" si="8"/>
        <v>Otros</v>
      </c>
      <c r="C537" s="69">
        <f>IF($A537="","",IF(AND($B537&lt;&gt;"",IF($F$2="Otros",$B537="Otros",ISNUMBER(SEARCH($B537,$F$2)))),COUNT($C$2:C536)+1,""))</f>
        <v>317</v>
      </c>
    </row>
    <row r="538" spans="1:3" x14ac:dyDescent="0.2">
      <c r="A538" s="69" t="str">
        <f>Listas!E533</f>
        <v>RC Cámara Salina | 80 hrs. | 72 hrs.</v>
      </c>
      <c r="B538" s="69" t="str">
        <f t="shared" si="8"/>
        <v>Otros</v>
      </c>
      <c r="C538" s="69">
        <f>IF($A538="","",IF(AND($B538&lt;&gt;"",IF($F$2="Otros",$B538="Otros",ISNUMBER(SEARCH($B538,$F$2)))),COUNT($C$2:C537)+1,""))</f>
        <v>318</v>
      </c>
    </row>
    <row r="539" spans="1:3" x14ac:dyDescent="0.2">
      <c r="A539" s="69" t="str">
        <f>Listas!E534</f>
        <v>RC Cámara Salina | 80 hrs. | 720 hrs.</v>
      </c>
      <c r="B539" s="69" t="str">
        <f t="shared" si="8"/>
        <v>Otros</v>
      </c>
      <c r="C539" s="69">
        <f>IF($A539="","",IF(AND($B539&lt;&gt;"",IF($F$2="Otros",$B539="Otros",ISNUMBER(SEARCH($B539,$F$2)))),COUNT($C$2:C538)+1,""))</f>
        <v>319</v>
      </c>
    </row>
    <row r="540" spans="1:3" x14ac:dyDescent="0.2">
      <c r="A540" s="69" t="str">
        <f>Listas!E535</f>
        <v>RC Cámara Salina | 80 hrs. | 96 hrs.</v>
      </c>
      <c r="B540" s="69" t="str">
        <f t="shared" si="8"/>
        <v>Otros</v>
      </c>
      <c r="C540" s="69">
        <f>IF($A540="","",IF(AND($B540&lt;&gt;"",IF($F$2="Otros",$B540="Otros",ISNUMBER(SEARCH($B540,$F$2)))),COUNT($C$2:C539)+1,""))</f>
        <v>320</v>
      </c>
    </row>
    <row r="541" spans="1:3" x14ac:dyDescent="0.2">
      <c r="A541" s="69" t="str">
        <f>Listas!E536</f>
        <v>RC Cámara Salina | 80 hrs. | 960 hrs.</v>
      </c>
      <c r="B541" s="69" t="str">
        <f t="shared" si="8"/>
        <v>Otros</v>
      </c>
      <c r="C541" s="69">
        <f>IF($A541="","",IF(AND($B541&lt;&gt;"",IF($F$2="Otros",$B541="Otros",ISNUMBER(SEARCH($B541,$F$2)))),COUNT($C$2:C540)+1,""))</f>
        <v>321</v>
      </c>
    </row>
    <row r="542" spans="1:3" x14ac:dyDescent="0.2">
      <c r="A542" s="69" t="str">
        <f>Listas!E537</f>
        <v>RC Cámara Salina | 80 hrs. | No aplica</v>
      </c>
      <c r="B542" s="69" t="str">
        <f t="shared" si="8"/>
        <v>Otros</v>
      </c>
      <c r="C542" s="69">
        <f>IF($A542="","",IF(AND($B542&lt;&gt;"",IF($F$2="Otros",$B542="Otros",ISNUMBER(SEARCH($B542,$F$2)))),COUNT($C$2:C541)+1,""))</f>
        <v>322</v>
      </c>
    </row>
    <row r="543" spans="1:3" x14ac:dyDescent="0.2">
      <c r="A543" s="69" t="str">
        <f>Listas!E538</f>
        <v>RC Cámara Salina | 96 hrs. | 12 hrs.</v>
      </c>
      <c r="B543" s="69" t="str">
        <f t="shared" si="8"/>
        <v>Otros</v>
      </c>
      <c r="C543" s="69">
        <f>IF($A543="","",IF(AND($B543&lt;&gt;"",IF($F$2="Otros",$B543="Otros",ISNUMBER(SEARCH($B543,$F$2)))),COUNT($C$2:C542)+1,""))</f>
        <v>323</v>
      </c>
    </row>
    <row r="544" spans="1:3" x14ac:dyDescent="0.2">
      <c r="A544" s="69" t="str">
        <f>Listas!E539</f>
        <v>RC Cámara Salina | 96 hrs. | 120 hrs.</v>
      </c>
      <c r="B544" s="69" t="str">
        <f t="shared" si="8"/>
        <v>Otros</v>
      </c>
      <c r="C544" s="69">
        <f>IF($A544="","",IF(AND($B544&lt;&gt;"",IF($F$2="Otros",$B544="Otros",ISNUMBER(SEARCH($B544,$F$2)))),COUNT($C$2:C543)+1,""))</f>
        <v>324</v>
      </c>
    </row>
    <row r="545" spans="1:3" x14ac:dyDescent="0.2">
      <c r="A545" s="69" t="str">
        <f>Listas!E540</f>
        <v>RC Cámara Salina | 96 hrs. | 144 hrs.</v>
      </c>
      <c r="B545" s="69" t="str">
        <f t="shared" si="8"/>
        <v>Otros</v>
      </c>
      <c r="C545" s="69">
        <f>IF($A545="","",IF(AND($B545&lt;&gt;"",IF($F$2="Otros",$B545="Otros",ISNUMBER(SEARCH($B545,$F$2)))),COUNT($C$2:C544)+1,""))</f>
        <v>325</v>
      </c>
    </row>
    <row r="546" spans="1:3" x14ac:dyDescent="0.2">
      <c r="A546" s="69" t="str">
        <f>Listas!E541</f>
        <v>RC Cámara Salina | 96 hrs. | 16 hrs.</v>
      </c>
      <c r="B546" s="69" t="str">
        <f t="shared" si="8"/>
        <v>Otros</v>
      </c>
      <c r="C546" s="69">
        <f>IF($A546="","",IF(AND($B546&lt;&gt;"",IF($F$2="Otros",$B546="Otros",ISNUMBER(SEARCH($B546,$F$2)))),COUNT($C$2:C545)+1,""))</f>
        <v>326</v>
      </c>
    </row>
    <row r="547" spans="1:3" x14ac:dyDescent="0.2">
      <c r="A547" s="69" t="str">
        <f>Listas!E542</f>
        <v>RC Cámara Salina | 96 hrs. | 172 hrs.</v>
      </c>
      <c r="B547" s="69" t="str">
        <f t="shared" si="8"/>
        <v>Otros</v>
      </c>
      <c r="C547" s="69">
        <f>IF($A547="","",IF(AND($B547&lt;&gt;"",IF($F$2="Otros",$B547="Otros",ISNUMBER(SEARCH($B547,$F$2)))),COUNT($C$2:C546)+1,""))</f>
        <v>327</v>
      </c>
    </row>
    <row r="548" spans="1:3" x14ac:dyDescent="0.2">
      <c r="A548" s="69" t="str">
        <f>Listas!E543</f>
        <v>RC Cámara Salina | 96 hrs. | 200 hrs.</v>
      </c>
      <c r="B548" s="69" t="str">
        <f t="shared" si="8"/>
        <v>Otros</v>
      </c>
      <c r="C548" s="69">
        <f>IF($A548="","",IF(AND($B548&lt;&gt;"",IF($F$2="Otros",$B548="Otros",ISNUMBER(SEARCH($B548,$F$2)))),COUNT($C$2:C547)+1,""))</f>
        <v>328</v>
      </c>
    </row>
    <row r="549" spans="1:3" x14ac:dyDescent="0.2">
      <c r="A549" s="69" t="str">
        <f>Listas!E544</f>
        <v>RC Cámara Salina | 96 hrs. | 24 hrs.</v>
      </c>
      <c r="B549" s="69" t="str">
        <f t="shared" si="8"/>
        <v>Otros</v>
      </c>
      <c r="C549" s="69">
        <f>IF($A549="","",IF(AND($B549&lt;&gt;"",IF($F$2="Otros",$B549="Otros",ISNUMBER(SEARCH($B549,$F$2)))),COUNT($C$2:C548)+1,""))</f>
        <v>329</v>
      </c>
    </row>
    <row r="550" spans="1:3" x14ac:dyDescent="0.2">
      <c r="A550" s="69" t="str">
        <f>Listas!E545</f>
        <v>RC Cámara Salina | 96 hrs. | 240 hrs.</v>
      </c>
      <c r="B550" s="69" t="str">
        <f t="shared" si="8"/>
        <v>Otros</v>
      </c>
      <c r="C550" s="69">
        <f>IF($A550="","",IF(AND($B550&lt;&gt;"",IF($F$2="Otros",$B550="Otros",ISNUMBER(SEARCH($B550,$F$2)))),COUNT($C$2:C549)+1,""))</f>
        <v>330</v>
      </c>
    </row>
    <row r="551" spans="1:3" x14ac:dyDescent="0.2">
      <c r="A551" s="69" t="str">
        <f>Listas!E546</f>
        <v>RC Cámara Salina | 96 hrs. | 36 hrs.</v>
      </c>
      <c r="B551" s="69" t="str">
        <f t="shared" si="8"/>
        <v>Otros</v>
      </c>
      <c r="C551" s="69">
        <f>IF($A551="","",IF(AND($B551&lt;&gt;"",IF($F$2="Otros",$B551="Otros",ISNUMBER(SEARCH($B551,$F$2)))),COUNT($C$2:C550)+1,""))</f>
        <v>331</v>
      </c>
    </row>
    <row r="552" spans="1:3" x14ac:dyDescent="0.2">
      <c r="A552" s="69" t="str">
        <f>Listas!E547</f>
        <v>RC Cámara Salina | 96 hrs. | 360 hrs.</v>
      </c>
      <c r="B552" s="69" t="str">
        <f t="shared" si="8"/>
        <v>Otros</v>
      </c>
      <c r="C552" s="69">
        <f>IF($A552="","",IF(AND($B552&lt;&gt;"",IF($F$2="Otros",$B552="Otros",ISNUMBER(SEARCH($B552,$F$2)))),COUNT($C$2:C551)+1,""))</f>
        <v>332</v>
      </c>
    </row>
    <row r="553" spans="1:3" x14ac:dyDescent="0.2">
      <c r="A553" s="69" t="str">
        <f>Listas!E548</f>
        <v>RC Cámara Salina | 96 hrs. | 48 hrs.</v>
      </c>
      <c r="B553" s="69" t="str">
        <f t="shared" si="8"/>
        <v>Otros</v>
      </c>
      <c r="C553" s="69">
        <f>IF($A553="","",IF(AND($B553&lt;&gt;"",IF($F$2="Otros",$B553="Otros",ISNUMBER(SEARCH($B553,$F$2)))),COUNT($C$2:C552)+1,""))</f>
        <v>333</v>
      </c>
    </row>
    <row r="554" spans="1:3" x14ac:dyDescent="0.2">
      <c r="A554" s="69" t="str">
        <f>Listas!E549</f>
        <v>RC Cámara Salina | 96 hrs. | 480 hrs.</v>
      </c>
      <c r="B554" s="69" t="str">
        <f t="shared" si="8"/>
        <v>Otros</v>
      </c>
      <c r="C554" s="69">
        <f>IF($A554="","",IF(AND($B554&lt;&gt;"",IF($F$2="Otros",$B554="Otros",ISNUMBER(SEARCH($B554,$F$2)))),COUNT($C$2:C553)+1,""))</f>
        <v>334</v>
      </c>
    </row>
    <row r="555" spans="1:3" x14ac:dyDescent="0.2">
      <c r="A555" s="69" t="str">
        <f>Listas!E550</f>
        <v>RC Cámara Salina | 96 hrs. | 500 hrs.</v>
      </c>
      <c r="B555" s="69" t="str">
        <f t="shared" si="8"/>
        <v>Otros</v>
      </c>
      <c r="C555" s="69">
        <f>IF($A555="","",IF(AND($B555&lt;&gt;"",IF($F$2="Otros",$B555="Otros",ISNUMBER(SEARCH($B555,$F$2)))),COUNT($C$2:C554)+1,""))</f>
        <v>335</v>
      </c>
    </row>
    <row r="556" spans="1:3" x14ac:dyDescent="0.2">
      <c r="A556" s="69" t="str">
        <f>Listas!E551</f>
        <v>RC Cámara Salina | 96 hrs. | 72 hrs.</v>
      </c>
      <c r="B556" s="69" t="str">
        <f t="shared" si="8"/>
        <v>Otros</v>
      </c>
      <c r="C556" s="69">
        <f>IF($A556="","",IF(AND($B556&lt;&gt;"",IF($F$2="Otros",$B556="Otros",ISNUMBER(SEARCH($B556,$F$2)))),COUNT($C$2:C555)+1,""))</f>
        <v>336</v>
      </c>
    </row>
    <row r="557" spans="1:3" x14ac:dyDescent="0.2">
      <c r="A557" s="69" t="str">
        <f>Listas!E552</f>
        <v>RC Cámara Salina | 96 hrs. | 720 hrs.</v>
      </c>
      <c r="B557" s="69" t="str">
        <f t="shared" si="8"/>
        <v>Otros</v>
      </c>
      <c r="C557" s="69">
        <f>IF($A557="","",IF(AND($B557&lt;&gt;"",IF($F$2="Otros",$B557="Otros",ISNUMBER(SEARCH($B557,$F$2)))),COUNT($C$2:C556)+1,""))</f>
        <v>337</v>
      </c>
    </row>
    <row r="558" spans="1:3" x14ac:dyDescent="0.2">
      <c r="A558" s="69" t="str">
        <f>Listas!E553</f>
        <v>RC Cámara Salina | 96 hrs. | 96 hrs.</v>
      </c>
      <c r="B558" s="69" t="str">
        <f t="shared" si="8"/>
        <v>Otros</v>
      </c>
      <c r="C558" s="69">
        <f>IF($A558="","",IF(AND($B558&lt;&gt;"",IF($F$2="Otros",$B558="Otros",ISNUMBER(SEARCH($B558,$F$2)))),COUNT($C$2:C557)+1,""))</f>
        <v>338</v>
      </c>
    </row>
    <row r="559" spans="1:3" x14ac:dyDescent="0.2">
      <c r="A559" s="69" t="str">
        <f>Listas!E554</f>
        <v>RC Cámara Salina | 96 hrs. | 960 hrs.</v>
      </c>
      <c r="B559" s="69" t="str">
        <f t="shared" si="8"/>
        <v>Otros</v>
      </c>
      <c r="C559" s="69">
        <f>IF($A559="","",IF(AND($B559&lt;&gt;"",IF($F$2="Otros",$B559="Otros",ISNUMBER(SEARCH($B559,$F$2)))),COUNT($C$2:C558)+1,""))</f>
        <v>339</v>
      </c>
    </row>
    <row r="560" spans="1:3" x14ac:dyDescent="0.2">
      <c r="A560" s="69" t="str">
        <f>Listas!E555</f>
        <v>RC Cámara Salina | 96 hrs. | No aplica</v>
      </c>
      <c r="B560" s="69" t="str">
        <f t="shared" si="8"/>
        <v>Otros</v>
      </c>
      <c r="C560" s="69">
        <f>IF($A560="","",IF(AND($B560&lt;&gt;"",IF($F$2="Otros",$B560="Otros",ISNUMBER(SEARCH($B560,$F$2)))),COUNT($C$2:C559)+1,""))</f>
        <v>340</v>
      </c>
    </row>
    <row r="561" spans="1:3" x14ac:dyDescent="0.2">
      <c r="A561" s="69" t="str">
        <f>Listas!E556</f>
        <v>RC Cámara Salina | No aplica | 12 hrs.</v>
      </c>
      <c r="B561" s="69" t="str">
        <f t="shared" si="8"/>
        <v>Otros</v>
      </c>
      <c r="C561" s="69">
        <f>IF($A561="","",IF(AND($B561&lt;&gt;"",IF($F$2="Otros",$B561="Otros",ISNUMBER(SEARCH($B561,$F$2)))),COUNT($C$2:C560)+1,""))</f>
        <v>341</v>
      </c>
    </row>
    <row r="562" spans="1:3" x14ac:dyDescent="0.2">
      <c r="A562" s="69" t="str">
        <f>Listas!E557</f>
        <v>RC Cámara Salina | No aplica | 120 hrs.</v>
      </c>
      <c r="B562" s="69" t="str">
        <f t="shared" si="8"/>
        <v>Otros</v>
      </c>
      <c r="C562" s="69">
        <f>IF($A562="","",IF(AND($B562&lt;&gt;"",IF($F$2="Otros",$B562="Otros",ISNUMBER(SEARCH($B562,$F$2)))),COUNT($C$2:C561)+1,""))</f>
        <v>342</v>
      </c>
    </row>
    <row r="563" spans="1:3" x14ac:dyDescent="0.2">
      <c r="A563" s="69" t="str">
        <f>Listas!E558</f>
        <v>RC Cámara Salina | No aplica | 144 hrs.</v>
      </c>
      <c r="B563" s="69" t="str">
        <f t="shared" si="8"/>
        <v>Otros</v>
      </c>
      <c r="C563" s="69">
        <f>IF($A563="","",IF(AND($B563&lt;&gt;"",IF($F$2="Otros",$B563="Otros",ISNUMBER(SEARCH($B563,$F$2)))),COUNT($C$2:C562)+1,""))</f>
        <v>343</v>
      </c>
    </row>
    <row r="564" spans="1:3" x14ac:dyDescent="0.2">
      <c r="A564" s="69" t="str">
        <f>Listas!E559</f>
        <v>RC Cámara Salina | No aplica | 16 hrs.</v>
      </c>
      <c r="B564" s="69" t="str">
        <f t="shared" si="8"/>
        <v>Otros</v>
      </c>
      <c r="C564" s="69">
        <f>IF($A564="","",IF(AND($B564&lt;&gt;"",IF($F$2="Otros",$B564="Otros",ISNUMBER(SEARCH($B564,$F$2)))),COUNT($C$2:C563)+1,""))</f>
        <v>344</v>
      </c>
    </row>
    <row r="565" spans="1:3" x14ac:dyDescent="0.2">
      <c r="A565" s="69" t="str">
        <f>Listas!E560</f>
        <v>RC Cámara Salina | No aplica | 172 hrs.</v>
      </c>
      <c r="B565" s="69" t="str">
        <f t="shared" si="8"/>
        <v>Otros</v>
      </c>
      <c r="C565" s="69">
        <f>IF($A565="","",IF(AND($B565&lt;&gt;"",IF($F$2="Otros",$B565="Otros",ISNUMBER(SEARCH($B565,$F$2)))),COUNT($C$2:C564)+1,""))</f>
        <v>345</v>
      </c>
    </row>
    <row r="566" spans="1:3" x14ac:dyDescent="0.2">
      <c r="A566" s="69" t="str">
        <f>Listas!E561</f>
        <v>RC Cámara Salina | No aplica | 200 hrs.</v>
      </c>
      <c r="B566" s="69" t="str">
        <f t="shared" si="8"/>
        <v>Otros</v>
      </c>
      <c r="C566" s="69">
        <f>IF($A566="","",IF(AND($B566&lt;&gt;"",IF($F$2="Otros",$B566="Otros",ISNUMBER(SEARCH($B566,$F$2)))),COUNT($C$2:C565)+1,""))</f>
        <v>346</v>
      </c>
    </row>
    <row r="567" spans="1:3" x14ac:dyDescent="0.2">
      <c r="A567" s="69" t="str">
        <f>Listas!E562</f>
        <v>RC Cámara Salina | No aplica | 24 hrs.</v>
      </c>
      <c r="B567" s="69" t="str">
        <f t="shared" si="8"/>
        <v>Otros</v>
      </c>
      <c r="C567" s="69">
        <f>IF($A567="","",IF(AND($B567&lt;&gt;"",IF($F$2="Otros",$B567="Otros",ISNUMBER(SEARCH($B567,$F$2)))),COUNT($C$2:C566)+1,""))</f>
        <v>347</v>
      </c>
    </row>
    <row r="568" spans="1:3" x14ac:dyDescent="0.2">
      <c r="A568" s="69" t="str">
        <f>Listas!E563</f>
        <v>RC Cámara Salina | No aplica | 240 hrs.</v>
      </c>
      <c r="B568" s="69" t="str">
        <f t="shared" si="8"/>
        <v>Otros</v>
      </c>
      <c r="C568" s="69">
        <f>IF($A568="","",IF(AND($B568&lt;&gt;"",IF($F$2="Otros",$B568="Otros",ISNUMBER(SEARCH($B568,$F$2)))),COUNT($C$2:C567)+1,""))</f>
        <v>348</v>
      </c>
    </row>
    <row r="569" spans="1:3" x14ac:dyDescent="0.2">
      <c r="A569" s="69" t="str">
        <f>Listas!E564</f>
        <v>RC Cámara Salina | No aplica | 36 hrs.</v>
      </c>
      <c r="B569" s="69" t="str">
        <f t="shared" si="8"/>
        <v>Otros</v>
      </c>
      <c r="C569" s="69">
        <f>IF($A569="","",IF(AND($B569&lt;&gt;"",IF($F$2="Otros",$B569="Otros",ISNUMBER(SEARCH($B569,$F$2)))),COUNT($C$2:C568)+1,""))</f>
        <v>349</v>
      </c>
    </row>
    <row r="570" spans="1:3" x14ac:dyDescent="0.2">
      <c r="A570" s="69" t="str">
        <f>Listas!E565</f>
        <v>RC Cámara Salina | No aplica | 360 hrs.</v>
      </c>
      <c r="B570" s="69" t="str">
        <f t="shared" si="8"/>
        <v>Otros</v>
      </c>
      <c r="C570" s="69">
        <f>IF($A570="","",IF(AND($B570&lt;&gt;"",IF($F$2="Otros",$B570="Otros",ISNUMBER(SEARCH($B570,$F$2)))),COUNT($C$2:C569)+1,""))</f>
        <v>350</v>
      </c>
    </row>
    <row r="571" spans="1:3" x14ac:dyDescent="0.2">
      <c r="A571" s="69" t="str">
        <f>Listas!E566</f>
        <v>RC Cámara Salina | No aplica | 48 hrs.</v>
      </c>
      <c r="B571" s="69" t="str">
        <f t="shared" si="8"/>
        <v>Otros</v>
      </c>
      <c r="C571" s="69">
        <f>IF($A571="","",IF(AND($B571&lt;&gt;"",IF($F$2="Otros",$B571="Otros",ISNUMBER(SEARCH($B571,$F$2)))),COUNT($C$2:C570)+1,""))</f>
        <v>351</v>
      </c>
    </row>
    <row r="572" spans="1:3" x14ac:dyDescent="0.2">
      <c r="A572" s="69" t="str">
        <f>Listas!E567</f>
        <v>RC Cámara Salina | No aplica | 480 hrs.</v>
      </c>
      <c r="B572" s="69" t="str">
        <f t="shared" si="8"/>
        <v>Otros</v>
      </c>
      <c r="C572" s="69">
        <f>IF($A572="","",IF(AND($B572&lt;&gt;"",IF($F$2="Otros",$B572="Otros",ISNUMBER(SEARCH($B572,$F$2)))),COUNT($C$2:C571)+1,""))</f>
        <v>352</v>
      </c>
    </row>
    <row r="573" spans="1:3" x14ac:dyDescent="0.2">
      <c r="A573" s="69" t="str">
        <f>Listas!E568</f>
        <v>RC Cámara Salina | No aplica | 500 hrs.</v>
      </c>
      <c r="B573" s="69" t="str">
        <f t="shared" si="8"/>
        <v>Otros</v>
      </c>
      <c r="C573" s="69">
        <f>IF($A573="","",IF(AND($B573&lt;&gt;"",IF($F$2="Otros",$B573="Otros",ISNUMBER(SEARCH($B573,$F$2)))),COUNT($C$2:C572)+1,""))</f>
        <v>353</v>
      </c>
    </row>
    <row r="574" spans="1:3" x14ac:dyDescent="0.2">
      <c r="A574" s="69" t="str">
        <f>Listas!E569</f>
        <v>RC Cámara Salina | No aplica | 72 hrs.</v>
      </c>
      <c r="B574" s="69" t="str">
        <f t="shared" si="8"/>
        <v>Otros</v>
      </c>
      <c r="C574" s="69">
        <f>IF($A574="","",IF(AND($B574&lt;&gt;"",IF($F$2="Otros",$B574="Otros",ISNUMBER(SEARCH($B574,$F$2)))),COUNT($C$2:C573)+1,""))</f>
        <v>354</v>
      </c>
    </row>
    <row r="575" spans="1:3" x14ac:dyDescent="0.2">
      <c r="A575" s="69" t="str">
        <f>Listas!E570</f>
        <v>RC Cámara Salina | No aplica | 720 hrs.</v>
      </c>
      <c r="B575" s="69" t="str">
        <f t="shared" si="8"/>
        <v>Otros</v>
      </c>
      <c r="C575" s="69">
        <f>IF($A575="","",IF(AND($B575&lt;&gt;"",IF($F$2="Otros",$B575="Otros",ISNUMBER(SEARCH($B575,$F$2)))),COUNT($C$2:C574)+1,""))</f>
        <v>355</v>
      </c>
    </row>
    <row r="576" spans="1:3" x14ac:dyDescent="0.2">
      <c r="A576" s="69" t="str">
        <f>Listas!E571</f>
        <v>RC Cámara Salina | No aplica | 96 hrs.</v>
      </c>
      <c r="B576" s="69" t="str">
        <f t="shared" si="8"/>
        <v>Otros</v>
      </c>
      <c r="C576" s="69">
        <f>IF($A576="","",IF(AND($B576&lt;&gt;"",IF($F$2="Otros",$B576="Otros",ISNUMBER(SEARCH($B576,$F$2)))),COUNT($C$2:C575)+1,""))</f>
        <v>356</v>
      </c>
    </row>
    <row r="577" spans="1:3" x14ac:dyDescent="0.2">
      <c r="A577" s="69" t="str">
        <f>Listas!E572</f>
        <v>RC Cámara Salina | No aplica | 960 hrs.</v>
      </c>
      <c r="B577" s="69" t="str">
        <f t="shared" si="8"/>
        <v>Otros</v>
      </c>
      <c r="C577" s="69">
        <f>IF($A577="","",IF(AND($B577&lt;&gt;"",IF($F$2="Otros",$B577="Otros",ISNUMBER(SEARCH($B577,$F$2)))),COUNT($C$2:C576)+1,""))</f>
        <v>357</v>
      </c>
    </row>
    <row r="578" spans="1:3" x14ac:dyDescent="0.2">
      <c r="A578" s="69" t="str">
        <f>Listas!E573</f>
        <v>RC Cámara Salina | No aplica | No aplica</v>
      </c>
      <c r="B578" s="69" t="str">
        <f t="shared" si="8"/>
        <v>Otros</v>
      </c>
      <c r="C578" s="69">
        <f>IF($A578="","",IF(AND($B578&lt;&gt;"",IF($F$2="Otros",$B578="Otros",ISNUMBER(SEARCH($B578,$F$2)))),COUNT($C$2:C577)+1,""))</f>
        <v>358</v>
      </c>
    </row>
    <row r="579" spans="1:3" x14ac:dyDescent="0.2">
      <c r="A579" s="69" t="str">
        <f>Listas!E574</f>
        <v>RC Cu (Cobre) | 0.25 - 1 µm</v>
      </c>
      <c r="B579" s="69" t="str">
        <f t="shared" si="8"/>
        <v>Otros</v>
      </c>
      <c r="C579" s="69">
        <f>IF($A579="","",IF(AND($B579&lt;&gt;"",IF($F$2="Otros",$B579="Otros",ISNUMBER(SEARCH($B579,$F$2)))),COUNT($C$2:C578)+1,""))</f>
        <v>359</v>
      </c>
    </row>
    <row r="580" spans="1:3" x14ac:dyDescent="0.2">
      <c r="A580" s="69" t="str">
        <f>Listas!E575</f>
        <v>RC Cu (Cobre) | 10 - 12 µm</v>
      </c>
      <c r="B580" s="69" t="str">
        <f t="shared" si="8"/>
        <v>Otros</v>
      </c>
      <c r="C580" s="69">
        <f>IF($A580="","",IF(AND($B580&lt;&gt;"",IF($F$2="Otros",$B580="Otros",ISNUMBER(SEARCH($B580,$F$2)))),COUNT($C$2:C579)+1,""))</f>
        <v>360</v>
      </c>
    </row>
    <row r="581" spans="1:3" x14ac:dyDescent="0.2">
      <c r="A581" s="69" t="str">
        <f>Listas!E576</f>
        <v>RC Cu (Cobre) | 3 - 5 µm</v>
      </c>
      <c r="B581" s="69" t="str">
        <f t="shared" si="8"/>
        <v>Otros</v>
      </c>
      <c r="C581" s="69">
        <f>IF($A581="","",IF(AND($B581&lt;&gt;"",IF($F$2="Otros",$B581="Otros",ISNUMBER(SEARCH($B581,$F$2)))),COUNT($C$2:C580)+1,""))</f>
        <v>361</v>
      </c>
    </row>
    <row r="582" spans="1:3" x14ac:dyDescent="0.2">
      <c r="A582" s="69" t="str">
        <f>Listas!E577</f>
        <v>RC Cu-Ag (Cobre - Plata) | 0.5 - 1.5 µm | 0.5 - 1.0 µm</v>
      </c>
      <c r="B582" s="69" t="str">
        <f t="shared" si="8"/>
        <v>Plata</v>
      </c>
      <c r="C582" s="69" t="str">
        <f>IF($A582="","",IF(AND($B582&lt;&gt;"",IF($F$2="Otros",$B582="Otros",ISNUMBER(SEARCH($B582,$F$2)))),COUNT($C$2:C581)+1,""))</f>
        <v/>
      </c>
    </row>
    <row r="583" spans="1:3" x14ac:dyDescent="0.2">
      <c r="A583" s="69" t="str">
        <f>Listas!E578</f>
        <v>RC Cu-Ag (Cobre - Plata) | 0.5 - 1.5 µm | No aplica</v>
      </c>
      <c r="B583" s="69" t="str">
        <f t="shared" si="8"/>
        <v>Plata</v>
      </c>
      <c r="C583" s="69" t="str">
        <f>IF($A583="","",IF(AND($B583&lt;&gt;"",IF($F$2="Otros",$B583="Otros",ISNUMBER(SEARCH($B583,$F$2)))),COUNT($C$2:C582)+1,""))</f>
        <v/>
      </c>
    </row>
    <row r="584" spans="1:3" x14ac:dyDescent="0.2">
      <c r="A584" s="69" t="str">
        <f>Listas!E579</f>
        <v>RC Cu-Ag (Cobre - Plata) | 1.5 - 2.5 µm | 0.5 - 1.0 µm</v>
      </c>
      <c r="B584" s="69" t="str">
        <f t="shared" si="8"/>
        <v>Plata</v>
      </c>
      <c r="C584" s="69" t="str">
        <f>IF($A584="","",IF(AND($B584&lt;&gt;"",IF($F$2="Otros",$B584="Otros",ISNUMBER(SEARCH($B584,$F$2)))),COUNT($C$2:C583)+1,""))</f>
        <v/>
      </c>
    </row>
    <row r="585" spans="1:3" x14ac:dyDescent="0.2">
      <c r="A585" s="69" t="str">
        <f>Listas!E580</f>
        <v>RC Cu-Ag (Cobre - Plata) | 1.5 - 2.5 µm | No aplica</v>
      </c>
      <c r="B585" s="69" t="str">
        <f t="shared" si="8"/>
        <v>Plata</v>
      </c>
      <c r="C585" s="69" t="str">
        <f>IF($A585="","",IF(AND($B585&lt;&gt;"",IF($F$2="Otros",$B585="Otros",ISNUMBER(SEARCH($B585,$F$2)))),COUNT($C$2:C584)+1,""))</f>
        <v/>
      </c>
    </row>
    <row r="586" spans="1:3" x14ac:dyDescent="0.2">
      <c r="A586" s="69" t="str">
        <f>Listas!E581</f>
        <v>RC Cu-Ni (Cobre - Níquel) | 10 - 13 µm | 0.5 - 1.0 µm</v>
      </c>
      <c r="B586" s="69" t="str">
        <f t="shared" ref="B586:B649" si="9">IF(OR(A586="",A586=0),"",IF(_xlfn.TEXTJOIN("+",TRUE,IF(ISNUMBER(SEARCH("Plata",A586&amp;"")),"Plata",""),IF(ISNUMBER(SEARCH("Níquel",A586&amp;"")),"Níquel",""),IF(ISNUMBER(SEARCH("Estaño",A586&amp;"")),"Estaño",""),IF(ISNUMBER(SEARCH("Zinc",A586&amp;"")),"Zinc",""),IF(ISNUMBER(SEARCH("Epóxico",A586&amp;"")),"Epóxico",""))="","Otros",_xlfn.TEXTJOIN("+",TRUE,IF(ISNUMBER(SEARCH("Plata",A586&amp;"")),"Plata",""),IF(ISNUMBER(SEARCH("Níquel",A586&amp;"")),"Níquel",""),IF(ISNUMBER(SEARCH("Estaño",A586&amp;"")),"Estaño",""),IF(ISNUMBER(SEARCH("Zinc",A586&amp;"")),"Zinc",""),IF(ISNUMBER(SEARCH("Epóxico",A586&amp;"")),"Epóxico",""))))</f>
        <v>Níquel</v>
      </c>
      <c r="C586" s="69" t="str">
        <f>IF($A586="","",IF(AND($B586&lt;&gt;"",IF($F$2="Otros",$B586="Otros",ISNUMBER(SEARCH($B586,$F$2)))),COUNT($C$2:C585)+1,""))</f>
        <v/>
      </c>
    </row>
    <row r="587" spans="1:3" x14ac:dyDescent="0.2">
      <c r="A587" s="69" t="str">
        <f>Listas!E582</f>
        <v>RC Cu-Ni (Cobre - Níquel) | 10 - 13 µm | 18 - 22 µm</v>
      </c>
      <c r="B587" s="69" t="str">
        <f t="shared" si="9"/>
        <v>Níquel</v>
      </c>
      <c r="C587" s="69" t="str">
        <f>IF($A587="","",IF(AND($B587&lt;&gt;"",IF($F$2="Otros",$B587="Otros",ISNUMBER(SEARCH($B587,$F$2)))),COUNT($C$2:C586)+1,""))</f>
        <v/>
      </c>
    </row>
    <row r="588" spans="1:3" x14ac:dyDescent="0.2">
      <c r="A588" s="69" t="str">
        <f>Listas!E583</f>
        <v>RC Cu-Ni (Cobre - Níquel) | 10 - 13 µm | 20 - 25 µm</v>
      </c>
      <c r="B588" s="69" t="str">
        <f t="shared" si="9"/>
        <v>Níquel</v>
      </c>
      <c r="C588" s="69" t="str">
        <f>IF($A588="","",IF(AND($B588&lt;&gt;"",IF($F$2="Otros",$B588="Otros",ISNUMBER(SEARCH($B588,$F$2)))),COUNT($C$2:C587)+1,""))</f>
        <v/>
      </c>
    </row>
    <row r="589" spans="1:3" x14ac:dyDescent="0.2">
      <c r="A589" s="69" t="str">
        <f>Listas!E584</f>
        <v>RC Cu-Ni (Cobre - Níquel) | 10 - 13 µm | 7 - 9 µm</v>
      </c>
      <c r="B589" s="69" t="str">
        <f t="shared" si="9"/>
        <v>Níquel</v>
      </c>
      <c r="C589" s="69" t="str">
        <f>IF($A589="","",IF(AND($B589&lt;&gt;"",IF($F$2="Otros",$B589="Otros",ISNUMBER(SEARCH($B589,$F$2)))),COUNT($C$2:C588)+1,""))</f>
        <v/>
      </c>
    </row>
    <row r="590" spans="1:3" x14ac:dyDescent="0.2">
      <c r="A590" s="69" t="str">
        <f>Listas!E585</f>
        <v>RC Cu-Ni (Cobre - Níquel) | 10 - 13 µm | No aplica</v>
      </c>
      <c r="B590" s="69" t="str">
        <f t="shared" si="9"/>
        <v>Níquel</v>
      </c>
      <c r="C590" s="69" t="str">
        <f>IF($A590="","",IF(AND($B590&lt;&gt;"",IF($F$2="Otros",$B590="Otros",ISNUMBER(SEARCH($B590,$F$2)))),COUNT($C$2:C589)+1,""))</f>
        <v/>
      </c>
    </row>
    <row r="591" spans="1:3" x14ac:dyDescent="0.2">
      <c r="A591" s="69" t="str">
        <f>Listas!E586</f>
        <v>RC Cu-Ni (Cobre - Níquel) | 3.81 - 5.08 µm | 0.5 - 1.0 µm</v>
      </c>
      <c r="B591" s="69" t="str">
        <f t="shared" si="9"/>
        <v>Níquel</v>
      </c>
      <c r="C591" s="69" t="str">
        <f>IF($A591="","",IF(AND($B591&lt;&gt;"",IF($F$2="Otros",$B591="Otros",ISNUMBER(SEARCH($B591,$F$2)))),COUNT($C$2:C590)+1,""))</f>
        <v/>
      </c>
    </row>
    <row r="592" spans="1:3" x14ac:dyDescent="0.2">
      <c r="A592" s="69" t="str">
        <f>Listas!E587</f>
        <v>RC Cu-Ni (Cobre - Níquel) | 3.81 - 5.08 µm | 18 - 22 µm</v>
      </c>
      <c r="B592" s="69" t="str">
        <f t="shared" si="9"/>
        <v>Níquel</v>
      </c>
      <c r="C592" s="69" t="str">
        <f>IF($A592="","",IF(AND($B592&lt;&gt;"",IF($F$2="Otros",$B592="Otros",ISNUMBER(SEARCH($B592,$F$2)))),COUNT($C$2:C591)+1,""))</f>
        <v/>
      </c>
    </row>
    <row r="593" spans="1:3" x14ac:dyDescent="0.2">
      <c r="A593" s="69" t="str">
        <f>Listas!E588</f>
        <v>RC Cu-Ni (Cobre - Níquel) | 3.81 - 5.08 µm | 20 - 25 µm</v>
      </c>
      <c r="B593" s="69" t="str">
        <f t="shared" si="9"/>
        <v>Níquel</v>
      </c>
      <c r="C593" s="69" t="str">
        <f>IF($A593="","",IF(AND($B593&lt;&gt;"",IF($F$2="Otros",$B593="Otros",ISNUMBER(SEARCH($B593,$F$2)))),COUNT($C$2:C592)+1,""))</f>
        <v/>
      </c>
    </row>
    <row r="594" spans="1:3" x14ac:dyDescent="0.2">
      <c r="A594" s="69" t="str">
        <f>Listas!E589</f>
        <v>RC Cu-Ni (Cobre - Níquel) | 3.81 - 5.08 µm | 7 - 9 µm</v>
      </c>
      <c r="B594" s="69" t="str">
        <f t="shared" si="9"/>
        <v>Níquel</v>
      </c>
      <c r="C594" s="69" t="str">
        <f>IF($A594="","",IF(AND($B594&lt;&gt;"",IF($F$2="Otros",$B594="Otros",ISNUMBER(SEARCH($B594,$F$2)))),COUNT($C$2:C593)+1,""))</f>
        <v/>
      </c>
    </row>
    <row r="595" spans="1:3" x14ac:dyDescent="0.2">
      <c r="A595" s="69" t="str">
        <f>Listas!E590</f>
        <v>RC Cu-Ni (Cobre - Níquel) | 3.81 - 5.08 µm | No aplica</v>
      </c>
      <c r="B595" s="69" t="str">
        <f t="shared" si="9"/>
        <v>Níquel</v>
      </c>
      <c r="C595" s="69" t="str">
        <f>IF($A595="","",IF(AND($B595&lt;&gt;"",IF($F$2="Otros",$B595="Otros",ISNUMBER(SEARCH($B595,$F$2)))),COUNT($C$2:C594)+1,""))</f>
        <v/>
      </c>
    </row>
    <row r="596" spans="1:3" x14ac:dyDescent="0.2">
      <c r="A596" s="69" t="str">
        <f>Listas!E591</f>
        <v>RC Cu-Ni (Cobre - Níquel) | 7.62 - 10.16 µm | 0.5 - 1.0 µm</v>
      </c>
      <c r="B596" s="69" t="str">
        <f t="shared" si="9"/>
        <v>Níquel</v>
      </c>
      <c r="C596" s="69" t="str">
        <f>IF($A596="","",IF(AND($B596&lt;&gt;"",IF($F$2="Otros",$B596="Otros",ISNUMBER(SEARCH($B596,$F$2)))),COUNT($C$2:C595)+1,""))</f>
        <v/>
      </c>
    </row>
    <row r="597" spans="1:3" x14ac:dyDescent="0.2">
      <c r="A597" s="69" t="str">
        <f>Listas!E592</f>
        <v>RC Cu-Ni (Cobre - Níquel) | 7.62 - 10.16 µm | 18 - 22 µm</v>
      </c>
      <c r="B597" s="69" t="str">
        <f t="shared" si="9"/>
        <v>Níquel</v>
      </c>
      <c r="C597" s="69" t="str">
        <f>IF($A597="","",IF(AND($B597&lt;&gt;"",IF($F$2="Otros",$B597="Otros",ISNUMBER(SEARCH($B597,$F$2)))),COUNT($C$2:C596)+1,""))</f>
        <v/>
      </c>
    </row>
    <row r="598" spans="1:3" x14ac:dyDescent="0.2">
      <c r="A598" s="69" t="str">
        <f>Listas!E593</f>
        <v>RC Cu-Ni (Cobre - Níquel) | 7.62 - 10.16 µm | 20 - 25 µm</v>
      </c>
      <c r="B598" s="69" t="str">
        <f t="shared" si="9"/>
        <v>Níquel</v>
      </c>
      <c r="C598" s="69" t="str">
        <f>IF($A598="","",IF(AND($B598&lt;&gt;"",IF($F$2="Otros",$B598="Otros",ISNUMBER(SEARCH($B598,$F$2)))),COUNT($C$2:C597)+1,""))</f>
        <v/>
      </c>
    </row>
    <row r="599" spans="1:3" x14ac:dyDescent="0.2">
      <c r="A599" s="69" t="str">
        <f>Listas!E594</f>
        <v>RC Cu-Ni (Cobre - Níquel) | 7.62 - 10.16 µm | 7 - 9 µm</v>
      </c>
      <c r="B599" s="69" t="str">
        <f t="shared" si="9"/>
        <v>Níquel</v>
      </c>
      <c r="C599" s="69" t="str">
        <f>IF($A599="","",IF(AND($B599&lt;&gt;"",IF($F$2="Otros",$B599="Otros",ISNUMBER(SEARCH($B599,$F$2)))),COUNT($C$2:C598)+1,""))</f>
        <v/>
      </c>
    </row>
    <row r="600" spans="1:3" x14ac:dyDescent="0.2">
      <c r="A600" s="69" t="str">
        <f>Listas!E595</f>
        <v>RC Cu-Ni (Cobre - Níquel) | 7.62 - 10.16 µm | No aplica</v>
      </c>
      <c r="B600" s="69" t="str">
        <f t="shared" si="9"/>
        <v>Níquel</v>
      </c>
      <c r="C600" s="69" t="str">
        <f>IF($A600="","",IF(AND($B600&lt;&gt;"",IF($F$2="Otros",$B600="Otros",ISNUMBER(SEARCH($B600,$F$2)))),COUNT($C$2:C599)+1,""))</f>
        <v/>
      </c>
    </row>
    <row r="601" spans="1:3" x14ac:dyDescent="0.2">
      <c r="A601" s="69" t="str">
        <f>Listas!E596</f>
        <v>RC Decapado</v>
      </c>
      <c r="B601" s="69" t="str">
        <f t="shared" si="9"/>
        <v>Otros</v>
      </c>
      <c r="C601" s="69">
        <f>IF($A601="","",IF(AND($B601&lt;&gt;"",IF($F$2="Otros",$B601="Otros",ISNUMBER(SEARCH($B601,$F$2)))),COUNT($C$2:C600)+1,""))</f>
        <v>362</v>
      </c>
    </row>
    <row r="602" spans="1:3" x14ac:dyDescent="0.2">
      <c r="A602" s="69" t="str">
        <f>Listas!E597</f>
        <v>RC Electropulido</v>
      </c>
      <c r="B602" s="69" t="str">
        <f t="shared" si="9"/>
        <v>Otros</v>
      </c>
      <c r="C602" s="69">
        <f>IF($A602="","",IF(AND($B602&lt;&gt;"",IF($F$2="Otros",$B602="Otros",ISNUMBER(SEARCH($B602,$F$2)))),COUNT($C$2:C601)+1,""))</f>
        <v>363</v>
      </c>
    </row>
    <row r="603" spans="1:3" x14ac:dyDescent="0.2">
      <c r="A603" s="69" t="str">
        <f>Listas!E598</f>
        <v>RC Empaque</v>
      </c>
      <c r="B603" s="69" t="str">
        <f t="shared" si="9"/>
        <v>Otros</v>
      </c>
      <c r="C603" s="69">
        <f>IF($A603="","",IF(AND($B603&lt;&gt;"",IF($F$2="Otros",$B603="Otros",ISNUMBER(SEARCH($B603,$F$2)))),COUNT($C$2:C602)+1,""))</f>
        <v>364</v>
      </c>
    </row>
    <row r="604" spans="1:3" x14ac:dyDescent="0.2">
      <c r="A604" s="69" t="str">
        <f>Listas!E599</f>
        <v>RC Ensamble de Kits</v>
      </c>
      <c r="B604" s="69" t="str">
        <f t="shared" si="9"/>
        <v>Otros</v>
      </c>
      <c r="C604" s="69">
        <f>IF($A604="","",IF(AND($B604&lt;&gt;"",IF($F$2="Otros",$B604="Otros",ISNUMBER(SEARCH($B604,$F$2)))),COUNT($C$2:C603)+1,""))</f>
        <v>365</v>
      </c>
    </row>
    <row r="605" spans="1:3" x14ac:dyDescent="0.2">
      <c r="A605" s="69" t="str">
        <f>Listas!E600</f>
        <v>RC EpBT (Epóxico BT) | 10 - 15 mils</v>
      </c>
      <c r="B605" s="69" t="str">
        <f t="shared" si="9"/>
        <v>Epóxico</v>
      </c>
      <c r="C605" s="69" t="str">
        <f>IF($A605="","",IF(AND($B605&lt;&gt;"",IF($F$2="Otros",$B605="Otros",ISNUMBER(SEARCH($B605,$F$2)))),COUNT($C$2:C604)+1,""))</f>
        <v/>
      </c>
    </row>
    <row r="606" spans="1:3" x14ac:dyDescent="0.2">
      <c r="A606" s="69" t="str">
        <f>Listas!E601</f>
        <v>RC EpBT (Epóxico BT) | 4 - 11 mils</v>
      </c>
      <c r="B606" s="69" t="str">
        <f t="shared" si="9"/>
        <v>Epóxico</v>
      </c>
      <c r="C606" s="69" t="str">
        <f>IF($A606="","",IF(AND($B606&lt;&gt;"",IF($F$2="Otros",$B606="Otros",ISNUMBER(SEARCH($B606,$F$2)))),COUNT($C$2:C605)+1,""))</f>
        <v/>
      </c>
    </row>
    <row r="607" spans="1:3" x14ac:dyDescent="0.2">
      <c r="A607" s="69" t="str">
        <f>Listas!E602</f>
        <v>RC EpMT (Epóxico MT) | 94 - 140 mils</v>
      </c>
      <c r="B607" s="69" t="str">
        <f t="shared" si="9"/>
        <v>Epóxico</v>
      </c>
      <c r="C607" s="69" t="str">
        <f>IF($A607="","",IF(AND($B607&lt;&gt;"",IF($F$2="Otros",$B607="Otros",ISNUMBER(SEARCH($B607,$F$2)))),COUNT($C$2:C606)+1,""))</f>
        <v/>
      </c>
    </row>
    <row r="608" spans="1:3" x14ac:dyDescent="0.2">
      <c r="A608" s="69" t="str">
        <f>Listas!E603</f>
        <v>RC Lavado</v>
      </c>
      <c r="B608" s="69" t="str">
        <f t="shared" si="9"/>
        <v>Otros</v>
      </c>
      <c r="C608" s="69">
        <f>IF($A608="","",IF(AND($B608&lt;&gt;"",IF($F$2="Otros",$B608="Otros",ISNUMBER(SEARCH($B608,$F$2)))),COUNT($C$2:C607)+1,""))</f>
        <v>366</v>
      </c>
    </row>
    <row r="609" spans="1:3" x14ac:dyDescent="0.2">
      <c r="A609" s="69" t="str">
        <f>Listas!E604</f>
        <v>RC Limpieza Mecánica</v>
      </c>
      <c r="B609" s="69" t="str">
        <f t="shared" si="9"/>
        <v>Otros</v>
      </c>
      <c r="C609" s="69">
        <f>IF($A609="","",IF(AND($B609&lt;&gt;"",IF($F$2="Otros",$B609="Otros",ISNUMBER(SEARCH($B609,$F$2)))),COUNT($C$2:C608)+1,""))</f>
        <v>367</v>
      </c>
    </row>
    <row r="610" spans="1:3" x14ac:dyDescent="0.2">
      <c r="A610" s="69" t="str">
        <f>Listas!E605</f>
        <v>RC MnPO4 (Fosfato de Manganeso - Medición de Grano) | 2.54 - 7.62 µm</v>
      </c>
      <c r="B610" s="69" t="str">
        <f t="shared" si="9"/>
        <v>Otros</v>
      </c>
      <c r="C610" s="69">
        <f>IF($A610="","",IF(AND($B610&lt;&gt;"",IF($F$2="Otros",$B610="Otros",ISNUMBER(SEARCH($B610,$F$2)))),COUNT($C$2:C609)+1,""))</f>
        <v>368</v>
      </c>
    </row>
    <row r="611" spans="1:3" x14ac:dyDescent="0.2">
      <c r="A611" s="69" t="str">
        <f>Listas!E606</f>
        <v>RC MnPO4 (Fosfato de Manganeso - Medición de Grano) | 4 - 12 µm</v>
      </c>
      <c r="B611" s="69" t="str">
        <f t="shared" si="9"/>
        <v>Otros</v>
      </c>
      <c r="C611" s="69">
        <f>IF($A611="","",IF(AND($B611&lt;&gt;"",IF($F$2="Otros",$B611="Otros",ISNUMBER(SEARCH($B611,$F$2)))),COUNT($C$2:C610)+1,""))</f>
        <v>369</v>
      </c>
    </row>
    <row r="612" spans="1:3" x14ac:dyDescent="0.2">
      <c r="A612" s="69" t="str">
        <f>Listas!E607</f>
        <v>RC Ni (Níquel) | 1 - 6 µm</v>
      </c>
      <c r="B612" s="69" t="str">
        <f t="shared" si="9"/>
        <v>Níquel</v>
      </c>
      <c r="C612" s="69" t="str">
        <f>IF($A612="","",IF(AND($B612&lt;&gt;"",IF($F$2="Otros",$B612="Otros",ISNUMBER(SEARCH($B612,$F$2)))),COUNT($C$2:C611)+1,""))</f>
        <v/>
      </c>
    </row>
    <row r="613" spans="1:3" x14ac:dyDescent="0.2">
      <c r="A613" s="69" t="str">
        <f>Listas!E608</f>
        <v>RC Ni (Níquel) | 10 - 13 µm</v>
      </c>
      <c r="B613" s="69" t="str">
        <f t="shared" si="9"/>
        <v>Níquel</v>
      </c>
      <c r="C613" s="69" t="str">
        <f>IF($A613="","",IF(AND($B613&lt;&gt;"",IF($F$2="Otros",$B613="Otros",ISNUMBER(SEARCH($B613,$F$2)))),COUNT($C$2:C612)+1,""))</f>
        <v/>
      </c>
    </row>
    <row r="614" spans="1:3" x14ac:dyDescent="0.2">
      <c r="A614" s="69" t="str">
        <f>Listas!E609</f>
        <v>RC Ni (Níquel) | 2 - 5 µm</v>
      </c>
      <c r="B614" s="69" t="str">
        <f t="shared" si="9"/>
        <v>Níquel</v>
      </c>
      <c r="C614" s="69" t="str">
        <f>IF($A614="","",IF(AND($B614&lt;&gt;"",IF($F$2="Otros",$B614="Otros",ISNUMBER(SEARCH($B614,$F$2)))),COUNT($C$2:C613)+1,""))</f>
        <v/>
      </c>
    </row>
    <row r="615" spans="1:3" x14ac:dyDescent="0.2">
      <c r="A615" s="69" t="str">
        <f>Listas!E610</f>
        <v>RC Ni (Níquel) | 4 - 7 µm</v>
      </c>
      <c r="B615" s="69" t="str">
        <f t="shared" si="9"/>
        <v>Níquel</v>
      </c>
      <c r="C615" s="69" t="str">
        <f>IF($A615="","",IF(AND($B615&lt;&gt;"",IF($F$2="Otros",$B615="Otros",ISNUMBER(SEARCH($B615,$F$2)))),COUNT($C$2:C614)+1,""))</f>
        <v/>
      </c>
    </row>
    <row r="616" spans="1:3" x14ac:dyDescent="0.2">
      <c r="A616" s="69" t="str">
        <f>Listas!E611</f>
        <v>RC Ni (Níquel) | 5 - 10 µm</v>
      </c>
      <c r="B616" s="69" t="str">
        <f t="shared" si="9"/>
        <v>Níquel</v>
      </c>
      <c r="C616" s="69" t="str">
        <f>IF($A616="","",IF(AND($B616&lt;&gt;"",IF($F$2="Otros",$B616="Otros",ISNUMBER(SEARCH($B616,$F$2)))),COUNT($C$2:C615)+1,""))</f>
        <v/>
      </c>
    </row>
    <row r="617" spans="1:3" x14ac:dyDescent="0.2">
      <c r="A617" s="69" t="str">
        <f>Listas!E612</f>
        <v>RC Ni (Níquel) | 7.62 - 12.7 µm</v>
      </c>
      <c r="B617" s="69" t="str">
        <f t="shared" si="9"/>
        <v>Níquel</v>
      </c>
      <c r="C617" s="69" t="str">
        <f>IF($A617="","",IF(AND($B617&lt;&gt;"",IF($F$2="Otros",$B617="Otros",ISNUMBER(SEARCH($B617,$F$2)))),COUNT($C$2:C616)+1,""))</f>
        <v/>
      </c>
    </row>
    <row r="618" spans="1:3" x14ac:dyDescent="0.2">
      <c r="A618" s="69" t="str">
        <f>Listas!E613</f>
        <v>RC Ni-Ag (Níquel - Plata) | 2.5 - 5.0 µm | 0.5 - 0.8 µm</v>
      </c>
      <c r="B618" s="69" t="str">
        <f t="shared" si="9"/>
        <v>Plata+Níquel</v>
      </c>
      <c r="C618" s="69" t="str">
        <f>IF($A618="","",IF(AND($B618&lt;&gt;"",IF($F$2="Otros",$B618="Otros",ISNUMBER(SEARCH($B618,$F$2)))),COUNT($C$2:C617)+1,""))</f>
        <v/>
      </c>
    </row>
    <row r="619" spans="1:3" x14ac:dyDescent="0.2">
      <c r="A619" s="69" t="str">
        <f>Listas!E614</f>
        <v>RC Ni-Ag (Níquel - Plata) | 2.5 - 5.0 µm | 3 - 6 µm</v>
      </c>
      <c r="B619" s="69" t="str">
        <f t="shared" si="9"/>
        <v>Plata+Níquel</v>
      </c>
      <c r="C619" s="69" t="str">
        <f>IF($A619="","",IF(AND($B619&lt;&gt;"",IF($F$2="Otros",$B619="Otros",ISNUMBER(SEARCH($B619,$F$2)))),COUNT($C$2:C618)+1,""))</f>
        <v/>
      </c>
    </row>
    <row r="620" spans="1:3" x14ac:dyDescent="0.2">
      <c r="A620" s="69" t="str">
        <f>Listas!E615</f>
        <v>RC Ni-Ag (Níquel - Plata) | 2.5 - 5.0 µm | 5 - 8 µm</v>
      </c>
      <c r="B620" s="69" t="str">
        <f t="shared" si="9"/>
        <v>Plata+Níquel</v>
      </c>
      <c r="C620" s="69" t="str">
        <f>IF($A620="","",IF(AND($B620&lt;&gt;"",IF($F$2="Otros",$B620="Otros",ISNUMBER(SEARCH($B620,$F$2)))),COUNT($C$2:C619)+1,""))</f>
        <v/>
      </c>
    </row>
    <row r="621" spans="1:3" x14ac:dyDescent="0.2">
      <c r="A621" s="69" t="str">
        <f>Listas!E616</f>
        <v>RC Ni-Ag (Níquel - Plata) | 2.5 - 5.0 µm | No aplica</v>
      </c>
      <c r="B621" s="69" t="str">
        <f t="shared" si="9"/>
        <v>Plata+Níquel</v>
      </c>
      <c r="C621" s="69" t="str">
        <f>IF($A621="","",IF(AND($B621&lt;&gt;"",IF($F$2="Otros",$B621="Otros",ISNUMBER(SEARCH($B621,$F$2)))),COUNT($C$2:C620)+1,""))</f>
        <v/>
      </c>
    </row>
    <row r="622" spans="1:3" x14ac:dyDescent="0.2">
      <c r="A622" s="69" t="str">
        <f>Listas!E617</f>
        <v>RC Ni-Ag (Níquel - Plata) | 5.0 - 8.0 µm | 0.5 - 0.8 µm</v>
      </c>
      <c r="B622" s="69" t="str">
        <f t="shared" si="9"/>
        <v>Plata+Níquel</v>
      </c>
      <c r="C622" s="69" t="str">
        <f>IF($A622="","",IF(AND($B622&lt;&gt;"",IF($F$2="Otros",$B622="Otros",ISNUMBER(SEARCH($B622,$F$2)))),COUNT($C$2:C621)+1,""))</f>
        <v/>
      </c>
    </row>
    <row r="623" spans="1:3" x14ac:dyDescent="0.2">
      <c r="A623" s="69" t="str">
        <f>Listas!E618</f>
        <v>RC Ni-Ag (Níquel - Plata) | 5.0 - 8.0 µm | 3 - 6 µm</v>
      </c>
      <c r="B623" s="69" t="str">
        <f t="shared" si="9"/>
        <v>Plata+Níquel</v>
      </c>
      <c r="C623" s="69" t="str">
        <f>IF($A623="","",IF(AND($B623&lt;&gt;"",IF($F$2="Otros",$B623="Otros",ISNUMBER(SEARCH($B623,$F$2)))),COUNT($C$2:C622)+1,""))</f>
        <v/>
      </c>
    </row>
    <row r="624" spans="1:3" x14ac:dyDescent="0.2">
      <c r="A624" s="69" t="str">
        <f>Listas!E619</f>
        <v>RC Ni-Ag (Níquel - Plata) | 5.0 - 8.0 µm | 5 - 8 µm</v>
      </c>
      <c r="B624" s="69" t="str">
        <f t="shared" si="9"/>
        <v>Plata+Níquel</v>
      </c>
      <c r="C624" s="69" t="str">
        <f>IF($A624="","",IF(AND($B624&lt;&gt;"",IF($F$2="Otros",$B624="Otros",ISNUMBER(SEARCH($B624,$F$2)))),COUNT($C$2:C623)+1,""))</f>
        <v/>
      </c>
    </row>
    <row r="625" spans="1:3" x14ac:dyDescent="0.2">
      <c r="A625" s="69" t="str">
        <f>Listas!E620</f>
        <v>RC Ni-Ag (Níquel - Plata) | 5.0 - 8.0 µm | No aplica</v>
      </c>
      <c r="B625" s="69" t="str">
        <f t="shared" si="9"/>
        <v>Plata+Níquel</v>
      </c>
      <c r="C625" s="69" t="str">
        <f>IF($A625="","",IF(AND($B625&lt;&gt;"",IF($F$2="Otros",$B625="Otros",ISNUMBER(SEARCH($B625,$F$2)))),COUNT($C$2:C624)+1,""))</f>
        <v/>
      </c>
    </row>
    <row r="626" spans="1:3" x14ac:dyDescent="0.2">
      <c r="A626" s="69" t="str">
        <f>Listas!E621</f>
        <v>RC Ni-Sn (Níquel - Estaño) | 12 - 16 µm | 1 - 3 µm</v>
      </c>
      <c r="B626" s="69" t="str">
        <f t="shared" si="9"/>
        <v>Níquel+Estaño</v>
      </c>
      <c r="C626" s="69" t="str">
        <f>IF($A626="","",IF(AND($B626&lt;&gt;"",IF($F$2="Otros",$B626="Otros",ISNUMBER(SEARCH($B626,$F$2)))),COUNT($C$2:C625)+1,""))</f>
        <v/>
      </c>
    </row>
    <row r="627" spans="1:3" x14ac:dyDescent="0.2">
      <c r="A627" s="69" t="str">
        <f>Listas!E622</f>
        <v>RC Ni-Sn (Níquel - Estaño) | 12 - 16 µm | No aplica</v>
      </c>
      <c r="B627" s="69" t="str">
        <f t="shared" si="9"/>
        <v>Níquel+Estaño</v>
      </c>
      <c r="C627" s="69" t="str">
        <f>IF($A627="","",IF(AND($B627&lt;&gt;"",IF($F$2="Otros",$B627="Otros",ISNUMBER(SEARCH($B627,$F$2)))),COUNT($C$2:C626)+1,""))</f>
        <v/>
      </c>
    </row>
    <row r="628" spans="1:3" x14ac:dyDescent="0.2">
      <c r="A628" s="69" t="str">
        <f>Listas!E623</f>
        <v>RC Ni-Sn (Níquel - Estaño) | 3 - 5 µm | 1 - 3 µm</v>
      </c>
      <c r="B628" s="69" t="str">
        <f t="shared" si="9"/>
        <v>Níquel+Estaño</v>
      </c>
      <c r="C628" s="69" t="str">
        <f>IF($A628="","",IF(AND($B628&lt;&gt;"",IF($F$2="Otros",$B628="Otros",ISNUMBER(SEARCH($B628,$F$2)))),COUNT($C$2:C627)+1,""))</f>
        <v/>
      </c>
    </row>
    <row r="629" spans="1:3" x14ac:dyDescent="0.2">
      <c r="A629" s="69" t="str">
        <f>Listas!E624</f>
        <v>RC Ni-Sn (Níquel - Estaño) | 3 - 5 µm | No aplica</v>
      </c>
      <c r="B629" s="69" t="str">
        <f t="shared" si="9"/>
        <v>Níquel+Estaño</v>
      </c>
      <c r="C629" s="69" t="str">
        <f>IF($A629="","",IF(AND($B629&lt;&gt;"",IF($F$2="Otros",$B629="Otros",ISNUMBER(SEARCH($B629,$F$2)))),COUNT($C$2:C628)+1,""))</f>
        <v/>
      </c>
    </row>
    <row r="630" spans="1:3" x14ac:dyDescent="0.2">
      <c r="A630" s="69" t="str">
        <f>Listas!E625</f>
        <v>RC Ni-Sn (Níquel - Estaño) | 8 - 12 µm | 1 - 3 µm</v>
      </c>
      <c r="B630" s="69" t="str">
        <f t="shared" si="9"/>
        <v>Níquel+Estaño</v>
      </c>
      <c r="C630" s="69" t="str">
        <f>IF($A630="","",IF(AND($B630&lt;&gt;"",IF($F$2="Otros",$B630="Otros",ISNUMBER(SEARCH($B630,$F$2)))),COUNT($C$2:C629)+1,""))</f>
        <v/>
      </c>
    </row>
    <row r="631" spans="1:3" x14ac:dyDescent="0.2">
      <c r="A631" s="69" t="str">
        <f>Listas!E626</f>
        <v>RC Ni-Sn (Níquel - Estaño) | 8 - 12 µm | No aplica</v>
      </c>
      <c r="B631" s="69" t="str">
        <f t="shared" si="9"/>
        <v>Níquel+Estaño</v>
      </c>
      <c r="C631" s="69" t="str">
        <f>IF($A631="","",IF(AND($B631&lt;&gt;"",IF($F$2="Otros",$B631="Otros",ISNUMBER(SEARCH($B631,$F$2)))),COUNT($C$2:C630)+1,""))</f>
        <v/>
      </c>
    </row>
    <row r="632" spans="1:3" x14ac:dyDescent="0.2">
      <c r="A632" s="69" t="str">
        <f>Listas!E627</f>
        <v>RC NiCrv (Níquel Cromvet) | 0.5 - 1 µm</v>
      </c>
      <c r="B632" s="69" t="str">
        <f t="shared" si="9"/>
        <v>Níquel</v>
      </c>
      <c r="C632" s="69" t="str">
        <f>IF($A632="","",IF(AND($B632&lt;&gt;"",IF($F$2="Otros",$B632="Otros",ISNUMBER(SEARCH($B632,$F$2)))),COUNT($C$2:C631)+1,""))</f>
        <v/>
      </c>
    </row>
    <row r="633" spans="1:3" x14ac:dyDescent="0.2">
      <c r="A633" s="69" t="str">
        <f>Listas!E628</f>
        <v>RC NiEl (Níquel Electroless) | 10 - 13 µm</v>
      </c>
      <c r="B633" s="69" t="str">
        <f t="shared" si="9"/>
        <v>Níquel</v>
      </c>
      <c r="C633" s="69" t="str">
        <f>IF($A633="","",IF(AND($B633&lt;&gt;"",IF($F$2="Otros",$B633="Otros",ISNUMBER(SEARCH($B633,$F$2)))),COUNT($C$2:C632)+1,""))</f>
        <v/>
      </c>
    </row>
    <row r="634" spans="1:3" x14ac:dyDescent="0.2">
      <c r="A634" s="69" t="str">
        <f>Listas!E629</f>
        <v>RC NiEl (Níquel Electroless) | 12.7 - 17.78 µm</v>
      </c>
      <c r="B634" s="69" t="str">
        <f t="shared" si="9"/>
        <v>Níquel</v>
      </c>
      <c r="C634" s="69" t="str">
        <f>IF($A634="","",IF(AND($B634&lt;&gt;"",IF($F$2="Otros",$B634="Otros",ISNUMBER(SEARCH($B634,$F$2)))),COUNT($C$2:C633)+1,""))</f>
        <v/>
      </c>
    </row>
    <row r="635" spans="1:3" x14ac:dyDescent="0.2">
      <c r="A635" s="69" t="str">
        <f>Listas!E630</f>
        <v>RC NiEl (Níquel Electroless) | 12.7 - 25.4 µm</v>
      </c>
      <c r="B635" s="69" t="str">
        <f t="shared" si="9"/>
        <v>Níquel</v>
      </c>
      <c r="C635" s="69" t="str">
        <f>IF($A635="","",IF(AND($B635&lt;&gt;"",IF($F$2="Otros",$B635="Otros",ISNUMBER(SEARCH($B635,$F$2)))),COUNT($C$2:C634)+1,""))</f>
        <v/>
      </c>
    </row>
    <row r="636" spans="1:3" x14ac:dyDescent="0.2">
      <c r="A636" s="69" t="str">
        <f>Listas!E631</f>
        <v>RC NiEl (Níquel Electroless) | 13 - 15 µm</v>
      </c>
      <c r="B636" s="69" t="str">
        <f t="shared" si="9"/>
        <v>Níquel</v>
      </c>
      <c r="C636" s="69" t="str">
        <f>IF($A636="","",IF(AND($B636&lt;&gt;"",IF($F$2="Otros",$B636="Otros",ISNUMBER(SEARCH($B636,$F$2)))),COUNT($C$2:C635)+1,""))</f>
        <v/>
      </c>
    </row>
    <row r="637" spans="1:3" x14ac:dyDescent="0.2">
      <c r="A637" s="69" t="str">
        <f>Listas!E632</f>
        <v>RC NiEl (Níquel Electroless) | 25 - 38 µm</v>
      </c>
      <c r="B637" s="69" t="str">
        <f t="shared" si="9"/>
        <v>Níquel</v>
      </c>
      <c r="C637" s="69" t="str">
        <f>IF($A637="","",IF(AND($B637&lt;&gt;"",IF($F$2="Otros",$B637="Otros",ISNUMBER(SEARCH($B637,$F$2)))),COUNT($C$2:C636)+1,""))</f>
        <v/>
      </c>
    </row>
    <row r="638" spans="1:3" x14ac:dyDescent="0.2">
      <c r="A638" s="69" t="str">
        <f>Listas!E633</f>
        <v>RC NiEl (Níquel Electroless) | 6 - 10 µm</v>
      </c>
      <c r="B638" s="69" t="str">
        <f t="shared" si="9"/>
        <v>Níquel</v>
      </c>
      <c r="C638" s="69" t="str">
        <f>IF($A638="","",IF(AND($B638&lt;&gt;"",IF($F$2="Otros",$B638="Otros",ISNUMBER(SEARCH($B638,$F$2)))),COUNT($C$2:C637)+1,""))</f>
        <v/>
      </c>
    </row>
    <row r="639" spans="1:3" x14ac:dyDescent="0.2">
      <c r="A639" s="69" t="str">
        <f>Listas!E634</f>
        <v>RC NiEl (Níquel Electroless) | 6 - 8 µm</v>
      </c>
      <c r="B639" s="69" t="str">
        <f t="shared" si="9"/>
        <v>Níquel</v>
      </c>
      <c r="C639" s="69" t="str">
        <f>IF($A639="","",IF(AND($B639&lt;&gt;"",IF($F$2="Otros",$B639="Otros",ISNUMBER(SEARCH($B639,$F$2)))),COUNT($C$2:C638)+1,""))</f>
        <v/>
      </c>
    </row>
    <row r="640" spans="1:3" x14ac:dyDescent="0.2">
      <c r="A640" s="69" t="str">
        <f>Listas!E635</f>
        <v>RC No Oxide</v>
      </c>
      <c r="B640" s="69" t="str">
        <f t="shared" si="9"/>
        <v>Otros</v>
      </c>
      <c r="C640" s="69">
        <f>IF($A640="","",IF(AND($B640&lt;&gt;"",IF($F$2="Otros",$B640="Otros",ISNUMBER(SEARCH($B640,$F$2)))),COUNT($C$2:C639)+1,""))</f>
        <v>370</v>
      </c>
    </row>
    <row r="641" spans="1:3" x14ac:dyDescent="0.2">
      <c r="A641" s="69" t="str">
        <f>Listas!E636</f>
        <v>RC Pasivado</v>
      </c>
      <c r="B641" s="69" t="str">
        <f t="shared" si="9"/>
        <v>Otros</v>
      </c>
      <c r="C641" s="69">
        <f>IF($A641="","",IF(AND($B641&lt;&gt;"",IF($F$2="Otros",$B641="Otros",ISNUMBER(SEARCH($B641,$F$2)))),COUNT($C$2:C640)+1,""))</f>
        <v>371</v>
      </c>
    </row>
    <row r="642" spans="1:3" x14ac:dyDescent="0.2">
      <c r="A642" s="69" t="str">
        <f>Listas!E637</f>
        <v>RC Rebabeo</v>
      </c>
      <c r="B642" s="69" t="str">
        <f t="shared" si="9"/>
        <v>Otros</v>
      </c>
      <c r="C642" s="69">
        <f>IF($A642="","",IF(AND($B642&lt;&gt;"",IF($F$2="Otros",$B642="Otros",ISNUMBER(SEARCH($B642,$F$2)))),COUNT($C$2:C641)+1,""))</f>
        <v>372</v>
      </c>
    </row>
    <row r="643" spans="1:3" x14ac:dyDescent="0.2">
      <c r="A643" s="69" t="str">
        <f>Listas!E638</f>
        <v>RC Sn (Estaño) | 0.5 - 1 µm | 0.5 - 1 µm</v>
      </c>
      <c r="B643" s="69" t="str">
        <f t="shared" si="9"/>
        <v>Estaño</v>
      </c>
      <c r="C643" s="69" t="str">
        <f>IF($A643="","",IF(AND($B643&lt;&gt;"",IF($F$2="Otros",$B643="Otros",ISNUMBER(SEARCH($B643,$F$2)))),COUNT($C$2:C642)+1,""))</f>
        <v/>
      </c>
    </row>
    <row r="644" spans="1:3" x14ac:dyDescent="0.2">
      <c r="A644" s="69" t="str">
        <f>Listas!E639</f>
        <v>RC Sn (Estaño) | 0.5 - 1 µm | 0.762 - 1.27 µm</v>
      </c>
      <c r="B644" s="69" t="str">
        <f t="shared" si="9"/>
        <v>Estaño</v>
      </c>
      <c r="C644" s="69" t="str">
        <f>IF($A644="","",IF(AND($B644&lt;&gt;"",IF($F$2="Otros",$B644="Otros",ISNUMBER(SEARCH($B644,$F$2)))),COUNT($C$2:C643)+1,""))</f>
        <v/>
      </c>
    </row>
    <row r="645" spans="1:3" x14ac:dyDescent="0.2">
      <c r="A645" s="69" t="str">
        <f>Listas!E640</f>
        <v>RC Sn (Estaño) | 0.5 - 1 µm | 1 - 3 µm</v>
      </c>
      <c r="B645" s="69" t="str">
        <f t="shared" si="9"/>
        <v>Estaño</v>
      </c>
      <c r="C645" s="69" t="str">
        <f>IF($A645="","",IF(AND($B645&lt;&gt;"",IF($F$2="Otros",$B645="Otros",ISNUMBER(SEARCH($B645,$F$2)))),COUNT($C$2:C644)+1,""))</f>
        <v/>
      </c>
    </row>
    <row r="646" spans="1:3" x14ac:dyDescent="0.2">
      <c r="A646" s="69" t="str">
        <f>Listas!E641</f>
        <v>RC Sn (Estaño) | 0.5 - 1 µm | 2.54 - 5.08 µm</v>
      </c>
      <c r="B646" s="69" t="str">
        <f t="shared" si="9"/>
        <v>Estaño</v>
      </c>
      <c r="C646" s="69" t="str">
        <f>IF($A646="","",IF(AND($B646&lt;&gt;"",IF($F$2="Otros",$B646="Otros",ISNUMBER(SEARCH($B646,$F$2)))),COUNT($C$2:C645)+1,""))</f>
        <v/>
      </c>
    </row>
    <row r="647" spans="1:3" x14ac:dyDescent="0.2">
      <c r="A647" s="69" t="str">
        <f>Listas!E642</f>
        <v>RC Sn (Estaño) | 0.5 - 1 µm | No aplica</v>
      </c>
      <c r="B647" s="69" t="str">
        <f t="shared" si="9"/>
        <v>Estaño</v>
      </c>
      <c r="C647" s="69" t="str">
        <f>IF($A647="","",IF(AND($B647&lt;&gt;"",IF($F$2="Otros",$B647="Otros",ISNUMBER(SEARCH($B647,$F$2)))),COUNT($C$2:C646)+1,""))</f>
        <v/>
      </c>
    </row>
    <row r="648" spans="1:3" x14ac:dyDescent="0.2">
      <c r="A648" s="69" t="str">
        <f>Listas!E643</f>
        <v>RC Sn (Estaño) | 0.6 - 2 µm | 0.5 - 1 µm</v>
      </c>
      <c r="B648" s="69" t="str">
        <f t="shared" si="9"/>
        <v>Estaño</v>
      </c>
      <c r="C648" s="69" t="str">
        <f>IF($A648="","",IF(AND($B648&lt;&gt;"",IF($F$2="Otros",$B648="Otros",ISNUMBER(SEARCH($B648,$F$2)))),COUNT($C$2:C647)+1,""))</f>
        <v/>
      </c>
    </row>
    <row r="649" spans="1:3" x14ac:dyDescent="0.2">
      <c r="A649" s="69" t="str">
        <f>Listas!E644</f>
        <v>RC Sn (Estaño) | 0.6 - 2 µm | 0.762 - 1.27 µm</v>
      </c>
      <c r="B649" s="69" t="str">
        <f t="shared" si="9"/>
        <v>Estaño</v>
      </c>
      <c r="C649" s="69" t="str">
        <f>IF($A649="","",IF(AND($B649&lt;&gt;"",IF($F$2="Otros",$B649="Otros",ISNUMBER(SEARCH($B649,$F$2)))),COUNT($C$2:C648)+1,""))</f>
        <v/>
      </c>
    </row>
    <row r="650" spans="1:3" x14ac:dyDescent="0.2">
      <c r="A650" s="69" t="str">
        <f>Listas!E645</f>
        <v>RC Sn (Estaño) | 0.6 - 2 µm | 1 - 3 µm</v>
      </c>
      <c r="B650" s="69" t="str">
        <f t="shared" ref="B650:B700" si="10">IF(OR(A650="",A650=0),"",IF(_xlfn.TEXTJOIN("+",TRUE,IF(ISNUMBER(SEARCH("Plata",A650&amp;"")),"Plata",""),IF(ISNUMBER(SEARCH("Níquel",A650&amp;"")),"Níquel",""),IF(ISNUMBER(SEARCH("Estaño",A650&amp;"")),"Estaño",""),IF(ISNUMBER(SEARCH("Zinc",A650&amp;"")),"Zinc",""),IF(ISNUMBER(SEARCH("Epóxico",A650&amp;"")),"Epóxico",""))="","Otros",_xlfn.TEXTJOIN("+",TRUE,IF(ISNUMBER(SEARCH("Plata",A650&amp;"")),"Plata",""),IF(ISNUMBER(SEARCH("Níquel",A650&amp;"")),"Níquel",""),IF(ISNUMBER(SEARCH("Estaño",A650&amp;"")),"Estaño",""),IF(ISNUMBER(SEARCH("Zinc",A650&amp;"")),"Zinc",""),IF(ISNUMBER(SEARCH("Epóxico",A650&amp;"")),"Epóxico",""))))</f>
        <v>Estaño</v>
      </c>
      <c r="C650" s="69" t="str">
        <f>IF($A650="","",IF(AND($B650&lt;&gt;"",IF($F$2="Otros",$B650="Otros",ISNUMBER(SEARCH($B650,$F$2)))),COUNT($C$2:C649)+1,""))</f>
        <v/>
      </c>
    </row>
    <row r="651" spans="1:3" x14ac:dyDescent="0.2">
      <c r="A651" s="69" t="str">
        <f>Listas!E646</f>
        <v>RC Sn (Estaño) | 0.6 - 2 µm | 2.54 - 5.08 µm</v>
      </c>
      <c r="B651" s="69" t="str">
        <f t="shared" si="10"/>
        <v>Estaño</v>
      </c>
      <c r="C651" s="69" t="str">
        <f>IF($A651="","",IF(AND($B651&lt;&gt;"",IF($F$2="Otros",$B651="Otros",ISNUMBER(SEARCH($B651,$F$2)))),COUNT($C$2:C650)+1,""))</f>
        <v/>
      </c>
    </row>
    <row r="652" spans="1:3" x14ac:dyDescent="0.2">
      <c r="A652" s="69" t="str">
        <f>Listas!E647</f>
        <v>RC Sn (Estaño) | 0.6 - 2 µm | No aplica</v>
      </c>
      <c r="B652" s="69" t="str">
        <f t="shared" si="10"/>
        <v>Estaño</v>
      </c>
      <c r="C652" s="69" t="str">
        <f>IF($A652="","",IF(AND($B652&lt;&gt;"",IF($F$2="Otros",$B652="Otros",ISNUMBER(SEARCH($B652,$F$2)))),COUNT($C$2:C651)+1,""))</f>
        <v/>
      </c>
    </row>
    <row r="653" spans="1:3" x14ac:dyDescent="0.2">
      <c r="A653" s="69" t="str">
        <f>Listas!E648</f>
        <v>RC Sn (Estaño) | 1.5 - 3 µm | 0.5 - 1 µm</v>
      </c>
      <c r="B653" s="69" t="str">
        <f t="shared" si="10"/>
        <v>Estaño</v>
      </c>
      <c r="C653" s="69" t="str">
        <f>IF($A653="","",IF(AND($B653&lt;&gt;"",IF($F$2="Otros",$B653="Otros",ISNUMBER(SEARCH($B653,$F$2)))),COUNT($C$2:C652)+1,""))</f>
        <v/>
      </c>
    </row>
    <row r="654" spans="1:3" x14ac:dyDescent="0.2">
      <c r="A654" s="69" t="str">
        <f>Listas!E649</f>
        <v>RC Sn (Estaño) | 1.5 - 3 µm | 0.762 - 1.27 µm</v>
      </c>
      <c r="B654" s="69" t="str">
        <f t="shared" si="10"/>
        <v>Estaño</v>
      </c>
      <c r="C654" s="69" t="str">
        <f>IF($A654="","",IF(AND($B654&lt;&gt;"",IF($F$2="Otros",$B654="Otros",ISNUMBER(SEARCH($B654,$F$2)))),COUNT($C$2:C653)+1,""))</f>
        <v/>
      </c>
    </row>
    <row r="655" spans="1:3" x14ac:dyDescent="0.2">
      <c r="A655" s="69" t="str">
        <f>Listas!E650</f>
        <v>RC Sn (Estaño) | 1.5 - 3 µm | 1 - 3 µm</v>
      </c>
      <c r="B655" s="69" t="str">
        <f t="shared" si="10"/>
        <v>Estaño</v>
      </c>
      <c r="C655" s="69" t="str">
        <f>IF($A655="","",IF(AND($B655&lt;&gt;"",IF($F$2="Otros",$B655="Otros",ISNUMBER(SEARCH($B655,$F$2)))),COUNT($C$2:C654)+1,""))</f>
        <v/>
      </c>
    </row>
    <row r="656" spans="1:3" x14ac:dyDescent="0.2">
      <c r="A656" s="69" t="str">
        <f>Listas!E651</f>
        <v>RC Sn (Estaño) | 1.5 - 3 µm | 2.54 - 5.08 µm</v>
      </c>
      <c r="B656" s="69" t="str">
        <f t="shared" si="10"/>
        <v>Estaño</v>
      </c>
      <c r="C656" s="69" t="str">
        <f>IF($A656="","",IF(AND($B656&lt;&gt;"",IF($F$2="Otros",$B656="Otros",ISNUMBER(SEARCH($B656,$F$2)))),COUNT($C$2:C655)+1,""))</f>
        <v/>
      </c>
    </row>
    <row r="657" spans="1:3" x14ac:dyDescent="0.2">
      <c r="A657" s="69" t="str">
        <f>Listas!E652</f>
        <v>RC Sn (Estaño) | 1.5 - 3 µm | No aplica</v>
      </c>
      <c r="B657" s="69" t="str">
        <f t="shared" si="10"/>
        <v>Estaño</v>
      </c>
      <c r="C657" s="69" t="str">
        <f>IF($A657="","",IF(AND($B657&lt;&gt;"",IF($F$2="Otros",$B657="Otros",ISNUMBER(SEARCH($B657,$F$2)))),COUNT($C$2:C656)+1,""))</f>
        <v/>
      </c>
    </row>
    <row r="658" spans="1:3" x14ac:dyDescent="0.2">
      <c r="A658" s="69" t="str">
        <f>Listas!E653</f>
        <v>RC Sn (Estaño) | 10 - 15 µm | 0.5 - 1 µm</v>
      </c>
      <c r="B658" s="69" t="str">
        <f t="shared" si="10"/>
        <v>Estaño</v>
      </c>
      <c r="C658" s="69" t="str">
        <f>IF($A658="","",IF(AND($B658&lt;&gt;"",IF($F$2="Otros",$B658="Otros",ISNUMBER(SEARCH($B658,$F$2)))),COUNT($C$2:C657)+1,""))</f>
        <v/>
      </c>
    </row>
    <row r="659" spans="1:3" x14ac:dyDescent="0.2">
      <c r="A659" s="69" t="str">
        <f>Listas!E654</f>
        <v>RC Sn (Estaño) | 10 - 15 µm | 0.762 - 1.27 µm</v>
      </c>
      <c r="B659" s="69" t="str">
        <f t="shared" si="10"/>
        <v>Estaño</v>
      </c>
      <c r="C659" s="69" t="str">
        <f>IF($A659="","",IF(AND($B659&lt;&gt;"",IF($F$2="Otros",$B659="Otros",ISNUMBER(SEARCH($B659,$F$2)))),COUNT($C$2:C658)+1,""))</f>
        <v/>
      </c>
    </row>
    <row r="660" spans="1:3" x14ac:dyDescent="0.2">
      <c r="A660" s="69" t="str">
        <f>Listas!E655</f>
        <v>RC Sn (Estaño) | 10 - 15 µm | 1 - 3 µm</v>
      </c>
      <c r="B660" s="69" t="str">
        <f t="shared" si="10"/>
        <v>Estaño</v>
      </c>
      <c r="C660" s="69" t="str">
        <f>IF($A660="","",IF(AND($B660&lt;&gt;"",IF($F$2="Otros",$B660="Otros",ISNUMBER(SEARCH($B660,$F$2)))),COUNT($C$2:C659)+1,""))</f>
        <v/>
      </c>
    </row>
    <row r="661" spans="1:3" x14ac:dyDescent="0.2">
      <c r="A661" s="69" t="str">
        <f>Listas!E656</f>
        <v>RC Sn (Estaño) | 10 - 15 µm | 2.54 - 5.08 µm</v>
      </c>
      <c r="B661" s="69" t="str">
        <f t="shared" si="10"/>
        <v>Estaño</v>
      </c>
      <c r="C661" s="69" t="str">
        <f>IF($A661="","",IF(AND($B661&lt;&gt;"",IF($F$2="Otros",$B661="Otros",ISNUMBER(SEARCH($B661,$F$2)))),COUNT($C$2:C660)+1,""))</f>
        <v/>
      </c>
    </row>
    <row r="662" spans="1:3" x14ac:dyDescent="0.2">
      <c r="A662" s="69" t="str">
        <f>Listas!E657</f>
        <v>RC Sn (Estaño) | 10 - 15 µm | No aplica</v>
      </c>
      <c r="B662" s="69" t="str">
        <f t="shared" si="10"/>
        <v>Estaño</v>
      </c>
      <c r="C662" s="69" t="str">
        <f>IF($A662="","",IF(AND($B662&lt;&gt;"",IF($F$2="Otros",$B662="Otros",ISNUMBER(SEARCH($B662,$F$2)))),COUNT($C$2:C661)+1,""))</f>
        <v/>
      </c>
    </row>
    <row r="663" spans="1:3" x14ac:dyDescent="0.2">
      <c r="A663" s="69" t="str">
        <f>Listas!E658</f>
        <v>RC Sn (Estaño) | 2 - 5 µm | 0.5 - 1 µm</v>
      </c>
      <c r="B663" s="69" t="str">
        <f t="shared" si="10"/>
        <v>Estaño</v>
      </c>
      <c r="C663" s="69" t="str">
        <f>IF($A663="","",IF(AND($B663&lt;&gt;"",IF($F$2="Otros",$B663="Otros",ISNUMBER(SEARCH($B663,$F$2)))),COUNT($C$2:C662)+1,""))</f>
        <v/>
      </c>
    </row>
    <row r="664" spans="1:3" x14ac:dyDescent="0.2">
      <c r="A664" s="69" t="str">
        <f>Listas!E659</f>
        <v>RC Sn (Estaño) | 2 - 5 µm | 0.762 - 1.27 µm</v>
      </c>
      <c r="B664" s="69" t="str">
        <f t="shared" si="10"/>
        <v>Estaño</v>
      </c>
      <c r="C664" s="69" t="str">
        <f>IF($A664="","",IF(AND($B664&lt;&gt;"",IF($F$2="Otros",$B664="Otros",ISNUMBER(SEARCH($B664,$F$2)))),COUNT($C$2:C663)+1,""))</f>
        <v/>
      </c>
    </row>
    <row r="665" spans="1:3" x14ac:dyDescent="0.2">
      <c r="A665" s="69" t="str">
        <f>Listas!E660</f>
        <v>RC Sn (Estaño) | 2 - 5 µm | 1 - 3 µm</v>
      </c>
      <c r="B665" s="69" t="str">
        <f t="shared" si="10"/>
        <v>Estaño</v>
      </c>
      <c r="C665" s="69" t="str">
        <f>IF($A665="","",IF(AND($B665&lt;&gt;"",IF($F$2="Otros",$B665="Otros",ISNUMBER(SEARCH($B665,$F$2)))),COUNT($C$2:C664)+1,""))</f>
        <v/>
      </c>
    </row>
    <row r="666" spans="1:3" x14ac:dyDescent="0.2">
      <c r="A666" s="69" t="str">
        <f>Listas!E661</f>
        <v>RC Sn (Estaño) | 2 - 5 µm | 2.54 - 5.08 µm</v>
      </c>
      <c r="B666" s="69" t="str">
        <f t="shared" si="10"/>
        <v>Estaño</v>
      </c>
      <c r="C666" s="69" t="str">
        <f>IF($A666="","",IF(AND($B666&lt;&gt;"",IF($F$2="Otros",$B666="Otros",ISNUMBER(SEARCH($B666,$F$2)))),COUNT($C$2:C665)+1,""))</f>
        <v/>
      </c>
    </row>
    <row r="667" spans="1:3" x14ac:dyDescent="0.2">
      <c r="A667" s="69" t="str">
        <f>Listas!E662</f>
        <v>RC Sn (Estaño) | 2 - 5 µm | No aplica</v>
      </c>
      <c r="B667" s="69" t="str">
        <f t="shared" si="10"/>
        <v>Estaño</v>
      </c>
      <c r="C667" s="69" t="str">
        <f>IF($A667="","",IF(AND($B667&lt;&gt;"",IF($F$2="Otros",$B667="Otros",ISNUMBER(SEARCH($B667,$F$2)))),COUNT($C$2:C666)+1,""))</f>
        <v/>
      </c>
    </row>
    <row r="668" spans="1:3" x14ac:dyDescent="0.2">
      <c r="A668" s="69" t="str">
        <f>Listas!E663</f>
        <v>RC Sn (Estaño) | 3 - 5 µm | 0.5 - 1 µm</v>
      </c>
      <c r="B668" s="69" t="str">
        <f t="shared" si="10"/>
        <v>Estaño</v>
      </c>
      <c r="C668" s="69" t="str">
        <f>IF($A668="","",IF(AND($B668&lt;&gt;"",IF($F$2="Otros",$B668="Otros",ISNUMBER(SEARCH($B668,$F$2)))),COUNT($C$2:C667)+1,""))</f>
        <v/>
      </c>
    </row>
    <row r="669" spans="1:3" x14ac:dyDescent="0.2">
      <c r="A669" s="69" t="str">
        <f>Listas!E664</f>
        <v>RC Sn (Estaño) | 3 - 5 µm | 0.762 - 1.27 µm</v>
      </c>
      <c r="B669" s="69" t="str">
        <f t="shared" si="10"/>
        <v>Estaño</v>
      </c>
      <c r="C669" s="69" t="str">
        <f>IF($A669="","",IF(AND($B669&lt;&gt;"",IF($F$2="Otros",$B669="Otros",ISNUMBER(SEARCH($B669,$F$2)))),COUNT($C$2:C668)+1,""))</f>
        <v/>
      </c>
    </row>
    <row r="670" spans="1:3" x14ac:dyDescent="0.2">
      <c r="A670" s="69" t="str">
        <f>Listas!E665</f>
        <v>RC Sn (Estaño) | 3 - 5 µm | 1 - 3 µm</v>
      </c>
      <c r="B670" s="69" t="str">
        <f t="shared" si="10"/>
        <v>Estaño</v>
      </c>
      <c r="C670" s="69" t="str">
        <f>IF($A670="","",IF(AND($B670&lt;&gt;"",IF($F$2="Otros",$B670="Otros",ISNUMBER(SEARCH($B670,$F$2)))),COUNT($C$2:C669)+1,""))</f>
        <v/>
      </c>
    </row>
    <row r="671" spans="1:3" x14ac:dyDescent="0.2">
      <c r="A671" s="69" t="str">
        <f>Listas!E666</f>
        <v>RC Sn (Estaño) | 3 - 5 µm | 2.54 - 5.08 µm</v>
      </c>
      <c r="B671" s="69" t="str">
        <f t="shared" si="10"/>
        <v>Estaño</v>
      </c>
      <c r="C671" s="69" t="str">
        <f>IF($A671="","",IF(AND($B671&lt;&gt;"",IF($F$2="Otros",$B671="Otros",ISNUMBER(SEARCH($B671,$F$2)))),COUNT($C$2:C670)+1,""))</f>
        <v/>
      </c>
    </row>
    <row r="672" spans="1:3" x14ac:dyDescent="0.2">
      <c r="A672" s="69" t="str">
        <f>Listas!E667</f>
        <v>RC Sn (Estaño) | 3 - 5 µm | No aplica</v>
      </c>
      <c r="B672" s="69" t="str">
        <f t="shared" si="10"/>
        <v>Estaño</v>
      </c>
      <c r="C672" s="69" t="str">
        <f>IF($A672="","",IF(AND($B672&lt;&gt;"",IF($F$2="Otros",$B672="Otros",ISNUMBER(SEARCH($B672,$F$2)))),COUNT($C$2:C671)+1,""))</f>
        <v/>
      </c>
    </row>
    <row r="673" spans="1:3" x14ac:dyDescent="0.2">
      <c r="A673" s="69" t="str">
        <f>Listas!E668</f>
        <v>RC Sn (Estaño) | 5 - 10 µm | 0.5 - 1 µm</v>
      </c>
      <c r="B673" s="69" t="str">
        <f t="shared" si="10"/>
        <v>Estaño</v>
      </c>
      <c r="C673" s="69" t="str">
        <f>IF($A673="","",IF(AND($B673&lt;&gt;"",IF($F$2="Otros",$B673="Otros",ISNUMBER(SEARCH($B673,$F$2)))),COUNT($C$2:C672)+1,""))</f>
        <v/>
      </c>
    </row>
    <row r="674" spans="1:3" x14ac:dyDescent="0.2">
      <c r="A674" s="69" t="str">
        <f>Listas!E669</f>
        <v>RC Sn (Estaño) | 5 - 10 µm | 0.762 - 1.27 µm</v>
      </c>
      <c r="B674" s="69" t="str">
        <f t="shared" si="10"/>
        <v>Estaño</v>
      </c>
      <c r="C674" s="69" t="str">
        <f>IF($A674="","",IF(AND($B674&lt;&gt;"",IF($F$2="Otros",$B674="Otros",ISNUMBER(SEARCH($B674,$F$2)))),COUNT($C$2:C673)+1,""))</f>
        <v/>
      </c>
    </row>
    <row r="675" spans="1:3" x14ac:dyDescent="0.2">
      <c r="A675" s="69" t="str">
        <f>Listas!E670</f>
        <v>RC Sn (Estaño) | 5 - 10 µm | 1 - 3 µm</v>
      </c>
      <c r="B675" s="69" t="str">
        <f t="shared" si="10"/>
        <v>Estaño</v>
      </c>
      <c r="C675" s="69" t="str">
        <f>IF($A675="","",IF(AND($B675&lt;&gt;"",IF($F$2="Otros",$B675="Otros",ISNUMBER(SEARCH($B675,$F$2)))),COUNT($C$2:C674)+1,""))</f>
        <v/>
      </c>
    </row>
    <row r="676" spans="1:3" x14ac:dyDescent="0.2">
      <c r="A676" s="69" t="str">
        <f>Listas!E671</f>
        <v>RC Sn (Estaño) | 5 - 10 µm | 2.54 - 5.08 µm</v>
      </c>
      <c r="B676" s="69" t="str">
        <f t="shared" si="10"/>
        <v>Estaño</v>
      </c>
      <c r="C676" s="69" t="str">
        <f>IF($A676="","",IF(AND($B676&lt;&gt;"",IF($F$2="Otros",$B676="Otros",ISNUMBER(SEARCH($B676,$F$2)))),COUNT($C$2:C675)+1,""))</f>
        <v/>
      </c>
    </row>
    <row r="677" spans="1:3" x14ac:dyDescent="0.2">
      <c r="A677" s="69" t="str">
        <f>Listas!E672</f>
        <v>RC Sn (Estaño) | 5 - 10 µm | No aplica</v>
      </c>
      <c r="B677" s="69" t="str">
        <f t="shared" si="10"/>
        <v>Estaño</v>
      </c>
      <c r="C677" s="69" t="str">
        <f>IF($A677="","",IF(AND($B677&lt;&gt;"",IF($F$2="Otros",$B677="Otros",ISNUMBER(SEARCH($B677,$F$2)))),COUNT($C$2:C676)+1,""))</f>
        <v/>
      </c>
    </row>
    <row r="678" spans="1:3" x14ac:dyDescent="0.2">
      <c r="A678" s="69" t="str">
        <f>Listas!E673</f>
        <v>RC Sn (Estaño) | 5 - 12 µm | 0.5 - 1 µm</v>
      </c>
      <c r="B678" s="69" t="str">
        <f t="shared" si="10"/>
        <v>Estaño</v>
      </c>
      <c r="C678" s="69" t="str">
        <f>IF($A678="","",IF(AND($B678&lt;&gt;"",IF($F$2="Otros",$B678="Otros",ISNUMBER(SEARCH($B678,$F$2)))),COUNT($C$2:C677)+1,""))</f>
        <v/>
      </c>
    </row>
    <row r="679" spans="1:3" x14ac:dyDescent="0.2">
      <c r="A679" s="69" t="str">
        <f>Listas!E674</f>
        <v>RC Sn (Estaño) | 5 - 12 µm | 0.762 - 1.27 µm</v>
      </c>
      <c r="B679" s="69" t="str">
        <f t="shared" si="10"/>
        <v>Estaño</v>
      </c>
      <c r="C679" s="69" t="str">
        <f>IF($A679="","",IF(AND($B679&lt;&gt;"",IF($F$2="Otros",$B679="Otros",ISNUMBER(SEARCH($B679,$F$2)))),COUNT($C$2:C678)+1,""))</f>
        <v/>
      </c>
    </row>
    <row r="680" spans="1:3" x14ac:dyDescent="0.2">
      <c r="A680" s="69" t="str">
        <f>Listas!E675</f>
        <v>RC Sn (Estaño) | 5 - 12 µm | 1 - 3 µm</v>
      </c>
      <c r="B680" s="69" t="str">
        <f t="shared" si="10"/>
        <v>Estaño</v>
      </c>
      <c r="C680" s="69" t="str">
        <f>IF($A680="","",IF(AND($B680&lt;&gt;"",IF($F$2="Otros",$B680="Otros",ISNUMBER(SEARCH($B680,$F$2)))),COUNT($C$2:C679)+1,""))</f>
        <v/>
      </c>
    </row>
    <row r="681" spans="1:3" x14ac:dyDescent="0.2">
      <c r="A681" s="69" t="str">
        <f>Listas!E676</f>
        <v>RC Sn (Estaño) | 5 - 12 µm | 2.54 - 5.08 µm</v>
      </c>
      <c r="B681" s="69" t="str">
        <f t="shared" si="10"/>
        <v>Estaño</v>
      </c>
      <c r="C681" s="69" t="str">
        <f>IF($A681="","",IF(AND($B681&lt;&gt;"",IF($F$2="Otros",$B681="Otros",ISNUMBER(SEARCH($B681,$F$2)))),COUNT($C$2:C680)+1,""))</f>
        <v/>
      </c>
    </row>
    <row r="682" spans="1:3" x14ac:dyDescent="0.2">
      <c r="A682" s="69" t="str">
        <f>Listas!E677</f>
        <v>RC Sn (Estaño) | 5 - 12 µm | No aplica</v>
      </c>
      <c r="B682" s="69" t="str">
        <f t="shared" si="10"/>
        <v>Estaño</v>
      </c>
      <c r="C682" s="69" t="str">
        <f>IF($A682="","",IF(AND($B682&lt;&gt;"",IF($F$2="Otros",$B682="Otros",ISNUMBER(SEARCH($B682,$F$2)))),COUNT($C$2:C681)+1,""))</f>
        <v/>
      </c>
    </row>
    <row r="683" spans="1:3" x14ac:dyDescent="0.2">
      <c r="A683" s="69" t="str">
        <f>Listas!E678</f>
        <v>RC Sn (Estaño) | 5 - 8 µm | 0.5 - 1 µm</v>
      </c>
      <c r="B683" s="69" t="str">
        <f t="shared" si="10"/>
        <v>Estaño</v>
      </c>
      <c r="C683" s="69" t="str">
        <f>IF($A683="","",IF(AND($B683&lt;&gt;"",IF($F$2="Otros",$B683="Otros",ISNUMBER(SEARCH($B683,$F$2)))),COUNT($C$2:C682)+1,""))</f>
        <v/>
      </c>
    </row>
    <row r="684" spans="1:3" x14ac:dyDescent="0.2">
      <c r="A684" s="69" t="str">
        <f>Listas!E679</f>
        <v>RC Sn (Estaño) | 5 - 8 µm | 0.762 - 1.27 µm</v>
      </c>
      <c r="B684" s="69" t="str">
        <f t="shared" si="10"/>
        <v>Estaño</v>
      </c>
      <c r="C684" s="69" t="str">
        <f>IF($A684="","",IF(AND($B684&lt;&gt;"",IF($F$2="Otros",$B684="Otros",ISNUMBER(SEARCH($B684,$F$2)))),COUNT($C$2:C683)+1,""))</f>
        <v/>
      </c>
    </row>
    <row r="685" spans="1:3" x14ac:dyDescent="0.2">
      <c r="A685" s="69" t="str">
        <f>Listas!E680</f>
        <v>RC Sn (Estaño) | 5 - 8 µm | 1 - 3 µm</v>
      </c>
      <c r="B685" s="69" t="str">
        <f t="shared" si="10"/>
        <v>Estaño</v>
      </c>
      <c r="C685" s="69" t="str">
        <f>IF($A685="","",IF(AND($B685&lt;&gt;"",IF($F$2="Otros",$B685="Otros",ISNUMBER(SEARCH($B685,$F$2)))),COUNT($C$2:C684)+1,""))</f>
        <v/>
      </c>
    </row>
    <row r="686" spans="1:3" x14ac:dyDescent="0.2">
      <c r="A686" s="69" t="str">
        <f>Listas!E681</f>
        <v>RC Sn (Estaño) | 5 - 8 µm | 2.54 - 5.08 µm</v>
      </c>
      <c r="B686" s="69" t="str">
        <f t="shared" si="10"/>
        <v>Estaño</v>
      </c>
      <c r="C686" s="69" t="str">
        <f>IF($A686="","",IF(AND($B686&lt;&gt;"",IF($F$2="Otros",$B686="Otros",ISNUMBER(SEARCH($B686,$F$2)))),COUNT($C$2:C685)+1,""))</f>
        <v/>
      </c>
    </row>
    <row r="687" spans="1:3" x14ac:dyDescent="0.2">
      <c r="A687" s="69" t="str">
        <f>Listas!E682</f>
        <v>RC Sn (Estaño) | 5 - 8 µm | No aplica</v>
      </c>
      <c r="B687" s="69" t="str">
        <f t="shared" si="10"/>
        <v>Estaño</v>
      </c>
      <c r="C687" s="69" t="str">
        <f>IF($A687="","",IF(AND($B687&lt;&gt;"",IF($F$2="Otros",$B687="Otros",ISNUMBER(SEARCH($B687,$F$2)))),COUNT($C$2:C686)+1,""))</f>
        <v/>
      </c>
    </row>
    <row r="688" spans="1:3" x14ac:dyDescent="0.2">
      <c r="A688" s="69" t="str">
        <f>Listas!E683</f>
        <v>RC Sn (Estaño) | 7 - 12 µm | 0.5 - 1 µm</v>
      </c>
      <c r="B688" s="69" t="str">
        <f t="shared" si="10"/>
        <v>Estaño</v>
      </c>
      <c r="C688" s="69" t="str">
        <f>IF($A688="","",IF(AND($B688&lt;&gt;"",IF($F$2="Otros",$B688="Otros",ISNUMBER(SEARCH($B688,$F$2)))),COUNT($C$2:C687)+1,""))</f>
        <v/>
      </c>
    </row>
    <row r="689" spans="1:3" x14ac:dyDescent="0.2">
      <c r="A689" s="69" t="str">
        <f>Listas!E684</f>
        <v>RC Sn (Estaño) | 7 - 12 µm | 0.762 - 1.27 µm</v>
      </c>
      <c r="B689" s="69" t="str">
        <f t="shared" si="10"/>
        <v>Estaño</v>
      </c>
      <c r="C689" s="69" t="str">
        <f>IF($A689="","",IF(AND($B689&lt;&gt;"",IF($F$2="Otros",$B689="Otros",ISNUMBER(SEARCH($B689,$F$2)))),COUNT($C$2:C688)+1,""))</f>
        <v/>
      </c>
    </row>
    <row r="690" spans="1:3" x14ac:dyDescent="0.2">
      <c r="A690" s="69" t="str">
        <f>Listas!E685</f>
        <v>RC Sn (Estaño) | 7 - 12 µm | 1 - 3 µm</v>
      </c>
      <c r="B690" s="69" t="str">
        <f t="shared" si="10"/>
        <v>Estaño</v>
      </c>
      <c r="C690" s="69" t="str">
        <f>IF($A690="","",IF(AND($B690&lt;&gt;"",IF($F$2="Otros",$B690="Otros",ISNUMBER(SEARCH($B690,$F$2)))),COUNT($C$2:C689)+1,""))</f>
        <v/>
      </c>
    </row>
    <row r="691" spans="1:3" x14ac:dyDescent="0.2">
      <c r="A691" s="69" t="str">
        <f>Listas!E686</f>
        <v>RC Sn (Estaño) | 7 - 12 µm | 2.54 - 5.08 µm</v>
      </c>
      <c r="B691" s="69" t="str">
        <f t="shared" si="10"/>
        <v>Estaño</v>
      </c>
      <c r="C691" s="69" t="str">
        <f>IF($A691="","",IF(AND($B691&lt;&gt;"",IF($F$2="Otros",$B691="Otros",ISNUMBER(SEARCH($B691,$F$2)))),COUNT($C$2:C690)+1,""))</f>
        <v/>
      </c>
    </row>
    <row r="692" spans="1:3" x14ac:dyDescent="0.2">
      <c r="A692" s="69" t="str">
        <f>Listas!E687</f>
        <v>RC Sn (Estaño) | 7 - 12 µm | No aplica</v>
      </c>
      <c r="B692" s="69" t="str">
        <f t="shared" si="10"/>
        <v>Estaño</v>
      </c>
      <c r="C692" s="69" t="str">
        <f>IF($A692="","",IF(AND($B692&lt;&gt;"",IF($F$2="Otros",$B692="Otros",ISNUMBER(SEARCH($B692,$F$2)))),COUNT($C$2:C691)+1,""))</f>
        <v/>
      </c>
    </row>
    <row r="693" spans="1:3" x14ac:dyDescent="0.2">
      <c r="A693" s="69" t="str">
        <f>Listas!E688</f>
        <v>RC Sn (Estaño) | 8 - 10 µm | 0.5 - 1 µm</v>
      </c>
      <c r="B693" s="69" t="str">
        <f t="shared" si="10"/>
        <v>Estaño</v>
      </c>
      <c r="C693" s="69" t="str">
        <f>IF($A693="","",IF(AND($B693&lt;&gt;"",IF($F$2="Otros",$B693="Otros",ISNUMBER(SEARCH($B693,$F$2)))),COUNT($C$2:C692)+1,""))</f>
        <v/>
      </c>
    </row>
    <row r="694" spans="1:3" x14ac:dyDescent="0.2">
      <c r="A694" s="69" t="str">
        <f>Listas!E689</f>
        <v>RC Sn (Estaño) | 8 - 10 µm | 0.762 - 1.27 µm</v>
      </c>
      <c r="B694" s="69" t="str">
        <f t="shared" si="10"/>
        <v>Estaño</v>
      </c>
      <c r="C694" s="69" t="str">
        <f>IF($A694="","",IF(AND($B694&lt;&gt;"",IF($F$2="Otros",$B694="Otros",ISNUMBER(SEARCH($B694,$F$2)))),COUNT($C$2:C693)+1,""))</f>
        <v/>
      </c>
    </row>
    <row r="695" spans="1:3" x14ac:dyDescent="0.2">
      <c r="A695" s="69" t="str">
        <f>Listas!E690</f>
        <v>RC Sn (Estaño) | 8 - 10 µm | 1 - 3 µm</v>
      </c>
      <c r="B695" s="69" t="str">
        <f t="shared" si="10"/>
        <v>Estaño</v>
      </c>
      <c r="C695" s="69" t="str">
        <f>IF($A695="","",IF(AND($B695&lt;&gt;"",IF($F$2="Otros",$B695="Otros",ISNUMBER(SEARCH($B695,$F$2)))),COUNT($C$2:C694)+1,""))</f>
        <v/>
      </c>
    </row>
    <row r="696" spans="1:3" x14ac:dyDescent="0.2">
      <c r="A696" s="69" t="str">
        <f>Listas!E691</f>
        <v>RC Sn (Estaño) | 8 - 10 µm | 2.54 - 5.08 µm</v>
      </c>
      <c r="B696" s="69" t="str">
        <f t="shared" si="10"/>
        <v>Estaño</v>
      </c>
      <c r="C696" s="69" t="str">
        <f>IF($A696="","",IF(AND($B696&lt;&gt;"",IF($F$2="Otros",$B696="Otros",ISNUMBER(SEARCH($B696,$F$2)))),COUNT($C$2:C695)+1,""))</f>
        <v/>
      </c>
    </row>
    <row r="697" spans="1:3" x14ac:dyDescent="0.2">
      <c r="A697" s="69" t="str">
        <f>Listas!E692</f>
        <v>RC Sn (Estaño) | 8 - 10 µm | No aplica</v>
      </c>
      <c r="B697" s="69" t="str">
        <f t="shared" si="10"/>
        <v>Estaño</v>
      </c>
      <c r="C697" s="69" t="str">
        <f>IF($A697="","",IF(AND($B697&lt;&gt;"",IF($F$2="Otros",$B697="Otros",ISNUMBER(SEARCH($B697,$F$2)))),COUNT($C$2:C696)+1,""))</f>
        <v/>
      </c>
    </row>
    <row r="698" spans="1:3" x14ac:dyDescent="0.2">
      <c r="A698" s="69" t="str">
        <f>Listas!E693</f>
        <v>RC Sn (Estaño) | 8 - 12 µm | 0.5 - 1 µm</v>
      </c>
      <c r="B698" s="69" t="str">
        <f t="shared" si="10"/>
        <v>Estaño</v>
      </c>
      <c r="C698" s="69" t="str">
        <f>IF($A698="","",IF(AND($B698&lt;&gt;"",IF($F$2="Otros",$B698="Otros",ISNUMBER(SEARCH($B698,$F$2)))),COUNT($C$2:C697)+1,""))</f>
        <v/>
      </c>
    </row>
    <row r="699" spans="1:3" x14ac:dyDescent="0.2">
      <c r="A699" s="69" t="str">
        <f>Listas!E694</f>
        <v>RC Sn (Estaño) | 8 - 12 µm | 0.762 - 1.27 µm</v>
      </c>
      <c r="B699" s="69" t="str">
        <f t="shared" si="10"/>
        <v>Estaño</v>
      </c>
      <c r="C699" s="69" t="str">
        <f>IF($A699="","",IF(AND($B699&lt;&gt;"",IF($F$2="Otros",$B699="Otros",ISNUMBER(SEARCH($B699,$F$2)))),COUNT($C$2:C698)+1,""))</f>
        <v/>
      </c>
    </row>
    <row r="700" spans="1:3" x14ac:dyDescent="0.2">
      <c r="A700" s="69" t="str">
        <f>Listas!E695</f>
        <v>RC Sn (Estaño) | 8 - 12 µm | 1 - 3 µm</v>
      </c>
      <c r="B700" s="69" t="str">
        <f t="shared" si="10"/>
        <v>Estaño</v>
      </c>
      <c r="C700" s="69" t="str">
        <f>IF($A700="","",IF(AND($B700&lt;&gt;"",IF($F$2="Otros",$B700="Otros",ISNUMBER(SEARCH($B700,$F$2)))),COUNT($C$2:C699)+1,""))</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69" customWidth="1"/>
    <col min="2" max="2" width="44" style="69" bestFit="1" customWidth="1"/>
    <col min="3" max="3" width="6.6640625" style="69" bestFit="1" customWidth="1"/>
    <col min="4" max="4" width="30" style="69" customWidth="1"/>
    <col min="5" max="5" width="36.6640625" style="69" customWidth="1"/>
    <col min="6" max="6" width="13.33203125" style="69" customWidth="1"/>
    <col min="7" max="7" width="58.33203125" style="69" customWidth="1"/>
    <col min="8" max="16384" width="10.83203125" style="69"/>
  </cols>
  <sheetData>
    <row r="1" spans="1:3" x14ac:dyDescent="0.2">
      <c r="A1" s="71" t="s">
        <v>1717</v>
      </c>
      <c r="B1" s="71" t="s">
        <v>1718</v>
      </c>
      <c r="C1" s="71" t="s">
        <v>1716</v>
      </c>
    </row>
    <row r="2" spans="1:3" x14ac:dyDescent="0.2">
      <c r="A2" s="98" t="s">
        <v>1719</v>
      </c>
      <c r="B2" s="69" t="s">
        <v>958</v>
      </c>
      <c r="C2" s="99" t="s">
        <v>1720</v>
      </c>
    </row>
    <row r="3" spans="1:3" x14ac:dyDescent="0.2">
      <c r="A3" s="98" t="s">
        <v>1721</v>
      </c>
      <c r="B3" s="69" t="s">
        <v>958</v>
      </c>
      <c r="C3" s="99" t="s">
        <v>1720</v>
      </c>
    </row>
    <row r="4" spans="1:3" x14ac:dyDescent="0.2">
      <c r="A4" s="98" t="s">
        <v>1722</v>
      </c>
      <c r="B4" s="69" t="s">
        <v>958</v>
      </c>
      <c r="C4" s="99" t="s">
        <v>1720</v>
      </c>
    </row>
    <row r="5" spans="1:3" x14ac:dyDescent="0.2">
      <c r="A5" s="98" t="s">
        <v>1723</v>
      </c>
      <c r="B5" s="69" t="s">
        <v>958</v>
      </c>
      <c r="C5" s="99" t="s">
        <v>1720</v>
      </c>
    </row>
    <row r="6" spans="1:3" x14ac:dyDescent="0.2">
      <c r="A6" s="98" t="s">
        <v>1724</v>
      </c>
      <c r="B6" s="69" t="s">
        <v>973</v>
      </c>
      <c r="C6" s="99" t="s">
        <v>1720</v>
      </c>
    </row>
    <row r="7" spans="1:3" x14ac:dyDescent="0.2">
      <c r="A7" s="98" t="s">
        <v>1725</v>
      </c>
      <c r="B7" s="69" t="s">
        <v>958</v>
      </c>
      <c r="C7" s="99" t="s">
        <v>1720</v>
      </c>
    </row>
    <row r="8" spans="1:3" x14ac:dyDescent="0.2">
      <c r="A8" s="98" t="s">
        <v>1726</v>
      </c>
      <c r="B8" s="69" t="s">
        <v>958</v>
      </c>
      <c r="C8" s="99" t="s">
        <v>1720</v>
      </c>
    </row>
    <row r="9" spans="1:3" x14ac:dyDescent="0.2">
      <c r="A9" s="98" t="s">
        <v>1727</v>
      </c>
      <c r="B9" s="69" t="s">
        <v>958</v>
      </c>
      <c r="C9" s="99" t="s">
        <v>1720</v>
      </c>
    </row>
    <row r="10" spans="1:3" x14ac:dyDescent="0.2">
      <c r="A10" s="98" t="s">
        <v>1728</v>
      </c>
      <c r="B10" s="69" t="s">
        <v>958</v>
      </c>
      <c r="C10" s="99" t="s">
        <v>1720</v>
      </c>
    </row>
    <row r="11" spans="1:3" x14ac:dyDescent="0.2">
      <c r="A11" s="98" t="s">
        <v>1729</v>
      </c>
      <c r="B11" s="69" t="s">
        <v>958</v>
      </c>
      <c r="C11" s="99" t="s">
        <v>1720</v>
      </c>
    </row>
    <row r="12" spans="1:3" x14ac:dyDescent="0.2">
      <c r="A12" s="98" t="s">
        <v>1730</v>
      </c>
      <c r="B12" s="69" t="s">
        <v>958</v>
      </c>
      <c r="C12" s="99" t="s">
        <v>1720</v>
      </c>
    </row>
    <row r="13" spans="1:3" x14ac:dyDescent="0.2">
      <c r="A13" s="98" t="s">
        <v>1731</v>
      </c>
      <c r="B13" s="69" t="s">
        <v>958</v>
      </c>
      <c r="C13" s="99" t="s">
        <v>1720</v>
      </c>
    </row>
    <row r="14" spans="1:3" x14ac:dyDescent="0.2">
      <c r="A14" s="98" t="s">
        <v>1732</v>
      </c>
      <c r="B14" s="69" t="s">
        <v>958</v>
      </c>
      <c r="C14" s="99" t="s">
        <v>1720</v>
      </c>
    </row>
    <row r="15" spans="1:3" x14ac:dyDescent="0.2">
      <c r="A15" s="98" t="s">
        <v>1733</v>
      </c>
      <c r="B15" s="69" t="s">
        <v>958</v>
      </c>
      <c r="C15" s="99" t="s">
        <v>1720</v>
      </c>
    </row>
    <row r="16" spans="1:3" x14ac:dyDescent="0.2">
      <c r="A16" s="98" t="s">
        <v>1734</v>
      </c>
      <c r="B16" s="69" t="s">
        <v>958</v>
      </c>
      <c r="C16" s="99" t="s">
        <v>1720</v>
      </c>
    </row>
    <row r="17" spans="1:3" x14ac:dyDescent="0.2">
      <c r="A17" s="98" t="s">
        <v>1735</v>
      </c>
      <c r="B17" s="69" t="s">
        <v>958</v>
      </c>
      <c r="C17" s="99" t="s">
        <v>1720</v>
      </c>
    </row>
    <row r="18" spans="1:3" x14ac:dyDescent="0.2">
      <c r="A18" s="98" t="s">
        <v>1736</v>
      </c>
      <c r="B18" s="69" t="s">
        <v>959</v>
      </c>
      <c r="C18" s="99" t="s">
        <v>1720</v>
      </c>
    </row>
    <row r="19" spans="1:3" x14ac:dyDescent="0.2">
      <c r="A19" s="98" t="s">
        <v>1737</v>
      </c>
      <c r="B19" s="69" t="s">
        <v>959</v>
      </c>
      <c r="C19" s="99" t="s">
        <v>1720</v>
      </c>
    </row>
    <row r="20" spans="1:3" x14ac:dyDescent="0.2">
      <c r="A20" s="98" t="s">
        <v>1738</v>
      </c>
      <c r="B20" s="69" t="s">
        <v>959</v>
      </c>
      <c r="C20" s="99" t="s">
        <v>1720</v>
      </c>
    </row>
    <row r="21" spans="1:3" x14ac:dyDescent="0.2">
      <c r="A21" s="98" t="s">
        <v>1739</v>
      </c>
      <c r="B21" s="69" t="s">
        <v>959</v>
      </c>
      <c r="C21" s="99" t="s">
        <v>1720</v>
      </c>
    </row>
    <row r="22" spans="1:3" x14ac:dyDescent="0.2">
      <c r="A22" s="98" t="s">
        <v>1740</v>
      </c>
      <c r="B22" s="69" t="s">
        <v>960</v>
      </c>
      <c r="C22" s="100" t="s">
        <v>1741</v>
      </c>
    </row>
    <row r="23" spans="1:3" x14ac:dyDescent="0.2">
      <c r="A23" s="98" t="s">
        <v>1742</v>
      </c>
      <c r="B23" s="69" t="s">
        <v>960</v>
      </c>
      <c r="C23" s="100" t="s">
        <v>1741</v>
      </c>
    </row>
    <row r="24" spans="1:3" x14ac:dyDescent="0.2">
      <c r="A24" s="98" t="s">
        <v>1743</v>
      </c>
      <c r="B24" s="69" t="s">
        <v>960</v>
      </c>
      <c r="C24" s="100" t="s">
        <v>1741</v>
      </c>
    </row>
    <row r="25" spans="1:3" x14ac:dyDescent="0.2">
      <c r="A25" s="98" t="s">
        <v>1744</v>
      </c>
      <c r="B25" s="69" t="s">
        <v>961</v>
      </c>
      <c r="C25" s="100" t="s">
        <v>1741</v>
      </c>
    </row>
    <row r="26" spans="1:3" x14ac:dyDescent="0.2">
      <c r="A26" s="98" t="s">
        <v>1745</v>
      </c>
      <c r="B26" s="69" t="s">
        <v>961</v>
      </c>
      <c r="C26" s="100" t="s">
        <v>1741</v>
      </c>
    </row>
    <row r="27" spans="1:3" x14ac:dyDescent="0.2">
      <c r="A27" s="98" t="s">
        <v>1746</v>
      </c>
      <c r="B27" s="69" t="s">
        <v>961</v>
      </c>
      <c r="C27" s="100" t="s">
        <v>1741</v>
      </c>
    </row>
    <row r="28" spans="1:3" x14ac:dyDescent="0.2">
      <c r="A28" s="98" t="s">
        <v>1747</v>
      </c>
      <c r="B28" s="69" t="s">
        <v>961</v>
      </c>
      <c r="C28" s="100" t="s">
        <v>1741</v>
      </c>
    </row>
    <row r="29" spans="1:3" x14ac:dyDescent="0.2">
      <c r="A29" s="98" t="s">
        <v>1748</v>
      </c>
      <c r="B29" s="69" t="s">
        <v>962</v>
      </c>
      <c r="C29" s="100" t="s">
        <v>1741</v>
      </c>
    </row>
    <row r="30" spans="1:3" x14ac:dyDescent="0.2">
      <c r="A30" s="98" t="s">
        <v>1749</v>
      </c>
      <c r="B30" s="69" t="s">
        <v>962</v>
      </c>
      <c r="C30" s="100" t="s">
        <v>1741</v>
      </c>
    </row>
    <row r="31" spans="1:3" x14ac:dyDescent="0.2">
      <c r="A31" s="98" t="s">
        <v>1750</v>
      </c>
      <c r="B31" s="69" t="s">
        <v>963</v>
      </c>
      <c r="C31" s="101" t="s">
        <v>1751</v>
      </c>
    </row>
    <row r="32" spans="1:3" x14ac:dyDescent="0.2">
      <c r="A32" s="98" t="s">
        <v>1752</v>
      </c>
      <c r="B32" s="69" t="s">
        <v>963</v>
      </c>
      <c r="C32" s="101" t="s">
        <v>1751</v>
      </c>
    </row>
    <row r="33" spans="1:3" x14ac:dyDescent="0.2">
      <c r="A33" s="98" t="s">
        <v>1753</v>
      </c>
      <c r="B33" s="69" t="s">
        <v>964</v>
      </c>
      <c r="C33" s="100" t="s">
        <v>1741</v>
      </c>
    </row>
    <row r="34" spans="1:3" x14ac:dyDescent="0.2">
      <c r="A34" s="98" t="s">
        <v>1754</v>
      </c>
      <c r="B34" s="69" t="s">
        <v>964</v>
      </c>
      <c r="C34" s="100" t="s">
        <v>1741</v>
      </c>
    </row>
    <row r="35" spans="1:3" x14ac:dyDescent="0.2">
      <c r="A35" s="98" t="s">
        <v>1755</v>
      </c>
      <c r="B35" s="69" t="s">
        <v>965</v>
      </c>
      <c r="C35" s="99" t="s">
        <v>1720</v>
      </c>
    </row>
    <row r="36" spans="1:3" x14ac:dyDescent="0.2">
      <c r="A36" s="98" t="s">
        <v>1756</v>
      </c>
      <c r="B36" s="69" t="s">
        <v>965</v>
      </c>
      <c r="C36" s="99" t="s">
        <v>1720</v>
      </c>
    </row>
    <row r="37" spans="1:3" x14ac:dyDescent="0.2">
      <c r="A37" s="98" t="s">
        <v>1757</v>
      </c>
      <c r="B37" s="69" t="s">
        <v>965</v>
      </c>
      <c r="C37" s="99" t="s">
        <v>1720</v>
      </c>
    </row>
    <row r="38" spans="1:3" x14ac:dyDescent="0.2">
      <c r="A38" s="98" t="s">
        <v>1758</v>
      </c>
      <c r="B38" s="69" t="s">
        <v>966</v>
      </c>
      <c r="C38" s="101" t="s">
        <v>1751</v>
      </c>
    </row>
    <row r="39" spans="1:3" x14ac:dyDescent="0.2">
      <c r="A39" s="98" t="s">
        <v>1759</v>
      </c>
      <c r="B39" s="69" t="s">
        <v>966</v>
      </c>
      <c r="C39" s="101" t="s">
        <v>1751</v>
      </c>
    </row>
    <row r="40" spans="1:3" x14ac:dyDescent="0.2">
      <c r="A40" s="98" t="s">
        <v>1760</v>
      </c>
      <c r="B40" s="69" t="s">
        <v>966</v>
      </c>
      <c r="C40" s="101" t="s">
        <v>1751</v>
      </c>
    </row>
    <row r="41" spans="1:3" x14ac:dyDescent="0.2">
      <c r="A41" s="98" t="s">
        <v>1761</v>
      </c>
      <c r="B41" s="69" t="s">
        <v>966</v>
      </c>
      <c r="C41" s="101" t="s">
        <v>1751</v>
      </c>
    </row>
    <row r="42" spans="1:3" x14ac:dyDescent="0.2">
      <c r="A42" s="98" t="s">
        <v>1762</v>
      </c>
      <c r="B42" s="69" t="s">
        <v>967</v>
      </c>
      <c r="C42" s="100" t="s">
        <v>1741</v>
      </c>
    </row>
    <row r="43" spans="1:3" x14ac:dyDescent="0.2">
      <c r="A43" s="98" t="s">
        <v>1763</v>
      </c>
      <c r="B43" s="69" t="s">
        <v>967</v>
      </c>
      <c r="C43" s="100" t="s">
        <v>1741</v>
      </c>
    </row>
    <row r="44" spans="1:3" x14ac:dyDescent="0.2">
      <c r="A44" s="98" t="s">
        <v>1764</v>
      </c>
      <c r="B44" s="69" t="s">
        <v>968</v>
      </c>
      <c r="C44" s="100" t="s">
        <v>1741</v>
      </c>
    </row>
    <row r="45" spans="1:3" x14ac:dyDescent="0.2">
      <c r="A45" s="98" t="s">
        <v>1765</v>
      </c>
      <c r="B45" s="69" t="s">
        <v>968</v>
      </c>
      <c r="C45" s="100" t="s">
        <v>1741</v>
      </c>
    </row>
    <row r="46" spans="1:3" x14ac:dyDescent="0.2">
      <c r="A46" s="98" t="s">
        <v>1766</v>
      </c>
      <c r="B46" s="69" t="s">
        <v>969</v>
      </c>
      <c r="C46" s="101" t="s">
        <v>1751</v>
      </c>
    </row>
    <row r="47" spans="1:3" x14ac:dyDescent="0.2">
      <c r="A47" s="98" t="s">
        <v>1767</v>
      </c>
      <c r="B47" s="69" t="s">
        <v>970</v>
      </c>
      <c r="C47" s="101" t="s">
        <v>1751</v>
      </c>
    </row>
    <row r="48" spans="1:3" x14ac:dyDescent="0.2">
      <c r="A48" s="98" t="s">
        <v>1768</v>
      </c>
      <c r="B48" s="69" t="s">
        <v>970</v>
      </c>
      <c r="C48" s="101" t="s">
        <v>1751</v>
      </c>
    </row>
    <row r="49" spans="1:3" x14ac:dyDescent="0.2">
      <c r="A49" s="98" t="s">
        <v>1769</v>
      </c>
      <c r="B49" s="69" t="s">
        <v>971</v>
      </c>
      <c r="C49" s="100" t="s">
        <v>1741</v>
      </c>
    </row>
    <row r="50" spans="1:3" x14ac:dyDescent="0.2">
      <c r="A50" s="98" t="s">
        <v>1770</v>
      </c>
      <c r="B50" s="69" t="s">
        <v>972</v>
      </c>
      <c r="C50" s="101" t="s">
        <v>1741</v>
      </c>
    </row>
    <row r="51" spans="1:3" x14ac:dyDescent="0.2">
      <c r="A51" s="98" t="s">
        <v>1771</v>
      </c>
      <c r="B51" s="69" t="s">
        <v>972</v>
      </c>
      <c r="C51" s="101" t="s">
        <v>1741</v>
      </c>
    </row>
    <row r="52" spans="1:3" x14ac:dyDescent="0.2">
      <c r="A52" s="98" t="s">
        <v>1772</v>
      </c>
      <c r="B52" s="69" t="s">
        <v>972</v>
      </c>
      <c r="C52" s="101" t="s">
        <v>1741</v>
      </c>
    </row>
    <row r="53" spans="1:3" x14ac:dyDescent="0.2">
      <c r="A53" s="98" t="s">
        <v>1773</v>
      </c>
      <c r="B53" s="69" t="s">
        <v>973</v>
      </c>
      <c r="C53" s="100" t="s">
        <v>1741</v>
      </c>
    </row>
    <row r="54" spans="1:3" x14ac:dyDescent="0.2">
      <c r="A54" s="98" t="s">
        <v>1774</v>
      </c>
      <c r="B54" s="69" t="s">
        <v>973</v>
      </c>
      <c r="C54" s="100" t="s">
        <v>1741</v>
      </c>
    </row>
    <row r="55" spans="1:3" x14ac:dyDescent="0.2">
      <c r="A55" s="98" t="s">
        <v>1775</v>
      </c>
      <c r="B55" s="69" t="s">
        <v>974</v>
      </c>
      <c r="C55" s="101" t="s">
        <v>1741</v>
      </c>
    </row>
    <row r="56" spans="1:3" x14ac:dyDescent="0.2">
      <c r="A56" s="98" t="s">
        <v>1776</v>
      </c>
      <c r="B56" s="69" t="s">
        <v>974</v>
      </c>
      <c r="C56" s="101" t="s">
        <v>1741</v>
      </c>
    </row>
    <row r="57" spans="1:3" x14ac:dyDescent="0.2">
      <c r="A57" s="98" t="s">
        <v>1777</v>
      </c>
      <c r="B57" s="69" t="s">
        <v>975</v>
      </c>
      <c r="C57" s="100" t="s">
        <v>1741</v>
      </c>
    </row>
    <row r="58" spans="1:3" x14ac:dyDescent="0.2">
      <c r="A58" s="98" t="s">
        <v>1778</v>
      </c>
      <c r="B58" s="69" t="s">
        <v>975</v>
      </c>
      <c r="C58" s="100" t="s">
        <v>1741</v>
      </c>
    </row>
    <row r="59" spans="1:3" x14ac:dyDescent="0.2">
      <c r="A59" s="98" t="s">
        <v>1779</v>
      </c>
      <c r="B59" s="69" t="s">
        <v>975</v>
      </c>
      <c r="C59" s="100" t="s">
        <v>1741</v>
      </c>
    </row>
    <row r="60" spans="1:3" x14ac:dyDescent="0.2">
      <c r="A60" s="98" t="s">
        <v>1780</v>
      </c>
      <c r="B60" s="69" t="s">
        <v>976</v>
      </c>
      <c r="C60" s="100" t="s">
        <v>1741</v>
      </c>
    </row>
    <row r="61" spans="1:3" x14ac:dyDescent="0.2">
      <c r="A61" s="98" t="s">
        <v>1781</v>
      </c>
      <c r="B61" s="69" t="s">
        <v>977</v>
      </c>
      <c r="C61" s="101" t="s">
        <v>1751</v>
      </c>
    </row>
    <row r="62" spans="1:3" x14ac:dyDescent="0.2">
      <c r="A62" s="98" t="s">
        <v>1782</v>
      </c>
      <c r="B62" s="69" t="s">
        <v>977</v>
      </c>
      <c r="C62" s="101" t="s">
        <v>1751</v>
      </c>
    </row>
    <row r="63" spans="1:3" x14ac:dyDescent="0.2">
      <c r="A63" s="98" t="s">
        <v>1783</v>
      </c>
      <c r="B63" s="69" t="s">
        <v>978</v>
      </c>
      <c r="C63" s="100" t="s">
        <v>1741</v>
      </c>
    </row>
    <row r="64" spans="1:3" x14ac:dyDescent="0.2">
      <c r="A64" s="98" t="s">
        <v>1784</v>
      </c>
      <c r="B64" s="69" t="s">
        <v>978</v>
      </c>
      <c r="C64" s="100" t="s">
        <v>1741</v>
      </c>
    </row>
    <row r="65" spans="1:3" x14ac:dyDescent="0.2">
      <c r="A65" s="98" t="s">
        <v>1785</v>
      </c>
      <c r="B65" s="69" t="s">
        <v>978</v>
      </c>
      <c r="C65" s="100" t="s">
        <v>1741</v>
      </c>
    </row>
    <row r="66" spans="1:3" x14ac:dyDescent="0.2">
      <c r="A66" s="98" t="s">
        <v>1786</v>
      </c>
      <c r="B66" s="69" t="s">
        <v>978</v>
      </c>
      <c r="C66" s="100" t="s">
        <v>1741</v>
      </c>
    </row>
    <row r="67" spans="1:3" x14ac:dyDescent="0.2">
      <c r="A67" s="98" t="s">
        <v>1787</v>
      </c>
      <c r="B67" s="69" t="s">
        <v>978</v>
      </c>
      <c r="C67" s="100" t="s">
        <v>1741</v>
      </c>
    </row>
    <row r="68" spans="1:3" x14ac:dyDescent="0.2">
      <c r="A68" s="98" t="s">
        <v>1788</v>
      </c>
      <c r="B68" s="69" t="s">
        <v>978</v>
      </c>
      <c r="C68" s="100" t="s">
        <v>1741</v>
      </c>
    </row>
    <row r="69" spans="1:3" x14ac:dyDescent="0.2">
      <c r="A69" s="98" t="s">
        <v>1789</v>
      </c>
      <c r="B69" s="69" t="s">
        <v>978</v>
      </c>
      <c r="C69" s="100" t="s">
        <v>1741</v>
      </c>
    </row>
    <row r="70" spans="1:3" x14ac:dyDescent="0.2">
      <c r="A70" s="98" t="s">
        <v>1790</v>
      </c>
      <c r="B70" s="69" t="s">
        <v>979</v>
      </c>
      <c r="C70" s="100" t="s">
        <v>1741</v>
      </c>
    </row>
    <row r="71" spans="1:3" x14ac:dyDescent="0.2">
      <c r="A71" s="98" t="s">
        <v>1791</v>
      </c>
      <c r="B71" s="69" t="s">
        <v>980</v>
      </c>
      <c r="C71" s="101" t="s">
        <v>1751</v>
      </c>
    </row>
    <row r="72" spans="1:3" x14ac:dyDescent="0.2">
      <c r="A72" s="98" t="s">
        <v>1792</v>
      </c>
      <c r="B72" s="69" t="s">
        <v>980</v>
      </c>
      <c r="C72" s="101" t="s">
        <v>1751</v>
      </c>
    </row>
    <row r="73" spans="1:3" x14ac:dyDescent="0.2">
      <c r="A73" s="98" t="s">
        <v>1793</v>
      </c>
      <c r="B73" s="69" t="s">
        <v>981</v>
      </c>
      <c r="C73" s="100" t="s">
        <v>1741</v>
      </c>
    </row>
    <row r="74" spans="1:3" x14ac:dyDescent="0.2">
      <c r="A74" s="98" t="s">
        <v>1794</v>
      </c>
      <c r="B74" s="69" t="s">
        <v>982</v>
      </c>
      <c r="C74" s="101" t="s">
        <v>1751</v>
      </c>
    </row>
    <row r="75" spans="1:3" x14ac:dyDescent="0.2">
      <c r="A75" s="98" t="s">
        <v>1795</v>
      </c>
      <c r="B75" s="69" t="s">
        <v>982</v>
      </c>
      <c r="C75" s="101" t="s">
        <v>1751</v>
      </c>
    </row>
    <row r="76" spans="1:3" x14ac:dyDescent="0.2">
      <c r="A76" s="98" t="s">
        <v>1796</v>
      </c>
      <c r="B76" s="69" t="s">
        <v>983</v>
      </c>
      <c r="C76" s="100" t="s">
        <v>1741</v>
      </c>
    </row>
    <row r="77" spans="1:3" x14ac:dyDescent="0.2">
      <c r="A77" s="98" t="s">
        <v>6</v>
      </c>
      <c r="B77" s="69" t="s">
        <v>983</v>
      </c>
      <c r="C77" s="100" t="s">
        <v>1741</v>
      </c>
    </row>
    <row r="78" spans="1:3" x14ac:dyDescent="0.2">
      <c r="A78" s="98" t="s">
        <v>1797</v>
      </c>
      <c r="B78" s="69" t="s">
        <v>1379</v>
      </c>
      <c r="C78" s="102" t="s">
        <v>1798</v>
      </c>
    </row>
    <row r="79" spans="1:3" x14ac:dyDescent="0.2">
      <c r="A79" s="98" t="s">
        <v>1799</v>
      </c>
      <c r="B79" s="69" t="s">
        <v>1379</v>
      </c>
      <c r="C79" s="102" t="s">
        <v>1798</v>
      </c>
    </row>
    <row r="80" spans="1:3" x14ac:dyDescent="0.2">
      <c r="A80" s="98" t="s">
        <v>1800</v>
      </c>
      <c r="B80" s="69" t="s">
        <v>1381</v>
      </c>
      <c r="C80" s="102" t="s">
        <v>1798</v>
      </c>
    </row>
    <row r="81" spans="1:3" x14ac:dyDescent="0.2">
      <c r="A81" s="98" t="s">
        <v>1801</v>
      </c>
      <c r="B81" s="69" t="s">
        <v>1381</v>
      </c>
      <c r="C81" s="102" t="s">
        <v>1798</v>
      </c>
    </row>
    <row r="82" spans="1:3" x14ac:dyDescent="0.2">
      <c r="A82" s="98" t="s">
        <v>1802</v>
      </c>
      <c r="B82" s="69" t="s">
        <v>1380</v>
      </c>
      <c r="C82" s="102" t="s">
        <v>1798</v>
      </c>
    </row>
    <row r="83" spans="1:3" x14ac:dyDescent="0.2">
      <c r="A83" s="98" t="s">
        <v>1803</v>
      </c>
      <c r="B83" s="69" t="s">
        <v>1380</v>
      </c>
      <c r="C83" s="102" t="s">
        <v>1798</v>
      </c>
    </row>
    <row r="84" spans="1:3" x14ac:dyDescent="0.2">
      <c r="A84" s="98" t="s">
        <v>1804</v>
      </c>
      <c r="B84" s="69" t="s">
        <v>1380</v>
      </c>
      <c r="C84" s="102" t="s">
        <v>1798</v>
      </c>
    </row>
    <row r="85" spans="1:3" x14ac:dyDescent="0.2">
      <c r="A85" s="98" t="s">
        <v>1805</v>
      </c>
      <c r="B85" s="98" t="s">
        <v>958</v>
      </c>
      <c r="C85" s="98" t="s">
        <v>1720</v>
      </c>
    </row>
    <row r="86" spans="1:3" x14ac:dyDescent="0.2">
      <c r="A86" s="98" t="s">
        <v>1806</v>
      </c>
      <c r="B86" s="98" t="s">
        <v>958</v>
      </c>
      <c r="C86" s="98" t="s">
        <v>1720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69" bestFit="1" customWidth="1"/>
    <col min="2" max="2" width="34.6640625" style="69" bestFit="1" customWidth="1"/>
    <col min="3" max="3" width="7.5" style="69" bestFit="1" customWidth="1"/>
    <col min="4" max="4" width="9.33203125" style="69" bestFit="1" customWidth="1"/>
    <col min="5" max="5" width="8" style="69" bestFit="1" customWidth="1"/>
    <col min="6" max="6" width="29.1640625" style="69" bestFit="1" customWidth="1"/>
    <col min="7" max="7" width="7.5" style="69" bestFit="1" customWidth="1"/>
    <col min="8" max="8" width="9.33203125" style="69" bestFit="1" customWidth="1"/>
    <col min="9" max="9" width="8" style="69" bestFit="1" customWidth="1"/>
    <col min="10" max="10" width="24.5" style="69" bestFit="1" customWidth="1"/>
    <col min="11" max="11" width="7.5" style="69" bestFit="1" customWidth="1"/>
    <col min="12" max="12" width="9.33203125" style="69" bestFit="1" customWidth="1"/>
    <col min="13" max="13" width="8" style="69" bestFit="1" customWidth="1"/>
    <col min="14" max="16384" width="10.83203125" style="69"/>
  </cols>
  <sheetData>
    <row r="1" spans="1:13" x14ac:dyDescent="0.2">
      <c r="A1" s="103" t="s">
        <v>1807</v>
      </c>
      <c r="B1" s="103" t="s">
        <v>33</v>
      </c>
      <c r="C1" s="103" t="s">
        <v>1818</v>
      </c>
      <c r="D1" s="103" t="s">
        <v>1819</v>
      </c>
      <c r="E1" s="103" t="s">
        <v>1808</v>
      </c>
      <c r="F1" s="103" t="s">
        <v>34</v>
      </c>
      <c r="G1" s="103" t="s">
        <v>1820</v>
      </c>
      <c r="H1" s="103" t="s">
        <v>1821</v>
      </c>
      <c r="I1" s="103" t="s">
        <v>1809</v>
      </c>
      <c r="J1" s="103" t="s">
        <v>35</v>
      </c>
      <c r="K1" s="103" t="s">
        <v>1822</v>
      </c>
      <c r="L1" s="103" t="s">
        <v>1823</v>
      </c>
      <c r="M1" s="103" t="s">
        <v>1810</v>
      </c>
    </row>
    <row r="2" spans="1:13" x14ac:dyDescent="0.2">
      <c r="A2" s="97" t="s">
        <v>73</v>
      </c>
    </row>
    <row r="3" spans="1:13" x14ac:dyDescent="0.2">
      <c r="A3" s="97" t="s">
        <v>993</v>
      </c>
    </row>
    <row r="4" spans="1:13" x14ac:dyDescent="0.2">
      <c r="A4" s="97" t="s">
        <v>1873</v>
      </c>
      <c r="B4" s="69" t="s">
        <v>190</v>
      </c>
      <c r="C4" s="69">
        <v>0</v>
      </c>
      <c r="D4" s="69">
        <v>1</v>
      </c>
      <c r="E4" s="69" t="s">
        <v>754</v>
      </c>
    </row>
    <row r="5" spans="1:13" x14ac:dyDescent="0.2">
      <c r="A5" s="97" t="s">
        <v>1874</v>
      </c>
      <c r="B5" s="69" t="s">
        <v>156</v>
      </c>
      <c r="C5" s="69">
        <v>0</v>
      </c>
      <c r="D5" s="69">
        <v>1</v>
      </c>
      <c r="E5" s="69" t="s">
        <v>1814</v>
      </c>
    </row>
    <row r="6" spans="1:13" x14ac:dyDescent="0.2">
      <c r="A6" s="97" t="s">
        <v>1877</v>
      </c>
      <c r="B6" s="69" t="s">
        <v>130</v>
      </c>
      <c r="C6" s="69">
        <v>0</v>
      </c>
      <c r="D6" s="69">
        <v>1</v>
      </c>
      <c r="E6" s="69" t="s">
        <v>754</v>
      </c>
    </row>
    <row r="7" spans="1:13" x14ac:dyDescent="0.2">
      <c r="A7" s="97" t="s">
        <v>1875</v>
      </c>
      <c r="B7" s="69" t="s">
        <v>138</v>
      </c>
      <c r="C7" s="69">
        <v>0</v>
      </c>
      <c r="D7" s="69">
        <v>1</v>
      </c>
      <c r="E7" s="69" t="s">
        <v>754</v>
      </c>
    </row>
    <row r="8" spans="1:13" x14ac:dyDescent="0.2">
      <c r="A8" s="97" t="s">
        <v>1865</v>
      </c>
      <c r="B8" s="69" t="s">
        <v>138</v>
      </c>
      <c r="C8" s="69">
        <v>0</v>
      </c>
      <c r="D8" s="69">
        <v>1</v>
      </c>
      <c r="E8" s="69" t="s">
        <v>754</v>
      </c>
      <c r="F8" s="69" t="s">
        <v>98</v>
      </c>
      <c r="G8" s="69">
        <v>0</v>
      </c>
      <c r="H8" s="69">
        <v>1</v>
      </c>
      <c r="I8" s="69" t="s">
        <v>1811</v>
      </c>
    </row>
    <row r="9" spans="1:13" x14ac:dyDescent="0.2">
      <c r="A9" s="97" t="s">
        <v>1866</v>
      </c>
      <c r="B9" s="69" t="s">
        <v>138</v>
      </c>
      <c r="C9" s="69">
        <v>0</v>
      </c>
      <c r="D9" s="69">
        <v>1</v>
      </c>
      <c r="E9" s="69" t="s">
        <v>754</v>
      </c>
      <c r="F9" s="69" t="s">
        <v>184</v>
      </c>
      <c r="G9" s="69">
        <v>0</v>
      </c>
      <c r="H9" s="69">
        <v>1</v>
      </c>
      <c r="I9" s="69" t="s">
        <v>1811</v>
      </c>
    </row>
    <row r="10" spans="1:13" x14ac:dyDescent="0.2">
      <c r="A10" s="97" t="s">
        <v>1876</v>
      </c>
      <c r="B10" s="69" t="s">
        <v>130</v>
      </c>
      <c r="C10" s="69">
        <v>0</v>
      </c>
      <c r="D10" s="69">
        <v>1</v>
      </c>
      <c r="E10" s="69" t="s">
        <v>754</v>
      </c>
    </row>
    <row r="11" spans="1:13" x14ac:dyDescent="0.2">
      <c r="A11" s="97" t="s">
        <v>1867</v>
      </c>
      <c r="B11" s="69" t="s">
        <v>130</v>
      </c>
      <c r="C11" s="69">
        <v>0</v>
      </c>
      <c r="D11" s="69">
        <v>1</v>
      </c>
      <c r="E11" s="69" t="s">
        <v>754</v>
      </c>
      <c r="F11" s="69" t="s">
        <v>190</v>
      </c>
      <c r="G11" s="69">
        <v>0</v>
      </c>
      <c r="H11" s="69">
        <v>1</v>
      </c>
      <c r="I11" s="69" t="s">
        <v>754</v>
      </c>
    </row>
    <row r="12" spans="1:13" x14ac:dyDescent="0.2">
      <c r="A12" s="97" t="s">
        <v>1868</v>
      </c>
      <c r="B12" s="69" t="s">
        <v>130</v>
      </c>
      <c r="C12" s="69">
        <v>0</v>
      </c>
      <c r="D12" s="69">
        <v>1</v>
      </c>
      <c r="E12" s="69" t="s">
        <v>754</v>
      </c>
      <c r="F12" s="69" t="s">
        <v>190</v>
      </c>
      <c r="G12" s="69">
        <v>0</v>
      </c>
      <c r="H12" s="69">
        <v>1</v>
      </c>
      <c r="I12" s="69" t="s">
        <v>754</v>
      </c>
      <c r="J12" s="69" t="s">
        <v>98</v>
      </c>
      <c r="K12" s="69">
        <v>0</v>
      </c>
      <c r="L12" s="69">
        <v>1</v>
      </c>
      <c r="M12" s="69" t="s">
        <v>1811</v>
      </c>
    </row>
    <row r="13" spans="1:13" x14ac:dyDescent="0.2">
      <c r="A13" s="97" t="s">
        <v>1869</v>
      </c>
      <c r="B13" s="69" t="s">
        <v>130</v>
      </c>
      <c r="C13" s="69">
        <v>0</v>
      </c>
      <c r="D13" s="69">
        <v>1</v>
      </c>
      <c r="E13" s="69" t="s">
        <v>754</v>
      </c>
      <c r="F13" s="69" t="s">
        <v>190</v>
      </c>
      <c r="G13" s="69">
        <v>0</v>
      </c>
      <c r="H13" s="69">
        <v>1</v>
      </c>
      <c r="I13" s="69" t="s">
        <v>754</v>
      </c>
      <c r="J13" s="69" t="s">
        <v>184</v>
      </c>
      <c r="K13" s="69">
        <v>0</v>
      </c>
      <c r="L13" s="69">
        <v>1</v>
      </c>
      <c r="M13" s="69" t="s">
        <v>1811</v>
      </c>
    </row>
    <row r="14" spans="1:13" x14ac:dyDescent="0.2">
      <c r="A14" s="97" t="s">
        <v>1870</v>
      </c>
      <c r="B14" s="69" t="s">
        <v>130</v>
      </c>
      <c r="C14" s="69">
        <v>0</v>
      </c>
      <c r="D14" s="69">
        <v>1</v>
      </c>
      <c r="E14" s="69" t="s">
        <v>754</v>
      </c>
      <c r="F14" s="69" t="s">
        <v>190</v>
      </c>
      <c r="G14" s="69">
        <v>0</v>
      </c>
      <c r="H14" s="69">
        <v>1</v>
      </c>
      <c r="I14" s="69" t="s">
        <v>754</v>
      </c>
      <c r="J14" s="69" t="s">
        <v>184</v>
      </c>
      <c r="K14" s="69">
        <v>0</v>
      </c>
      <c r="L14" s="69">
        <v>1</v>
      </c>
      <c r="M14" s="69" t="s">
        <v>1811</v>
      </c>
    </row>
    <row r="15" spans="1:13" x14ac:dyDescent="0.2">
      <c r="A15" s="97" t="s">
        <v>1812</v>
      </c>
      <c r="B15" s="69" t="s">
        <v>98</v>
      </c>
      <c r="C15" s="69">
        <v>0</v>
      </c>
      <c r="D15" s="69">
        <v>1</v>
      </c>
      <c r="E15" s="69" t="s">
        <v>1811</v>
      </c>
    </row>
    <row r="16" spans="1:13" x14ac:dyDescent="0.2">
      <c r="A16" s="97" t="s">
        <v>1813</v>
      </c>
      <c r="B16" s="69" t="s">
        <v>184</v>
      </c>
      <c r="C16" s="69">
        <v>0</v>
      </c>
      <c r="D16" s="69">
        <v>1</v>
      </c>
      <c r="E16" s="69" t="s">
        <v>1811</v>
      </c>
    </row>
    <row r="17" spans="1:13" x14ac:dyDescent="0.2">
      <c r="A17" s="97" t="s">
        <v>1878</v>
      </c>
      <c r="B17" s="69" t="s">
        <v>107</v>
      </c>
      <c r="C17" s="69">
        <v>0</v>
      </c>
      <c r="D17" s="69">
        <v>1</v>
      </c>
      <c r="E17" s="69" t="s">
        <v>1814</v>
      </c>
    </row>
    <row r="18" spans="1:13" x14ac:dyDescent="0.2">
      <c r="A18" s="97" t="s">
        <v>1881</v>
      </c>
      <c r="B18" s="69" t="s">
        <v>130</v>
      </c>
      <c r="C18" s="69">
        <v>0</v>
      </c>
      <c r="D18" s="69">
        <v>1</v>
      </c>
      <c r="E18" s="69" t="s">
        <v>754</v>
      </c>
    </row>
    <row r="19" spans="1:13" x14ac:dyDescent="0.2">
      <c r="A19" s="97" t="s">
        <v>1815</v>
      </c>
      <c r="B19" s="69" t="s">
        <v>955</v>
      </c>
      <c r="C19" s="69">
        <v>0</v>
      </c>
      <c r="D19" s="69">
        <v>1</v>
      </c>
      <c r="E19" s="69" t="s">
        <v>754</v>
      </c>
      <c r="F19" s="69" t="s">
        <v>190</v>
      </c>
      <c r="G19" s="69">
        <v>0</v>
      </c>
      <c r="H19" s="69">
        <v>1</v>
      </c>
      <c r="I19" s="69" t="s">
        <v>754</v>
      </c>
    </row>
    <row r="20" spans="1:13" x14ac:dyDescent="0.2">
      <c r="A20" s="97" t="s">
        <v>1879</v>
      </c>
      <c r="B20" s="69" t="s">
        <v>107</v>
      </c>
      <c r="C20" s="69">
        <v>0</v>
      </c>
      <c r="D20" s="69">
        <v>1</v>
      </c>
      <c r="E20" s="69" t="s">
        <v>1814</v>
      </c>
    </row>
    <row r="21" spans="1:13" x14ac:dyDescent="0.2">
      <c r="A21" s="97" t="s">
        <v>1882</v>
      </c>
      <c r="B21" s="69" t="s">
        <v>90</v>
      </c>
      <c r="C21" s="69">
        <v>0</v>
      </c>
      <c r="D21" s="69">
        <v>1</v>
      </c>
      <c r="E21" s="69" t="s">
        <v>754</v>
      </c>
    </row>
    <row r="22" spans="1:13" x14ac:dyDescent="0.2">
      <c r="A22" s="97" t="s">
        <v>1816</v>
      </c>
      <c r="B22" s="69" t="s">
        <v>90</v>
      </c>
      <c r="C22" s="69">
        <v>0</v>
      </c>
      <c r="D22" s="69">
        <v>1</v>
      </c>
      <c r="E22" s="69" t="s">
        <v>754</v>
      </c>
      <c r="F22" s="69" t="s">
        <v>190</v>
      </c>
      <c r="G22" s="69">
        <v>0</v>
      </c>
      <c r="H22" s="69">
        <v>1</v>
      </c>
      <c r="I22" s="69" t="s">
        <v>754</v>
      </c>
    </row>
    <row r="23" spans="1:13" x14ac:dyDescent="0.2">
      <c r="A23" s="97" t="s">
        <v>1871</v>
      </c>
      <c r="B23" s="69" t="s">
        <v>90</v>
      </c>
      <c r="C23" s="69">
        <v>0</v>
      </c>
      <c r="D23" s="69">
        <v>1</v>
      </c>
      <c r="E23" s="69" t="s">
        <v>754</v>
      </c>
      <c r="F23" s="69" t="s">
        <v>190</v>
      </c>
      <c r="G23" s="69">
        <v>0</v>
      </c>
      <c r="H23" s="69">
        <v>1</v>
      </c>
      <c r="I23" s="69" t="s">
        <v>754</v>
      </c>
      <c r="J23" s="69" t="s">
        <v>98</v>
      </c>
      <c r="K23" s="69">
        <v>0</v>
      </c>
      <c r="L23" s="69">
        <v>1</v>
      </c>
      <c r="M23" s="69" t="s">
        <v>1811</v>
      </c>
    </row>
    <row r="24" spans="1:13" x14ac:dyDescent="0.2">
      <c r="A24" s="97" t="s">
        <v>1872</v>
      </c>
      <c r="B24" s="69" t="s">
        <v>90</v>
      </c>
      <c r="C24" s="69">
        <v>0</v>
      </c>
      <c r="D24" s="69">
        <v>1</v>
      </c>
      <c r="E24" s="69" t="s">
        <v>754</v>
      </c>
      <c r="F24" s="69" t="s">
        <v>190</v>
      </c>
      <c r="G24" s="69">
        <v>0</v>
      </c>
      <c r="H24" s="69">
        <v>1</v>
      </c>
      <c r="I24" s="69" t="s">
        <v>754</v>
      </c>
      <c r="J24" s="69" t="s">
        <v>184</v>
      </c>
      <c r="K24" s="69">
        <v>0</v>
      </c>
      <c r="L24" s="69">
        <v>1</v>
      </c>
      <c r="M24" s="69" t="s">
        <v>1811</v>
      </c>
    </row>
    <row r="25" spans="1:13" x14ac:dyDescent="0.2">
      <c r="A25" s="97" t="s">
        <v>1880</v>
      </c>
      <c r="B25" s="69" t="s">
        <v>164</v>
      </c>
      <c r="C25" s="69">
        <v>0</v>
      </c>
      <c r="D25" s="69">
        <v>1</v>
      </c>
      <c r="E25" s="69" t="s">
        <v>1814</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2026-08-04T03:15:19Z</dcterms:modified>
  <dc:language>en-US</dc:language>
</cp:coreProperties>
</file>